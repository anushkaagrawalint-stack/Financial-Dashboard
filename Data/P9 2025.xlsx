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3FF1826E-DE0C-4224-A2DF-1A4CA4D30E8E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X440" i="7" s="1"/>
  <c r="N444" i="7"/>
  <c r="H444" i="7"/>
  <c r="Z442" i="7"/>
  <c r="AA442" i="7" s="1"/>
  <c r="T442" i="7"/>
  <c r="U442" i="7" s="1"/>
  <c r="Q442" i="7"/>
  <c r="R442" i="7" s="1"/>
  <c r="K442" i="7"/>
  <c r="L442" i="7" s="1"/>
  <c r="H442" i="7"/>
  <c r="I442" i="7" s="1"/>
  <c r="E442" i="7"/>
  <c r="F442" i="7" s="1"/>
  <c r="B442" i="7"/>
  <c r="C442" i="7" s="1"/>
  <c r="Z441" i="7"/>
  <c r="AA441" i="7" s="1"/>
  <c r="W441" i="7"/>
  <c r="X441" i="7" s="1"/>
  <c r="T441" i="7"/>
  <c r="U441" i="7" s="1"/>
  <c r="Q441" i="7"/>
  <c r="R441" i="7" s="1"/>
  <c r="K441" i="7"/>
  <c r="L441" i="7" s="1"/>
  <c r="E441" i="7"/>
  <c r="F441" i="7" s="1"/>
  <c r="B441" i="7"/>
  <c r="AC440" i="7"/>
  <c r="AD440" i="7" s="1"/>
  <c r="AA440" i="7"/>
  <c r="W440" i="7"/>
  <c r="U440" i="7"/>
  <c r="R440" i="7"/>
  <c r="O440" i="7"/>
  <c r="N440" i="7"/>
  <c r="L440" i="7"/>
  <c r="I440" i="7"/>
  <c r="H440" i="7"/>
  <c r="F440" i="7"/>
  <c r="C440" i="7"/>
  <c r="AC439" i="7"/>
  <c r="AD439" i="7" s="1"/>
  <c r="AA439" i="7"/>
  <c r="X439" i="7"/>
  <c r="W439" i="7"/>
  <c r="U439" i="7"/>
  <c r="R439" i="7"/>
  <c r="N439" i="7"/>
  <c r="O439" i="7" s="1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D437" i="7"/>
  <c r="AC437" i="7"/>
  <c r="AA437" i="7"/>
  <c r="W437" i="7"/>
  <c r="X437" i="7" s="1"/>
  <c r="U437" i="7"/>
  <c r="R437" i="7"/>
  <c r="O437" i="7"/>
  <c r="N437" i="7"/>
  <c r="L437" i="7"/>
  <c r="H437" i="7"/>
  <c r="I437" i="7" s="1"/>
  <c r="F437" i="7"/>
  <c r="C437" i="7"/>
  <c r="AC436" i="7"/>
  <c r="AD436" i="7" s="1"/>
  <c r="AA436" i="7"/>
  <c r="W436" i="7"/>
  <c r="U436" i="7"/>
  <c r="R436" i="7"/>
  <c r="O436" i="7"/>
  <c r="N436" i="7"/>
  <c r="L436" i="7"/>
  <c r="I436" i="7"/>
  <c r="H436" i="7"/>
  <c r="F436" i="7"/>
  <c r="C436" i="7"/>
  <c r="AC435" i="7"/>
  <c r="AD435" i="7" s="1"/>
  <c r="AA435" i="7"/>
  <c r="X435" i="7"/>
  <c r="W435" i="7"/>
  <c r="U435" i="7"/>
  <c r="R435" i="7"/>
  <c r="N435" i="7"/>
  <c r="O435" i="7" s="1"/>
  <c r="L435" i="7"/>
  <c r="H435" i="7"/>
  <c r="I435" i="7" s="1"/>
  <c r="F435" i="7"/>
  <c r="C435" i="7"/>
  <c r="AC434" i="7"/>
  <c r="AD434" i="7" s="1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O433" i="7"/>
  <c r="N433" i="7"/>
  <c r="L433" i="7"/>
  <c r="H433" i="7"/>
  <c r="I433" i="7" s="1"/>
  <c r="F433" i="7"/>
  <c r="C433" i="7"/>
  <c r="AC432" i="7"/>
  <c r="AD432" i="7" s="1"/>
  <c r="AA432" i="7"/>
  <c r="W432" i="7"/>
  <c r="U432" i="7"/>
  <c r="R432" i="7"/>
  <c r="O432" i="7"/>
  <c r="N432" i="7"/>
  <c r="L432" i="7"/>
  <c r="I432" i="7"/>
  <c r="H432" i="7"/>
  <c r="F432" i="7"/>
  <c r="C432" i="7"/>
  <c r="AC429" i="7"/>
  <c r="AD429" i="7" s="1"/>
  <c r="Z429" i="7"/>
  <c r="AA429" i="7" s="1"/>
  <c r="T429" i="7"/>
  <c r="U429" i="7" s="1"/>
  <c r="Q429" i="7"/>
  <c r="K429" i="7"/>
  <c r="L429" i="7" s="1"/>
  <c r="E429" i="7"/>
  <c r="F429" i="7" s="1"/>
  <c r="B429" i="7"/>
  <c r="Z428" i="7"/>
  <c r="AA428" i="7" s="1"/>
  <c r="W428" i="7"/>
  <c r="X428" i="7" s="1"/>
  <c r="T428" i="7"/>
  <c r="U428" i="7" s="1"/>
  <c r="Q428" i="7"/>
  <c r="R428" i="7" s="1"/>
  <c r="K428" i="7"/>
  <c r="L428" i="7" s="1"/>
  <c r="H428" i="7"/>
  <c r="I428" i="7" s="1"/>
  <c r="E428" i="7"/>
  <c r="F428" i="7" s="1"/>
  <c r="B428" i="7"/>
  <c r="C428" i="7" s="1"/>
  <c r="AC427" i="7"/>
  <c r="AD427" i="7" s="1"/>
  <c r="AA427" i="7"/>
  <c r="X427" i="7"/>
  <c r="W427" i="7"/>
  <c r="U427" i="7"/>
  <c r="R427" i="7"/>
  <c r="N427" i="7"/>
  <c r="O427" i="7" s="1"/>
  <c r="L427" i="7"/>
  <c r="H427" i="7"/>
  <c r="I427" i="7" s="1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W425" i="7"/>
  <c r="X425" i="7" s="1"/>
  <c r="U425" i="7"/>
  <c r="R425" i="7"/>
  <c r="O425" i="7"/>
  <c r="N425" i="7"/>
  <c r="L425" i="7"/>
  <c r="H425" i="7"/>
  <c r="I425" i="7" s="1"/>
  <c r="F425" i="7"/>
  <c r="C425" i="7"/>
  <c r="AC424" i="7"/>
  <c r="AD424" i="7" s="1"/>
  <c r="AA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X423" i="7"/>
  <c r="W423" i="7"/>
  <c r="U423" i="7"/>
  <c r="R423" i="7"/>
  <c r="N423" i="7"/>
  <c r="O423" i="7" s="1"/>
  <c r="L423" i="7"/>
  <c r="H423" i="7"/>
  <c r="I423" i="7" s="1"/>
  <c r="F423" i="7"/>
  <c r="C423" i="7"/>
  <c r="AC422" i="7"/>
  <c r="AD422" i="7" s="1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W421" i="7"/>
  <c r="X421" i="7" s="1"/>
  <c r="U421" i="7"/>
  <c r="R421" i="7"/>
  <c r="O421" i="7"/>
  <c r="N421" i="7"/>
  <c r="L421" i="7"/>
  <c r="H421" i="7"/>
  <c r="I421" i="7" s="1"/>
  <c r="F421" i="7"/>
  <c r="C421" i="7"/>
  <c r="AC420" i="7"/>
  <c r="AD420" i="7" s="1"/>
  <c r="AA420" i="7"/>
  <c r="W420" i="7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X419" i="7"/>
  <c r="W419" i="7"/>
  <c r="U419" i="7"/>
  <c r="R419" i="7"/>
  <c r="N419" i="7"/>
  <c r="O419" i="7" s="1"/>
  <c r="L419" i="7"/>
  <c r="H419" i="7"/>
  <c r="I419" i="7" s="1"/>
  <c r="F419" i="7"/>
  <c r="C419" i="7"/>
  <c r="AC418" i="7"/>
  <c r="AD418" i="7" s="1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W417" i="7"/>
  <c r="X417" i="7" s="1"/>
  <c r="U417" i="7"/>
  <c r="R417" i="7"/>
  <c r="O417" i="7"/>
  <c r="N417" i="7"/>
  <c r="L417" i="7"/>
  <c r="H417" i="7"/>
  <c r="I417" i="7" s="1"/>
  <c r="F417" i="7"/>
  <c r="C417" i="7"/>
  <c r="AC416" i="7"/>
  <c r="AD416" i="7" s="1"/>
  <c r="AA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X415" i="7"/>
  <c r="W415" i="7"/>
  <c r="U415" i="7"/>
  <c r="R415" i="7"/>
  <c r="N415" i="7"/>
  <c r="O415" i="7" s="1"/>
  <c r="L415" i="7"/>
  <c r="H415" i="7"/>
  <c r="I415" i="7" s="1"/>
  <c r="F415" i="7"/>
  <c r="C415" i="7"/>
  <c r="AC414" i="7"/>
  <c r="AD414" i="7" s="1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W413" i="7"/>
  <c r="X413" i="7" s="1"/>
  <c r="U413" i="7"/>
  <c r="R413" i="7"/>
  <c r="O413" i="7"/>
  <c r="N413" i="7"/>
  <c r="L413" i="7"/>
  <c r="H413" i="7"/>
  <c r="I413" i="7" s="1"/>
  <c r="F413" i="7"/>
  <c r="C413" i="7"/>
  <c r="AC412" i="7"/>
  <c r="AD412" i="7" s="1"/>
  <c r="AA412" i="7"/>
  <c r="W412" i="7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X411" i="7"/>
  <c r="W411" i="7"/>
  <c r="U411" i="7"/>
  <c r="R411" i="7"/>
  <c r="N411" i="7"/>
  <c r="O411" i="7" s="1"/>
  <c r="L411" i="7"/>
  <c r="H411" i="7"/>
  <c r="I411" i="7" s="1"/>
  <c r="F411" i="7"/>
  <c r="C411" i="7"/>
  <c r="AC410" i="7"/>
  <c r="AD410" i="7" s="1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W409" i="7"/>
  <c r="X409" i="7" s="1"/>
  <c r="U409" i="7"/>
  <c r="R409" i="7"/>
  <c r="O409" i="7"/>
  <c r="N409" i="7"/>
  <c r="L409" i="7"/>
  <c r="H409" i="7"/>
  <c r="I409" i="7" s="1"/>
  <c r="F409" i="7"/>
  <c r="C409" i="7"/>
  <c r="AC408" i="7"/>
  <c r="AD408" i="7" s="1"/>
  <c r="AA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X407" i="7"/>
  <c r="W407" i="7"/>
  <c r="U407" i="7"/>
  <c r="R407" i="7"/>
  <c r="N407" i="7"/>
  <c r="O407" i="7" s="1"/>
  <c r="L407" i="7"/>
  <c r="H407" i="7"/>
  <c r="I407" i="7" s="1"/>
  <c r="F407" i="7"/>
  <c r="C407" i="7"/>
  <c r="Z403" i="7"/>
  <c r="AA403" i="7" s="1"/>
  <c r="T403" i="7"/>
  <c r="U403" i="7" s="1"/>
  <c r="Q403" i="7"/>
  <c r="K403" i="7"/>
  <c r="L403" i="7" s="1"/>
  <c r="E403" i="7"/>
  <c r="F403" i="7" s="1"/>
  <c r="B403" i="7"/>
  <c r="C403" i="7" s="1"/>
  <c r="AC402" i="7"/>
  <c r="AD402" i="7" s="1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W401" i="7"/>
  <c r="U401" i="7"/>
  <c r="R401" i="7"/>
  <c r="O401" i="7"/>
  <c r="N401" i="7"/>
  <c r="L401" i="7"/>
  <c r="H401" i="7"/>
  <c r="I401" i="7" s="1"/>
  <c r="F401" i="7"/>
  <c r="C401" i="7"/>
  <c r="AC400" i="7"/>
  <c r="AD400" i="7" s="1"/>
  <c r="AA400" i="7"/>
  <c r="W400" i="7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X399" i="7"/>
  <c r="W399" i="7"/>
  <c r="U399" i="7"/>
  <c r="R399" i="7"/>
  <c r="O399" i="7"/>
  <c r="N399" i="7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AC397" i="7"/>
  <c r="AD397" i="7" s="1"/>
  <c r="AA397" i="7"/>
  <c r="W397" i="7"/>
  <c r="U397" i="7"/>
  <c r="R397" i="7"/>
  <c r="O397" i="7"/>
  <c r="N397" i="7"/>
  <c r="L397" i="7"/>
  <c r="H397" i="7"/>
  <c r="I397" i="7" s="1"/>
  <c r="F397" i="7"/>
  <c r="C397" i="7"/>
  <c r="AC396" i="7"/>
  <c r="AD396" i="7" s="1"/>
  <c r="Z396" i="7"/>
  <c r="AA396" i="7" s="1"/>
  <c r="T396" i="7"/>
  <c r="U396" i="7" s="1"/>
  <c r="Q396" i="7"/>
  <c r="K396" i="7"/>
  <c r="L396" i="7" s="1"/>
  <c r="E396" i="7"/>
  <c r="F396" i="7" s="1"/>
  <c r="B396" i="7"/>
  <c r="C396" i="7" s="1"/>
  <c r="AC395" i="7"/>
  <c r="AD395" i="7" s="1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W394" i="7"/>
  <c r="U394" i="7"/>
  <c r="R394" i="7"/>
  <c r="O394" i="7"/>
  <c r="N394" i="7"/>
  <c r="L394" i="7"/>
  <c r="H394" i="7"/>
  <c r="I394" i="7" s="1"/>
  <c r="F394" i="7"/>
  <c r="C394" i="7"/>
  <c r="Z393" i="7"/>
  <c r="AA393" i="7" s="1"/>
  <c r="T393" i="7"/>
  <c r="U393" i="7" s="1"/>
  <c r="Q393" i="7"/>
  <c r="K393" i="7"/>
  <c r="L393" i="7" s="1"/>
  <c r="E393" i="7"/>
  <c r="F393" i="7" s="1"/>
  <c r="B393" i="7"/>
  <c r="C393" i="7" s="1"/>
  <c r="AC392" i="7"/>
  <c r="AD392" i="7" s="1"/>
  <c r="AA392" i="7"/>
  <c r="X392" i="7"/>
  <c r="W392" i="7"/>
  <c r="U392" i="7"/>
  <c r="R392" i="7"/>
  <c r="O392" i="7"/>
  <c r="N392" i="7"/>
  <c r="L392" i="7"/>
  <c r="H392" i="7"/>
  <c r="I392" i="7" s="1"/>
  <c r="F392" i="7"/>
  <c r="C392" i="7"/>
  <c r="AC391" i="7"/>
  <c r="AD391" i="7" s="1"/>
  <c r="AA391" i="7"/>
  <c r="X391" i="7"/>
  <c r="W391" i="7"/>
  <c r="U391" i="7"/>
  <c r="R391" i="7"/>
  <c r="O391" i="7"/>
  <c r="N391" i="7"/>
  <c r="L391" i="7"/>
  <c r="H391" i="7"/>
  <c r="I391" i="7" s="1"/>
  <c r="F391" i="7"/>
  <c r="C391" i="7"/>
  <c r="AC390" i="7"/>
  <c r="AD390" i="7" s="1"/>
  <c r="AA390" i="7"/>
  <c r="X390" i="7"/>
  <c r="W390" i="7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X389" i="7"/>
  <c r="W389" i="7"/>
  <c r="U389" i="7"/>
  <c r="R389" i="7"/>
  <c r="O389" i="7"/>
  <c r="N389" i="7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O386" i="7"/>
  <c r="N386" i="7"/>
  <c r="L386" i="7"/>
  <c r="H386" i="7"/>
  <c r="I386" i="7" s="1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X383" i="7"/>
  <c r="W383" i="7"/>
  <c r="U383" i="7"/>
  <c r="R383" i="7"/>
  <c r="O383" i="7"/>
  <c r="N383" i="7"/>
  <c r="L383" i="7"/>
  <c r="H383" i="7"/>
  <c r="I383" i="7" s="1"/>
  <c r="F383" i="7"/>
  <c r="C383" i="7"/>
  <c r="AC382" i="7"/>
  <c r="AD382" i="7" s="1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C381" i="7"/>
  <c r="AD381" i="7" s="1"/>
  <c r="AA381" i="7"/>
  <c r="X381" i="7"/>
  <c r="W381" i="7"/>
  <c r="U381" i="7"/>
  <c r="R381" i="7"/>
  <c r="O381" i="7"/>
  <c r="N381" i="7"/>
  <c r="L381" i="7"/>
  <c r="H381" i="7"/>
  <c r="I381" i="7" s="1"/>
  <c r="F381" i="7"/>
  <c r="C381" i="7"/>
  <c r="AC380" i="7"/>
  <c r="AD380" i="7" s="1"/>
  <c r="AA380" i="7"/>
  <c r="X380" i="7"/>
  <c r="W380" i="7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X379" i="7"/>
  <c r="W379" i="7"/>
  <c r="U379" i="7"/>
  <c r="R379" i="7"/>
  <c r="O379" i="7"/>
  <c r="N379" i="7"/>
  <c r="L379" i="7"/>
  <c r="H379" i="7"/>
  <c r="I379" i="7" s="1"/>
  <c r="F379" i="7"/>
  <c r="C379" i="7"/>
  <c r="AC378" i="7"/>
  <c r="AD378" i="7" s="1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X377" i="7"/>
  <c r="W377" i="7"/>
  <c r="U377" i="7"/>
  <c r="R377" i="7"/>
  <c r="O377" i="7"/>
  <c r="N377" i="7"/>
  <c r="L377" i="7"/>
  <c r="H377" i="7"/>
  <c r="I377" i="7" s="1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X375" i="7"/>
  <c r="W375" i="7"/>
  <c r="U375" i="7"/>
  <c r="R375" i="7"/>
  <c r="O375" i="7"/>
  <c r="N375" i="7"/>
  <c r="L375" i="7"/>
  <c r="H375" i="7"/>
  <c r="I375" i="7" s="1"/>
  <c r="F375" i="7"/>
  <c r="C375" i="7"/>
  <c r="AC374" i="7"/>
  <c r="AD374" i="7" s="1"/>
  <c r="AA374" i="7"/>
  <c r="X374" i="7"/>
  <c r="W374" i="7"/>
  <c r="U374" i="7"/>
  <c r="R374" i="7"/>
  <c r="O374" i="7"/>
  <c r="N374" i="7"/>
  <c r="L374" i="7"/>
  <c r="H374" i="7"/>
  <c r="I374" i="7" s="1"/>
  <c r="F374" i="7"/>
  <c r="C374" i="7"/>
  <c r="AC373" i="7"/>
  <c r="AD373" i="7" s="1"/>
  <c r="AA373" i="7"/>
  <c r="X373" i="7"/>
  <c r="W373" i="7"/>
  <c r="U373" i="7"/>
  <c r="R373" i="7"/>
  <c r="O373" i="7"/>
  <c r="N373" i="7"/>
  <c r="L373" i="7"/>
  <c r="H373" i="7"/>
  <c r="I373" i="7" s="1"/>
  <c r="F373" i="7"/>
  <c r="C373" i="7"/>
  <c r="AC372" i="7"/>
  <c r="AD372" i="7" s="1"/>
  <c r="AA372" i="7"/>
  <c r="X372" i="7"/>
  <c r="W372" i="7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H371" i="7"/>
  <c r="I371" i="7" s="1"/>
  <c r="F371" i="7"/>
  <c r="C371" i="7"/>
  <c r="AC370" i="7"/>
  <c r="AD370" i="7" s="1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AD369" i="7"/>
  <c r="AC369" i="7"/>
  <c r="AA369" i="7"/>
  <c r="X369" i="7"/>
  <c r="W369" i="7"/>
  <c r="U369" i="7"/>
  <c r="R369" i="7"/>
  <c r="N369" i="7"/>
  <c r="O369" i="7" s="1"/>
  <c r="L369" i="7"/>
  <c r="H369" i="7"/>
  <c r="I369" i="7" s="1"/>
  <c r="F369" i="7"/>
  <c r="C369" i="7"/>
  <c r="AC368" i="7"/>
  <c r="AD368" i="7" s="1"/>
  <c r="AA368" i="7"/>
  <c r="Z368" i="7"/>
  <c r="W368" i="7"/>
  <c r="X368" i="7" s="1"/>
  <c r="T368" i="7"/>
  <c r="U368" i="7" s="1"/>
  <c r="Q368" i="7"/>
  <c r="R368" i="7" s="1"/>
  <c r="K368" i="7"/>
  <c r="L368" i="7" s="1"/>
  <c r="H368" i="7"/>
  <c r="I368" i="7" s="1"/>
  <c r="E368" i="7"/>
  <c r="F368" i="7" s="1"/>
  <c r="C368" i="7"/>
  <c r="B368" i="7"/>
  <c r="AC367" i="7"/>
  <c r="AD367" i="7" s="1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D366" i="7"/>
  <c r="AC366" i="7"/>
  <c r="AA366" i="7"/>
  <c r="X366" i="7"/>
  <c r="W366" i="7"/>
  <c r="U366" i="7"/>
  <c r="R366" i="7"/>
  <c r="N366" i="7"/>
  <c r="O366" i="7" s="1"/>
  <c r="L366" i="7"/>
  <c r="H366" i="7"/>
  <c r="I366" i="7" s="1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H364" i="7"/>
  <c r="I364" i="7" s="1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D362" i="7"/>
  <c r="AC362" i="7"/>
  <c r="AA362" i="7"/>
  <c r="X362" i="7"/>
  <c r="W362" i="7"/>
  <c r="U362" i="7"/>
  <c r="R362" i="7"/>
  <c r="N362" i="7"/>
  <c r="O362" i="7" s="1"/>
  <c r="L362" i="7"/>
  <c r="H362" i="7"/>
  <c r="I362" i="7" s="1"/>
  <c r="F362" i="7"/>
  <c r="C362" i="7"/>
  <c r="AC361" i="7"/>
  <c r="AD361" i="7" s="1"/>
  <c r="AA361" i="7"/>
  <c r="X361" i="7"/>
  <c r="W361" i="7"/>
  <c r="U361" i="7"/>
  <c r="R361" i="7"/>
  <c r="O361" i="7"/>
  <c r="N361" i="7"/>
  <c r="L361" i="7"/>
  <c r="I361" i="7"/>
  <c r="H361" i="7"/>
  <c r="F361" i="7"/>
  <c r="C361" i="7"/>
  <c r="AC360" i="7"/>
  <c r="AD360" i="7" s="1"/>
  <c r="AA360" i="7"/>
  <c r="W360" i="7"/>
  <c r="X360" i="7" s="1"/>
  <c r="U360" i="7"/>
  <c r="R360" i="7"/>
  <c r="N360" i="7"/>
  <c r="O360" i="7" s="1"/>
  <c r="L360" i="7"/>
  <c r="H360" i="7"/>
  <c r="I360" i="7" s="1"/>
  <c r="F360" i="7"/>
  <c r="C360" i="7"/>
  <c r="AA358" i="7"/>
  <c r="Z358" i="7"/>
  <c r="U358" i="7"/>
  <c r="T358" i="7"/>
  <c r="Q358" i="7"/>
  <c r="K358" i="7"/>
  <c r="L358" i="7" s="1"/>
  <c r="E358" i="7"/>
  <c r="F358" i="7" s="1"/>
  <c r="B358" i="7"/>
  <c r="AC357" i="7"/>
  <c r="AD357" i="7" s="1"/>
  <c r="AA357" i="7"/>
  <c r="X357" i="7"/>
  <c r="W357" i="7"/>
  <c r="U357" i="7"/>
  <c r="R357" i="7"/>
  <c r="O357" i="7"/>
  <c r="N357" i="7"/>
  <c r="L357" i="7"/>
  <c r="H357" i="7"/>
  <c r="I357" i="7" s="1"/>
  <c r="F357" i="7"/>
  <c r="C357" i="7"/>
  <c r="AD356" i="7"/>
  <c r="AC356" i="7"/>
  <c r="AA356" i="7"/>
  <c r="X356" i="7"/>
  <c r="W356" i="7"/>
  <c r="U356" i="7"/>
  <c r="R356" i="7"/>
  <c r="N356" i="7"/>
  <c r="O356" i="7" s="1"/>
  <c r="L356" i="7"/>
  <c r="H356" i="7"/>
  <c r="I356" i="7" s="1"/>
  <c r="F356" i="7"/>
  <c r="C356" i="7"/>
  <c r="AC355" i="7"/>
  <c r="AD355" i="7" s="1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D354" i="7"/>
  <c r="AC354" i="7"/>
  <c r="AA354" i="7"/>
  <c r="X354" i="7"/>
  <c r="W354" i="7"/>
  <c r="U354" i="7"/>
  <c r="R354" i="7"/>
  <c r="N354" i="7"/>
  <c r="O354" i="7" s="1"/>
  <c r="L354" i="7"/>
  <c r="H354" i="7"/>
  <c r="I354" i="7" s="1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I353" i="7"/>
  <c r="H353" i="7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H352" i="7"/>
  <c r="I352" i="7" s="1"/>
  <c r="F352" i="7"/>
  <c r="C352" i="7"/>
  <c r="AC351" i="7"/>
  <c r="AD351" i="7" s="1"/>
  <c r="AA351" i="7"/>
  <c r="X351" i="7"/>
  <c r="W351" i="7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W350" i="7"/>
  <c r="X350" i="7" s="1"/>
  <c r="U350" i="7"/>
  <c r="R350" i="7"/>
  <c r="O350" i="7"/>
  <c r="N350" i="7"/>
  <c r="L350" i="7"/>
  <c r="H350" i="7"/>
  <c r="I350" i="7" s="1"/>
  <c r="F350" i="7"/>
  <c r="C350" i="7"/>
  <c r="AC349" i="7"/>
  <c r="AD349" i="7" s="1"/>
  <c r="AA349" i="7"/>
  <c r="X349" i="7"/>
  <c r="W349" i="7"/>
  <c r="U349" i="7"/>
  <c r="R349" i="7"/>
  <c r="O349" i="7"/>
  <c r="N349" i="7"/>
  <c r="L349" i="7"/>
  <c r="H349" i="7"/>
  <c r="I349" i="7" s="1"/>
  <c r="F349" i="7"/>
  <c r="C349" i="7"/>
  <c r="AD347" i="7"/>
  <c r="AC347" i="7"/>
  <c r="AA347" i="7"/>
  <c r="X347" i="7"/>
  <c r="W347" i="7"/>
  <c r="U347" i="7"/>
  <c r="R347" i="7"/>
  <c r="N347" i="7"/>
  <c r="O347" i="7" s="1"/>
  <c r="L347" i="7"/>
  <c r="H347" i="7"/>
  <c r="I347" i="7" s="1"/>
  <c r="F347" i="7"/>
  <c r="C347" i="7"/>
  <c r="AA344" i="7"/>
  <c r="Z344" i="7"/>
  <c r="W344" i="7"/>
  <c r="X344" i="7" s="1"/>
  <c r="U344" i="7"/>
  <c r="T344" i="7"/>
  <c r="Q344" i="7"/>
  <c r="K344" i="7"/>
  <c r="L344" i="7" s="1"/>
  <c r="E344" i="7"/>
  <c r="F344" i="7" s="1"/>
  <c r="B344" i="7"/>
  <c r="Z343" i="7"/>
  <c r="T343" i="7"/>
  <c r="U343" i="7" s="1"/>
  <c r="Q343" i="7"/>
  <c r="R343" i="7" s="1"/>
  <c r="N343" i="7"/>
  <c r="O343" i="7" s="1"/>
  <c r="K343" i="7"/>
  <c r="L343" i="7" s="1"/>
  <c r="E343" i="7"/>
  <c r="F343" i="7" s="1"/>
  <c r="C343" i="7"/>
  <c r="B343" i="7"/>
  <c r="AA342" i="7"/>
  <c r="Z342" i="7"/>
  <c r="T342" i="7"/>
  <c r="U342" i="7" s="1"/>
  <c r="Q342" i="7"/>
  <c r="K342" i="7"/>
  <c r="L342" i="7" s="1"/>
  <c r="E342" i="7"/>
  <c r="F342" i="7" s="1"/>
  <c r="C342" i="7"/>
  <c r="B342" i="7"/>
  <c r="N342" i="7" s="1"/>
  <c r="O342" i="7" s="1"/>
  <c r="AC341" i="7"/>
  <c r="AD341" i="7" s="1"/>
  <c r="AA341" i="7"/>
  <c r="X341" i="7"/>
  <c r="W341" i="7"/>
  <c r="U341" i="7"/>
  <c r="R341" i="7"/>
  <c r="O341" i="7"/>
  <c r="N341" i="7"/>
  <c r="L341" i="7"/>
  <c r="I341" i="7"/>
  <c r="H341" i="7"/>
  <c r="F341" i="7"/>
  <c r="C341" i="7"/>
  <c r="AC340" i="7"/>
  <c r="AD340" i="7" s="1"/>
  <c r="AA340" i="7"/>
  <c r="W340" i="7"/>
  <c r="X340" i="7" s="1"/>
  <c r="U340" i="7"/>
  <c r="R340" i="7"/>
  <c r="O340" i="7"/>
  <c r="N340" i="7"/>
  <c r="L340" i="7"/>
  <c r="H340" i="7"/>
  <c r="I340" i="7" s="1"/>
  <c r="F340" i="7"/>
  <c r="C340" i="7"/>
  <c r="AC339" i="7"/>
  <c r="AD339" i="7" s="1"/>
  <c r="AA339" i="7"/>
  <c r="X339" i="7"/>
  <c r="W339" i="7"/>
  <c r="U339" i="7"/>
  <c r="R339" i="7"/>
  <c r="O339" i="7"/>
  <c r="N339" i="7"/>
  <c r="L339" i="7"/>
  <c r="H339" i="7"/>
  <c r="I339" i="7" s="1"/>
  <c r="F339" i="7"/>
  <c r="C339" i="7"/>
  <c r="AD338" i="7"/>
  <c r="AC338" i="7"/>
  <c r="AA338" i="7"/>
  <c r="X338" i="7"/>
  <c r="W338" i="7"/>
  <c r="U338" i="7"/>
  <c r="R338" i="7"/>
  <c r="N338" i="7"/>
  <c r="O338" i="7" s="1"/>
  <c r="L338" i="7"/>
  <c r="H338" i="7"/>
  <c r="I338" i="7" s="1"/>
  <c r="F338" i="7"/>
  <c r="C338" i="7"/>
  <c r="AC337" i="7"/>
  <c r="AD337" i="7" s="1"/>
  <c r="AA337" i="7"/>
  <c r="X337" i="7"/>
  <c r="W337" i="7"/>
  <c r="U337" i="7"/>
  <c r="R337" i="7"/>
  <c r="O337" i="7"/>
  <c r="N337" i="7"/>
  <c r="L337" i="7"/>
  <c r="H337" i="7"/>
  <c r="I337" i="7" s="1"/>
  <c r="F337" i="7"/>
  <c r="C337" i="7"/>
  <c r="AC335" i="7"/>
  <c r="AD335" i="7" s="1"/>
  <c r="AA335" i="7"/>
  <c r="X335" i="7"/>
  <c r="W335" i="7"/>
  <c r="U335" i="7"/>
  <c r="R335" i="7"/>
  <c r="N335" i="7"/>
  <c r="O335" i="7" s="1"/>
  <c r="L335" i="7"/>
  <c r="H335" i="7"/>
  <c r="I335" i="7" s="1"/>
  <c r="F335" i="7"/>
  <c r="C335" i="7"/>
  <c r="AC334" i="7"/>
  <c r="AD334" i="7" s="1"/>
  <c r="AA334" i="7"/>
  <c r="X334" i="7"/>
  <c r="W334" i="7"/>
  <c r="U334" i="7"/>
  <c r="R334" i="7"/>
  <c r="O334" i="7"/>
  <c r="N334" i="7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O333" i="7"/>
  <c r="N333" i="7"/>
  <c r="L333" i="7"/>
  <c r="H333" i="7"/>
  <c r="I333" i="7" s="1"/>
  <c r="F333" i="7"/>
  <c r="C333" i="7"/>
  <c r="AC332" i="7"/>
  <c r="AD332" i="7" s="1"/>
  <c r="AA332" i="7"/>
  <c r="X332" i="7"/>
  <c r="W332" i="7"/>
  <c r="U332" i="7"/>
  <c r="R332" i="7"/>
  <c r="O332" i="7"/>
  <c r="N332" i="7"/>
  <c r="L332" i="7"/>
  <c r="H332" i="7"/>
  <c r="I332" i="7" s="1"/>
  <c r="F332" i="7"/>
  <c r="C332" i="7"/>
  <c r="AC331" i="7"/>
  <c r="AD331" i="7" s="1"/>
  <c r="AA331" i="7"/>
  <c r="W331" i="7"/>
  <c r="X331" i="7" s="1"/>
  <c r="U331" i="7"/>
  <c r="R331" i="7"/>
  <c r="O331" i="7"/>
  <c r="N331" i="7"/>
  <c r="L331" i="7"/>
  <c r="H331" i="7"/>
  <c r="I331" i="7" s="1"/>
  <c r="F331" i="7"/>
  <c r="C331" i="7"/>
  <c r="AC330" i="7"/>
  <c r="AD330" i="7" s="1"/>
  <c r="AA330" i="7"/>
  <c r="X330" i="7"/>
  <c r="W330" i="7"/>
  <c r="U330" i="7"/>
  <c r="R330" i="7"/>
  <c r="O330" i="7"/>
  <c r="N330" i="7"/>
  <c r="L330" i="7"/>
  <c r="H330" i="7"/>
  <c r="I330" i="7" s="1"/>
  <c r="F330" i="7"/>
  <c r="C330" i="7"/>
  <c r="AD329" i="7"/>
  <c r="AC329" i="7"/>
  <c r="AA329" i="7"/>
  <c r="X329" i="7"/>
  <c r="W329" i="7"/>
  <c r="U329" i="7"/>
  <c r="R329" i="7"/>
  <c r="N329" i="7"/>
  <c r="O329" i="7" s="1"/>
  <c r="L329" i="7"/>
  <c r="H329" i="7"/>
  <c r="I329" i="7" s="1"/>
  <c r="F329" i="7"/>
  <c r="C329" i="7"/>
  <c r="AC328" i="7"/>
  <c r="AD328" i="7" s="1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AD325" i="7"/>
  <c r="AC325" i="7"/>
  <c r="Z325" i="7"/>
  <c r="AA325" i="7" s="1"/>
  <c r="T325" i="7"/>
  <c r="U325" i="7" s="1"/>
  <c r="R325" i="7"/>
  <c r="Q325" i="7"/>
  <c r="W325" i="7" s="1"/>
  <c r="X325" i="7" s="1"/>
  <c r="O325" i="7"/>
  <c r="N325" i="7"/>
  <c r="K325" i="7"/>
  <c r="L325" i="7" s="1"/>
  <c r="F325" i="7"/>
  <c r="E325" i="7"/>
  <c r="B325" i="7"/>
  <c r="Z324" i="7"/>
  <c r="AA324" i="7" s="1"/>
  <c r="W324" i="7"/>
  <c r="X324" i="7" s="1"/>
  <c r="U324" i="7"/>
  <c r="T324" i="7"/>
  <c r="R324" i="7"/>
  <c r="Q324" i="7"/>
  <c r="K324" i="7"/>
  <c r="L324" i="7" s="1"/>
  <c r="F324" i="7"/>
  <c r="E324" i="7"/>
  <c r="B324" i="7"/>
  <c r="AC323" i="7"/>
  <c r="AD323" i="7" s="1"/>
  <c r="AA323" i="7"/>
  <c r="W323" i="7"/>
  <c r="X323" i="7" s="1"/>
  <c r="U323" i="7"/>
  <c r="R323" i="7"/>
  <c r="O323" i="7"/>
  <c r="N323" i="7"/>
  <c r="L323" i="7"/>
  <c r="I323" i="7"/>
  <c r="H323" i="7"/>
  <c r="F323" i="7"/>
  <c r="C323" i="7"/>
  <c r="AC322" i="7"/>
  <c r="AD322" i="7" s="1"/>
  <c r="AA322" i="7"/>
  <c r="X322" i="7"/>
  <c r="W322" i="7"/>
  <c r="U322" i="7"/>
  <c r="R322" i="7"/>
  <c r="O322" i="7"/>
  <c r="N322" i="7"/>
  <c r="L322" i="7"/>
  <c r="H322" i="7"/>
  <c r="I322" i="7" s="1"/>
  <c r="F322" i="7"/>
  <c r="C322" i="7"/>
  <c r="AD321" i="7"/>
  <c r="AC321" i="7"/>
  <c r="AA321" i="7"/>
  <c r="X321" i="7"/>
  <c r="W321" i="7"/>
  <c r="U321" i="7"/>
  <c r="R321" i="7"/>
  <c r="N321" i="7"/>
  <c r="O321" i="7" s="1"/>
  <c r="L321" i="7"/>
  <c r="H321" i="7"/>
  <c r="I321" i="7" s="1"/>
  <c r="F321" i="7"/>
  <c r="C321" i="7"/>
  <c r="AD320" i="7"/>
  <c r="AC320" i="7"/>
  <c r="AA320" i="7"/>
  <c r="X320" i="7"/>
  <c r="W320" i="7"/>
  <c r="U320" i="7"/>
  <c r="R320" i="7"/>
  <c r="N320" i="7"/>
  <c r="O320" i="7" s="1"/>
  <c r="L320" i="7"/>
  <c r="I320" i="7"/>
  <c r="H320" i="7"/>
  <c r="F320" i="7"/>
  <c r="C320" i="7"/>
  <c r="AC319" i="7"/>
  <c r="AD319" i="7" s="1"/>
  <c r="AA319" i="7"/>
  <c r="W319" i="7"/>
  <c r="X319" i="7" s="1"/>
  <c r="U319" i="7"/>
  <c r="R319" i="7"/>
  <c r="O319" i="7"/>
  <c r="N319" i="7"/>
  <c r="L319" i="7"/>
  <c r="I319" i="7"/>
  <c r="H319" i="7"/>
  <c r="F319" i="7"/>
  <c r="C319" i="7"/>
  <c r="AC318" i="7"/>
  <c r="AD318" i="7" s="1"/>
  <c r="AA318" i="7"/>
  <c r="X318" i="7"/>
  <c r="W318" i="7"/>
  <c r="U318" i="7"/>
  <c r="R318" i="7"/>
  <c r="O318" i="7"/>
  <c r="N318" i="7"/>
  <c r="L318" i="7"/>
  <c r="H318" i="7"/>
  <c r="I318" i="7" s="1"/>
  <c r="F318" i="7"/>
  <c r="C318" i="7"/>
  <c r="AC317" i="7"/>
  <c r="AD317" i="7" s="1"/>
  <c r="AA317" i="7"/>
  <c r="X317" i="7"/>
  <c r="W317" i="7"/>
  <c r="U317" i="7"/>
  <c r="R317" i="7"/>
  <c r="N317" i="7"/>
  <c r="O317" i="7" s="1"/>
  <c r="L317" i="7"/>
  <c r="H317" i="7"/>
  <c r="I317" i="7" s="1"/>
  <c r="F317" i="7"/>
  <c r="C317" i="7"/>
  <c r="AD316" i="7"/>
  <c r="AC316" i="7"/>
  <c r="AA316" i="7"/>
  <c r="X316" i="7"/>
  <c r="W316" i="7"/>
  <c r="U316" i="7"/>
  <c r="R316" i="7"/>
  <c r="O316" i="7"/>
  <c r="N316" i="7"/>
  <c r="L316" i="7"/>
  <c r="I316" i="7"/>
  <c r="H316" i="7"/>
  <c r="F316" i="7"/>
  <c r="C316" i="7"/>
  <c r="AC315" i="7"/>
  <c r="AD315" i="7" s="1"/>
  <c r="AA315" i="7"/>
  <c r="W315" i="7"/>
  <c r="X315" i="7" s="1"/>
  <c r="U315" i="7"/>
  <c r="R315" i="7"/>
  <c r="O315" i="7"/>
  <c r="N315" i="7"/>
  <c r="L315" i="7"/>
  <c r="I315" i="7"/>
  <c r="H315" i="7"/>
  <c r="F315" i="7"/>
  <c r="C315" i="7"/>
  <c r="AC314" i="7"/>
  <c r="AD314" i="7" s="1"/>
  <c r="AA314" i="7"/>
  <c r="W314" i="7"/>
  <c r="X314" i="7" s="1"/>
  <c r="U314" i="7"/>
  <c r="R314" i="7"/>
  <c r="O314" i="7"/>
  <c r="N314" i="7"/>
  <c r="L314" i="7"/>
  <c r="H314" i="7"/>
  <c r="I314" i="7" s="1"/>
  <c r="F314" i="7"/>
  <c r="C314" i="7"/>
  <c r="AC313" i="7"/>
  <c r="AD313" i="7" s="1"/>
  <c r="AA313" i="7"/>
  <c r="X313" i="7"/>
  <c r="W313" i="7"/>
  <c r="U313" i="7"/>
  <c r="R313" i="7"/>
  <c r="N313" i="7"/>
  <c r="O313" i="7" s="1"/>
  <c r="L313" i="7"/>
  <c r="H313" i="7"/>
  <c r="I313" i="7" s="1"/>
  <c r="F313" i="7"/>
  <c r="C313" i="7"/>
  <c r="AC312" i="7"/>
  <c r="AD312" i="7" s="1"/>
  <c r="AA312" i="7"/>
  <c r="X312" i="7"/>
  <c r="W312" i="7"/>
  <c r="U312" i="7"/>
  <c r="R312" i="7"/>
  <c r="O312" i="7"/>
  <c r="N312" i="7"/>
  <c r="L312" i="7"/>
  <c r="H312" i="7"/>
  <c r="I312" i="7" s="1"/>
  <c r="F312" i="7"/>
  <c r="C312" i="7"/>
  <c r="AC311" i="7"/>
  <c r="AD311" i="7" s="1"/>
  <c r="AA311" i="7"/>
  <c r="W311" i="7"/>
  <c r="X311" i="7" s="1"/>
  <c r="U311" i="7"/>
  <c r="R311" i="7"/>
  <c r="O311" i="7"/>
  <c r="N311" i="7"/>
  <c r="L311" i="7"/>
  <c r="I311" i="7"/>
  <c r="H311" i="7"/>
  <c r="F311" i="7"/>
  <c r="C311" i="7"/>
  <c r="AC310" i="7"/>
  <c r="AD310" i="7" s="1"/>
  <c r="AA310" i="7"/>
  <c r="X310" i="7"/>
  <c r="W310" i="7"/>
  <c r="U310" i="7"/>
  <c r="R310" i="7"/>
  <c r="O310" i="7"/>
  <c r="N310" i="7"/>
  <c r="L310" i="7"/>
  <c r="H310" i="7"/>
  <c r="I310" i="7" s="1"/>
  <c r="F310" i="7"/>
  <c r="C310" i="7"/>
  <c r="AD309" i="7"/>
  <c r="AC309" i="7"/>
  <c r="AA309" i="7"/>
  <c r="X309" i="7"/>
  <c r="W309" i="7"/>
  <c r="U309" i="7"/>
  <c r="R309" i="7"/>
  <c r="N309" i="7"/>
  <c r="O309" i="7" s="1"/>
  <c r="L309" i="7"/>
  <c r="H309" i="7"/>
  <c r="I309" i="7" s="1"/>
  <c r="F309" i="7"/>
  <c r="C309" i="7"/>
  <c r="AC308" i="7"/>
  <c r="AD308" i="7" s="1"/>
  <c r="AA308" i="7"/>
  <c r="X308" i="7"/>
  <c r="W308" i="7"/>
  <c r="U308" i="7"/>
  <c r="R308" i="7"/>
  <c r="N308" i="7"/>
  <c r="O308" i="7" s="1"/>
  <c r="L308" i="7"/>
  <c r="H308" i="7"/>
  <c r="I308" i="7" s="1"/>
  <c r="F308" i="7"/>
  <c r="C308" i="7"/>
  <c r="AC307" i="7"/>
  <c r="AD307" i="7" s="1"/>
  <c r="AA307" i="7"/>
  <c r="W307" i="7"/>
  <c r="X307" i="7" s="1"/>
  <c r="U307" i="7"/>
  <c r="R307" i="7"/>
  <c r="O307" i="7"/>
  <c r="N307" i="7"/>
  <c r="L307" i="7"/>
  <c r="H307" i="7"/>
  <c r="I307" i="7" s="1"/>
  <c r="F307" i="7"/>
  <c r="C307" i="7"/>
  <c r="AC306" i="7"/>
  <c r="AD306" i="7" s="1"/>
  <c r="AA306" i="7"/>
  <c r="W306" i="7"/>
  <c r="X306" i="7" s="1"/>
  <c r="U306" i="7"/>
  <c r="R306" i="7"/>
  <c r="O306" i="7"/>
  <c r="N306" i="7"/>
  <c r="L306" i="7"/>
  <c r="H306" i="7"/>
  <c r="I306" i="7" s="1"/>
  <c r="F306" i="7"/>
  <c r="C306" i="7"/>
  <c r="AC305" i="7"/>
  <c r="AD305" i="7" s="1"/>
  <c r="AA305" i="7"/>
  <c r="X305" i="7"/>
  <c r="W305" i="7"/>
  <c r="U305" i="7"/>
  <c r="R305" i="7"/>
  <c r="N305" i="7"/>
  <c r="O305" i="7" s="1"/>
  <c r="L305" i="7"/>
  <c r="H305" i="7"/>
  <c r="I305" i="7" s="1"/>
  <c r="F305" i="7"/>
  <c r="C305" i="7"/>
  <c r="AC304" i="7"/>
  <c r="AD304" i="7" s="1"/>
  <c r="AA304" i="7"/>
  <c r="X304" i="7"/>
  <c r="W304" i="7"/>
  <c r="U304" i="7"/>
  <c r="R304" i="7"/>
  <c r="O304" i="7"/>
  <c r="N304" i="7"/>
  <c r="L304" i="7"/>
  <c r="H304" i="7"/>
  <c r="I304" i="7" s="1"/>
  <c r="F304" i="7"/>
  <c r="C304" i="7"/>
  <c r="AC303" i="7"/>
  <c r="AD303" i="7" s="1"/>
  <c r="AA303" i="7"/>
  <c r="W303" i="7"/>
  <c r="X303" i="7" s="1"/>
  <c r="U303" i="7"/>
  <c r="R303" i="7"/>
  <c r="O303" i="7"/>
  <c r="N303" i="7"/>
  <c r="L303" i="7"/>
  <c r="I303" i="7"/>
  <c r="H303" i="7"/>
  <c r="F303" i="7"/>
  <c r="C303" i="7"/>
  <c r="AC302" i="7"/>
  <c r="AD302" i="7" s="1"/>
  <c r="AA302" i="7"/>
  <c r="X302" i="7"/>
  <c r="W302" i="7"/>
  <c r="U302" i="7"/>
  <c r="R302" i="7"/>
  <c r="O302" i="7"/>
  <c r="N302" i="7"/>
  <c r="L302" i="7"/>
  <c r="H302" i="7"/>
  <c r="I302" i="7" s="1"/>
  <c r="F302" i="7"/>
  <c r="C302" i="7"/>
  <c r="AD301" i="7"/>
  <c r="AC301" i="7"/>
  <c r="AA301" i="7"/>
  <c r="X301" i="7"/>
  <c r="W301" i="7"/>
  <c r="U301" i="7"/>
  <c r="R301" i="7"/>
  <c r="N301" i="7"/>
  <c r="O301" i="7" s="1"/>
  <c r="L301" i="7"/>
  <c r="H301" i="7"/>
  <c r="I301" i="7" s="1"/>
  <c r="F301" i="7"/>
  <c r="C301" i="7"/>
  <c r="AC300" i="7"/>
  <c r="AD300" i="7" s="1"/>
  <c r="AA300" i="7"/>
  <c r="X300" i="7"/>
  <c r="W300" i="7"/>
  <c r="U300" i="7"/>
  <c r="R300" i="7"/>
  <c r="O300" i="7"/>
  <c r="N300" i="7"/>
  <c r="L300" i="7"/>
  <c r="H300" i="7"/>
  <c r="I300" i="7" s="1"/>
  <c r="F300" i="7"/>
  <c r="C300" i="7"/>
  <c r="AC299" i="7"/>
  <c r="AD299" i="7" s="1"/>
  <c r="AA299" i="7"/>
  <c r="W299" i="7"/>
  <c r="X299" i="7" s="1"/>
  <c r="U299" i="7"/>
  <c r="R299" i="7"/>
  <c r="O299" i="7"/>
  <c r="N299" i="7"/>
  <c r="L299" i="7"/>
  <c r="I299" i="7"/>
  <c r="H299" i="7"/>
  <c r="F299" i="7"/>
  <c r="C299" i="7"/>
  <c r="AC298" i="7"/>
  <c r="AD298" i="7" s="1"/>
  <c r="AA298" i="7"/>
  <c r="W298" i="7"/>
  <c r="X298" i="7" s="1"/>
  <c r="U298" i="7"/>
  <c r="R298" i="7"/>
  <c r="O298" i="7"/>
  <c r="N298" i="7"/>
  <c r="L298" i="7"/>
  <c r="H298" i="7"/>
  <c r="I298" i="7" s="1"/>
  <c r="F298" i="7"/>
  <c r="C298" i="7"/>
  <c r="AD297" i="7"/>
  <c r="AC297" i="7"/>
  <c r="AA297" i="7"/>
  <c r="X297" i="7"/>
  <c r="W297" i="7"/>
  <c r="U297" i="7"/>
  <c r="R297" i="7"/>
  <c r="N297" i="7"/>
  <c r="O297" i="7" s="1"/>
  <c r="L297" i="7"/>
  <c r="H297" i="7"/>
  <c r="I297" i="7" s="1"/>
  <c r="F297" i="7"/>
  <c r="C297" i="7"/>
  <c r="Z295" i="7"/>
  <c r="AA295" i="7" s="1"/>
  <c r="T295" i="7"/>
  <c r="U295" i="7" s="1"/>
  <c r="Q295" i="7"/>
  <c r="K295" i="7"/>
  <c r="L295" i="7" s="1"/>
  <c r="E295" i="7"/>
  <c r="F295" i="7" s="1"/>
  <c r="B295" i="7"/>
  <c r="AC294" i="7"/>
  <c r="AD294" i="7" s="1"/>
  <c r="AA294" i="7"/>
  <c r="W294" i="7"/>
  <c r="X294" i="7" s="1"/>
  <c r="U294" i="7"/>
  <c r="R294" i="7"/>
  <c r="O294" i="7"/>
  <c r="N294" i="7"/>
  <c r="L294" i="7"/>
  <c r="H294" i="7"/>
  <c r="I294" i="7" s="1"/>
  <c r="F294" i="7"/>
  <c r="C294" i="7"/>
  <c r="AC293" i="7"/>
  <c r="AD293" i="7" s="1"/>
  <c r="AA293" i="7"/>
  <c r="X293" i="7"/>
  <c r="W293" i="7"/>
  <c r="U293" i="7"/>
  <c r="R293" i="7"/>
  <c r="O293" i="7"/>
  <c r="N293" i="7"/>
  <c r="L293" i="7"/>
  <c r="H293" i="7"/>
  <c r="I293" i="7" s="1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I292" i="7"/>
  <c r="H292" i="7"/>
  <c r="F292" i="7"/>
  <c r="C292" i="7"/>
  <c r="AC291" i="7"/>
  <c r="AD291" i="7" s="1"/>
  <c r="AA291" i="7"/>
  <c r="W291" i="7"/>
  <c r="X291" i="7" s="1"/>
  <c r="U291" i="7"/>
  <c r="R291" i="7"/>
  <c r="O291" i="7"/>
  <c r="N291" i="7"/>
  <c r="L291" i="7"/>
  <c r="H291" i="7"/>
  <c r="I291" i="7" s="1"/>
  <c r="F291" i="7"/>
  <c r="C291" i="7"/>
  <c r="AC290" i="7"/>
  <c r="AD290" i="7" s="1"/>
  <c r="AA290" i="7"/>
  <c r="W290" i="7"/>
  <c r="X290" i="7" s="1"/>
  <c r="U290" i="7"/>
  <c r="R290" i="7"/>
  <c r="O290" i="7"/>
  <c r="N290" i="7"/>
  <c r="L290" i="7"/>
  <c r="H290" i="7"/>
  <c r="I290" i="7" s="1"/>
  <c r="F290" i="7"/>
  <c r="C290" i="7"/>
  <c r="AC289" i="7"/>
  <c r="AD289" i="7" s="1"/>
  <c r="AA289" i="7"/>
  <c r="X289" i="7"/>
  <c r="W289" i="7"/>
  <c r="U289" i="7"/>
  <c r="R289" i="7"/>
  <c r="O289" i="7"/>
  <c r="N289" i="7"/>
  <c r="L289" i="7"/>
  <c r="H289" i="7"/>
  <c r="I289" i="7" s="1"/>
  <c r="F289" i="7"/>
  <c r="C289" i="7"/>
  <c r="AD288" i="7"/>
  <c r="AC288" i="7"/>
  <c r="AA288" i="7"/>
  <c r="W288" i="7"/>
  <c r="X288" i="7" s="1"/>
  <c r="U288" i="7"/>
  <c r="R288" i="7"/>
  <c r="N288" i="7"/>
  <c r="O288" i="7" s="1"/>
  <c r="L288" i="7"/>
  <c r="I288" i="7"/>
  <c r="H288" i="7"/>
  <c r="F288" i="7"/>
  <c r="C288" i="7"/>
  <c r="AC287" i="7"/>
  <c r="AD287" i="7" s="1"/>
  <c r="AA287" i="7"/>
  <c r="X287" i="7"/>
  <c r="W287" i="7"/>
  <c r="U287" i="7"/>
  <c r="R287" i="7"/>
  <c r="O287" i="7"/>
  <c r="N287" i="7"/>
  <c r="L287" i="7"/>
  <c r="H287" i="7"/>
  <c r="I287" i="7" s="1"/>
  <c r="F287" i="7"/>
  <c r="C287" i="7"/>
  <c r="AC286" i="7"/>
  <c r="AD286" i="7" s="1"/>
  <c r="AA286" i="7"/>
  <c r="X286" i="7"/>
  <c r="W286" i="7"/>
  <c r="U286" i="7"/>
  <c r="R286" i="7"/>
  <c r="O286" i="7"/>
  <c r="N286" i="7"/>
  <c r="L286" i="7"/>
  <c r="H286" i="7"/>
  <c r="I286" i="7" s="1"/>
  <c r="F286" i="7"/>
  <c r="C286" i="7"/>
  <c r="AA284" i="7"/>
  <c r="Z284" i="7"/>
  <c r="T284" i="7"/>
  <c r="U284" i="7" s="1"/>
  <c r="Q284" i="7"/>
  <c r="W284" i="7" s="1"/>
  <c r="X284" i="7" s="1"/>
  <c r="N284" i="7"/>
  <c r="O284" i="7" s="1"/>
  <c r="K284" i="7"/>
  <c r="L284" i="7" s="1"/>
  <c r="F284" i="7"/>
  <c r="E284" i="7"/>
  <c r="C284" i="7"/>
  <c r="B284" i="7"/>
  <c r="H284" i="7" s="1"/>
  <c r="I284" i="7" s="1"/>
  <c r="AC283" i="7"/>
  <c r="AD283" i="7" s="1"/>
  <c r="AA283" i="7"/>
  <c r="W283" i="7"/>
  <c r="X283" i="7" s="1"/>
  <c r="U283" i="7"/>
  <c r="R283" i="7"/>
  <c r="O283" i="7"/>
  <c r="N283" i="7"/>
  <c r="L283" i="7"/>
  <c r="H283" i="7"/>
  <c r="I283" i="7" s="1"/>
  <c r="F283" i="7"/>
  <c r="C283" i="7"/>
  <c r="AC282" i="7"/>
  <c r="AD282" i="7" s="1"/>
  <c r="AA282" i="7"/>
  <c r="X282" i="7"/>
  <c r="W282" i="7"/>
  <c r="U282" i="7"/>
  <c r="R282" i="7"/>
  <c r="O282" i="7"/>
  <c r="N282" i="7"/>
  <c r="L282" i="7"/>
  <c r="H282" i="7"/>
  <c r="I282" i="7" s="1"/>
  <c r="F282" i="7"/>
  <c r="C282" i="7"/>
  <c r="AC281" i="7"/>
  <c r="AD281" i="7" s="1"/>
  <c r="AA281" i="7"/>
  <c r="X281" i="7"/>
  <c r="W281" i="7"/>
  <c r="U281" i="7"/>
  <c r="R281" i="7"/>
  <c r="N281" i="7"/>
  <c r="O281" i="7" s="1"/>
  <c r="L281" i="7"/>
  <c r="I281" i="7"/>
  <c r="H281" i="7"/>
  <c r="F281" i="7"/>
  <c r="C281" i="7"/>
  <c r="AD280" i="7"/>
  <c r="AC280" i="7"/>
  <c r="AA280" i="7"/>
  <c r="W280" i="7"/>
  <c r="X280" i="7" s="1"/>
  <c r="U280" i="7"/>
  <c r="R280" i="7"/>
  <c r="N280" i="7"/>
  <c r="O280" i="7" s="1"/>
  <c r="L280" i="7"/>
  <c r="H280" i="7"/>
  <c r="I280" i="7" s="1"/>
  <c r="F280" i="7"/>
  <c r="C280" i="7"/>
  <c r="AC279" i="7"/>
  <c r="AD279" i="7" s="1"/>
  <c r="AA279" i="7"/>
  <c r="X279" i="7"/>
  <c r="W279" i="7"/>
  <c r="U279" i="7"/>
  <c r="R279" i="7"/>
  <c r="O279" i="7"/>
  <c r="N279" i="7"/>
  <c r="L279" i="7"/>
  <c r="H279" i="7"/>
  <c r="I279" i="7" s="1"/>
  <c r="F279" i="7"/>
  <c r="C279" i="7"/>
  <c r="AC278" i="7"/>
  <c r="AD278" i="7" s="1"/>
  <c r="AA278" i="7"/>
  <c r="X278" i="7"/>
  <c r="W278" i="7"/>
  <c r="U278" i="7"/>
  <c r="R278" i="7"/>
  <c r="N278" i="7"/>
  <c r="O278" i="7" s="1"/>
  <c r="L278" i="7"/>
  <c r="H278" i="7"/>
  <c r="I278" i="7" s="1"/>
  <c r="F278" i="7"/>
  <c r="C278" i="7"/>
  <c r="AD277" i="7"/>
  <c r="AC277" i="7"/>
  <c r="AA277" i="7"/>
  <c r="X277" i="7"/>
  <c r="W277" i="7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W276" i="7"/>
  <c r="X276" i="7" s="1"/>
  <c r="U276" i="7"/>
  <c r="R276" i="7"/>
  <c r="N276" i="7"/>
  <c r="O276" i="7" s="1"/>
  <c r="L276" i="7"/>
  <c r="I276" i="7"/>
  <c r="H276" i="7"/>
  <c r="F276" i="7"/>
  <c r="C276" i="7"/>
  <c r="AC275" i="7"/>
  <c r="AD275" i="7" s="1"/>
  <c r="AA275" i="7"/>
  <c r="X275" i="7"/>
  <c r="W275" i="7"/>
  <c r="U275" i="7"/>
  <c r="R275" i="7"/>
  <c r="O275" i="7"/>
  <c r="N275" i="7"/>
  <c r="L275" i="7"/>
  <c r="H275" i="7"/>
  <c r="I275" i="7" s="1"/>
  <c r="F275" i="7"/>
  <c r="C275" i="7"/>
  <c r="Z273" i="7"/>
  <c r="AA273" i="7" s="1"/>
  <c r="X273" i="7"/>
  <c r="W273" i="7"/>
  <c r="U273" i="7"/>
  <c r="T273" i="7"/>
  <c r="R273" i="7"/>
  <c r="Q273" i="7"/>
  <c r="K273" i="7"/>
  <c r="H273" i="7"/>
  <c r="I273" i="7" s="1"/>
  <c r="E273" i="7"/>
  <c r="F273" i="7" s="1"/>
  <c r="B273" i="7"/>
  <c r="C273" i="7" s="1"/>
  <c r="AC272" i="7"/>
  <c r="AD272" i="7" s="1"/>
  <c r="AA272" i="7"/>
  <c r="X272" i="7"/>
  <c r="W272" i="7"/>
  <c r="U272" i="7"/>
  <c r="R272" i="7"/>
  <c r="N272" i="7"/>
  <c r="O272" i="7" s="1"/>
  <c r="L272" i="7"/>
  <c r="H272" i="7"/>
  <c r="I272" i="7" s="1"/>
  <c r="F272" i="7"/>
  <c r="C272" i="7"/>
  <c r="AC271" i="7"/>
  <c r="AD271" i="7" s="1"/>
  <c r="AA271" i="7"/>
  <c r="W271" i="7"/>
  <c r="X271" i="7" s="1"/>
  <c r="U271" i="7"/>
  <c r="R271" i="7"/>
  <c r="O271" i="7"/>
  <c r="N271" i="7"/>
  <c r="L271" i="7"/>
  <c r="H271" i="7"/>
  <c r="I271" i="7" s="1"/>
  <c r="F271" i="7"/>
  <c r="C271" i="7"/>
  <c r="AC270" i="7"/>
  <c r="AD270" i="7" s="1"/>
  <c r="AA270" i="7"/>
  <c r="X270" i="7"/>
  <c r="W270" i="7"/>
  <c r="U270" i="7"/>
  <c r="R270" i="7"/>
  <c r="O270" i="7"/>
  <c r="N270" i="7"/>
  <c r="L270" i="7"/>
  <c r="H270" i="7"/>
  <c r="I270" i="7" s="1"/>
  <c r="F270" i="7"/>
  <c r="C270" i="7"/>
  <c r="AC269" i="7"/>
  <c r="AD269" i="7" s="1"/>
  <c r="AA269" i="7"/>
  <c r="X269" i="7"/>
  <c r="W269" i="7"/>
  <c r="U269" i="7"/>
  <c r="R269" i="7"/>
  <c r="N269" i="7"/>
  <c r="O269" i="7" s="1"/>
  <c r="L269" i="7"/>
  <c r="H269" i="7"/>
  <c r="I269" i="7" s="1"/>
  <c r="F269" i="7"/>
  <c r="C269" i="7"/>
  <c r="Z267" i="7"/>
  <c r="AA267" i="7" s="1"/>
  <c r="T267" i="7"/>
  <c r="U267" i="7" s="1"/>
  <c r="Q267" i="7"/>
  <c r="K267" i="7"/>
  <c r="H267" i="7"/>
  <c r="I267" i="7" s="1"/>
  <c r="F267" i="7"/>
  <c r="E267" i="7"/>
  <c r="C267" i="7"/>
  <c r="B267" i="7"/>
  <c r="AC266" i="7"/>
  <c r="AD266" i="7" s="1"/>
  <c r="AA266" i="7"/>
  <c r="X266" i="7"/>
  <c r="W266" i="7"/>
  <c r="U266" i="7"/>
  <c r="R266" i="7"/>
  <c r="N266" i="7"/>
  <c r="O266" i="7" s="1"/>
  <c r="L266" i="7"/>
  <c r="H266" i="7"/>
  <c r="I266" i="7" s="1"/>
  <c r="F266" i="7"/>
  <c r="C266" i="7"/>
  <c r="AC265" i="7"/>
  <c r="AD265" i="7" s="1"/>
  <c r="AA265" i="7"/>
  <c r="X265" i="7"/>
  <c r="W265" i="7"/>
  <c r="U265" i="7"/>
  <c r="R265" i="7"/>
  <c r="O265" i="7"/>
  <c r="N265" i="7"/>
  <c r="L265" i="7"/>
  <c r="H265" i="7"/>
  <c r="I265" i="7" s="1"/>
  <c r="F265" i="7"/>
  <c r="C265" i="7"/>
  <c r="Z263" i="7"/>
  <c r="T263" i="7"/>
  <c r="U263" i="7" s="1"/>
  <c r="Q263" i="7"/>
  <c r="W263" i="7" s="1"/>
  <c r="X263" i="7" s="1"/>
  <c r="L263" i="7"/>
  <c r="K263" i="7"/>
  <c r="E263" i="7"/>
  <c r="F263" i="7" s="1"/>
  <c r="C263" i="7"/>
  <c r="B263" i="7"/>
  <c r="AC262" i="7"/>
  <c r="AD262" i="7" s="1"/>
  <c r="Z262" i="7"/>
  <c r="AA262" i="7" s="1"/>
  <c r="T262" i="7"/>
  <c r="U262" i="7" s="1"/>
  <c r="R262" i="7"/>
  <c r="Q262" i="7"/>
  <c r="N262" i="7"/>
  <c r="O262" i="7" s="1"/>
  <c r="K262" i="7"/>
  <c r="L262" i="7" s="1"/>
  <c r="E262" i="7"/>
  <c r="H262" i="7" s="1"/>
  <c r="I262" i="7" s="1"/>
  <c r="B262" i="7"/>
  <c r="C262" i="7" s="1"/>
  <c r="AD261" i="7"/>
  <c r="AC261" i="7"/>
  <c r="AA261" i="7"/>
  <c r="W261" i="7"/>
  <c r="X261" i="7" s="1"/>
  <c r="U261" i="7"/>
  <c r="R261" i="7"/>
  <c r="N261" i="7"/>
  <c r="O261" i="7" s="1"/>
  <c r="L261" i="7"/>
  <c r="H261" i="7"/>
  <c r="I261" i="7" s="1"/>
  <c r="F261" i="7"/>
  <c r="C261" i="7"/>
  <c r="AC260" i="7"/>
  <c r="AD260" i="7" s="1"/>
  <c r="AA260" i="7"/>
  <c r="X260" i="7"/>
  <c r="W260" i="7"/>
  <c r="U260" i="7"/>
  <c r="R260" i="7"/>
  <c r="O260" i="7"/>
  <c r="N260" i="7"/>
  <c r="L260" i="7"/>
  <c r="H260" i="7"/>
  <c r="I260" i="7" s="1"/>
  <c r="F260" i="7"/>
  <c r="C260" i="7"/>
  <c r="AC259" i="7"/>
  <c r="AD259" i="7" s="1"/>
  <c r="AA259" i="7"/>
  <c r="X259" i="7"/>
  <c r="W259" i="7"/>
  <c r="U259" i="7"/>
  <c r="R259" i="7"/>
  <c r="N259" i="7"/>
  <c r="O259" i="7" s="1"/>
  <c r="L259" i="7"/>
  <c r="H259" i="7"/>
  <c r="I259" i="7" s="1"/>
  <c r="F259" i="7"/>
  <c r="C259" i="7"/>
  <c r="AD258" i="7"/>
  <c r="AC258" i="7"/>
  <c r="AA258" i="7"/>
  <c r="X258" i="7"/>
  <c r="W258" i="7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W257" i="7"/>
  <c r="X257" i="7" s="1"/>
  <c r="U257" i="7"/>
  <c r="R257" i="7"/>
  <c r="N257" i="7"/>
  <c r="O257" i="7" s="1"/>
  <c r="L257" i="7"/>
  <c r="I257" i="7"/>
  <c r="H257" i="7"/>
  <c r="F257" i="7"/>
  <c r="C257" i="7"/>
  <c r="AC256" i="7"/>
  <c r="AD256" i="7" s="1"/>
  <c r="AA256" i="7"/>
  <c r="X256" i="7"/>
  <c r="W256" i="7"/>
  <c r="U256" i="7"/>
  <c r="R256" i="7"/>
  <c r="O256" i="7"/>
  <c r="N256" i="7"/>
  <c r="L256" i="7"/>
  <c r="H256" i="7"/>
  <c r="I256" i="7" s="1"/>
  <c r="F256" i="7"/>
  <c r="C256" i="7"/>
  <c r="AC255" i="7"/>
  <c r="AD255" i="7" s="1"/>
  <c r="AA255" i="7"/>
  <c r="X255" i="7"/>
  <c r="W255" i="7"/>
  <c r="U255" i="7"/>
  <c r="R255" i="7"/>
  <c r="O255" i="7"/>
  <c r="N255" i="7"/>
  <c r="L255" i="7"/>
  <c r="H255" i="7"/>
  <c r="I255" i="7" s="1"/>
  <c r="F255" i="7"/>
  <c r="C255" i="7"/>
  <c r="AD254" i="7"/>
  <c r="AC254" i="7"/>
  <c r="AA254" i="7"/>
  <c r="X254" i="7"/>
  <c r="W254" i="7"/>
  <c r="U254" i="7"/>
  <c r="R254" i="7"/>
  <c r="O254" i="7"/>
  <c r="N254" i="7"/>
  <c r="L254" i="7"/>
  <c r="I254" i="7"/>
  <c r="H254" i="7"/>
  <c r="F254" i="7"/>
  <c r="C254" i="7"/>
  <c r="AD253" i="7"/>
  <c r="AC253" i="7"/>
  <c r="AA253" i="7"/>
  <c r="W253" i="7"/>
  <c r="X253" i="7" s="1"/>
  <c r="U253" i="7"/>
  <c r="R253" i="7"/>
  <c r="N253" i="7"/>
  <c r="O253" i="7" s="1"/>
  <c r="L253" i="7"/>
  <c r="I253" i="7"/>
  <c r="H253" i="7"/>
  <c r="F253" i="7"/>
  <c r="C253" i="7"/>
  <c r="AC252" i="7"/>
  <c r="AD252" i="7" s="1"/>
  <c r="AA252" i="7"/>
  <c r="X252" i="7"/>
  <c r="W252" i="7"/>
  <c r="U252" i="7"/>
  <c r="R252" i="7"/>
  <c r="O252" i="7"/>
  <c r="N252" i="7"/>
  <c r="L252" i="7"/>
  <c r="H252" i="7"/>
  <c r="I252" i="7" s="1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H251" i="7"/>
  <c r="I251" i="7" s="1"/>
  <c r="F251" i="7"/>
  <c r="C251" i="7"/>
  <c r="AC250" i="7"/>
  <c r="AD250" i="7" s="1"/>
  <c r="AA250" i="7"/>
  <c r="X250" i="7"/>
  <c r="W250" i="7"/>
  <c r="U250" i="7"/>
  <c r="R250" i="7"/>
  <c r="N250" i="7"/>
  <c r="O250" i="7" s="1"/>
  <c r="L250" i="7"/>
  <c r="I250" i="7"/>
  <c r="H250" i="7"/>
  <c r="F250" i="7"/>
  <c r="C250" i="7"/>
  <c r="AC249" i="7"/>
  <c r="AD249" i="7" s="1"/>
  <c r="AA249" i="7"/>
  <c r="W249" i="7"/>
  <c r="X249" i="7" s="1"/>
  <c r="U249" i="7"/>
  <c r="R249" i="7"/>
  <c r="N249" i="7"/>
  <c r="O249" i="7" s="1"/>
  <c r="L249" i="7"/>
  <c r="I249" i="7"/>
  <c r="H249" i="7"/>
  <c r="F249" i="7"/>
  <c r="C249" i="7"/>
  <c r="AC248" i="7"/>
  <c r="AD248" i="7" s="1"/>
  <c r="AA248" i="7"/>
  <c r="W248" i="7"/>
  <c r="X248" i="7" s="1"/>
  <c r="U248" i="7"/>
  <c r="R248" i="7"/>
  <c r="O248" i="7"/>
  <c r="N248" i="7"/>
  <c r="L248" i="7"/>
  <c r="H248" i="7"/>
  <c r="I248" i="7" s="1"/>
  <c r="F248" i="7"/>
  <c r="C248" i="7"/>
  <c r="AC247" i="7"/>
  <c r="AD247" i="7" s="1"/>
  <c r="AA247" i="7"/>
  <c r="X247" i="7"/>
  <c r="W247" i="7"/>
  <c r="U247" i="7"/>
  <c r="R247" i="7"/>
  <c r="O247" i="7"/>
  <c r="N247" i="7"/>
  <c r="L247" i="7"/>
  <c r="H247" i="7"/>
  <c r="I247" i="7" s="1"/>
  <c r="F247" i="7"/>
  <c r="C247" i="7"/>
  <c r="AC246" i="7"/>
  <c r="AD246" i="7" s="1"/>
  <c r="AA246" i="7"/>
  <c r="X246" i="7"/>
  <c r="W246" i="7"/>
  <c r="U246" i="7"/>
  <c r="R246" i="7"/>
  <c r="N246" i="7"/>
  <c r="O246" i="7" s="1"/>
  <c r="L246" i="7"/>
  <c r="H246" i="7"/>
  <c r="I246" i="7" s="1"/>
  <c r="F246" i="7"/>
  <c r="C246" i="7"/>
  <c r="AD245" i="7"/>
  <c r="AC245" i="7"/>
  <c r="AA245" i="7"/>
  <c r="W245" i="7"/>
  <c r="X245" i="7" s="1"/>
  <c r="U245" i="7"/>
  <c r="R245" i="7"/>
  <c r="N245" i="7"/>
  <c r="O245" i="7" s="1"/>
  <c r="L245" i="7"/>
  <c r="H245" i="7"/>
  <c r="I245" i="7" s="1"/>
  <c r="F245" i="7"/>
  <c r="C245" i="7"/>
  <c r="AC244" i="7"/>
  <c r="AD244" i="7" s="1"/>
  <c r="AA244" i="7"/>
  <c r="X244" i="7"/>
  <c r="W244" i="7"/>
  <c r="U244" i="7"/>
  <c r="R244" i="7"/>
  <c r="O244" i="7"/>
  <c r="N244" i="7"/>
  <c r="L244" i="7"/>
  <c r="H244" i="7"/>
  <c r="I244" i="7" s="1"/>
  <c r="F244" i="7"/>
  <c r="C244" i="7"/>
  <c r="AC243" i="7"/>
  <c r="AD243" i="7" s="1"/>
  <c r="AA243" i="7"/>
  <c r="X243" i="7"/>
  <c r="W243" i="7"/>
  <c r="U243" i="7"/>
  <c r="R243" i="7"/>
  <c r="N243" i="7"/>
  <c r="O243" i="7" s="1"/>
  <c r="L243" i="7"/>
  <c r="H243" i="7"/>
  <c r="I243" i="7" s="1"/>
  <c r="F243" i="7"/>
  <c r="C243" i="7"/>
  <c r="AD242" i="7"/>
  <c r="AC242" i="7"/>
  <c r="AA242" i="7"/>
  <c r="X242" i="7"/>
  <c r="W242" i="7"/>
  <c r="U242" i="7"/>
  <c r="R242" i="7"/>
  <c r="N242" i="7"/>
  <c r="O242" i="7" s="1"/>
  <c r="L242" i="7"/>
  <c r="H242" i="7"/>
  <c r="I242" i="7" s="1"/>
  <c r="F242" i="7"/>
  <c r="C242" i="7"/>
  <c r="AD241" i="7"/>
  <c r="AC241" i="7"/>
  <c r="AA241" i="7"/>
  <c r="W241" i="7"/>
  <c r="X241" i="7" s="1"/>
  <c r="U241" i="7"/>
  <c r="R241" i="7"/>
  <c r="N241" i="7"/>
  <c r="O241" i="7" s="1"/>
  <c r="L241" i="7"/>
  <c r="I241" i="7"/>
  <c r="H241" i="7"/>
  <c r="F241" i="7"/>
  <c r="C241" i="7"/>
  <c r="AC240" i="7"/>
  <c r="AD240" i="7" s="1"/>
  <c r="AA240" i="7"/>
  <c r="X240" i="7"/>
  <c r="W240" i="7"/>
  <c r="U240" i="7"/>
  <c r="R240" i="7"/>
  <c r="O240" i="7"/>
  <c r="N240" i="7"/>
  <c r="L240" i="7"/>
  <c r="H240" i="7"/>
  <c r="I240" i="7" s="1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H238" i="7"/>
  <c r="I238" i="7" s="1"/>
  <c r="F238" i="7"/>
  <c r="C238" i="7"/>
  <c r="AA236" i="7"/>
  <c r="Z236" i="7"/>
  <c r="T236" i="7"/>
  <c r="U236" i="7" s="1"/>
  <c r="R236" i="7"/>
  <c r="Q236" i="7"/>
  <c r="N236" i="7"/>
  <c r="O236" i="7" s="1"/>
  <c r="K236" i="7"/>
  <c r="L236" i="7" s="1"/>
  <c r="E236" i="7"/>
  <c r="F236" i="7" s="1"/>
  <c r="C236" i="7"/>
  <c r="B236" i="7"/>
  <c r="AC235" i="7"/>
  <c r="AD235" i="7" s="1"/>
  <c r="AA235" i="7"/>
  <c r="W235" i="7"/>
  <c r="X235" i="7" s="1"/>
  <c r="U235" i="7"/>
  <c r="R235" i="7"/>
  <c r="O235" i="7"/>
  <c r="N235" i="7"/>
  <c r="L235" i="7"/>
  <c r="H235" i="7"/>
  <c r="I235" i="7" s="1"/>
  <c r="F235" i="7"/>
  <c r="C235" i="7"/>
  <c r="AC234" i="7"/>
  <c r="AD234" i="7" s="1"/>
  <c r="AA234" i="7"/>
  <c r="X234" i="7"/>
  <c r="W234" i="7"/>
  <c r="U234" i="7"/>
  <c r="R234" i="7"/>
  <c r="N234" i="7"/>
  <c r="O234" i="7" s="1"/>
  <c r="L234" i="7"/>
  <c r="H234" i="7"/>
  <c r="I234" i="7" s="1"/>
  <c r="F234" i="7"/>
  <c r="C234" i="7"/>
  <c r="AC233" i="7"/>
  <c r="AD233" i="7" s="1"/>
  <c r="AA233" i="7"/>
  <c r="X233" i="7"/>
  <c r="W233" i="7"/>
  <c r="U233" i="7"/>
  <c r="R233" i="7"/>
  <c r="N233" i="7"/>
  <c r="O233" i="7" s="1"/>
  <c r="L233" i="7"/>
  <c r="I233" i="7"/>
  <c r="H233" i="7"/>
  <c r="F233" i="7"/>
  <c r="C233" i="7"/>
  <c r="AD232" i="7"/>
  <c r="AC232" i="7"/>
  <c r="AA232" i="7"/>
  <c r="W232" i="7"/>
  <c r="X232" i="7" s="1"/>
  <c r="U232" i="7"/>
  <c r="R232" i="7"/>
  <c r="N232" i="7"/>
  <c r="O232" i="7" s="1"/>
  <c r="L232" i="7"/>
  <c r="H232" i="7"/>
  <c r="I232" i="7" s="1"/>
  <c r="F232" i="7"/>
  <c r="C232" i="7"/>
  <c r="AC231" i="7"/>
  <c r="AD231" i="7" s="1"/>
  <c r="AA231" i="7"/>
  <c r="X231" i="7"/>
  <c r="W231" i="7"/>
  <c r="U231" i="7"/>
  <c r="R231" i="7"/>
  <c r="O231" i="7"/>
  <c r="N231" i="7"/>
  <c r="L231" i="7"/>
  <c r="H231" i="7"/>
  <c r="I231" i="7" s="1"/>
  <c r="F231" i="7"/>
  <c r="C231" i="7"/>
  <c r="AC230" i="7"/>
  <c r="AD230" i="7" s="1"/>
  <c r="AA230" i="7"/>
  <c r="X230" i="7"/>
  <c r="W230" i="7"/>
  <c r="U230" i="7"/>
  <c r="R230" i="7"/>
  <c r="N230" i="7"/>
  <c r="O230" i="7" s="1"/>
  <c r="L230" i="7"/>
  <c r="H230" i="7"/>
  <c r="I230" i="7" s="1"/>
  <c r="F230" i="7"/>
  <c r="C230" i="7"/>
  <c r="AD229" i="7"/>
  <c r="AC229" i="7"/>
  <c r="AA229" i="7"/>
  <c r="X229" i="7"/>
  <c r="W229" i="7"/>
  <c r="U229" i="7"/>
  <c r="R229" i="7"/>
  <c r="N229" i="7"/>
  <c r="O229" i="7" s="1"/>
  <c r="L229" i="7"/>
  <c r="H229" i="7"/>
  <c r="I229" i="7" s="1"/>
  <c r="F229" i="7"/>
  <c r="C229" i="7"/>
  <c r="AA227" i="7"/>
  <c r="Z227" i="7"/>
  <c r="T227" i="7"/>
  <c r="U227" i="7" s="1"/>
  <c r="R227" i="7"/>
  <c r="Q227" i="7"/>
  <c r="N227" i="7"/>
  <c r="O227" i="7" s="1"/>
  <c r="L227" i="7"/>
  <c r="K227" i="7"/>
  <c r="E227" i="7"/>
  <c r="F227" i="7" s="1"/>
  <c r="C227" i="7"/>
  <c r="B227" i="7"/>
  <c r="AD226" i="7"/>
  <c r="AC226" i="7"/>
  <c r="AA226" i="7"/>
  <c r="W226" i="7"/>
  <c r="X226" i="7" s="1"/>
  <c r="U226" i="7"/>
  <c r="R226" i="7"/>
  <c r="N226" i="7"/>
  <c r="O226" i="7" s="1"/>
  <c r="L226" i="7"/>
  <c r="H226" i="7"/>
  <c r="I226" i="7" s="1"/>
  <c r="F226" i="7"/>
  <c r="C226" i="7"/>
  <c r="AC225" i="7"/>
  <c r="AD225" i="7" s="1"/>
  <c r="AA225" i="7"/>
  <c r="X225" i="7"/>
  <c r="W225" i="7"/>
  <c r="U225" i="7"/>
  <c r="R225" i="7"/>
  <c r="O225" i="7"/>
  <c r="N225" i="7"/>
  <c r="L225" i="7"/>
  <c r="H225" i="7"/>
  <c r="I225" i="7" s="1"/>
  <c r="F225" i="7"/>
  <c r="C225" i="7"/>
  <c r="AC224" i="7"/>
  <c r="AD224" i="7" s="1"/>
  <c r="AA224" i="7"/>
  <c r="X224" i="7"/>
  <c r="W224" i="7"/>
  <c r="U224" i="7"/>
  <c r="R224" i="7"/>
  <c r="N224" i="7"/>
  <c r="O224" i="7" s="1"/>
  <c r="L224" i="7"/>
  <c r="H224" i="7"/>
  <c r="I224" i="7" s="1"/>
  <c r="F224" i="7"/>
  <c r="C224" i="7"/>
  <c r="AC223" i="7"/>
  <c r="AD223" i="7" s="1"/>
  <c r="AA223" i="7"/>
  <c r="W223" i="7"/>
  <c r="X223" i="7" s="1"/>
  <c r="U223" i="7"/>
  <c r="R223" i="7"/>
  <c r="O223" i="7"/>
  <c r="N223" i="7"/>
  <c r="L223" i="7"/>
  <c r="H223" i="7"/>
  <c r="I223" i="7" s="1"/>
  <c r="F223" i="7"/>
  <c r="C223" i="7"/>
  <c r="AD222" i="7"/>
  <c r="AC222" i="7"/>
  <c r="AA222" i="7"/>
  <c r="X222" i="7"/>
  <c r="W222" i="7"/>
  <c r="U222" i="7"/>
  <c r="R222" i="7"/>
  <c r="O222" i="7"/>
  <c r="N222" i="7"/>
  <c r="L222" i="7"/>
  <c r="H222" i="7"/>
  <c r="I222" i="7" s="1"/>
  <c r="F222" i="7"/>
  <c r="C222" i="7"/>
  <c r="AC221" i="7"/>
  <c r="AD221" i="7" s="1"/>
  <c r="AA221" i="7"/>
  <c r="X221" i="7"/>
  <c r="W221" i="7"/>
  <c r="U221" i="7"/>
  <c r="R221" i="7"/>
  <c r="N221" i="7"/>
  <c r="O221" i="7" s="1"/>
  <c r="L221" i="7"/>
  <c r="H221" i="7"/>
  <c r="I221" i="7" s="1"/>
  <c r="F221" i="7"/>
  <c r="C221" i="7"/>
  <c r="AD220" i="7"/>
  <c r="AC220" i="7"/>
  <c r="AA220" i="7"/>
  <c r="W220" i="7"/>
  <c r="X220" i="7" s="1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X219" i="7"/>
  <c r="W219" i="7"/>
  <c r="U219" i="7"/>
  <c r="R219" i="7"/>
  <c r="N219" i="7"/>
  <c r="O219" i="7" s="1"/>
  <c r="L219" i="7"/>
  <c r="I219" i="7"/>
  <c r="H219" i="7"/>
  <c r="F219" i="7"/>
  <c r="C219" i="7"/>
  <c r="AA218" i="7"/>
  <c r="Z218" i="7"/>
  <c r="T218" i="7"/>
  <c r="U218" i="7" s="1"/>
  <c r="Q218" i="7"/>
  <c r="L218" i="7"/>
  <c r="K218" i="7"/>
  <c r="E218" i="7"/>
  <c r="F218" i="7" s="1"/>
  <c r="C218" i="7"/>
  <c r="B218" i="7"/>
  <c r="AD217" i="7"/>
  <c r="AC217" i="7"/>
  <c r="AA217" i="7"/>
  <c r="W217" i="7"/>
  <c r="X217" i="7" s="1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I216" i="7"/>
  <c r="H216" i="7"/>
  <c r="F216" i="7"/>
  <c r="C216" i="7"/>
  <c r="AD215" i="7"/>
  <c r="AC215" i="7"/>
  <c r="AA215" i="7"/>
  <c r="W215" i="7"/>
  <c r="X215" i="7" s="1"/>
  <c r="U215" i="7"/>
  <c r="R215" i="7"/>
  <c r="N215" i="7"/>
  <c r="O215" i="7" s="1"/>
  <c r="L215" i="7"/>
  <c r="I215" i="7"/>
  <c r="H215" i="7"/>
  <c r="F215" i="7"/>
  <c r="C215" i="7"/>
  <c r="AC214" i="7"/>
  <c r="AD214" i="7" s="1"/>
  <c r="AA214" i="7"/>
  <c r="W214" i="7"/>
  <c r="X214" i="7" s="1"/>
  <c r="U214" i="7"/>
  <c r="R214" i="7"/>
  <c r="O214" i="7"/>
  <c r="N214" i="7"/>
  <c r="L214" i="7"/>
  <c r="I214" i="7"/>
  <c r="H214" i="7"/>
  <c r="F214" i="7"/>
  <c r="C214" i="7"/>
  <c r="AD213" i="7"/>
  <c r="AC213" i="7"/>
  <c r="AA213" i="7"/>
  <c r="W213" i="7"/>
  <c r="X213" i="7" s="1"/>
  <c r="U213" i="7"/>
  <c r="R213" i="7"/>
  <c r="O213" i="7"/>
  <c r="N213" i="7"/>
  <c r="L213" i="7"/>
  <c r="H213" i="7"/>
  <c r="I213" i="7" s="1"/>
  <c r="F213" i="7"/>
  <c r="C213" i="7"/>
  <c r="AD211" i="7"/>
  <c r="AC211" i="7"/>
  <c r="AA211" i="7"/>
  <c r="X211" i="7"/>
  <c r="W211" i="7"/>
  <c r="U211" i="7"/>
  <c r="R211" i="7"/>
  <c r="O211" i="7"/>
  <c r="N211" i="7"/>
  <c r="L211" i="7"/>
  <c r="I211" i="7"/>
  <c r="H211" i="7"/>
  <c r="F211" i="7"/>
  <c r="C211" i="7"/>
  <c r="AC209" i="7"/>
  <c r="AD209" i="7" s="1"/>
  <c r="AA209" i="7"/>
  <c r="Z209" i="7"/>
  <c r="X209" i="7"/>
  <c r="T209" i="7"/>
  <c r="U209" i="7" s="1"/>
  <c r="Q209" i="7"/>
  <c r="W209" i="7" s="1"/>
  <c r="N209" i="7"/>
  <c r="O209" i="7" s="1"/>
  <c r="L209" i="7"/>
  <c r="K209" i="7"/>
  <c r="F209" i="7"/>
  <c r="E209" i="7"/>
  <c r="B209" i="7"/>
  <c r="AD208" i="7"/>
  <c r="AC208" i="7"/>
  <c r="AA208" i="7"/>
  <c r="W208" i="7"/>
  <c r="X208" i="7" s="1"/>
  <c r="U208" i="7"/>
  <c r="R208" i="7"/>
  <c r="N208" i="7"/>
  <c r="O208" i="7" s="1"/>
  <c r="L208" i="7"/>
  <c r="H208" i="7"/>
  <c r="I208" i="7" s="1"/>
  <c r="F208" i="7"/>
  <c r="C208" i="7"/>
  <c r="AD207" i="7"/>
  <c r="AC207" i="7"/>
  <c r="AA207" i="7"/>
  <c r="X207" i="7"/>
  <c r="W207" i="7"/>
  <c r="U207" i="7"/>
  <c r="R207" i="7"/>
  <c r="N207" i="7"/>
  <c r="O207" i="7" s="1"/>
  <c r="L207" i="7"/>
  <c r="I207" i="7"/>
  <c r="H207" i="7"/>
  <c r="F207" i="7"/>
  <c r="C207" i="7"/>
  <c r="AD206" i="7"/>
  <c r="AC206" i="7"/>
  <c r="AA206" i="7"/>
  <c r="X206" i="7"/>
  <c r="W206" i="7"/>
  <c r="U206" i="7"/>
  <c r="R206" i="7"/>
  <c r="N206" i="7"/>
  <c r="O206" i="7" s="1"/>
  <c r="L206" i="7"/>
  <c r="H206" i="7"/>
  <c r="I206" i="7" s="1"/>
  <c r="F206" i="7"/>
  <c r="C206" i="7"/>
  <c r="AC205" i="7"/>
  <c r="AD205" i="7" s="1"/>
  <c r="AA205" i="7"/>
  <c r="X205" i="7"/>
  <c r="W205" i="7"/>
  <c r="U205" i="7"/>
  <c r="R205" i="7"/>
  <c r="O205" i="7"/>
  <c r="N205" i="7"/>
  <c r="L205" i="7"/>
  <c r="H205" i="7"/>
  <c r="I205" i="7" s="1"/>
  <c r="F205" i="7"/>
  <c r="C205" i="7"/>
  <c r="AD204" i="7"/>
  <c r="AC204" i="7"/>
  <c r="AA204" i="7"/>
  <c r="W204" i="7"/>
  <c r="X204" i="7" s="1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X203" i="7"/>
  <c r="W203" i="7"/>
  <c r="U203" i="7"/>
  <c r="R203" i="7"/>
  <c r="N203" i="7"/>
  <c r="O203" i="7" s="1"/>
  <c r="L203" i="7"/>
  <c r="I203" i="7"/>
  <c r="H203" i="7"/>
  <c r="F203" i="7"/>
  <c r="C203" i="7"/>
  <c r="AC202" i="7"/>
  <c r="AD202" i="7" s="1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C201" i="7"/>
  <c r="AD201" i="7" s="1"/>
  <c r="AA201" i="7"/>
  <c r="X201" i="7"/>
  <c r="W201" i="7"/>
  <c r="U201" i="7"/>
  <c r="R201" i="7"/>
  <c r="O201" i="7"/>
  <c r="N201" i="7"/>
  <c r="L201" i="7"/>
  <c r="I201" i="7"/>
  <c r="H201" i="7"/>
  <c r="F201" i="7"/>
  <c r="C201" i="7"/>
  <c r="Z197" i="7"/>
  <c r="AC197" i="7" s="1"/>
  <c r="AD197" i="7" s="1"/>
  <c r="X197" i="7"/>
  <c r="W197" i="7"/>
  <c r="T197" i="7"/>
  <c r="U197" i="7" s="1"/>
  <c r="R197" i="7"/>
  <c r="Q197" i="7"/>
  <c r="L197" i="7"/>
  <c r="K197" i="7"/>
  <c r="N197" i="7" s="1"/>
  <c r="O197" i="7" s="1"/>
  <c r="E197" i="7"/>
  <c r="F197" i="7" s="1"/>
  <c r="C197" i="7"/>
  <c r="B197" i="7"/>
  <c r="AC196" i="7"/>
  <c r="AD196" i="7" s="1"/>
  <c r="Z196" i="7"/>
  <c r="AA196" i="7" s="1"/>
  <c r="X196" i="7"/>
  <c r="W196" i="7"/>
  <c r="U196" i="7"/>
  <c r="T196" i="7"/>
  <c r="Q196" i="7"/>
  <c r="R196" i="7" s="1"/>
  <c r="L196" i="7"/>
  <c r="K196" i="7"/>
  <c r="N196" i="7" s="1"/>
  <c r="O196" i="7" s="1"/>
  <c r="H196" i="7"/>
  <c r="I196" i="7" s="1"/>
  <c r="F196" i="7"/>
  <c r="E196" i="7"/>
  <c r="B196" i="7"/>
  <c r="C196" i="7" s="1"/>
  <c r="AC195" i="7"/>
  <c r="AD195" i="7" s="1"/>
  <c r="AA195" i="7"/>
  <c r="W195" i="7"/>
  <c r="X195" i="7" s="1"/>
  <c r="U195" i="7"/>
  <c r="R195" i="7"/>
  <c r="N195" i="7"/>
  <c r="O195" i="7" s="1"/>
  <c r="L195" i="7"/>
  <c r="I195" i="7"/>
  <c r="H195" i="7"/>
  <c r="F195" i="7"/>
  <c r="C195" i="7"/>
  <c r="AC194" i="7"/>
  <c r="AD194" i="7" s="1"/>
  <c r="AA194" i="7"/>
  <c r="W194" i="7"/>
  <c r="X194" i="7" s="1"/>
  <c r="U194" i="7"/>
  <c r="R194" i="7"/>
  <c r="O194" i="7"/>
  <c r="N194" i="7"/>
  <c r="L194" i="7"/>
  <c r="H194" i="7"/>
  <c r="I194" i="7" s="1"/>
  <c r="F194" i="7"/>
  <c r="C194" i="7"/>
  <c r="AC193" i="7"/>
  <c r="AD193" i="7" s="1"/>
  <c r="Z193" i="7"/>
  <c r="AA193" i="7" s="1"/>
  <c r="T193" i="7"/>
  <c r="U193" i="7" s="1"/>
  <c r="R193" i="7"/>
  <c r="Q193" i="7"/>
  <c r="W193" i="7" s="1"/>
  <c r="X193" i="7" s="1"/>
  <c r="N193" i="7"/>
  <c r="O193" i="7" s="1"/>
  <c r="L193" i="7"/>
  <c r="K193" i="7"/>
  <c r="F193" i="7"/>
  <c r="E193" i="7"/>
  <c r="H193" i="7" s="1"/>
  <c r="I193" i="7" s="1"/>
  <c r="B193" i="7"/>
  <c r="C193" i="7" s="1"/>
  <c r="AD192" i="7"/>
  <c r="AC192" i="7"/>
  <c r="AA192" i="7"/>
  <c r="W192" i="7"/>
  <c r="X192" i="7" s="1"/>
  <c r="U192" i="7"/>
  <c r="R192" i="7"/>
  <c r="N192" i="7"/>
  <c r="O192" i="7" s="1"/>
  <c r="L192" i="7"/>
  <c r="H192" i="7"/>
  <c r="I192" i="7" s="1"/>
  <c r="F192" i="7"/>
  <c r="C192" i="7"/>
  <c r="AC191" i="7"/>
  <c r="AD191" i="7" s="1"/>
  <c r="AA191" i="7"/>
  <c r="X191" i="7"/>
  <c r="W191" i="7"/>
  <c r="U191" i="7"/>
  <c r="R191" i="7"/>
  <c r="O191" i="7"/>
  <c r="N191" i="7"/>
  <c r="L191" i="7"/>
  <c r="H191" i="7"/>
  <c r="I191" i="7" s="1"/>
  <c r="F191" i="7"/>
  <c r="C191" i="7"/>
  <c r="AC190" i="7"/>
  <c r="AD190" i="7" s="1"/>
  <c r="AA190" i="7"/>
  <c r="X190" i="7"/>
  <c r="W190" i="7"/>
  <c r="U190" i="7"/>
  <c r="R190" i="7"/>
  <c r="N190" i="7"/>
  <c r="O190" i="7" s="1"/>
  <c r="L190" i="7"/>
  <c r="H190" i="7"/>
  <c r="I190" i="7" s="1"/>
  <c r="F190" i="7"/>
  <c r="C190" i="7"/>
  <c r="AD189" i="7"/>
  <c r="AC189" i="7"/>
  <c r="AA189" i="7"/>
  <c r="X189" i="7"/>
  <c r="W189" i="7"/>
  <c r="U189" i="7"/>
  <c r="R189" i="7"/>
  <c r="N189" i="7"/>
  <c r="O189" i="7" s="1"/>
  <c r="L189" i="7"/>
  <c r="H189" i="7"/>
  <c r="I189" i="7" s="1"/>
  <c r="F189" i="7"/>
  <c r="C189" i="7"/>
  <c r="AD188" i="7"/>
  <c r="AC188" i="7"/>
  <c r="AA188" i="7"/>
  <c r="X188" i="7"/>
  <c r="W188" i="7"/>
  <c r="U188" i="7"/>
  <c r="R188" i="7"/>
  <c r="O188" i="7"/>
  <c r="N188" i="7"/>
  <c r="L188" i="7"/>
  <c r="I188" i="7"/>
  <c r="H188" i="7"/>
  <c r="F188" i="7"/>
  <c r="C188" i="7"/>
  <c r="AC187" i="7"/>
  <c r="AD187" i="7" s="1"/>
  <c r="AA187" i="7"/>
  <c r="X187" i="7"/>
  <c r="W187" i="7"/>
  <c r="U187" i="7"/>
  <c r="R187" i="7"/>
  <c r="O187" i="7"/>
  <c r="N187" i="7"/>
  <c r="L187" i="7"/>
  <c r="I187" i="7"/>
  <c r="H187" i="7"/>
  <c r="F187" i="7"/>
  <c r="C187" i="7"/>
  <c r="AD186" i="7"/>
  <c r="AC186" i="7"/>
  <c r="AA186" i="7"/>
  <c r="W186" i="7"/>
  <c r="X186" i="7" s="1"/>
  <c r="U186" i="7"/>
  <c r="R186" i="7"/>
  <c r="O186" i="7"/>
  <c r="N186" i="7"/>
  <c r="L186" i="7"/>
  <c r="H186" i="7"/>
  <c r="I186" i="7" s="1"/>
  <c r="F186" i="7"/>
  <c r="C186" i="7"/>
  <c r="AD184" i="7"/>
  <c r="AC184" i="7"/>
  <c r="AA184" i="7"/>
  <c r="X184" i="7"/>
  <c r="W184" i="7"/>
  <c r="U184" i="7"/>
  <c r="R184" i="7"/>
  <c r="O184" i="7"/>
  <c r="N184" i="7"/>
  <c r="L184" i="7"/>
  <c r="I184" i="7"/>
  <c r="H184" i="7"/>
  <c r="F184" i="7"/>
  <c r="C184" i="7"/>
  <c r="AC183" i="7"/>
  <c r="AD183" i="7" s="1"/>
  <c r="AA183" i="7"/>
  <c r="W183" i="7"/>
  <c r="X183" i="7" s="1"/>
  <c r="U183" i="7"/>
  <c r="R183" i="7"/>
  <c r="N183" i="7"/>
  <c r="O183" i="7" s="1"/>
  <c r="L183" i="7"/>
  <c r="I183" i="7"/>
  <c r="H183" i="7"/>
  <c r="F183" i="7"/>
  <c r="C183" i="7"/>
  <c r="Z182" i="7"/>
  <c r="AA182" i="7" s="1"/>
  <c r="T182" i="7"/>
  <c r="Q182" i="7"/>
  <c r="R182" i="7" s="1"/>
  <c r="K182" i="7"/>
  <c r="E182" i="7"/>
  <c r="C182" i="7"/>
  <c r="B182" i="7"/>
  <c r="AC181" i="7"/>
  <c r="AD181" i="7" s="1"/>
  <c r="AA181" i="7"/>
  <c r="X181" i="7"/>
  <c r="W181" i="7"/>
  <c r="U181" i="7"/>
  <c r="R181" i="7"/>
  <c r="N181" i="7"/>
  <c r="O181" i="7" s="1"/>
  <c r="L181" i="7"/>
  <c r="I181" i="7"/>
  <c r="H181" i="7"/>
  <c r="F181" i="7"/>
  <c r="C181" i="7"/>
  <c r="AD180" i="7"/>
  <c r="AC180" i="7"/>
  <c r="AA180" i="7"/>
  <c r="W180" i="7"/>
  <c r="X180" i="7" s="1"/>
  <c r="U180" i="7"/>
  <c r="R180" i="7"/>
  <c r="O180" i="7"/>
  <c r="N180" i="7"/>
  <c r="L180" i="7"/>
  <c r="H180" i="7"/>
  <c r="I180" i="7" s="1"/>
  <c r="F180" i="7"/>
  <c r="C180" i="7"/>
  <c r="AC179" i="7"/>
  <c r="AD179" i="7" s="1"/>
  <c r="AA179" i="7"/>
  <c r="W179" i="7"/>
  <c r="X179" i="7" s="1"/>
  <c r="U179" i="7"/>
  <c r="R179" i="7"/>
  <c r="O179" i="7"/>
  <c r="N179" i="7"/>
  <c r="L179" i="7"/>
  <c r="I179" i="7"/>
  <c r="H179" i="7"/>
  <c r="F179" i="7"/>
  <c r="C179" i="7"/>
  <c r="AD178" i="7"/>
  <c r="AC178" i="7"/>
  <c r="AA178" i="7"/>
  <c r="X178" i="7"/>
  <c r="W178" i="7"/>
  <c r="U178" i="7"/>
  <c r="R178" i="7"/>
  <c r="N178" i="7"/>
  <c r="O178" i="7" s="1"/>
  <c r="L178" i="7"/>
  <c r="H178" i="7"/>
  <c r="I178" i="7" s="1"/>
  <c r="F178" i="7"/>
  <c r="C178" i="7"/>
  <c r="AC177" i="7"/>
  <c r="AD177" i="7" s="1"/>
  <c r="AA177" i="7"/>
  <c r="X177" i="7"/>
  <c r="W177" i="7"/>
  <c r="U177" i="7"/>
  <c r="R177" i="7"/>
  <c r="N177" i="7"/>
  <c r="O177" i="7" s="1"/>
  <c r="L177" i="7"/>
  <c r="I177" i="7"/>
  <c r="H177" i="7"/>
  <c r="F177" i="7"/>
  <c r="C177" i="7"/>
  <c r="AD175" i="7"/>
  <c r="AC175" i="7"/>
  <c r="AA175" i="7"/>
  <c r="W175" i="7"/>
  <c r="X175" i="7" s="1"/>
  <c r="U175" i="7"/>
  <c r="R175" i="7"/>
  <c r="O175" i="7"/>
  <c r="N175" i="7"/>
  <c r="L175" i="7"/>
  <c r="H175" i="7"/>
  <c r="I175" i="7" s="1"/>
  <c r="F175" i="7"/>
  <c r="C175" i="7"/>
  <c r="AA171" i="7"/>
  <c r="Z171" i="7"/>
  <c r="W171" i="7"/>
  <c r="X171" i="7" s="1"/>
  <c r="U171" i="7"/>
  <c r="T171" i="7"/>
  <c r="Q171" i="7"/>
  <c r="K171" i="7"/>
  <c r="E171" i="7"/>
  <c r="F171" i="7" s="1"/>
  <c r="C171" i="7"/>
  <c r="B171" i="7"/>
  <c r="AA170" i="7"/>
  <c r="Z170" i="7"/>
  <c r="U170" i="7"/>
  <c r="T170" i="7"/>
  <c r="Q170" i="7"/>
  <c r="K170" i="7"/>
  <c r="L170" i="7" s="1"/>
  <c r="E170" i="7"/>
  <c r="F170" i="7" s="1"/>
  <c r="C170" i="7"/>
  <c r="B170" i="7"/>
  <c r="N170" i="7" s="1"/>
  <c r="O170" i="7" s="1"/>
  <c r="AC169" i="7"/>
  <c r="AD169" i="7" s="1"/>
  <c r="AA169" i="7"/>
  <c r="X169" i="7"/>
  <c r="W169" i="7"/>
  <c r="U169" i="7"/>
  <c r="R169" i="7"/>
  <c r="N169" i="7"/>
  <c r="O169" i="7" s="1"/>
  <c r="L169" i="7"/>
  <c r="H169" i="7"/>
  <c r="I169" i="7" s="1"/>
  <c r="F169" i="7"/>
  <c r="C169" i="7"/>
  <c r="AD168" i="7"/>
  <c r="AC168" i="7"/>
  <c r="AA168" i="7"/>
  <c r="X168" i="7"/>
  <c r="W168" i="7"/>
  <c r="U168" i="7"/>
  <c r="R168" i="7"/>
  <c r="O168" i="7"/>
  <c r="N168" i="7"/>
  <c r="L168" i="7"/>
  <c r="H168" i="7"/>
  <c r="I168" i="7" s="1"/>
  <c r="F168" i="7"/>
  <c r="C168" i="7"/>
  <c r="AC167" i="7"/>
  <c r="AD167" i="7" s="1"/>
  <c r="AA167" i="7"/>
  <c r="W167" i="7"/>
  <c r="X167" i="7" s="1"/>
  <c r="U167" i="7"/>
  <c r="R167" i="7"/>
  <c r="O167" i="7"/>
  <c r="N167" i="7"/>
  <c r="L167" i="7"/>
  <c r="I167" i="7"/>
  <c r="H167" i="7"/>
  <c r="F167" i="7"/>
  <c r="C167" i="7"/>
  <c r="Z166" i="7"/>
  <c r="AA166" i="7" s="1"/>
  <c r="T166" i="7"/>
  <c r="U166" i="7" s="1"/>
  <c r="R166" i="7"/>
  <c r="Q166" i="7"/>
  <c r="L166" i="7"/>
  <c r="K166" i="7"/>
  <c r="F166" i="7"/>
  <c r="E166" i="7"/>
  <c r="B166" i="7"/>
  <c r="AD165" i="7"/>
  <c r="AC165" i="7"/>
  <c r="AA165" i="7"/>
  <c r="W165" i="7"/>
  <c r="X165" i="7" s="1"/>
  <c r="U165" i="7"/>
  <c r="R165" i="7"/>
  <c r="O165" i="7"/>
  <c r="N165" i="7"/>
  <c r="L165" i="7"/>
  <c r="H165" i="7"/>
  <c r="I165" i="7" s="1"/>
  <c r="F165" i="7"/>
  <c r="C165" i="7"/>
  <c r="AC164" i="7"/>
  <c r="AD164" i="7" s="1"/>
  <c r="AA164" i="7"/>
  <c r="W164" i="7"/>
  <c r="X164" i="7" s="1"/>
  <c r="U164" i="7"/>
  <c r="R164" i="7"/>
  <c r="O164" i="7"/>
  <c r="N164" i="7"/>
  <c r="L164" i="7"/>
  <c r="I164" i="7"/>
  <c r="H164" i="7"/>
  <c r="F164" i="7"/>
  <c r="C164" i="7"/>
  <c r="AD163" i="7"/>
  <c r="AC163" i="7"/>
  <c r="AA163" i="7"/>
  <c r="X163" i="7"/>
  <c r="W163" i="7"/>
  <c r="U163" i="7"/>
  <c r="R163" i="7"/>
  <c r="O163" i="7"/>
  <c r="N163" i="7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N162" i="7"/>
  <c r="O162" i="7" s="1"/>
  <c r="L162" i="7"/>
  <c r="H162" i="7"/>
  <c r="I162" i="7" s="1"/>
  <c r="F162" i="7"/>
  <c r="C162" i="7"/>
  <c r="AD161" i="7"/>
  <c r="AC161" i="7"/>
  <c r="AA161" i="7"/>
  <c r="X161" i="7"/>
  <c r="W161" i="7"/>
  <c r="U161" i="7"/>
  <c r="R161" i="7"/>
  <c r="O161" i="7"/>
  <c r="N161" i="7"/>
  <c r="L161" i="7"/>
  <c r="H161" i="7"/>
  <c r="I161" i="7" s="1"/>
  <c r="F161" i="7"/>
  <c r="C161" i="7"/>
  <c r="AC160" i="7"/>
  <c r="AD160" i="7" s="1"/>
  <c r="AA160" i="7"/>
  <c r="W160" i="7"/>
  <c r="X160" i="7" s="1"/>
  <c r="U160" i="7"/>
  <c r="R160" i="7"/>
  <c r="O160" i="7"/>
  <c r="N160" i="7"/>
  <c r="L160" i="7"/>
  <c r="I160" i="7"/>
  <c r="H160" i="7"/>
  <c r="F160" i="7"/>
  <c r="C160" i="7"/>
  <c r="Z158" i="7"/>
  <c r="AA158" i="7" s="1"/>
  <c r="T158" i="7"/>
  <c r="U158" i="7" s="1"/>
  <c r="R158" i="7"/>
  <c r="Q158" i="7"/>
  <c r="L158" i="7"/>
  <c r="K158" i="7"/>
  <c r="F158" i="7"/>
  <c r="E158" i="7"/>
  <c r="B158" i="7"/>
  <c r="AD157" i="7"/>
  <c r="AC157" i="7"/>
  <c r="AA157" i="7"/>
  <c r="W157" i="7"/>
  <c r="X157" i="7" s="1"/>
  <c r="U157" i="7"/>
  <c r="R157" i="7"/>
  <c r="O157" i="7"/>
  <c r="N157" i="7"/>
  <c r="L157" i="7"/>
  <c r="H157" i="7"/>
  <c r="I157" i="7" s="1"/>
  <c r="F157" i="7"/>
  <c r="C157" i="7"/>
  <c r="AC156" i="7"/>
  <c r="AD156" i="7" s="1"/>
  <c r="AA156" i="7"/>
  <c r="W156" i="7"/>
  <c r="X156" i="7" s="1"/>
  <c r="U156" i="7"/>
  <c r="R156" i="7"/>
  <c r="O156" i="7"/>
  <c r="N156" i="7"/>
  <c r="L156" i="7"/>
  <c r="I156" i="7"/>
  <c r="H156" i="7"/>
  <c r="F156" i="7"/>
  <c r="C156" i="7"/>
  <c r="AD155" i="7"/>
  <c r="AC155" i="7"/>
  <c r="AA155" i="7"/>
  <c r="X155" i="7"/>
  <c r="W155" i="7"/>
  <c r="U155" i="7"/>
  <c r="R155" i="7"/>
  <c r="N155" i="7"/>
  <c r="O155" i="7" s="1"/>
  <c r="L155" i="7"/>
  <c r="H155" i="7"/>
  <c r="I155" i="7" s="1"/>
  <c r="F155" i="7"/>
  <c r="C155" i="7"/>
  <c r="AC154" i="7"/>
  <c r="AD154" i="7" s="1"/>
  <c r="AA154" i="7"/>
  <c r="X154" i="7"/>
  <c r="W154" i="7"/>
  <c r="U154" i="7"/>
  <c r="R154" i="7"/>
  <c r="N154" i="7"/>
  <c r="O154" i="7" s="1"/>
  <c r="L154" i="7"/>
  <c r="H154" i="7"/>
  <c r="I154" i="7" s="1"/>
  <c r="F154" i="7"/>
  <c r="C154" i="7"/>
  <c r="AD153" i="7"/>
  <c r="AC153" i="7"/>
  <c r="AA153" i="7"/>
  <c r="X153" i="7"/>
  <c r="W153" i="7"/>
  <c r="U153" i="7"/>
  <c r="R153" i="7"/>
  <c r="O153" i="7"/>
  <c r="N153" i="7"/>
  <c r="L153" i="7"/>
  <c r="H153" i="7"/>
  <c r="I153" i="7" s="1"/>
  <c r="F153" i="7"/>
  <c r="C153" i="7"/>
  <c r="AC151" i="7"/>
  <c r="AD151" i="7" s="1"/>
  <c r="AA151" i="7"/>
  <c r="W151" i="7"/>
  <c r="X151" i="7" s="1"/>
  <c r="U151" i="7"/>
  <c r="R151" i="7"/>
  <c r="O151" i="7"/>
  <c r="N151" i="7"/>
  <c r="L151" i="7"/>
  <c r="I151" i="7"/>
  <c r="H151" i="7"/>
  <c r="F151" i="7"/>
  <c r="C151" i="7"/>
  <c r="Z149" i="7"/>
  <c r="AA149" i="7" s="1"/>
  <c r="T149" i="7"/>
  <c r="U149" i="7" s="1"/>
  <c r="R149" i="7"/>
  <c r="Q149" i="7"/>
  <c r="L149" i="7"/>
  <c r="K149" i="7"/>
  <c r="F149" i="7"/>
  <c r="E149" i="7"/>
  <c r="B149" i="7"/>
  <c r="Z148" i="7"/>
  <c r="AA148" i="7" s="1"/>
  <c r="T148" i="7"/>
  <c r="U148" i="7" s="1"/>
  <c r="R148" i="7"/>
  <c r="Q148" i="7"/>
  <c r="AC148" i="7" s="1"/>
  <c r="AD148" i="7" s="1"/>
  <c r="L148" i="7"/>
  <c r="K148" i="7"/>
  <c r="F148" i="7"/>
  <c r="E148" i="7"/>
  <c r="B148" i="7"/>
  <c r="C148" i="7" s="1"/>
  <c r="AD147" i="7"/>
  <c r="AC147" i="7"/>
  <c r="AA147" i="7"/>
  <c r="X147" i="7"/>
  <c r="W147" i="7"/>
  <c r="U147" i="7"/>
  <c r="R147" i="7"/>
  <c r="N147" i="7"/>
  <c r="O147" i="7" s="1"/>
  <c r="L147" i="7"/>
  <c r="H147" i="7"/>
  <c r="I147" i="7" s="1"/>
  <c r="F147" i="7"/>
  <c r="C147" i="7"/>
  <c r="AC146" i="7"/>
  <c r="AD146" i="7" s="1"/>
  <c r="AA146" i="7"/>
  <c r="X146" i="7"/>
  <c r="W146" i="7"/>
  <c r="U146" i="7"/>
  <c r="R146" i="7"/>
  <c r="N146" i="7"/>
  <c r="O146" i="7" s="1"/>
  <c r="L146" i="7"/>
  <c r="H146" i="7"/>
  <c r="I146" i="7" s="1"/>
  <c r="F146" i="7"/>
  <c r="C146" i="7"/>
  <c r="AD145" i="7"/>
  <c r="AC145" i="7"/>
  <c r="AA145" i="7"/>
  <c r="X145" i="7"/>
  <c r="W145" i="7"/>
  <c r="U145" i="7"/>
  <c r="R145" i="7"/>
  <c r="O145" i="7"/>
  <c r="N145" i="7"/>
  <c r="L145" i="7"/>
  <c r="H145" i="7"/>
  <c r="I145" i="7" s="1"/>
  <c r="F145" i="7"/>
  <c r="C145" i="7"/>
  <c r="AC144" i="7"/>
  <c r="AD144" i="7" s="1"/>
  <c r="AA144" i="7"/>
  <c r="W144" i="7"/>
  <c r="X144" i="7" s="1"/>
  <c r="U144" i="7"/>
  <c r="R144" i="7"/>
  <c r="O144" i="7"/>
  <c r="N144" i="7"/>
  <c r="L144" i="7"/>
  <c r="I144" i="7"/>
  <c r="H144" i="7"/>
  <c r="F144" i="7"/>
  <c r="C144" i="7"/>
  <c r="AD143" i="7"/>
  <c r="AC143" i="7"/>
  <c r="AA143" i="7"/>
  <c r="X143" i="7"/>
  <c r="W143" i="7"/>
  <c r="U143" i="7"/>
  <c r="R143" i="7"/>
  <c r="N143" i="7"/>
  <c r="O143" i="7" s="1"/>
  <c r="L143" i="7"/>
  <c r="H143" i="7"/>
  <c r="I143" i="7" s="1"/>
  <c r="F143" i="7"/>
  <c r="C143" i="7"/>
  <c r="AC141" i="7"/>
  <c r="AD141" i="7" s="1"/>
  <c r="AA141" i="7"/>
  <c r="Z141" i="7"/>
  <c r="W141" i="7"/>
  <c r="X141" i="7" s="1"/>
  <c r="U141" i="7"/>
  <c r="T141" i="7"/>
  <c r="Q141" i="7"/>
  <c r="R141" i="7" s="1"/>
  <c r="K141" i="7"/>
  <c r="L141" i="7" s="1"/>
  <c r="E141" i="7"/>
  <c r="F141" i="7" s="1"/>
  <c r="C141" i="7"/>
  <c r="B141" i="7"/>
  <c r="AC140" i="7"/>
  <c r="AD140" i="7" s="1"/>
  <c r="AA140" i="7"/>
  <c r="W140" i="7"/>
  <c r="X140" i="7" s="1"/>
  <c r="U140" i="7"/>
  <c r="R140" i="7"/>
  <c r="O140" i="7"/>
  <c r="N140" i="7"/>
  <c r="L140" i="7"/>
  <c r="I140" i="7"/>
  <c r="H140" i="7"/>
  <c r="F140" i="7"/>
  <c r="C140" i="7"/>
  <c r="AD139" i="7"/>
  <c r="AC139" i="7"/>
  <c r="AA139" i="7"/>
  <c r="X139" i="7"/>
  <c r="W139" i="7"/>
  <c r="U139" i="7"/>
  <c r="R139" i="7"/>
  <c r="N139" i="7"/>
  <c r="O139" i="7" s="1"/>
  <c r="L139" i="7"/>
  <c r="H139" i="7"/>
  <c r="I139" i="7" s="1"/>
  <c r="F139" i="7"/>
  <c r="C139" i="7"/>
  <c r="AC138" i="7"/>
  <c r="AD138" i="7" s="1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D137" i="7"/>
  <c r="AC137" i="7"/>
  <c r="AA137" i="7"/>
  <c r="X137" i="7"/>
  <c r="W137" i="7"/>
  <c r="U137" i="7"/>
  <c r="R137" i="7"/>
  <c r="O137" i="7"/>
  <c r="N137" i="7"/>
  <c r="L137" i="7"/>
  <c r="H137" i="7"/>
  <c r="I137" i="7" s="1"/>
  <c r="F137" i="7"/>
  <c r="C137" i="7"/>
  <c r="AC136" i="7"/>
  <c r="AD136" i="7" s="1"/>
  <c r="AA136" i="7"/>
  <c r="W136" i="7"/>
  <c r="X136" i="7" s="1"/>
  <c r="U136" i="7"/>
  <c r="R136" i="7"/>
  <c r="O136" i="7"/>
  <c r="N136" i="7"/>
  <c r="L136" i="7"/>
  <c r="I136" i="7"/>
  <c r="H136" i="7"/>
  <c r="F136" i="7"/>
  <c r="C136" i="7"/>
  <c r="AD135" i="7"/>
  <c r="AC135" i="7"/>
  <c r="AA135" i="7"/>
  <c r="X135" i="7"/>
  <c r="W135" i="7"/>
  <c r="U135" i="7"/>
  <c r="R135" i="7"/>
  <c r="N135" i="7"/>
  <c r="O135" i="7" s="1"/>
  <c r="L135" i="7"/>
  <c r="H135" i="7"/>
  <c r="I135" i="7" s="1"/>
  <c r="F135" i="7"/>
  <c r="C135" i="7"/>
  <c r="AC134" i="7"/>
  <c r="AD134" i="7" s="1"/>
  <c r="AA134" i="7"/>
  <c r="X134" i="7"/>
  <c r="W134" i="7"/>
  <c r="U134" i="7"/>
  <c r="R134" i="7"/>
  <c r="N134" i="7"/>
  <c r="O134" i="7" s="1"/>
  <c r="L134" i="7"/>
  <c r="H134" i="7"/>
  <c r="I134" i="7" s="1"/>
  <c r="F134" i="7"/>
  <c r="C134" i="7"/>
  <c r="AD133" i="7"/>
  <c r="AC133" i="7"/>
  <c r="AA133" i="7"/>
  <c r="W133" i="7"/>
  <c r="X133" i="7" s="1"/>
  <c r="U133" i="7"/>
  <c r="R133" i="7"/>
  <c r="O133" i="7"/>
  <c r="N133" i="7"/>
  <c r="L133" i="7"/>
  <c r="H133" i="7"/>
  <c r="I133" i="7" s="1"/>
  <c r="F133" i="7"/>
  <c r="C133" i="7"/>
  <c r="AC132" i="7"/>
  <c r="AD132" i="7" s="1"/>
  <c r="AA132" i="7"/>
  <c r="W132" i="7"/>
  <c r="X132" i="7" s="1"/>
  <c r="U132" i="7"/>
  <c r="R132" i="7"/>
  <c r="O132" i="7"/>
  <c r="N132" i="7"/>
  <c r="L132" i="7"/>
  <c r="I132" i="7"/>
  <c r="H132" i="7"/>
  <c r="F132" i="7"/>
  <c r="C132" i="7"/>
  <c r="AD131" i="7"/>
  <c r="AC131" i="7"/>
  <c r="AA131" i="7"/>
  <c r="X131" i="7"/>
  <c r="W131" i="7"/>
  <c r="U131" i="7"/>
  <c r="R131" i="7"/>
  <c r="O131" i="7"/>
  <c r="N131" i="7"/>
  <c r="L131" i="7"/>
  <c r="H131" i="7"/>
  <c r="I131" i="7" s="1"/>
  <c r="F131" i="7"/>
  <c r="C131" i="7"/>
  <c r="AC130" i="7"/>
  <c r="AD130" i="7" s="1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D129" i="7"/>
  <c r="AC129" i="7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C127" i="7"/>
  <c r="AD127" i="7" s="1"/>
  <c r="AA127" i="7"/>
  <c r="W127" i="7"/>
  <c r="X127" i="7" s="1"/>
  <c r="U127" i="7"/>
  <c r="R127" i="7"/>
  <c r="O127" i="7"/>
  <c r="N127" i="7"/>
  <c r="L127" i="7"/>
  <c r="I127" i="7"/>
  <c r="H127" i="7"/>
  <c r="F127" i="7"/>
  <c r="C127" i="7"/>
  <c r="Z124" i="7"/>
  <c r="T124" i="7"/>
  <c r="U124" i="7" s="1"/>
  <c r="R124" i="7"/>
  <c r="Q124" i="7"/>
  <c r="Q172" i="7" s="1"/>
  <c r="L124" i="7"/>
  <c r="K124" i="7"/>
  <c r="F124" i="7"/>
  <c r="E124" i="7"/>
  <c r="E172" i="7" s="1"/>
  <c r="B124" i="7"/>
  <c r="AD123" i="7"/>
  <c r="AC123" i="7"/>
  <c r="AA123" i="7"/>
  <c r="W123" i="7"/>
  <c r="X123" i="7" s="1"/>
  <c r="U123" i="7"/>
  <c r="R123" i="7"/>
  <c r="O123" i="7"/>
  <c r="N123" i="7"/>
  <c r="L123" i="7"/>
  <c r="H123" i="7"/>
  <c r="I123" i="7" s="1"/>
  <c r="F123" i="7"/>
  <c r="C123" i="7"/>
  <c r="AC122" i="7"/>
  <c r="AD122" i="7" s="1"/>
  <c r="AA122" i="7"/>
  <c r="Z122" i="7"/>
  <c r="U122" i="7"/>
  <c r="T122" i="7"/>
  <c r="Q122" i="7"/>
  <c r="R122" i="7" s="1"/>
  <c r="K122" i="7"/>
  <c r="L122" i="7" s="1"/>
  <c r="H122" i="7"/>
  <c r="I122" i="7" s="1"/>
  <c r="E122" i="7"/>
  <c r="F122" i="7" s="1"/>
  <c r="C122" i="7"/>
  <c r="B122" i="7"/>
  <c r="AC121" i="7"/>
  <c r="AD121" i="7" s="1"/>
  <c r="AA121" i="7"/>
  <c r="X121" i="7"/>
  <c r="W121" i="7"/>
  <c r="U121" i="7"/>
  <c r="R121" i="7"/>
  <c r="N121" i="7"/>
  <c r="O121" i="7" s="1"/>
  <c r="L121" i="7"/>
  <c r="I121" i="7"/>
  <c r="H121" i="7"/>
  <c r="F121" i="7"/>
  <c r="C121" i="7"/>
  <c r="AD120" i="7"/>
  <c r="AC120" i="7"/>
  <c r="AA120" i="7"/>
  <c r="W120" i="7"/>
  <c r="X120" i="7" s="1"/>
  <c r="U120" i="7"/>
  <c r="R120" i="7"/>
  <c r="N120" i="7"/>
  <c r="O120" i="7" s="1"/>
  <c r="L120" i="7"/>
  <c r="H120" i="7"/>
  <c r="I120" i="7" s="1"/>
  <c r="F120" i="7"/>
  <c r="C120" i="7"/>
  <c r="AC119" i="7"/>
  <c r="AD119" i="7" s="1"/>
  <c r="AA119" i="7"/>
  <c r="W119" i="7"/>
  <c r="X119" i="7" s="1"/>
  <c r="U119" i="7"/>
  <c r="R119" i="7"/>
  <c r="O119" i="7"/>
  <c r="N119" i="7"/>
  <c r="L119" i="7"/>
  <c r="I119" i="7"/>
  <c r="H119" i="7"/>
  <c r="F119" i="7"/>
  <c r="C119" i="7"/>
  <c r="Z118" i="7"/>
  <c r="AA118" i="7" s="1"/>
  <c r="T118" i="7"/>
  <c r="U118" i="7" s="1"/>
  <c r="R118" i="7"/>
  <c r="Q118" i="7"/>
  <c r="N118" i="7"/>
  <c r="O118" i="7" s="1"/>
  <c r="L118" i="7"/>
  <c r="K118" i="7"/>
  <c r="E118" i="7"/>
  <c r="F118" i="7" s="1"/>
  <c r="B118" i="7"/>
  <c r="C118" i="7" s="1"/>
  <c r="AD117" i="7"/>
  <c r="AC117" i="7"/>
  <c r="AA117" i="7"/>
  <c r="X117" i="7"/>
  <c r="W117" i="7"/>
  <c r="U117" i="7"/>
  <c r="R117" i="7"/>
  <c r="O117" i="7"/>
  <c r="N117" i="7"/>
  <c r="L117" i="7"/>
  <c r="H117" i="7"/>
  <c r="I117" i="7" s="1"/>
  <c r="F117" i="7"/>
  <c r="C117" i="7"/>
  <c r="AC116" i="7"/>
  <c r="AD116" i="7" s="1"/>
  <c r="AA116" i="7"/>
  <c r="W116" i="7"/>
  <c r="X116" i="7" s="1"/>
  <c r="U116" i="7"/>
  <c r="R116" i="7"/>
  <c r="O116" i="7"/>
  <c r="N116" i="7"/>
  <c r="L116" i="7"/>
  <c r="I116" i="7"/>
  <c r="H116" i="7"/>
  <c r="F116" i="7"/>
  <c r="C116" i="7"/>
  <c r="AD115" i="7"/>
  <c r="AC115" i="7"/>
  <c r="AA115" i="7"/>
  <c r="W115" i="7"/>
  <c r="X115" i="7" s="1"/>
  <c r="U115" i="7"/>
  <c r="R115" i="7"/>
  <c r="N115" i="7"/>
  <c r="O115" i="7" s="1"/>
  <c r="L115" i="7"/>
  <c r="H115" i="7"/>
  <c r="I115" i="7" s="1"/>
  <c r="F115" i="7"/>
  <c r="C115" i="7"/>
  <c r="AC114" i="7"/>
  <c r="AD114" i="7" s="1"/>
  <c r="AA114" i="7"/>
  <c r="X114" i="7"/>
  <c r="W114" i="7"/>
  <c r="U114" i="7"/>
  <c r="R114" i="7"/>
  <c r="N114" i="7"/>
  <c r="O114" i="7" s="1"/>
  <c r="L114" i="7"/>
  <c r="H114" i="7"/>
  <c r="I114" i="7" s="1"/>
  <c r="F114" i="7"/>
  <c r="C114" i="7"/>
  <c r="AD113" i="7"/>
  <c r="AC113" i="7"/>
  <c r="AA113" i="7"/>
  <c r="X113" i="7"/>
  <c r="W113" i="7"/>
  <c r="U113" i="7"/>
  <c r="R113" i="7"/>
  <c r="O113" i="7"/>
  <c r="N113" i="7"/>
  <c r="L113" i="7"/>
  <c r="H113" i="7"/>
  <c r="I113" i="7" s="1"/>
  <c r="F113" i="7"/>
  <c r="C113" i="7"/>
  <c r="AC112" i="7"/>
  <c r="AD112" i="7" s="1"/>
  <c r="AA112" i="7"/>
  <c r="W112" i="7"/>
  <c r="X112" i="7" s="1"/>
  <c r="U112" i="7"/>
  <c r="R112" i="7"/>
  <c r="O112" i="7"/>
  <c r="N112" i="7"/>
  <c r="L112" i="7"/>
  <c r="I112" i="7"/>
  <c r="H112" i="7"/>
  <c r="F112" i="7"/>
  <c r="C112" i="7"/>
  <c r="AD111" i="7"/>
  <c r="AC111" i="7"/>
  <c r="AA111" i="7"/>
  <c r="W111" i="7"/>
  <c r="X111" i="7" s="1"/>
  <c r="U111" i="7"/>
  <c r="R111" i="7"/>
  <c r="O111" i="7"/>
  <c r="N111" i="7"/>
  <c r="L111" i="7"/>
  <c r="H111" i="7"/>
  <c r="I111" i="7" s="1"/>
  <c r="F111" i="7"/>
  <c r="C111" i="7"/>
  <c r="AC110" i="7"/>
  <c r="AD110" i="7" s="1"/>
  <c r="AA110" i="7"/>
  <c r="X110" i="7"/>
  <c r="W110" i="7"/>
  <c r="U110" i="7"/>
  <c r="R110" i="7"/>
  <c r="N110" i="7"/>
  <c r="O110" i="7" s="1"/>
  <c r="L110" i="7"/>
  <c r="H110" i="7"/>
  <c r="I110" i="7" s="1"/>
  <c r="F110" i="7"/>
  <c r="C110" i="7"/>
  <c r="AD109" i="7"/>
  <c r="AC109" i="7"/>
  <c r="AA109" i="7"/>
  <c r="X109" i="7"/>
  <c r="W109" i="7"/>
  <c r="U109" i="7"/>
  <c r="R109" i="7"/>
  <c r="O109" i="7"/>
  <c r="N109" i="7"/>
  <c r="L109" i="7"/>
  <c r="H109" i="7"/>
  <c r="I109" i="7" s="1"/>
  <c r="F109" i="7"/>
  <c r="C109" i="7"/>
  <c r="AC108" i="7"/>
  <c r="AD108" i="7" s="1"/>
  <c r="AA108" i="7"/>
  <c r="W108" i="7"/>
  <c r="X108" i="7" s="1"/>
  <c r="U108" i="7"/>
  <c r="R108" i="7"/>
  <c r="O108" i="7"/>
  <c r="N108" i="7"/>
  <c r="L108" i="7"/>
  <c r="I108" i="7"/>
  <c r="H108" i="7"/>
  <c r="F108" i="7"/>
  <c r="C108" i="7"/>
  <c r="AC107" i="7"/>
  <c r="AD107" i="7" s="1"/>
  <c r="AA107" i="7"/>
  <c r="W107" i="7"/>
  <c r="X107" i="7" s="1"/>
  <c r="U107" i="7"/>
  <c r="R107" i="7"/>
  <c r="N107" i="7"/>
  <c r="O107" i="7" s="1"/>
  <c r="L107" i="7"/>
  <c r="H107" i="7"/>
  <c r="I107" i="7" s="1"/>
  <c r="F107" i="7"/>
  <c r="C107" i="7"/>
  <c r="AC106" i="7"/>
  <c r="AD106" i="7" s="1"/>
  <c r="AA106" i="7"/>
  <c r="X106" i="7"/>
  <c r="W106" i="7"/>
  <c r="U106" i="7"/>
  <c r="R106" i="7"/>
  <c r="N106" i="7"/>
  <c r="O106" i="7" s="1"/>
  <c r="L106" i="7"/>
  <c r="I106" i="7"/>
  <c r="H106" i="7"/>
  <c r="F106" i="7"/>
  <c r="C106" i="7"/>
  <c r="AD105" i="7"/>
  <c r="AC105" i="7"/>
  <c r="AA105" i="7"/>
  <c r="X105" i="7"/>
  <c r="W105" i="7"/>
  <c r="U105" i="7"/>
  <c r="R105" i="7"/>
  <c r="N105" i="7"/>
  <c r="O105" i="7" s="1"/>
  <c r="L105" i="7"/>
  <c r="H105" i="7"/>
  <c r="I105" i="7" s="1"/>
  <c r="F105" i="7"/>
  <c r="C105" i="7"/>
  <c r="AC104" i="7"/>
  <c r="AD104" i="7" s="1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D103" i="7"/>
  <c r="AC103" i="7"/>
  <c r="AA103" i="7"/>
  <c r="X103" i="7"/>
  <c r="W103" i="7"/>
  <c r="U103" i="7"/>
  <c r="R103" i="7"/>
  <c r="O103" i="7"/>
  <c r="N103" i="7"/>
  <c r="L103" i="7"/>
  <c r="H103" i="7"/>
  <c r="I103" i="7" s="1"/>
  <c r="F103" i="7"/>
  <c r="C103" i="7"/>
  <c r="AC102" i="7"/>
  <c r="AD102" i="7" s="1"/>
  <c r="AA102" i="7"/>
  <c r="X102" i="7"/>
  <c r="W102" i="7"/>
  <c r="U102" i="7"/>
  <c r="R102" i="7"/>
  <c r="N102" i="7"/>
  <c r="O102" i="7" s="1"/>
  <c r="L102" i="7"/>
  <c r="H102" i="7"/>
  <c r="I102" i="7" s="1"/>
  <c r="F102" i="7"/>
  <c r="C102" i="7"/>
  <c r="AD101" i="7"/>
  <c r="AC101" i="7"/>
  <c r="AA101" i="7"/>
  <c r="X101" i="7"/>
  <c r="W101" i="7"/>
  <c r="U101" i="7"/>
  <c r="R101" i="7"/>
  <c r="O101" i="7"/>
  <c r="N101" i="7"/>
  <c r="L101" i="7"/>
  <c r="H101" i="7"/>
  <c r="I101" i="7" s="1"/>
  <c r="F101" i="7"/>
  <c r="C101" i="7"/>
  <c r="AC100" i="7"/>
  <c r="AD100" i="7" s="1"/>
  <c r="AA100" i="7"/>
  <c r="W100" i="7"/>
  <c r="X100" i="7" s="1"/>
  <c r="U100" i="7"/>
  <c r="R100" i="7"/>
  <c r="O100" i="7"/>
  <c r="N100" i="7"/>
  <c r="L100" i="7"/>
  <c r="I100" i="7"/>
  <c r="H100" i="7"/>
  <c r="F100" i="7"/>
  <c r="C100" i="7"/>
  <c r="AD99" i="7"/>
  <c r="AC99" i="7"/>
  <c r="AA99" i="7"/>
  <c r="W99" i="7"/>
  <c r="X99" i="7" s="1"/>
  <c r="U99" i="7"/>
  <c r="R99" i="7"/>
  <c r="N99" i="7"/>
  <c r="O99" i="7" s="1"/>
  <c r="L99" i="7"/>
  <c r="H99" i="7"/>
  <c r="I99" i="7" s="1"/>
  <c r="F99" i="7"/>
  <c r="C99" i="7"/>
  <c r="AC98" i="7"/>
  <c r="AD98" i="7" s="1"/>
  <c r="AA98" i="7"/>
  <c r="X98" i="7"/>
  <c r="W98" i="7"/>
  <c r="U98" i="7"/>
  <c r="R98" i="7"/>
  <c r="N98" i="7"/>
  <c r="O98" i="7" s="1"/>
  <c r="L98" i="7"/>
  <c r="H98" i="7"/>
  <c r="I98" i="7" s="1"/>
  <c r="F98" i="7"/>
  <c r="C98" i="7"/>
  <c r="AD97" i="7"/>
  <c r="AC97" i="7"/>
  <c r="AA97" i="7"/>
  <c r="W97" i="7"/>
  <c r="X97" i="7" s="1"/>
  <c r="U97" i="7"/>
  <c r="R97" i="7"/>
  <c r="O97" i="7"/>
  <c r="N97" i="7"/>
  <c r="L97" i="7"/>
  <c r="H97" i="7"/>
  <c r="I97" i="7" s="1"/>
  <c r="F97" i="7"/>
  <c r="C97" i="7"/>
  <c r="AC96" i="7"/>
  <c r="AD96" i="7" s="1"/>
  <c r="AA96" i="7"/>
  <c r="W96" i="7"/>
  <c r="X96" i="7" s="1"/>
  <c r="U96" i="7"/>
  <c r="R96" i="7"/>
  <c r="N96" i="7"/>
  <c r="O96" i="7" s="1"/>
  <c r="L96" i="7"/>
  <c r="I96" i="7"/>
  <c r="H96" i="7"/>
  <c r="F96" i="7"/>
  <c r="C96" i="7"/>
  <c r="AC95" i="7"/>
  <c r="AD95" i="7" s="1"/>
  <c r="AA95" i="7"/>
  <c r="W95" i="7"/>
  <c r="X95" i="7" s="1"/>
  <c r="U95" i="7"/>
  <c r="R95" i="7"/>
  <c r="O95" i="7"/>
  <c r="N95" i="7"/>
  <c r="L95" i="7"/>
  <c r="H95" i="7"/>
  <c r="I95" i="7" s="1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I94" i="7"/>
  <c r="H94" i="7"/>
  <c r="F94" i="7"/>
  <c r="C94" i="7"/>
  <c r="AD92" i="7"/>
  <c r="AC92" i="7"/>
  <c r="AA92" i="7"/>
  <c r="W92" i="7"/>
  <c r="X92" i="7" s="1"/>
  <c r="U92" i="7"/>
  <c r="R92" i="7"/>
  <c r="N92" i="7"/>
  <c r="O92" i="7" s="1"/>
  <c r="L92" i="7"/>
  <c r="H92" i="7"/>
  <c r="I92" i="7" s="1"/>
  <c r="F92" i="7"/>
  <c r="C92" i="7"/>
  <c r="AD91" i="7"/>
  <c r="AC91" i="7"/>
  <c r="AA91" i="7"/>
  <c r="W91" i="7"/>
  <c r="X91" i="7" s="1"/>
  <c r="U91" i="7"/>
  <c r="R91" i="7"/>
  <c r="N91" i="7"/>
  <c r="O91" i="7" s="1"/>
  <c r="L91" i="7"/>
  <c r="I91" i="7"/>
  <c r="H91" i="7"/>
  <c r="F91" i="7"/>
  <c r="C91" i="7"/>
  <c r="AD90" i="7"/>
  <c r="AC90" i="7"/>
  <c r="AA90" i="7"/>
  <c r="X90" i="7"/>
  <c r="W90" i="7"/>
  <c r="U90" i="7"/>
  <c r="R90" i="7"/>
  <c r="N90" i="7"/>
  <c r="O90" i="7" s="1"/>
  <c r="L90" i="7"/>
  <c r="I90" i="7"/>
  <c r="H90" i="7"/>
  <c r="F90" i="7"/>
  <c r="C90" i="7"/>
  <c r="AC89" i="7"/>
  <c r="AD89" i="7" s="1"/>
  <c r="AA89" i="7"/>
  <c r="X89" i="7"/>
  <c r="W89" i="7"/>
  <c r="U89" i="7"/>
  <c r="R89" i="7"/>
  <c r="N89" i="7"/>
  <c r="O89" i="7" s="1"/>
  <c r="L89" i="7"/>
  <c r="I89" i="7"/>
  <c r="H89" i="7"/>
  <c r="F89" i="7"/>
  <c r="C89" i="7"/>
  <c r="AD88" i="7"/>
  <c r="Z88" i="7"/>
  <c r="AA88" i="7" s="1"/>
  <c r="U88" i="7"/>
  <c r="T88" i="7"/>
  <c r="W88" i="7" s="1"/>
  <c r="X88" i="7" s="1"/>
  <c r="R88" i="7"/>
  <c r="Q88" i="7"/>
  <c r="AC88" i="7" s="1"/>
  <c r="N88" i="7"/>
  <c r="O88" i="7" s="1"/>
  <c r="L88" i="7"/>
  <c r="K88" i="7"/>
  <c r="H88" i="7"/>
  <c r="I88" i="7" s="1"/>
  <c r="F88" i="7"/>
  <c r="E88" i="7"/>
  <c r="B88" i="7"/>
  <c r="C88" i="7" s="1"/>
  <c r="AD87" i="7"/>
  <c r="AC87" i="7"/>
  <c r="AA87" i="7"/>
  <c r="W87" i="7"/>
  <c r="X87" i="7" s="1"/>
  <c r="U87" i="7"/>
  <c r="R87" i="7"/>
  <c r="N87" i="7"/>
  <c r="O87" i="7" s="1"/>
  <c r="L87" i="7"/>
  <c r="H87" i="7"/>
  <c r="I87" i="7" s="1"/>
  <c r="F87" i="7"/>
  <c r="C87" i="7"/>
  <c r="AC86" i="7"/>
  <c r="AD86" i="7" s="1"/>
  <c r="AA86" i="7"/>
  <c r="X86" i="7"/>
  <c r="W86" i="7"/>
  <c r="U86" i="7"/>
  <c r="R86" i="7"/>
  <c r="N86" i="7"/>
  <c r="O86" i="7" s="1"/>
  <c r="L86" i="7"/>
  <c r="I86" i="7"/>
  <c r="H86" i="7"/>
  <c r="F86" i="7"/>
  <c r="C86" i="7"/>
  <c r="AD85" i="7"/>
  <c r="AC85" i="7"/>
  <c r="AA85" i="7"/>
  <c r="W85" i="7"/>
  <c r="X85" i="7" s="1"/>
  <c r="U85" i="7"/>
  <c r="R85" i="7"/>
  <c r="O85" i="7"/>
  <c r="N85" i="7"/>
  <c r="L85" i="7"/>
  <c r="H85" i="7"/>
  <c r="I85" i="7" s="1"/>
  <c r="F85" i="7"/>
  <c r="C85" i="7"/>
  <c r="AC84" i="7"/>
  <c r="AD84" i="7" s="1"/>
  <c r="AA84" i="7"/>
  <c r="W84" i="7"/>
  <c r="X84" i="7" s="1"/>
  <c r="U84" i="7"/>
  <c r="R84" i="7"/>
  <c r="N84" i="7"/>
  <c r="O84" i="7" s="1"/>
  <c r="L84" i="7"/>
  <c r="I84" i="7"/>
  <c r="H84" i="7"/>
  <c r="F84" i="7"/>
  <c r="C84" i="7"/>
  <c r="AD83" i="7"/>
  <c r="AC83" i="7"/>
  <c r="AA83" i="7"/>
  <c r="W83" i="7"/>
  <c r="X83" i="7" s="1"/>
  <c r="U83" i="7"/>
  <c r="R83" i="7"/>
  <c r="N83" i="7"/>
  <c r="O83" i="7" s="1"/>
  <c r="L83" i="7"/>
  <c r="I83" i="7"/>
  <c r="H83" i="7"/>
  <c r="F83" i="7"/>
  <c r="C83" i="7"/>
  <c r="AC82" i="7"/>
  <c r="AD82" i="7" s="1"/>
  <c r="AA82" i="7"/>
  <c r="X82" i="7"/>
  <c r="W82" i="7"/>
  <c r="U82" i="7"/>
  <c r="R82" i="7"/>
  <c r="N82" i="7"/>
  <c r="O82" i="7" s="1"/>
  <c r="L82" i="7"/>
  <c r="H82" i="7"/>
  <c r="I82" i="7" s="1"/>
  <c r="F82" i="7"/>
  <c r="C82" i="7"/>
  <c r="AD81" i="7"/>
  <c r="AC81" i="7"/>
  <c r="AA81" i="7"/>
  <c r="X81" i="7"/>
  <c r="W81" i="7"/>
  <c r="U81" i="7"/>
  <c r="R81" i="7"/>
  <c r="N81" i="7"/>
  <c r="O81" i="7" s="1"/>
  <c r="L81" i="7"/>
  <c r="H81" i="7"/>
  <c r="I81" i="7" s="1"/>
  <c r="F81" i="7"/>
  <c r="C81" i="7"/>
  <c r="AC80" i="7"/>
  <c r="AD80" i="7" s="1"/>
  <c r="AA80" i="7"/>
  <c r="X80" i="7"/>
  <c r="W80" i="7"/>
  <c r="U80" i="7"/>
  <c r="R80" i="7"/>
  <c r="N80" i="7"/>
  <c r="O80" i="7" s="1"/>
  <c r="L80" i="7"/>
  <c r="I80" i="7"/>
  <c r="H80" i="7"/>
  <c r="F80" i="7"/>
  <c r="C80" i="7"/>
  <c r="AD79" i="7"/>
  <c r="AC79" i="7"/>
  <c r="AA79" i="7"/>
  <c r="X79" i="7"/>
  <c r="W79" i="7"/>
  <c r="U79" i="7"/>
  <c r="R79" i="7"/>
  <c r="O79" i="7"/>
  <c r="N79" i="7"/>
  <c r="L79" i="7"/>
  <c r="H79" i="7"/>
  <c r="I79" i="7" s="1"/>
  <c r="F79" i="7"/>
  <c r="C79" i="7"/>
  <c r="AC78" i="7"/>
  <c r="AD78" i="7" s="1"/>
  <c r="AA78" i="7"/>
  <c r="X78" i="7"/>
  <c r="W78" i="7"/>
  <c r="U78" i="7"/>
  <c r="R78" i="7"/>
  <c r="N78" i="7"/>
  <c r="O78" i="7" s="1"/>
  <c r="L78" i="7"/>
  <c r="H78" i="7"/>
  <c r="I78" i="7" s="1"/>
  <c r="F78" i="7"/>
  <c r="C78" i="7"/>
  <c r="AD77" i="7"/>
  <c r="AC77" i="7"/>
  <c r="AA77" i="7"/>
  <c r="X77" i="7"/>
  <c r="W77" i="7"/>
  <c r="U77" i="7"/>
  <c r="R77" i="7"/>
  <c r="N77" i="7"/>
  <c r="O77" i="7" s="1"/>
  <c r="L77" i="7"/>
  <c r="H77" i="7"/>
  <c r="I77" i="7" s="1"/>
  <c r="F77" i="7"/>
  <c r="C77" i="7"/>
  <c r="AD76" i="7"/>
  <c r="AC76" i="7"/>
  <c r="AA76" i="7"/>
  <c r="X76" i="7"/>
  <c r="W76" i="7"/>
  <c r="U76" i="7"/>
  <c r="R76" i="7"/>
  <c r="N76" i="7"/>
  <c r="O76" i="7" s="1"/>
  <c r="L76" i="7"/>
  <c r="I76" i="7"/>
  <c r="H76" i="7"/>
  <c r="F76" i="7"/>
  <c r="C76" i="7"/>
  <c r="AD75" i="7"/>
  <c r="AC75" i="7"/>
  <c r="AA75" i="7"/>
  <c r="X75" i="7"/>
  <c r="W75" i="7"/>
  <c r="U75" i="7"/>
  <c r="R75" i="7"/>
  <c r="N75" i="7"/>
  <c r="O75" i="7" s="1"/>
  <c r="L75" i="7"/>
  <c r="I75" i="7"/>
  <c r="H75" i="7"/>
  <c r="F75" i="7"/>
  <c r="C75" i="7"/>
  <c r="Z73" i="7"/>
  <c r="AC73" i="7" s="1"/>
  <c r="AD73" i="7" s="1"/>
  <c r="W73" i="7"/>
  <c r="X73" i="7" s="1"/>
  <c r="U73" i="7"/>
  <c r="T73" i="7"/>
  <c r="Q73" i="7"/>
  <c r="R73" i="7" s="1"/>
  <c r="N73" i="7"/>
  <c r="O73" i="7" s="1"/>
  <c r="L73" i="7"/>
  <c r="K73" i="7"/>
  <c r="I73" i="7"/>
  <c r="E73" i="7"/>
  <c r="F73" i="7" s="1"/>
  <c r="B73" i="7"/>
  <c r="H73" i="7" s="1"/>
  <c r="AD72" i="7"/>
  <c r="AC72" i="7"/>
  <c r="AA72" i="7"/>
  <c r="X72" i="7"/>
  <c r="W72" i="7"/>
  <c r="U72" i="7"/>
  <c r="R72" i="7"/>
  <c r="N72" i="7"/>
  <c r="O72" i="7" s="1"/>
  <c r="L72" i="7"/>
  <c r="I72" i="7"/>
  <c r="H72" i="7"/>
  <c r="F72" i="7"/>
  <c r="C72" i="7"/>
  <c r="AC71" i="7"/>
  <c r="AD71" i="7" s="1"/>
  <c r="AA71" i="7"/>
  <c r="X71" i="7"/>
  <c r="W71" i="7"/>
  <c r="U71" i="7"/>
  <c r="R71" i="7"/>
  <c r="O71" i="7"/>
  <c r="N71" i="7"/>
  <c r="L71" i="7"/>
  <c r="I71" i="7"/>
  <c r="H71" i="7"/>
  <c r="F71" i="7"/>
  <c r="C71" i="7"/>
  <c r="AC70" i="7"/>
  <c r="AD70" i="7" s="1"/>
  <c r="AA70" i="7"/>
  <c r="W70" i="7"/>
  <c r="X70" i="7" s="1"/>
  <c r="U70" i="7"/>
  <c r="R70" i="7"/>
  <c r="O70" i="7"/>
  <c r="N70" i="7"/>
  <c r="L70" i="7"/>
  <c r="I70" i="7"/>
  <c r="H70" i="7"/>
  <c r="F70" i="7"/>
  <c r="C70" i="7"/>
  <c r="AD69" i="7"/>
  <c r="AC69" i="7"/>
  <c r="AA69" i="7"/>
  <c r="X69" i="7"/>
  <c r="W69" i="7"/>
  <c r="U69" i="7"/>
  <c r="R69" i="7"/>
  <c r="O69" i="7"/>
  <c r="N69" i="7"/>
  <c r="L69" i="7"/>
  <c r="H69" i="7"/>
  <c r="I69" i="7" s="1"/>
  <c r="F69" i="7"/>
  <c r="C69" i="7"/>
  <c r="AC68" i="7"/>
  <c r="AD68" i="7" s="1"/>
  <c r="AA68" i="7"/>
  <c r="X68" i="7"/>
  <c r="W68" i="7"/>
  <c r="U68" i="7"/>
  <c r="R68" i="7"/>
  <c r="O68" i="7"/>
  <c r="N68" i="7"/>
  <c r="L68" i="7"/>
  <c r="I68" i="7"/>
  <c r="H68" i="7"/>
  <c r="F68" i="7"/>
  <c r="C68" i="7"/>
  <c r="AD67" i="7"/>
  <c r="AC67" i="7"/>
  <c r="AA67" i="7"/>
  <c r="W67" i="7"/>
  <c r="X67" i="7" s="1"/>
  <c r="U67" i="7"/>
  <c r="R67" i="7"/>
  <c r="N67" i="7"/>
  <c r="O67" i="7" s="1"/>
  <c r="L67" i="7"/>
  <c r="H67" i="7"/>
  <c r="I67" i="7" s="1"/>
  <c r="F67" i="7"/>
  <c r="C67" i="7"/>
  <c r="AC66" i="7"/>
  <c r="AD66" i="7" s="1"/>
  <c r="AA66" i="7"/>
  <c r="X66" i="7"/>
  <c r="W66" i="7"/>
  <c r="U66" i="7"/>
  <c r="R66" i="7"/>
  <c r="N66" i="7"/>
  <c r="O66" i="7" s="1"/>
  <c r="L66" i="7"/>
  <c r="I66" i="7"/>
  <c r="H66" i="7"/>
  <c r="F66" i="7"/>
  <c r="C66" i="7"/>
  <c r="AD65" i="7"/>
  <c r="AC65" i="7"/>
  <c r="AA65" i="7"/>
  <c r="X65" i="7"/>
  <c r="W65" i="7"/>
  <c r="U65" i="7"/>
  <c r="R65" i="7"/>
  <c r="O65" i="7"/>
  <c r="N65" i="7"/>
  <c r="L65" i="7"/>
  <c r="H65" i="7"/>
  <c r="I65" i="7" s="1"/>
  <c r="F65" i="7"/>
  <c r="C65" i="7"/>
  <c r="AC64" i="7"/>
  <c r="AD64" i="7" s="1"/>
  <c r="AA64" i="7"/>
  <c r="W64" i="7"/>
  <c r="X64" i="7" s="1"/>
  <c r="U64" i="7"/>
  <c r="R64" i="7"/>
  <c r="N64" i="7"/>
  <c r="O64" i="7" s="1"/>
  <c r="L64" i="7"/>
  <c r="I64" i="7"/>
  <c r="H64" i="7"/>
  <c r="F64" i="7"/>
  <c r="C64" i="7"/>
  <c r="AD62" i="7"/>
  <c r="AC62" i="7"/>
  <c r="AA62" i="7"/>
  <c r="Z62" i="7"/>
  <c r="X62" i="7"/>
  <c r="T62" i="7"/>
  <c r="U62" i="7" s="1"/>
  <c r="Q62" i="7"/>
  <c r="W62" i="7" s="1"/>
  <c r="L62" i="7"/>
  <c r="K62" i="7"/>
  <c r="F62" i="7"/>
  <c r="E62" i="7"/>
  <c r="B62" i="7"/>
  <c r="Z61" i="7"/>
  <c r="AA61" i="7" s="1"/>
  <c r="W61" i="7"/>
  <c r="X61" i="7" s="1"/>
  <c r="U61" i="7"/>
  <c r="T61" i="7"/>
  <c r="R61" i="7"/>
  <c r="Q61" i="7"/>
  <c r="AC61" i="7" s="1"/>
  <c r="AD61" i="7" s="1"/>
  <c r="N61" i="7"/>
  <c r="O61" i="7" s="1"/>
  <c r="L61" i="7"/>
  <c r="K61" i="7"/>
  <c r="F61" i="7"/>
  <c r="E61" i="7"/>
  <c r="B61" i="7"/>
  <c r="AC60" i="7"/>
  <c r="AD60" i="7" s="1"/>
  <c r="AA60" i="7"/>
  <c r="X60" i="7"/>
  <c r="W60" i="7"/>
  <c r="U60" i="7"/>
  <c r="R60" i="7"/>
  <c r="N60" i="7"/>
  <c r="O60" i="7" s="1"/>
  <c r="L60" i="7"/>
  <c r="H60" i="7"/>
  <c r="I60" i="7" s="1"/>
  <c r="F60" i="7"/>
  <c r="C60" i="7"/>
  <c r="AC59" i="7"/>
  <c r="AD59" i="7" s="1"/>
  <c r="AA59" i="7"/>
  <c r="W59" i="7"/>
  <c r="X59" i="7" s="1"/>
  <c r="U59" i="7"/>
  <c r="R59" i="7"/>
  <c r="O59" i="7"/>
  <c r="N59" i="7"/>
  <c r="L59" i="7"/>
  <c r="H59" i="7"/>
  <c r="I59" i="7" s="1"/>
  <c r="F59" i="7"/>
  <c r="C59" i="7"/>
  <c r="AD58" i="7"/>
  <c r="AC58" i="7"/>
  <c r="AA58" i="7"/>
  <c r="W58" i="7"/>
  <c r="X58" i="7" s="1"/>
  <c r="U58" i="7"/>
  <c r="R58" i="7"/>
  <c r="N58" i="7"/>
  <c r="O58" i="7" s="1"/>
  <c r="L58" i="7"/>
  <c r="H58" i="7"/>
  <c r="I58" i="7" s="1"/>
  <c r="F58" i="7"/>
  <c r="C58" i="7"/>
  <c r="AD57" i="7"/>
  <c r="AC57" i="7"/>
  <c r="AA57" i="7"/>
  <c r="X57" i="7"/>
  <c r="W57" i="7"/>
  <c r="U57" i="7"/>
  <c r="R57" i="7"/>
  <c r="N57" i="7"/>
  <c r="O57" i="7" s="1"/>
  <c r="L57" i="7"/>
  <c r="I57" i="7"/>
  <c r="H57" i="7"/>
  <c r="F57" i="7"/>
  <c r="C57" i="7"/>
  <c r="AC56" i="7"/>
  <c r="AD56" i="7" s="1"/>
  <c r="AA56" i="7"/>
  <c r="X56" i="7"/>
  <c r="W56" i="7"/>
  <c r="U56" i="7"/>
  <c r="R56" i="7"/>
  <c r="N56" i="7"/>
  <c r="O56" i="7" s="1"/>
  <c r="L56" i="7"/>
  <c r="I56" i="7"/>
  <c r="H56" i="7"/>
  <c r="F56" i="7"/>
  <c r="C56" i="7"/>
  <c r="AC55" i="7"/>
  <c r="AD55" i="7" s="1"/>
  <c r="AA55" i="7"/>
  <c r="W55" i="7"/>
  <c r="X55" i="7" s="1"/>
  <c r="U55" i="7"/>
  <c r="R55" i="7"/>
  <c r="O55" i="7"/>
  <c r="N55" i="7"/>
  <c r="L55" i="7"/>
  <c r="H55" i="7"/>
  <c r="I55" i="7" s="1"/>
  <c r="F55" i="7"/>
  <c r="C55" i="7"/>
  <c r="AD54" i="7"/>
  <c r="AC54" i="7"/>
  <c r="AA54" i="7"/>
  <c r="X54" i="7"/>
  <c r="W54" i="7"/>
  <c r="U54" i="7"/>
  <c r="R54" i="7"/>
  <c r="O54" i="7"/>
  <c r="N54" i="7"/>
  <c r="L54" i="7"/>
  <c r="H54" i="7"/>
  <c r="I54" i="7" s="1"/>
  <c r="F54" i="7"/>
  <c r="C54" i="7"/>
  <c r="AC53" i="7"/>
  <c r="AD53" i="7" s="1"/>
  <c r="AA53" i="7"/>
  <c r="X53" i="7"/>
  <c r="W53" i="7"/>
  <c r="U53" i="7"/>
  <c r="R53" i="7"/>
  <c r="N53" i="7"/>
  <c r="O53" i="7" s="1"/>
  <c r="L53" i="7"/>
  <c r="H53" i="7"/>
  <c r="I53" i="7" s="1"/>
  <c r="F53" i="7"/>
  <c r="C53" i="7"/>
  <c r="AD52" i="7"/>
  <c r="AC52" i="7"/>
  <c r="AA52" i="7"/>
  <c r="W52" i="7"/>
  <c r="X52" i="7" s="1"/>
  <c r="U52" i="7"/>
  <c r="R52" i="7"/>
  <c r="O52" i="7"/>
  <c r="N52" i="7"/>
  <c r="L52" i="7"/>
  <c r="H52" i="7"/>
  <c r="I52" i="7" s="1"/>
  <c r="F52" i="7"/>
  <c r="C52" i="7"/>
  <c r="AC51" i="7"/>
  <c r="AD51" i="7" s="1"/>
  <c r="AA51" i="7"/>
  <c r="X51" i="7"/>
  <c r="W51" i="7"/>
  <c r="U51" i="7"/>
  <c r="R51" i="7"/>
  <c r="O51" i="7"/>
  <c r="N51" i="7"/>
  <c r="L51" i="7"/>
  <c r="I51" i="7"/>
  <c r="H51" i="7"/>
  <c r="F51" i="7"/>
  <c r="C51" i="7"/>
  <c r="AD50" i="7"/>
  <c r="AC50" i="7"/>
  <c r="AA50" i="7"/>
  <c r="W50" i="7"/>
  <c r="X50" i="7" s="1"/>
  <c r="U50" i="7"/>
  <c r="R50" i="7"/>
  <c r="N50" i="7"/>
  <c r="O50" i="7" s="1"/>
  <c r="L50" i="7"/>
  <c r="I50" i="7"/>
  <c r="H50" i="7"/>
  <c r="F50" i="7"/>
  <c r="C50" i="7"/>
  <c r="AC49" i="7"/>
  <c r="AD49" i="7" s="1"/>
  <c r="AA49" i="7"/>
  <c r="X49" i="7"/>
  <c r="W49" i="7"/>
  <c r="U49" i="7"/>
  <c r="R49" i="7"/>
  <c r="O49" i="7"/>
  <c r="N49" i="7"/>
  <c r="L49" i="7"/>
  <c r="I49" i="7"/>
  <c r="H49" i="7"/>
  <c r="F49" i="7"/>
  <c r="C49" i="7"/>
  <c r="AD48" i="7"/>
  <c r="AC48" i="7"/>
  <c r="AA48" i="7"/>
  <c r="W48" i="7"/>
  <c r="X48" i="7" s="1"/>
  <c r="U48" i="7"/>
  <c r="R48" i="7"/>
  <c r="N48" i="7"/>
  <c r="O48" i="7" s="1"/>
  <c r="L48" i="7"/>
  <c r="H48" i="7"/>
  <c r="I48" i="7" s="1"/>
  <c r="F48" i="7"/>
  <c r="C48" i="7"/>
  <c r="AD47" i="7"/>
  <c r="AC47" i="7"/>
  <c r="AA47" i="7"/>
  <c r="X47" i="7"/>
  <c r="W47" i="7"/>
  <c r="U47" i="7"/>
  <c r="R47" i="7"/>
  <c r="O47" i="7"/>
  <c r="N47" i="7"/>
  <c r="L47" i="7"/>
  <c r="I47" i="7"/>
  <c r="H47" i="7"/>
  <c r="F47" i="7"/>
  <c r="C47" i="7"/>
  <c r="AC46" i="7"/>
  <c r="AD46" i="7" s="1"/>
  <c r="AA46" i="7"/>
  <c r="W46" i="7"/>
  <c r="X46" i="7" s="1"/>
  <c r="U46" i="7"/>
  <c r="R46" i="7"/>
  <c r="N46" i="7"/>
  <c r="O46" i="7" s="1"/>
  <c r="L46" i="7"/>
  <c r="I46" i="7"/>
  <c r="H46" i="7"/>
  <c r="F46" i="7"/>
  <c r="C46" i="7"/>
  <c r="AC44" i="7"/>
  <c r="AD44" i="7" s="1"/>
  <c r="AA44" i="7"/>
  <c r="X44" i="7"/>
  <c r="W44" i="7"/>
  <c r="U44" i="7"/>
  <c r="R44" i="7"/>
  <c r="O44" i="7"/>
  <c r="N44" i="7"/>
  <c r="L44" i="7"/>
  <c r="H44" i="7"/>
  <c r="I44" i="7" s="1"/>
  <c r="F44" i="7"/>
  <c r="C44" i="7"/>
  <c r="AD43" i="7"/>
  <c r="AC43" i="7"/>
  <c r="AA43" i="7"/>
  <c r="W43" i="7"/>
  <c r="X43" i="7" s="1"/>
  <c r="U43" i="7"/>
  <c r="R43" i="7"/>
  <c r="N43" i="7"/>
  <c r="O43" i="7" s="1"/>
  <c r="L43" i="7"/>
  <c r="H43" i="7"/>
  <c r="I43" i="7" s="1"/>
  <c r="F43" i="7"/>
  <c r="C43" i="7"/>
  <c r="AD42" i="7"/>
  <c r="AC42" i="7"/>
  <c r="AA42" i="7"/>
  <c r="X42" i="7"/>
  <c r="W42" i="7"/>
  <c r="U42" i="7"/>
  <c r="R42" i="7"/>
  <c r="N42" i="7"/>
  <c r="O42" i="7" s="1"/>
  <c r="L42" i="7"/>
  <c r="I42" i="7"/>
  <c r="H42" i="7"/>
  <c r="F42" i="7"/>
  <c r="C42" i="7"/>
  <c r="AA40" i="7"/>
  <c r="Z40" i="7"/>
  <c r="T40" i="7"/>
  <c r="U40" i="7" s="1"/>
  <c r="Q40" i="7"/>
  <c r="O40" i="7"/>
  <c r="L40" i="7"/>
  <c r="K40" i="7"/>
  <c r="E40" i="7"/>
  <c r="H40" i="7" s="1"/>
  <c r="I40" i="7" s="1"/>
  <c r="C40" i="7"/>
  <c r="B40" i="7"/>
  <c r="N40" i="7" s="1"/>
  <c r="AD39" i="7"/>
  <c r="AC39" i="7"/>
  <c r="AA39" i="7"/>
  <c r="W39" i="7"/>
  <c r="X39" i="7" s="1"/>
  <c r="U39" i="7"/>
  <c r="R39" i="7"/>
  <c r="N39" i="7"/>
  <c r="O39" i="7" s="1"/>
  <c r="L39" i="7"/>
  <c r="H39" i="7"/>
  <c r="I39" i="7" s="1"/>
  <c r="F39" i="7"/>
  <c r="C39" i="7"/>
  <c r="AD38" i="7"/>
  <c r="AC38" i="7"/>
  <c r="AA38" i="7"/>
  <c r="X38" i="7"/>
  <c r="W38" i="7"/>
  <c r="U38" i="7"/>
  <c r="R38" i="7"/>
  <c r="N38" i="7"/>
  <c r="O38" i="7" s="1"/>
  <c r="L38" i="7"/>
  <c r="I38" i="7"/>
  <c r="H38" i="7"/>
  <c r="F38" i="7"/>
  <c r="C38" i="7"/>
  <c r="AD37" i="7"/>
  <c r="AC37" i="7"/>
  <c r="AA37" i="7"/>
  <c r="W37" i="7"/>
  <c r="X37" i="7" s="1"/>
  <c r="U37" i="7"/>
  <c r="R37" i="7"/>
  <c r="N37" i="7"/>
  <c r="O37" i="7" s="1"/>
  <c r="L37" i="7"/>
  <c r="I37" i="7"/>
  <c r="H37" i="7"/>
  <c r="F37" i="7"/>
  <c r="C37" i="7"/>
  <c r="AC36" i="7"/>
  <c r="AD36" i="7" s="1"/>
  <c r="AA36" i="7"/>
  <c r="W36" i="7"/>
  <c r="X36" i="7" s="1"/>
  <c r="U36" i="7"/>
  <c r="R36" i="7"/>
  <c r="O36" i="7"/>
  <c r="N36" i="7"/>
  <c r="L36" i="7"/>
  <c r="H36" i="7"/>
  <c r="I36" i="7" s="1"/>
  <c r="F36" i="7"/>
  <c r="C36" i="7"/>
  <c r="AD35" i="7"/>
  <c r="AC35" i="7"/>
  <c r="AA35" i="7"/>
  <c r="W35" i="7"/>
  <c r="X35" i="7" s="1"/>
  <c r="U35" i="7"/>
  <c r="R35" i="7"/>
  <c r="N35" i="7"/>
  <c r="O35" i="7" s="1"/>
  <c r="L35" i="7"/>
  <c r="H35" i="7"/>
  <c r="I35" i="7" s="1"/>
  <c r="F35" i="7"/>
  <c r="C35" i="7"/>
  <c r="AD34" i="7"/>
  <c r="AC34" i="7"/>
  <c r="AA34" i="7"/>
  <c r="X34" i="7"/>
  <c r="W34" i="7"/>
  <c r="U34" i="7"/>
  <c r="R34" i="7"/>
  <c r="N34" i="7"/>
  <c r="O34" i="7" s="1"/>
  <c r="L34" i="7"/>
  <c r="I34" i="7"/>
  <c r="H34" i="7"/>
  <c r="F34" i="7"/>
  <c r="C34" i="7"/>
  <c r="AD33" i="7"/>
  <c r="AC33" i="7"/>
  <c r="AA33" i="7"/>
  <c r="W33" i="7"/>
  <c r="X33" i="7" s="1"/>
  <c r="U33" i="7"/>
  <c r="R33" i="7"/>
  <c r="N33" i="7"/>
  <c r="O33" i="7" s="1"/>
  <c r="L33" i="7"/>
  <c r="I33" i="7"/>
  <c r="H33" i="7"/>
  <c r="F33" i="7"/>
  <c r="C33" i="7"/>
  <c r="AC32" i="7"/>
  <c r="AD32" i="7" s="1"/>
  <c r="AA32" i="7"/>
  <c r="X32" i="7"/>
  <c r="W32" i="7"/>
  <c r="U32" i="7"/>
  <c r="R32" i="7"/>
  <c r="O32" i="7"/>
  <c r="N32" i="7"/>
  <c r="L32" i="7"/>
  <c r="H32" i="7"/>
  <c r="I32" i="7" s="1"/>
  <c r="F32" i="7"/>
  <c r="C32" i="7"/>
  <c r="AD31" i="7"/>
  <c r="AC31" i="7"/>
  <c r="AA31" i="7"/>
  <c r="W31" i="7"/>
  <c r="X31" i="7" s="1"/>
  <c r="U31" i="7"/>
  <c r="R31" i="7"/>
  <c r="N31" i="7"/>
  <c r="O31" i="7" s="1"/>
  <c r="L31" i="7"/>
  <c r="H31" i="7"/>
  <c r="I31" i="7" s="1"/>
  <c r="F31" i="7"/>
  <c r="C31" i="7"/>
  <c r="AA29" i="7"/>
  <c r="Z29" i="7"/>
  <c r="T29" i="7"/>
  <c r="W29" i="7" s="1"/>
  <c r="X29" i="7" s="1"/>
  <c r="R29" i="7"/>
  <c r="Q29" i="7"/>
  <c r="AC29" i="7" s="1"/>
  <c r="AD29" i="7" s="1"/>
  <c r="K29" i="7"/>
  <c r="L29" i="7" s="1"/>
  <c r="H29" i="7"/>
  <c r="I29" i="7" s="1"/>
  <c r="F29" i="7"/>
  <c r="E29" i="7"/>
  <c r="C29" i="7"/>
  <c r="B29" i="7"/>
  <c r="N29" i="7" s="1"/>
  <c r="O29" i="7" s="1"/>
  <c r="AC28" i="7"/>
  <c r="AD28" i="7" s="1"/>
  <c r="AA28" i="7"/>
  <c r="W28" i="7"/>
  <c r="X28" i="7" s="1"/>
  <c r="U28" i="7"/>
  <c r="R28" i="7"/>
  <c r="O28" i="7"/>
  <c r="N28" i="7"/>
  <c r="L28" i="7"/>
  <c r="H28" i="7"/>
  <c r="I28" i="7" s="1"/>
  <c r="F28" i="7"/>
  <c r="C28" i="7"/>
  <c r="AD27" i="7"/>
  <c r="AC27" i="7"/>
  <c r="AA27" i="7"/>
  <c r="W27" i="7"/>
  <c r="X27" i="7" s="1"/>
  <c r="U27" i="7"/>
  <c r="R27" i="7"/>
  <c r="N27" i="7"/>
  <c r="O27" i="7" s="1"/>
  <c r="L27" i="7"/>
  <c r="H27" i="7"/>
  <c r="I27" i="7" s="1"/>
  <c r="F27" i="7"/>
  <c r="C27" i="7"/>
  <c r="AD26" i="7"/>
  <c r="AC26" i="7"/>
  <c r="AA26" i="7"/>
  <c r="X26" i="7"/>
  <c r="W26" i="7"/>
  <c r="U26" i="7"/>
  <c r="R26" i="7"/>
  <c r="N26" i="7"/>
  <c r="O26" i="7" s="1"/>
  <c r="L26" i="7"/>
  <c r="I26" i="7"/>
  <c r="H26" i="7"/>
  <c r="F26" i="7"/>
  <c r="C26" i="7"/>
  <c r="AD25" i="7"/>
  <c r="AC25" i="7"/>
  <c r="AA25" i="7"/>
  <c r="W25" i="7"/>
  <c r="X25" i="7" s="1"/>
  <c r="U25" i="7"/>
  <c r="R25" i="7"/>
  <c r="O25" i="7"/>
  <c r="N25" i="7"/>
  <c r="L25" i="7"/>
  <c r="I25" i="7"/>
  <c r="H25" i="7"/>
  <c r="F25" i="7"/>
  <c r="C25" i="7"/>
  <c r="AC24" i="7"/>
  <c r="AD24" i="7" s="1"/>
  <c r="AA24" i="7"/>
  <c r="W24" i="7"/>
  <c r="X24" i="7" s="1"/>
  <c r="U24" i="7"/>
  <c r="R24" i="7"/>
  <c r="O24" i="7"/>
  <c r="N24" i="7"/>
  <c r="L24" i="7"/>
  <c r="I24" i="7"/>
  <c r="H24" i="7"/>
  <c r="F24" i="7"/>
  <c r="C24" i="7"/>
  <c r="AD23" i="7"/>
  <c r="AC23" i="7"/>
  <c r="AA23" i="7"/>
  <c r="W23" i="7"/>
  <c r="X23" i="7" s="1"/>
  <c r="U23" i="7"/>
  <c r="R23" i="7"/>
  <c r="N23" i="7"/>
  <c r="O23" i="7" s="1"/>
  <c r="L23" i="7"/>
  <c r="H23" i="7"/>
  <c r="I23" i="7" s="1"/>
  <c r="F23" i="7"/>
  <c r="C23" i="7"/>
  <c r="AD22" i="7"/>
  <c r="AC22" i="7"/>
  <c r="AA22" i="7"/>
  <c r="X22" i="7"/>
  <c r="W22" i="7"/>
  <c r="U22" i="7"/>
  <c r="R22" i="7"/>
  <c r="N22" i="7"/>
  <c r="O22" i="7" s="1"/>
  <c r="L22" i="7"/>
  <c r="I22" i="7"/>
  <c r="H22" i="7"/>
  <c r="F22" i="7"/>
  <c r="C22" i="7"/>
  <c r="AD21" i="7"/>
  <c r="AC21" i="7"/>
  <c r="AA21" i="7"/>
  <c r="W21" i="7"/>
  <c r="X21" i="7" s="1"/>
  <c r="U21" i="7"/>
  <c r="R21" i="7"/>
  <c r="N21" i="7"/>
  <c r="O21" i="7" s="1"/>
  <c r="L21" i="7"/>
  <c r="I21" i="7"/>
  <c r="H21" i="7"/>
  <c r="F21" i="7"/>
  <c r="C21" i="7"/>
  <c r="AC19" i="7"/>
  <c r="AD19" i="7" s="1"/>
  <c r="AA19" i="7"/>
  <c r="X19" i="7"/>
  <c r="W19" i="7"/>
  <c r="U19" i="7"/>
  <c r="R19" i="7"/>
  <c r="O19" i="7"/>
  <c r="N19" i="7"/>
  <c r="L19" i="7"/>
  <c r="H19" i="7"/>
  <c r="I19" i="7" s="1"/>
  <c r="F19" i="7"/>
  <c r="C19" i="7"/>
  <c r="AD18" i="7"/>
  <c r="Z18" i="7"/>
  <c r="AA18" i="7" s="1"/>
  <c r="X18" i="7"/>
  <c r="W18" i="7"/>
  <c r="U18" i="7"/>
  <c r="T18" i="7"/>
  <c r="R18" i="7"/>
  <c r="Q18" i="7"/>
  <c r="AC18" i="7" s="1"/>
  <c r="K18" i="7"/>
  <c r="L18" i="7" s="1"/>
  <c r="F18" i="7"/>
  <c r="E18" i="7"/>
  <c r="B18" i="7"/>
  <c r="AC17" i="7"/>
  <c r="AD17" i="7" s="1"/>
  <c r="AA17" i="7"/>
  <c r="W17" i="7"/>
  <c r="X17" i="7" s="1"/>
  <c r="U17" i="7"/>
  <c r="R17" i="7"/>
  <c r="O17" i="7"/>
  <c r="N17" i="7"/>
  <c r="L17" i="7"/>
  <c r="I17" i="7"/>
  <c r="H17" i="7"/>
  <c r="F17" i="7"/>
  <c r="C17" i="7"/>
  <c r="AC16" i="7"/>
  <c r="AD16" i="7" s="1"/>
  <c r="AA16" i="7"/>
  <c r="X16" i="7"/>
  <c r="W16" i="7"/>
  <c r="U16" i="7"/>
  <c r="R16" i="7"/>
  <c r="O16" i="7"/>
  <c r="N16" i="7"/>
  <c r="L16" i="7"/>
  <c r="I16" i="7"/>
  <c r="H16" i="7"/>
  <c r="F16" i="7"/>
  <c r="C16" i="7"/>
  <c r="AD15" i="7"/>
  <c r="AC15" i="7"/>
  <c r="AA15" i="7"/>
  <c r="W15" i="7"/>
  <c r="X15" i="7" s="1"/>
  <c r="U15" i="7"/>
  <c r="R15" i="7"/>
  <c r="N15" i="7"/>
  <c r="O15" i="7" s="1"/>
  <c r="L15" i="7"/>
  <c r="H15" i="7"/>
  <c r="I15" i="7" s="1"/>
  <c r="F15" i="7"/>
  <c r="C15" i="7"/>
  <c r="AD14" i="7"/>
  <c r="AC14" i="7"/>
  <c r="AA14" i="7"/>
  <c r="X14" i="7"/>
  <c r="W14" i="7"/>
  <c r="U14" i="7"/>
  <c r="R14" i="7"/>
  <c r="N14" i="7"/>
  <c r="O14" i="7" s="1"/>
  <c r="L14" i="7"/>
  <c r="I14" i="7"/>
  <c r="H14" i="7"/>
  <c r="F14" i="7"/>
  <c r="C14" i="7"/>
  <c r="AC13" i="7"/>
  <c r="AD13" i="7" s="1"/>
  <c r="AA13" i="7"/>
  <c r="W13" i="7"/>
  <c r="X13" i="7" s="1"/>
  <c r="U13" i="7"/>
  <c r="R13" i="7"/>
  <c r="N13" i="7"/>
  <c r="O13" i="7" s="1"/>
  <c r="L13" i="7"/>
  <c r="I13" i="7"/>
  <c r="H13" i="7"/>
  <c r="F13" i="7"/>
  <c r="C13" i="7"/>
  <c r="AC12" i="7"/>
  <c r="AD12" i="7" s="1"/>
  <c r="AA12" i="7"/>
  <c r="X12" i="7"/>
  <c r="W12" i="7"/>
  <c r="U12" i="7"/>
  <c r="R12" i="7"/>
  <c r="O12" i="7"/>
  <c r="N12" i="7"/>
  <c r="L12" i="7"/>
  <c r="H12" i="7"/>
  <c r="I12" i="7" s="1"/>
  <c r="F12" i="7"/>
  <c r="C12" i="7"/>
  <c r="AD11" i="7"/>
  <c r="AC11" i="7"/>
  <c r="AA11" i="7"/>
  <c r="X11" i="7"/>
  <c r="W11" i="7"/>
  <c r="U11" i="7"/>
  <c r="R11" i="7"/>
  <c r="N11" i="7"/>
  <c r="O11" i="7" s="1"/>
  <c r="L11" i="7"/>
  <c r="H11" i="7"/>
  <c r="I11" i="7" s="1"/>
  <c r="F11" i="7"/>
  <c r="C11" i="7"/>
  <c r="AD10" i="7"/>
  <c r="AC10" i="7"/>
  <c r="AA10" i="7"/>
  <c r="X10" i="7"/>
  <c r="W10" i="7"/>
  <c r="U10" i="7"/>
  <c r="R10" i="7"/>
  <c r="O10" i="7"/>
  <c r="N10" i="7"/>
  <c r="L10" i="7"/>
  <c r="I10" i="7"/>
  <c r="H10" i="7"/>
  <c r="F10" i="7"/>
  <c r="C10" i="7"/>
  <c r="AC8" i="7"/>
  <c r="AD8" i="7" s="1"/>
  <c r="AA8" i="7"/>
  <c r="W8" i="7"/>
  <c r="X8" i="7" s="1"/>
  <c r="U8" i="7"/>
  <c r="R8" i="7"/>
  <c r="O8" i="7"/>
  <c r="N8" i="7"/>
  <c r="L8" i="7"/>
  <c r="I8" i="7"/>
  <c r="H8" i="7"/>
  <c r="F8" i="7"/>
  <c r="C8" i="7"/>
  <c r="AC444" i="6"/>
  <c r="W444" i="6"/>
  <c r="X376" i="6" s="1"/>
  <c r="N444" i="6"/>
  <c r="H444" i="6"/>
  <c r="I437" i="6" s="1"/>
  <c r="Z442" i="6"/>
  <c r="AA442" i="6" s="1"/>
  <c r="U442" i="6"/>
  <c r="T442" i="6"/>
  <c r="Q442" i="6"/>
  <c r="L442" i="6"/>
  <c r="K442" i="6"/>
  <c r="E442" i="6"/>
  <c r="F442" i="6" s="1"/>
  <c r="B442" i="6"/>
  <c r="H442" i="6" s="1"/>
  <c r="I442" i="6" s="1"/>
  <c r="AA441" i="6"/>
  <c r="Z441" i="6"/>
  <c r="W441" i="6"/>
  <c r="X441" i="6" s="1"/>
  <c r="T441" i="6"/>
  <c r="U441" i="6" s="1"/>
  <c r="R441" i="6"/>
  <c r="Q441" i="6"/>
  <c r="AC441" i="6" s="1"/>
  <c r="AD441" i="6" s="1"/>
  <c r="K441" i="6"/>
  <c r="L441" i="6" s="1"/>
  <c r="H441" i="6"/>
  <c r="I441" i="6" s="1"/>
  <c r="F441" i="6"/>
  <c r="E441" i="6"/>
  <c r="C441" i="6"/>
  <c r="B441" i="6"/>
  <c r="N441" i="6" s="1"/>
  <c r="O441" i="6" s="1"/>
  <c r="AC440" i="6"/>
  <c r="AD440" i="6" s="1"/>
  <c r="AA440" i="6"/>
  <c r="W440" i="6"/>
  <c r="X440" i="6" s="1"/>
  <c r="U440" i="6"/>
  <c r="R440" i="6"/>
  <c r="N440" i="6"/>
  <c r="L440" i="6"/>
  <c r="H440" i="6"/>
  <c r="I440" i="6" s="1"/>
  <c r="F440" i="6"/>
  <c r="C440" i="6"/>
  <c r="AD439" i="6"/>
  <c r="AC439" i="6"/>
  <c r="AA439" i="6"/>
  <c r="W439" i="6"/>
  <c r="U439" i="6"/>
  <c r="R439" i="6"/>
  <c r="N439" i="6"/>
  <c r="O439" i="6" s="1"/>
  <c r="L439" i="6"/>
  <c r="H439" i="6"/>
  <c r="I439" i="6" s="1"/>
  <c r="F439" i="6"/>
  <c r="C439" i="6"/>
  <c r="AD438" i="6"/>
  <c r="AC438" i="6"/>
  <c r="AA438" i="6"/>
  <c r="W438" i="6"/>
  <c r="U438" i="6"/>
  <c r="R438" i="6"/>
  <c r="N438" i="6"/>
  <c r="O438" i="6" s="1"/>
  <c r="L438" i="6"/>
  <c r="H438" i="6"/>
  <c r="F438" i="6"/>
  <c r="C438" i="6"/>
  <c r="AD437" i="6"/>
  <c r="AC437" i="6"/>
  <c r="AA437" i="6"/>
  <c r="W437" i="6"/>
  <c r="U437" i="6"/>
  <c r="R437" i="6"/>
  <c r="O437" i="6"/>
  <c r="N437" i="6"/>
  <c r="L437" i="6"/>
  <c r="H437" i="6"/>
  <c r="F437" i="6"/>
  <c r="C437" i="6"/>
  <c r="AC436" i="6"/>
  <c r="AD436" i="6" s="1"/>
  <c r="AA436" i="6"/>
  <c r="W436" i="6"/>
  <c r="X436" i="6" s="1"/>
  <c r="U436" i="6"/>
  <c r="R436" i="6"/>
  <c r="N436" i="6"/>
  <c r="L436" i="6"/>
  <c r="H436" i="6"/>
  <c r="I436" i="6" s="1"/>
  <c r="F436" i="6"/>
  <c r="C436" i="6"/>
  <c r="AD435" i="6"/>
  <c r="AC435" i="6"/>
  <c r="AA435" i="6"/>
  <c r="W435" i="6"/>
  <c r="U435" i="6"/>
  <c r="R435" i="6"/>
  <c r="N435" i="6"/>
  <c r="L435" i="6"/>
  <c r="H435" i="6"/>
  <c r="I435" i="6" s="1"/>
  <c r="F435" i="6"/>
  <c r="C435" i="6"/>
  <c r="AD434" i="6"/>
  <c r="AC434" i="6"/>
  <c r="AA434" i="6"/>
  <c r="W434" i="6"/>
  <c r="U434" i="6"/>
  <c r="R434" i="6"/>
  <c r="N434" i="6"/>
  <c r="O434" i="6" s="1"/>
  <c r="L434" i="6"/>
  <c r="I434" i="6"/>
  <c r="H434" i="6"/>
  <c r="F434" i="6"/>
  <c r="C434" i="6"/>
  <c r="AD433" i="6"/>
  <c r="AC433" i="6"/>
  <c r="AA433" i="6"/>
  <c r="W433" i="6"/>
  <c r="U433" i="6"/>
  <c r="R433" i="6"/>
  <c r="N433" i="6"/>
  <c r="L433" i="6"/>
  <c r="H433" i="6"/>
  <c r="F433" i="6"/>
  <c r="C433" i="6"/>
  <c r="AC432" i="6"/>
  <c r="AD432" i="6" s="1"/>
  <c r="AA432" i="6"/>
  <c r="W432" i="6"/>
  <c r="U432" i="6"/>
  <c r="R432" i="6"/>
  <c r="N432" i="6"/>
  <c r="L432" i="6"/>
  <c r="H432" i="6"/>
  <c r="I432" i="6" s="1"/>
  <c r="F432" i="6"/>
  <c r="C432" i="6"/>
  <c r="Z429" i="6"/>
  <c r="AA429" i="6" s="1"/>
  <c r="X429" i="6"/>
  <c r="W429" i="6"/>
  <c r="U429" i="6"/>
  <c r="T429" i="6"/>
  <c r="R429" i="6"/>
  <c r="Q429" i="6"/>
  <c r="AC429" i="6" s="1"/>
  <c r="AD429" i="6" s="1"/>
  <c r="K429" i="6"/>
  <c r="F429" i="6"/>
  <c r="E429" i="6"/>
  <c r="B429" i="6"/>
  <c r="AD428" i="6"/>
  <c r="AC428" i="6"/>
  <c r="AA428" i="6"/>
  <c r="Z428" i="6"/>
  <c r="T428" i="6"/>
  <c r="U428" i="6" s="1"/>
  <c r="R428" i="6"/>
  <c r="Q428" i="6"/>
  <c r="L428" i="6"/>
  <c r="K428" i="6"/>
  <c r="H428" i="6"/>
  <c r="I428" i="6" s="1"/>
  <c r="F428" i="6"/>
  <c r="E428" i="6"/>
  <c r="C428" i="6"/>
  <c r="B428" i="6"/>
  <c r="N428" i="6" s="1"/>
  <c r="AD427" i="6"/>
  <c r="AC427" i="6"/>
  <c r="AA427" i="6"/>
  <c r="W427" i="6"/>
  <c r="X427" i="6" s="1"/>
  <c r="U427" i="6"/>
  <c r="R427" i="6"/>
  <c r="N427" i="6"/>
  <c r="L427" i="6"/>
  <c r="H427" i="6"/>
  <c r="F427" i="6"/>
  <c r="C427" i="6"/>
  <c r="AD426" i="6"/>
  <c r="AC426" i="6"/>
  <c r="AA426" i="6"/>
  <c r="W426" i="6"/>
  <c r="U426" i="6"/>
  <c r="R426" i="6"/>
  <c r="N426" i="6"/>
  <c r="O426" i="6" s="1"/>
  <c r="L426" i="6"/>
  <c r="I426" i="6"/>
  <c r="H426" i="6"/>
  <c r="F426" i="6"/>
  <c r="C426" i="6"/>
  <c r="AC425" i="6"/>
  <c r="AD425" i="6" s="1"/>
  <c r="AA425" i="6"/>
  <c r="W425" i="6"/>
  <c r="X425" i="6" s="1"/>
  <c r="U425" i="6"/>
  <c r="R425" i="6"/>
  <c r="N425" i="6"/>
  <c r="O425" i="6" s="1"/>
  <c r="L425" i="6"/>
  <c r="I425" i="6"/>
  <c r="H425" i="6"/>
  <c r="F425" i="6"/>
  <c r="C425" i="6"/>
  <c r="AC424" i="6"/>
  <c r="AD424" i="6" s="1"/>
  <c r="AA424" i="6"/>
  <c r="W424" i="6"/>
  <c r="U424" i="6"/>
  <c r="R424" i="6"/>
  <c r="N424" i="6"/>
  <c r="L424" i="6"/>
  <c r="I424" i="6"/>
  <c r="H424" i="6"/>
  <c r="F424" i="6"/>
  <c r="C424" i="6"/>
  <c r="AD423" i="6"/>
  <c r="AC423" i="6"/>
  <c r="AA423" i="6"/>
  <c r="W423" i="6"/>
  <c r="X423" i="6" s="1"/>
  <c r="U423" i="6"/>
  <c r="R423" i="6"/>
  <c r="N423" i="6"/>
  <c r="L423" i="6"/>
  <c r="H423" i="6"/>
  <c r="I423" i="6" s="1"/>
  <c r="F423" i="6"/>
  <c r="C423" i="6"/>
  <c r="AD422" i="6"/>
  <c r="AC422" i="6"/>
  <c r="AA422" i="6"/>
  <c r="W422" i="6"/>
  <c r="U422" i="6"/>
  <c r="R422" i="6"/>
  <c r="O422" i="6"/>
  <c r="N422" i="6"/>
  <c r="L422" i="6"/>
  <c r="H422" i="6"/>
  <c r="F422" i="6"/>
  <c r="C422" i="6"/>
  <c r="AC421" i="6"/>
  <c r="AD421" i="6" s="1"/>
  <c r="AA421" i="6"/>
  <c r="W421" i="6"/>
  <c r="U421" i="6"/>
  <c r="R421" i="6"/>
  <c r="N421" i="6"/>
  <c r="L421" i="6"/>
  <c r="I421" i="6"/>
  <c r="H421" i="6"/>
  <c r="F421" i="6"/>
  <c r="C421" i="6"/>
  <c r="AC420" i="6"/>
  <c r="AD420" i="6" s="1"/>
  <c r="AA420" i="6"/>
  <c r="W420" i="6"/>
  <c r="U420" i="6"/>
  <c r="R420" i="6"/>
  <c r="N420" i="6"/>
  <c r="L420" i="6"/>
  <c r="I420" i="6"/>
  <c r="H420" i="6"/>
  <c r="F420" i="6"/>
  <c r="C420" i="6"/>
  <c r="AD419" i="6"/>
  <c r="AC419" i="6"/>
  <c r="AA419" i="6"/>
  <c r="W419" i="6"/>
  <c r="U419" i="6"/>
  <c r="R419" i="6"/>
  <c r="N419" i="6"/>
  <c r="O419" i="6" s="1"/>
  <c r="L419" i="6"/>
  <c r="H419" i="6"/>
  <c r="I419" i="6" s="1"/>
  <c r="F419" i="6"/>
  <c r="C419" i="6"/>
  <c r="AD418" i="6"/>
  <c r="AC418" i="6"/>
  <c r="AA418" i="6"/>
  <c r="W418" i="6"/>
  <c r="U418" i="6"/>
  <c r="R418" i="6"/>
  <c r="O418" i="6"/>
  <c r="N418" i="6"/>
  <c r="L418" i="6"/>
  <c r="H418" i="6"/>
  <c r="F418" i="6"/>
  <c r="C418" i="6"/>
  <c r="AC417" i="6"/>
  <c r="AD417" i="6" s="1"/>
  <c r="AA417" i="6"/>
  <c r="W417" i="6"/>
  <c r="X417" i="6" s="1"/>
  <c r="U417" i="6"/>
  <c r="R417" i="6"/>
  <c r="O417" i="6"/>
  <c r="N417" i="6"/>
  <c r="L417" i="6"/>
  <c r="I417" i="6"/>
  <c r="H417" i="6"/>
  <c r="F417" i="6"/>
  <c r="C417" i="6"/>
  <c r="AC416" i="6"/>
  <c r="AD416" i="6" s="1"/>
  <c r="AA416" i="6"/>
  <c r="X416" i="6"/>
  <c r="W416" i="6"/>
  <c r="U416" i="6"/>
  <c r="R416" i="6"/>
  <c r="N416" i="6"/>
  <c r="L416" i="6"/>
  <c r="H416" i="6"/>
  <c r="I416" i="6" s="1"/>
  <c r="F416" i="6"/>
  <c r="C416" i="6"/>
  <c r="AD415" i="6"/>
  <c r="AC415" i="6"/>
  <c r="AA415" i="6"/>
  <c r="W415" i="6"/>
  <c r="X415" i="6" s="1"/>
  <c r="U415" i="6"/>
  <c r="R415" i="6"/>
  <c r="O415" i="6"/>
  <c r="N415" i="6"/>
  <c r="L415" i="6"/>
  <c r="H415" i="6"/>
  <c r="I415" i="6" s="1"/>
  <c r="F415" i="6"/>
  <c r="C415" i="6"/>
  <c r="AC414" i="6"/>
  <c r="AD414" i="6" s="1"/>
  <c r="AA414" i="6"/>
  <c r="W414" i="6"/>
  <c r="U414" i="6"/>
  <c r="R414" i="6"/>
  <c r="N414" i="6"/>
  <c r="O414" i="6" s="1"/>
  <c r="L414" i="6"/>
  <c r="I414" i="6"/>
  <c r="H414" i="6"/>
  <c r="F414" i="6"/>
  <c r="C414" i="6"/>
  <c r="AD413" i="6"/>
  <c r="AC413" i="6"/>
  <c r="AA413" i="6"/>
  <c r="X413" i="6"/>
  <c r="W413" i="6"/>
  <c r="U413" i="6"/>
  <c r="R413" i="6"/>
  <c r="N413" i="6"/>
  <c r="O413" i="6" s="1"/>
  <c r="L413" i="6"/>
  <c r="H413" i="6"/>
  <c r="I413" i="6" s="1"/>
  <c r="F413" i="6"/>
  <c r="C413" i="6"/>
  <c r="AC412" i="6"/>
  <c r="AD412" i="6" s="1"/>
  <c r="AA412" i="6"/>
  <c r="X412" i="6"/>
  <c r="W412" i="6"/>
  <c r="U412" i="6"/>
  <c r="R412" i="6"/>
  <c r="N412" i="6"/>
  <c r="L412" i="6"/>
  <c r="I412" i="6"/>
  <c r="H412" i="6"/>
  <c r="F412" i="6"/>
  <c r="C412" i="6"/>
  <c r="AD411" i="6"/>
  <c r="AC411" i="6"/>
  <c r="AA411" i="6"/>
  <c r="X411" i="6"/>
  <c r="W411" i="6"/>
  <c r="U411" i="6"/>
  <c r="R411" i="6"/>
  <c r="N411" i="6"/>
  <c r="O411" i="6" s="1"/>
  <c r="L411" i="6"/>
  <c r="H411" i="6"/>
  <c r="I411" i="6" s="1"/>
  <c r="F411" i="6"/>
  <c r="C411" i="6"/>
  <c r="AC410" i="6"/>
  <c r="AD410" i="6" s="1"/>
  <c r="AA410" i="6"/>
  <c r="W410" i="6"/>
  <c r="U410" i="6"/>
  <c r="R410" i="6"/>
  <c r="O410" i="6"/>
  <c r="N410" i="6"/>
  <c r="L410" i="6"/>
  <c r="H410" i="6"/>
  <c r="I410" i="6" s="1"/>
  <c r="F410" i="6"/>
  <c r="C410" i="6"/>
  <c r="AD409" i="6"/>
  <c r="AC409" i="6"/>
  <c r="AA409" i="6"/>
  <c r="X409" i="6"/>
  <c r="W409" i="6"/>
  <c r="U409" i="6"/>
  <c r="R409" i="6"/>
  <c r="O409" i="6"/>
  <c r="N409" i="6"/>
  <c r="L409" i="6"/>
  <c r="H409" i="6"/>
  <c r="I409" i="6" s="1"/>
  <c r="F409" i="6"/>
  <c r="C409" i="6"/>
  <c r="AC408" i="6"/>
  <c r="AD408" i="6" s="1"/>
  <c r="AA408" i="6"/>
  <c r="X408" i="6"/>
  <c r="W408" i="6"/>
  <c r="U408" i="6"/>
  <c r="R408" i="6"/>
  <c r="N408" i="6"/>
  <c r="L408" i="6"/>
  <c r="H408" i="6"/>
  <c r="I408" i="6" s="1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I407" i="6" s="1"/>
  <c r="F407" i="6"/>
  <c r="C407" i="6"/>
  <c r="AA403" i="6"/>
  <c r="Z403" i="6"/>
  <c r="U403" i="6"/>
  <c r="T403" i="6"/>
  <c r="Q403" i="6"/>
  <c r="N403" i="6"/>
  <c r="O403" i="6" s="1"/>
  <c r="K403" i="6"/>
  <c r="L403" i="6" s="1"/>
  <c r="H403" i="6"/>
  <c r="I403" i="6" s="1"/>
  <c r="E403" i="6"/>
  <c r="F403" i="6" s="1"/>
  <c r="C403" i="6"/>
  <c r="B403" i="6"/>
  <c r="AD402" i="6"/>
  <c r="AC402" i="6"/>
  <c r="AA402" i="6"/>
  <c r="W402" i="6"/>
  <c r="U402" i="6"/>
  <c r="R402" i="6"/>
  <c r="N402" i="6"/>
  <c r="O402" i="6" s="1"/>
  <c r="L402" i="6"/>
  <c r="H402" i="6"/>
  <c r="I402" i="6" s="1"/>
  <c r="F402" i="6"/>
  <c r="C402" i="6"/>
  <c r="AD401" i="6"/>
  <c r="AC401" i="6"/>
  <c r="AA401" i="6"/>
  <c r="W401" i="6"/>
  <c r="U401" i="6"/>
  <c r="R401" i="6"/>
  <c r="O401" i="6"/>
  <c r="N401" i="6"/>
  <c r="L401" i="6"/>
  <c r="I401" i="6"/>
  <c r="H401" i="6"/>
  <c r="F401" i="6"/>
  <c r="C401" i="6"/>
  <c r="AC400" i="6"/>
  <c r="AD400" i="6" s="1"/>
  <c r="AA400" i="6"/>
  <c r="W400" i="6"/>
  <c r="U400" i="6"/>
  <c r="R400" i="6"/>
  <c r="N400" i="6"/>
  <c r="L400" i="6"/>
  <c r="I400" i="6"/>
  <c r="H400" i="6"/>
  <c r="F400" i="6"/>
  <c r="C400" i="6"/>
  <c r="AC399" i="6"/>
  <c r="AD399" i="6" s="1"/>
  <c r="AA399" i="6"/>
  <c r="W399" i="6"/>
  <c r="X399" i="6" s="1"/>
  <c r="U399" i="6"/>
  <c r="R399" i="6"/>
  <c r="N399" i="6"/>
  <c r="L399" i="6"/>
  <c r="H399" i="6"/>
  <c r="I399" i="6" s="1"/>
  <c r="F399" i="6"/>
  <c r="C399" i="6"/>
  <c r="AD398" i="6"/>
  <c r="AC398" i="6"/>
  <c r="AA398" i="6"/>
  <c r="W398" i="6"/>
  <c r="U398" i="6"/>
  <c r="R398" i="6"/>
  <c r="N398" i="6"/>
  <c r="O398" i="6" s="1"/>
  <c r="L398" i="6"/>
  <c r="I398" i="6"/>
  <c r="H398" i="6"/>
  <c r="F398" i="6"/>
  <c r="C398" i="6"/>
  <c r="AD397" i="6"/>
  <c r="AC397" i="6"/>
  <c r="AA397" i="6"/>
  <c r="W397" i="6"/>
  <c r="X397" i="6" s="1"/>
  <c r="U397" i="6"/>
  <c r="R397" i="6"/>
  <c r="O397" i="6"/>
  <c r="N397" i="6"/>
  <c r="L397" i="6"/>
  <c r="I397" i="6"/>
  <c r="H397" i="6"/>
  <c r="F397" i="6"/>
  <c r="C397" i="6"/>
  <c r="Z396" i="6"/>
  <c r="AC396" i="6" s="1"/>
  <c r="AD396" i="6" s="1"/>
  <c r="W396" i="6"/>
  <c r="X396" i="6" s="1"/>
  <c r="T396" i="6"/>
  <c r="U396" i="6" s="1"/>
  <c r="Q396" i="6"/>
  <c r="R396" i="6" s="1"/>
  <c r="N396" i="6"/>
  <c r="O396" i="6" s="1"/>
  <c r="L396" i="6"/>
  <c r="K396" i="6"/>
  <c r="E396" i="6"/>
  <c r="F396" i="6" s="1"/>
  <c r="B396" i="6"/>
  <c r="H396" i="6" s="1"/>
  <c r="I396" i="6" s="1"/>
  <c r="AC395" i="6"/>
  <c r="AD395" i="6" s="1"/>
  <c r="AA395" i="6"/>
  <c r="X395" i="6"/>
  <c r="W395" i="6"/>
  <c r="U395" i="6"/>
  <c r="R395" i="6"/>
  <c r="N395" i="6"/>
  <c r="O395" i="6" s="1"/>
  <c r="L395" i="6"/>
  <c r="I395" i="6"/>
  <c r="H395" i="6"/>
  <c r="F395" i="6"/>
  <c r="C395" i="6"/>
  <c r="AC394" i="6"/>
  <c r="AD394" i="6" s="1"/>
  <c r="AA394" i="6"/>
  <c r="X394" i="6"/>
  <c r="W394" i="6"/>
  <c r="U394" i="6"/>
  <c r="R394" i="6"/>
  <c r="O394" i="6"/>
  <c r="N394" i="6"/>
  <c r="L394" i="6"/>
  <c r="H394" i="6"/>
  <c r="I394" i="6" s="1"/>
  <c r="F394" i="6"/>
  <c r="C394" i="6"/>
  <c r="AA393" i="6"/>
  <c r="Z393" i="6"/>
  <c r="U393" i="6"/>
  <c r="T393" i="6"/>
  <c r="Q393" i="6"/>
  <c r="N393" i="6"/>
  <c r="O393" i="6" s="1"/>
  <c r="K393" i="6"/>
  <c r="L393" i="6" s="1"/>
  <c r="I393" i="6"/>
  <c r="H393" i="6"/>
  <c r="E393" i="6"/>
  <c r="F393" i="6" s="1"/>
  <c r="C393" i="6"/>
  <c r="B393" i="6"/>
  <c r="AD392" i="6"/>
  <c r="AC392" i="6"/>
  <c r="AA392" i="6"/>
  <c r="X392" i="6"/>
  <c r="W392" i="6"/>
  <c r="U392" i="6"/>
  <c r="R392" i="6"/>
  <c r="N392" i="6"/>
  <c r="O392" i="6" s="1"/>
  <c r="L392" i="6"/>
  <c r="H392" i="6"/>
  <c r="I392" i="6" s="1"/>
  <c r="F392" i="6"/>
  <c r="C392" i="6"/>
  <c r="AD391" i="6"/>
  <c r="AC391" i="6"/>
  <c r="AA391" i="6"/>
  <c r="W391" i="6"/>
  <c r="X391" i="6" s="1"/>
  <c r="U391" i="6"/>
  <c r="R391" i="6"/>
  <c r="N391" i="6"/>
  <c r="O391" i="6" s="1"/>
  <c r="L391" i="6"/>
  <c r="I391" i="6"/>
  <c r="H391" i="6"/>
  <c r="F391" i="6"/>
  <c r="C391" i="6"/>
  <c r="AC390" i="6"/>
  <c r="AD390" i="6" s="1"/>
  <c r="AA390" i="6"/>
  <c r="X390" i="6"/>
  <c r="W390" i="6"/>
  <c r="U390" i="6"/>
  <c r="R390" i="6"/>
  <c r="N390" i="6"/>
  <c r="L390" i="6"/>
  <c r="H390" i="6"/>
  <c r="I390" i="6" s="1"/>
  <c r="F390" i="6"/>
  <c r="C390" i="6"/>
  <c r="AC389" i="6"/>
  <c r="AD389" i="6" s="1"/>
  <c r="AA389" i="6"/>
  <c r="W389" i="6"/>
  <c r="X389" i="6" s="1"/>
  <c r="U389" i="6"/>
  <c r="R389" i="6"/>
  <c r="O389" i="6"/>
  <c r="N389" i="6"/>
  <c r="L389" i="6"/>
  <c r="H389" i="6"/>
  <c r="I389" i="6" s="1"/>
  <c r="F389" i="6"/>
  <c r="C389" i="6"/>
  <c r="AD388" i="6"/>
  <c r="AC388" i="6"/>
  <c r="AA388" i="6"/>
  <c r="W388" i="6"/>
  <c r="U388" i="6"/>
  <c r="R388" i="6"/>
  <c r="N388" i="6"/>
  <c r="O388" i="6" s="1"/>
  <c r="L388" i="6"/>
  <c r="I388" i="6"/>
  <c r="H388" i="6"/>
  <c r="F388" i="6"/>
  <c r="C388" i="6"/>
  <c r="AD386" i="6"/>
  <c r="AC386" i="6"/>
  <c r="AA386" i="6"/>
  <c r="W386" i="6"/>
  <c r="U386" i="6"/>
  <c r="R386" i="6"/>
  <c r="O386" i="6"/>
  <c r="N386" i="6"/>
  <c r="L386" i="6"/>
  <c r="I386" i="6"/>
  <c r="H386" i="6"/>
  <c r="F386" i="6"/>
  <c r="C386" i="6"/>
  <c r="AC385" i="6"/>
  <c r="AD385" i="6" s="1"/>
  <c r="AA385" i="6"/>
  <c r="W385" i="6"/>
  <c r="X385" i="6" s="1"/>
  <c r="U385" i="6"/>
  <c r="R385" i="6"/>
  <c r="O385" i="6"/>
  <c r="N385" i="6"/>
  <c r="L385" i="6"/>
  <c r="I385" i="6"/>
  <c r="H385" i="6"/>
  <c r="F385" i="6"/>
  <c r="C385" i="6"/>
  <c r="AC383" i="6"/>
  <c r="AD383" i="6" s="1"/>
  <c r="AA383" i="6"/>
  <c r="W383" i="6"/>
  <c r="X383" i="6" s="1"/>
  <c r="U383" i="6"/>
  <c r="R383" i="6"/>
  <c r="O383" i="6"/>
  <c r="N383" i="6"/>
  <c r="L383" i="6"/>
  <c r="H383" i="6"/>
  <c r="F383" i="6"/>
  <c r="C383" i="6"/>
  <c r="AD382" i="6"/>
  <c r="AC382" i="6"/>
  <c r="AA382" i="6"/>
  <c r="W382" i="6"/>
  <c r="U382" i="6"/>
  <c r="R382" i="6"/>
  <c r="N382" i="6"/>
  <c r="O382" i="6" s="1"/>
  <c r="L382" i="6"/>
  <c r="I382" i="6"/>
  <c r="H382" i="6"/>
  <c r="F382" i="6"/>
  <c r="C382" i="6"/>
  <c r="AC381" i="6"/>
  <c r="AD381" i="6" s="1"/>
  <c r="AA381" i="6"/>
  <c r="X381" i="6"/>
  <c r="W381" i="6"/>
  <c r="U381" i="6"/>
  <c r="R381" i="6"/>
  <c r="N381" i="6"/>
  <c r="O381" i="6" s="1"/>
  <c r="L381" i="6"/>
  <c r="I381" i="6"/>
  <c r="H381" i="6"/>
  <c r="F381" i="6"/>
  <c r="C381" i="6"/>
  <c r="AC380" i="6"/>
  <c r="AD380" i="6" s="1"/>
  <c r="AA380" i="6"/>
  <c r="X380" i="6"/>
  <c r="W380" i="6"/>
  <c r="U380" i="6"/>
  <c r="R380" i="6"/>
  <c r="O380" i="6"/>
  <c r="N380" i="6"/>
  <c r="L380" i="6"/>
  <c r="H380" i="6"/>
  <c r="I380" i="6" s="1"/>
  <c r="F380" i="6"/>
  <c r="C380" i="6"/>
  <c r="AD379" i="6"/>
  <c r="AC379" i="6"/>
  <c r="AA379" i="6"/>
  <c r="X379" i="6"/>
  <c r="W379" i="6"/>
  <c r="U379" i="6"/>
  <c r="R379" i="6"/>
  <c r="N379" i="6"/>
  <c r="O379" i="6" s="1"/>
  <c r="L379" i="6"/>
  <c r="H379" i="6"/>
  <c r="F379" i="6"/>
  <c r="C379" i="6"/>
  <c r="AC378" i="6"/>
  <c r="AD378" i="6" s="1"/>
  <c r="AA378" i="6"/>
  <c r="X378" i="6"/>
  <c r="W378" i="6"/>
  <c r="U378" i="6"/>
  <c r="R378" i="6"/>
  <c r="N378" i="6"/>
  <c r="O378" i="6" s="1"/>
  <c r="L378" i="6"/>
  <c r="I378" i="6"/>
  <c r="H378" i="6"/>
  <c r="F378" i="6"/>
  <c r="C378" i="6"/>
  <c r="AD377" i="6"/>
  <c r="AC377" i="6"/>
  <c r="AA377" i="6"/>
  <c r="W377" i="6"/>
  <c r="X377" i="6" s="1"/>
  <c r="U377" i="6"/>
  <c r="R377" i="6"/>
  <c r="N377" i="6"/>
  <c r="O377" i="6" s="1"/>
  <c r="L377" i="6"/>
  <c r="I377" i="6"/>
  <c r="H377" i="6"/>
  <c r="F377" i="6"/>
  <c r="C377" i="6"/>
  <c r="AC376" i="6"/>
  <c r="AD376" i="6" s="1"/>
  <c r="AA376" i="6"/>
  <c r="W376" i="6"/>
  <c r="U376" i="6"/>
  <c r="R376" i="6"/>
  <c r="O376" i="6"/>
  <c r="N376" i="6"/>
  <c r="L376" i="6"/>
  <c r="H376" i="6"/>
  <c r="I376" i="6" s="1"/>
  <c r="F376" i="6"/>
  <c r="C376" i="6"/>
  <c r="AD375" i="6"/>
  <c r="AC375" i="6"/>
  <c r="AA375" i="6"/>
  <c r="X375" i="6"/>
  <c r="W375" i="6"/>
  <c r="U375" i="6"/>
  <c r="R375" i="6"/>
  <c r="O375" i="6"/>
  <c r="N375" i="6"/>
  <c r="L375" i="6"/>
  <c r="H375" i="6"/>
  <c r="I375" i="6" s="1"/>
  <c r="F375" i="6"/>
  <c r="C375" i="6"/>
  <c r="AD374" i="6"/>
  <c r="AC374" i="6"/>
  <c r="AA374" i="6"/>
  <c r="X374" i="6"/>
  <c r="W374" i="6"/>
  <c r="U374" i="6"/>
  <c r="R374" i="6"/>
  <c r="N374" i="6"/>
  <c r="O374" i="6" s="1"/>
  <c r="L374" i="6"/>
  <c r="H374" i="6"/>
  <c r="I374" i="6" s="1"/>
  <c r="F374" i="6"/>
  <c r="C374" i="6"/>
  <c r="AD373" i="6"/>
  <c r="AC373" i="6"/>
  <c r="AA373" i="6"/>
  <c r="W373" i="6"/>
  <c r="X373" i="6" s="1"/>
  <c r="U373" i="6"/>
  <c r="R373" i="6"/>
  <c r="O373" i="6"/>
  <c r="N373" i="6"/>
  <c r="L373" i="6"/>
  <c r="I373" i="6"/>
  <c r="H373" i="6"/>
  <c r="F373" i="6"/>
  <c r="C373" i="6"/>
  <c r="AC372" i="6"/>
  <c r="AD372" i="6" s="1"/>
  <c r="AA372" i="6"/>
  <c r="X372" i="6"/>
  <c r="W372" i="6"/>
  <c r="U372" i="6"/>
  <c r="R372" i="6"/>
  <c r="O372" i="6"/>
  <c r="N372" i="6"/>
  <c r="L372" i="6"/>
  <c r="I372" i="6"/>
  <c r="H372" i="6"/>
  <c r="F372" i="6"/>
  <c r="C372" i="6"/>
  <c r="AC371" i="6"/>
  <c r="AD371" i="6" s="1"/>
  <c r="AA371" i="6"/>
  <c r="W371" i="6"/>
  <c r="X371" i="6" s="1"/>
  <c r="U371" i="6"/>
  <c r="R371" i="6"/>
  <c r="O371" i="6"/>
  <c r="N371" i="6"/>
  <c r="L371" i="6"/>
  <c r="H371" i="6"/>
  <c r="I371" i="6" s="1"/>
  <c r="F371" i="6"/>
  <c r="C371" i="6"/>
  <c r="AD370" i="6"/>
  <c r="AC370" i="6"/>
  <c r="AA370" i="6"/>
  <c r="W370" i="6"/>
  <c r="U370" i="6"/>
  <c r="R370" i="6"/>
  <c r="N370" i="6"/>
  <c r="O370" i="6" s="1"/>
  <c r="L370" i="6"/>
  <c r="I370" i="6"/>
  <c r="H370" i="6"/>
  <c r="F370" i="6"/>
  <c r="C370" i="6"/>
  <c r="AD369" i="6"/>
  <c r="AC369" i="6"/>
  <c r="AA369" i="6"/>
  <c r="W369" i="6"/>
  <c r="X369" i="6" s="1"/>
  <c r="U369" i="6"/>
  <c r="R369" i="6"/>
  <c r="N369" i="6"/>
  <c r="O369" i="6" s="1"/>
  <c r="L369" i="6"/>
  <c r="I369" i="6"/>
  <c r="H369" i="6"/>
  <c r="F369" i="6"/>
  <c r="C369" i="6"/>
  <c r="Z368" i="6"/>
  <c r="AC368" i="6" s="1"/>
  <c r="AD368" i="6" s="1"/>
  <c r="T368" i="6"/>
  <c r="Q368" i="6"/>
  <c r="R368" i="6" s="1"/>
  <c r="K368" i="6"/>
  <c r="L368" i="6" s="1"/>
  <c r="E368" i="6"/>
  <c r="F368" i="6" s="1"/>
  <c r="B368" i="6"/>
  <c r="AD367" i="6"/>
  <c r="AC367" i="6"/>
  <c r="AA367" i="6"/>
  <c r="X367" i="6"/>
  <c r="W367" i="6"/>
  <c r="U367" i="6"/>
  <c r="R367" i="6"/>
  <c r="O367" i="6"/>
  <c r="N367" i="6"/>
  <c r="L367" i="6"/>
  <c r="H367" i="6"/>
  <c r="I367" i="6" s="1"/>
  <c r="F367" i="6"/>
  <c r="C367" i="6"/>
  <c r="AC366" i="6"/>
  <c r="AD366" i="6" s="1"/>
  <c r="AA366" i="6"/>
  <c r="X366" i="6"/>
  <c r="W366" i="6"/>
  <c r="U366" i="6"/>
  <c r="R366" i="6"/>
  <c r="O366" i="6"/>
  <c r="N366" i="6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I365" i="6"/>
  <c r="H365" i="6"/>
  <c r="F365" i="6"/>
  <c r="C365" i="6"/>
  <c r="AC364" i="6"/>
  <c r="AD364" i="6" s="1"/>
  <c r="AA364" i="6"/>
  <c r="W364" i="6"/>
  <c r="U364" i="6"/>
  <c r="R364" i="6"/>
  <c r="O364" i="6"/>
  <c r="N364" i="6"/>
  <c r="L364" i="6"/>
  <c r="H364" i="6"/>
  <c r="I364" i="6" s="1"/>
  <c r="F364" i="6"/>
  <c r="C364" i="6"/>
  <c r="AC363" i="6"/>
  <c r="AD363" i="6" s="1"/>
  <c r="AA363" i="6"/>
  <c r="X363" i="6"/>
  <c r="W363" i="6"/>
  <c r="U363" i="6"/>
  <c r="R363" i="6"/>
  <c r="O363" i="6"/>
  <c r="N363" i="6"/>
  <c r="L363" i="6"/>
  <c r="H363" i="6"/>
  <c r="I363" i="6" s="1"/>
  <c r="F363" i="6"/>
  <c r="C363" i="6"/>
  <c r="AC362" i="6"/>
  <c r="AD362" i="6" s="1"/>
  <c r="AA362" i="6"/>
  <c r="W362" i="6"/>
  <c r="X362" i="6" s="1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O361" i="6"/>
  <c r="N361" i="6"/>
  <c r="L361" i="6"/>
  <c r="I361" i="6"/>
  <c r="H361" i="6"/>
  <c r="F361" i="6"/>
  <c r="C361" i="6"/>
  <c r="AD360" i="6"/>
  <c r="AC360" i="6"/>
  <c r="AA360" i="6"/>
  <c r="W360" i="6"/>
  <c r="X360" i="6" s="1"/>
  <c r="U360" i="6"/>
  <c r="R360" i="6"/>
  <c r="N360" i="6"/>
  <c r="O360" i="6" s="1"/>
  <c r="L360" i="6"/>
  <c r="H360" i="6"/>
  <c r="I360" i="6" s="1"/>
  <c r="F360" i="6"/>
  <c r="C360" i="6"/>
  <c r="Z358" i="6"/>
  <c r="AA358" i="6" s="1"/>
  <c r="U358" i="6"/>
  <c r="T358" i="6"/>
  <c r="W358" i="6" s="1"/>
  <c r="X358" i="6" s="1"/>
  <c r="R358" i="6"/>
  <c r="Q358" i="6"/>
  <c r="K358" i="6"/>
  <c r="L358" i="6" s="1"/>
  <c r="E358" i="6"/>
  <c r="F358" i="6" s="1"/>
  <c r="B358" i="6"/>
  <c r="AC357" i="6"/>
  <c r="AD357" i="6" s="1"/>
  <c r="AA357" i="6"/>
  <c r="W357" i="6"/>
  <c r="X357" i="6" s="1"/>
  <c r="U357" i="6"/>
  <c r="R357" i="6"/>
  <c r="N357" i="6"/>
  <c r="L357" i="6"/>
  <c r="H357" i="6"/>
  <c r="I357" i="6" s="1"/>
  <c r="F357" i="6"/>
  <c r="C357" i="6"/>
  <c r="AD356" i="6"/>
  <c r="AC356" i="6"/>
  <c r="AA356" i="6"/>
  <c r="W356" i="6"/>
  <c r="X356" i="6" s="1"/>
  <c r="U356" i="6"/>
  <c r="R356" i="6"/>
  <c r="N356" i="6"/>
  <c r="O356" i="6" s="1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O355" i="6"/>
  <c r="N355" i="6"/>
  <c r="L355" i="6"/>
  <c r="H355" i="6"/>
  <c r="I355" i="6" s="1"/>
  <c r="F355" i="6"/>
  <c r="C355" i="6"/>
  <c r="AC354" i="6"/>
  <c r="AD354" i="6" s="1"/>
  <c r="AA354" i="6"/>
  <c r="W354" i="6"/>
  <c r="X354" i="6" s="1"/>
  <c r="U354" i="6"/>
  <c r="R354" i="6"/>
  <c r="O354" i="6"/>
  <c r="N354" i="6"/>
  <c r="L354" i="6"/>
  <c r="I354" i="6"/>
  <c r="H354" i="6"/>
  <c r="F354" i="6"/>
  <c r="C354" i="6"/>
  <c r="AC353" i="6"/>
  <c r="AD353" i="6" s="1"/>
  <c r="AA353" i="6"/>
  <c r="W353" i="6"/>
  <c r="X353" i="6" s="1"/>
  <c r="U353" i="6"/>
  <c r="R353" i="6"/>
  <c r="O353" i="6"/>
  <c r="N353" i="6"/>
  <c r="L353" i="6"/>
  <c r="I353" i="6"/>
  <c r="H353" i="6"/>
  <c r="F353" i="6"/>
  <c r="C353" i="6"/>
  <c r="AD352" i="6"/>
  <c r="AC352" i="6"/>
  <c r="AA352" i="6"/>
  <c r="W352" i="6"/>
  <c r="X352" i="6" s="1"/>
  <c r="U352" i="6"/>
  <c r="R352" i="6"/>
  <c r="N352" i="6"/>
  <c r="O352" i="6" s="1"/>
  <c r="L352" i="6"/>
  <c r="H352" i="6"/>
  <c r="I352" i="6" s="1"/>
  <c r="F352" i="6"/>
  <c r="C352" i="6"/>
  <c r="AC351" i="6"/>
  <c r="AD351" i="6" s="1"/>
  <c r="AA351" i="6"/>
  <c r="X351" i="6"/>
  <c r="W351" i="6"/>
  <c r="U351" i="6"/>
  <c r="R351" i="6"/>
  <c r="O351" i="6"/>
  <c r="N351" i="6"/>
  <c r="L351" i="6"/>
  <c r="H351" i="6"/>
  <c r="I351" i="6" s="1"/>
  <c r="F351" i="6"/>
  <c r="C351" i="6"/>
  <c r="AC350" i="6"/>
  <c r="AD350" i="6" s="1"/>
  <c r="AA350" i="6"/>
  <c r="W350" i="6"/>
  <c r="X350" i="6" s="1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W349" i="6"/>
  <c r="X349" i="6" s="1"/>
  <c r="U349" i="6"/>
  <c r="R349" i="6"/>
  <c r="O349" i="6"/>
  <c r="N349" i="6"/>
  <c r="L349" i="6"/>
  <c r="I349" i="6"/>
  <c r="H349" i="6"/>
  <c r="F349" i="6"/>
  <c r="C349" i="6"/>
  <c r="AC347" i="6"/>
  <c r="AD347" i="6" s="1"/>
  <c r="AA347" i="6"/>
  <c r="X347" i="6"/>
  <c r="W347" i="6"/>
  <c r="U347" i="6"/>
  <c r="R347" i="6"/>
  <c r="N347" i="6"/>
  <c r="O347" i="6" s="1"/>
  <c r="L347" i="6"/>
  <c r="H347" i="6"/>
  <c r="I347" i="6" s="1"/>
  <c r="F347" i="6"/>
  <c r="C347" i="6"/>
  <c r="Z344" i="6"/>
  <c r="AA344" i="6" s="1"/>
  <c r="U344" i="6"/>
  <c r="T344" i="6"/>
  <c r="Q344" i="6"/>
  <c r="W344" i="6" s="1"/>
  <c r="X344" i="6" s="1"/>
  <c r="K344" i="6"/>
  <c r="I344" i="6"/>
  <c r="H344" i="6"/>
  <c r="E344" i="6"/>
  <c r="F344" i="6" s="1"/>
  <c r="C344" i="6"/>
  <c r="B344" i="6"/>
  <c r="Z343" i="6"/>
  <c r="AA343" i="6" s="1"/>
  <c r="T343" i="6"/>
  <c r="U343" i="6" s="1"/>
  <c r="Q343" i="6"/>
  <c r="K343" i="6"/>
  <c r="L343" i="6" s="1"/>
  <c r="F343" i="6"/>
  <c r="E343" i="6"/>
  <c r="B343" i="6"/>
  <c r="Z342" i="6"/>
  <c r="W342" i="6"/>
  <c r="X342" i="6" s="1"/>
  <c r="T342" i="6"/>
  <c r="U342" i="6" s="1"/>
  <c r="Q342" i="6"/>
  <c r="R342" i="6" s="1"/>
  <c r="N342" i="6"/>
  <c r="O342" i="6" s="1"/>
  <c r="L342" i="6"/>
  <c r="K342" i="6"/>
  <c r="E342" i="6"/>
  <c r="F342" i="6" s="1"/>
  <c r="C342" i="6"/>
  <c r="B342" i="6"/>
  <c r="AC341" i="6"/>
  <c r="AD341" i="6" s="1"/>
  <c r="AA341" i="6"/>
  <c r="W341" i="6"/>
  <c r="U341" i="6"/>
  <c r="R341" i="6"/>
  <c r="N341" i="6"/>
  <c r="O341" i="6" s="1"/>
  <c r="L341" i="6"/>
  <c r="H341" i="6"/>
  <c r="I341" i="6" s="1"/>
  <c r="F341" i="6"/>
  <c r="C341" i="6"/>
  <c r="AC340" i="6"/>
  <c r="AD340" i="6" s="1"/>
  <c r="AA340" i="6"/>
  <c r="X340" i="6"/>
  <c r="W340" i="6"/>
  <c r="U340" i="6"/>
  <c r="R340" i="6"/>
  <c r="N340" i="6"/>
  <c r="O340" i="6" s="1"/>
  <c r="L340" i="6"/>
  <c r="H340" i="6"/>
  <c r="I340" i="6" s="1"/>
  <c r="F340" i="6"/>
  <c r="C340" i="6"/>
  <c r="AC339" i="6"/>
  <c r="AD339" i="6" s="1"/>
  <c r="AA339" i="6"/>
  <c r="W339" i="6"/>
  <c r="X339" i="6" s="1"/>
  <c r="U339" i="6"/>
  <c r="R339" i="6"/>
  <c r="N339" i="6"/>
  <c r="L339" i="6"/>
  <c r="H339" i="6"/>
  <c r="I339" i="6" s="1"/>
  <c r="F339" i="6"/>
  <c r="C339" i="6"/>
  <c r="AD338" i="6"/>
  <c r="AC338" i="6"/>
  <c r="AA338" i="6"/>
  <c r="W338" i="6"/>
  <c r="X338" i="6" s="1"/>
  <c r="U338" i="6"/>
  <c r="R338" i="6"/>
  <c r="O338" i="6"/>
  <c r="N338" i="6"/>
  <c r="L338" i="6"/>
  <c r="H338" i="6"/>
  <c r="I338" i="6" s="1"/>
  <c r="F338" i="6"/>
  <c r="C338" i="6"/>
  <c r="AC337" i="6"/>
  <c r="AD337" i="6" s="1"/>
  <c r="AA337" i="6"/>
  <c r="X337" i="6"/>
  <c r="W337" i="6"/>
  <c r="U337" i="6"/>
  <c r="R337" i="6"/>
  <c r="O337" i="6"/>
  <c r="N337" i="6"/>
  <c r="L337" i="6"/>
  <c r="H337" i="6"/>
  <c r="I337" i="6" s="1"/>
  <c r="F337" i="6"/>
  <c r="C337" i="6"/>
  <c r="AC335" i="6"/>
  <c r="AD335" i="6" s="1"/>
  <c r="AA335" i="6"/>
  <c r="W335" i="6"/>
  <c r="X335" i="6" s="1"/>
  <c r="U335" i="6"/>
  <c r="R335" i="6"/>
  <c r="O335" i="6"/>
  <c r="N335" i="6"/>
  <c r="L335" i="6"/>
  <c r="I335" i="6"/>
  <c r="H335" i="6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I334" i="6"/>
  <c r="H334" i="6"/>
  <c r="F334" i="6"/>
  <c r="C334" i="6"/>
  <c r="AD333" i="6"/>
  <c r="AC333" i="6"/>
  <c r="AA333" i="6"/>
  <c r="W333" i="6"/>
  <c r="X333" i="6" s="1"/>
  <c r="U333" i="6"/>
  <c r="R333" i="6"/>
  <c r="N333" i="6"/>
  <c r="O333" i="6" s="1"/>
  <c r="L333" i="6"/>
  <c r="H333" i="6"/>
  <c r="I333" i="6" s="1"/>
  <c r="F333" i="6"/>
  <c r="C333" i="6"/>
  <c r="AC332" i="6"/>
  <c r="AD332" i="6" s="1"/>
  <c r="AA332" i="6"/>
  <c r="X332" i="6"/>
  <c r="W332" i="6"/>
  <c r="U332" i="6"/>
  <c r="R332" i="6"/>
  <c r="O332" i="6"/>
  <c r="N332" i="6"/>
  <c r="L332" i="6"/>
  <c r="H332" i="6"/>
  <c r="I332" i="6" s="1"/>
  <c r="F332" i="6"/>
  <c r="C332" i="6"/>
  <c r="AC331" i="6"/>
  <c r="AD331" i="6" s="1"/>
  <c r="AA331" i="6"/>
  <c r="W331" i="6"/>
  <c r="X331" i="6" s="1"/>
  <c r="U331" i="6"/>
  <c r="R331" i="6"/>
  <c r="O331" i="6"/>
  <c r="N331" i="6"/>
  <c r="L331" i="6"/>
  <c r="H331" i="6"/>
  <c r="I331" i="6" s="1"/>
  <c r="F331" i="6"/>
  <c r="C331" i="6"/>
  <c r="AC330" i="6"/>
  <c r="AD330" i="6" s="1"/>
  <c r="AA330" i="6"/>
  <c r="W330" i="6"/>
  <c r="X330" i="6" s="1"/>
  <c r="U330" i="6"/>
  <c r="R330" i="6"/>
  <c r="O330" i="6"/>
  <c r="N330" i="6"/>
  <c r="L330" i="6"/>
  <c r="I330" i="6"/>
  <c r="H330" i="6"/>
  <c r="F330" i="6"/>
  <c r="C330" i="6"/>
  <c r="AC329" i="6"/>
  <c r="AD329" i="6" s="1"/>
  <c r="AA329" i="6"/>
  <c r="X329" i="6"/>
  <c r="W329" i="6"/>
  <c r="U329" i="6"/>
  <c r="R329" i="6"/>
  <c r="N329" i="6"/>
  <c r="O329" i="6" s="1"/>
  <c r="L329" i="6"/>
  <c r="H329" i="6"/>
  <c r="I329" i="6" s="1"/>
  <c r="F329" i="6"/>
  <c r="C329" i="6"/>
  <c r="AC328" i="6"/>
  <c r="AD328" i="6" s="1"/>
  <c r="AA328" i="6"/>
  <c r="X328" i="6"/>
  <c r="W328" i="6"/>
  <c r="U328" i="6"/>
  <c r="R328" i="6"/>
  <c r="O328" i="6"/>
  <c r="N328" i="6"/>
  <c r="L328" i="6"/>
  <c r="H328" i="6"/>
  <c r="I328" i="6" s="1"/>
  <c r="F328" i="6"/>
  <c r="C328" i="6"/>
  <c r="Z325" i="6"/>
  <c r="AA325" i="6" s="1"/>
  <c r="W325" i="6"/>
  <c r="X325" i="6" s="1"/>
  <c r="T325" i="6"/>
  <c r="U325" i="6" s="1"/>
  <c r="R325" i="6"/>
  <c r="Q325" i="6"/>
  <c r="L325" i="6"/>
  <c r="K325" i="6"/>
  <c r="F325" i="6"/>
  <c r="E325" i="6"/>
  <c r="B325" i="6"/>
  <c r="N325" i="6" s="1"/>
  <c r="O325" i="6" s="1"/>
  <c r="AC324" i="6"/>
  <c r="AD324" i="6" s="1"/>
  <c r="Z324" i="6"/>
  <c r="AA324" i="6" s="1"/>
  <c r="W324" i="6"/>
  <c r="X324" i="6" s="1"/>
  <c r="U324" i="6"/>
  <c r="T324" i="6"/>
  <c r="R324" i="6"/>
  <c r="Q324" i="6"/>
  <c r="N324" i="6"/>
  <c r="O324" i="6" s="1"/>
  <c r="K324" i="6"/>
  <c r="L324" i="6" s="1"/>
  <c r="H324" i="6"/>
  <c r="I324" i="6" s="1"/>
  <c r="F324" i="6"/>
  <c r="E324" i="6"/>
  <c r="B324" i="6"/>
  <c r="C324" i="6" s="1"/>
  <c r="AD323" i="6"/>
  <c r="AC323" i="6"/>
  <c r="AA323" i="6"/>
  <c r="W323" i="6"/>
  <c r="X323" i="6" s="1"/>
  <c r="U323" i="6"/>
  <c r="R323" i="6"/>
  <c r="N323" i="6"/>
  <c r="O323" i="6" s="1"/>
  <c r="L323" i="6"/>
  <c r="I323" i="6"/>
  <c r="H323" i="6"/>
  <c r="F323" i="6"/>
  <c r="C323" i="6"/>
  <c r="AC322" i="6"/>
  <c r="AD322" i="6" s="1"/>
  <c r="AA322" i="6"/>
  <c r="X322" i="6"/>
  <c r="W322" i="6"/>
  <c r="U322" i="6"/>
  <c r="R322" i="6"/>
  <c r="O322" i="6"/>
  <c r="N322" i="6"/>
  <c r="L322" i="6"/>
  <c r="H322" i="6"/>
  <c r="I322" i="6" s="1"/>
  <c r="F322" i="6"/>
  <c r="C322" i="6"/>
  <c r="AD321" i="6"/>
  <c r="AC321" i="6"/>
  <c r="AA321" i="6"/>
  <c r="X321" i="6"/>
  <c r="W321" i="6"/>
  <c r="U321" i="6"/>
  <c r="R321" i="6"/>
  <c r="O321" i="6"/>
  <c r="N321" i="6"/>
  <c r="L321" i="6"/>
  <c r="H321" i="6"/>
  <c r="I321" i="6" s="1"/>
  <c r="F321" i="6"/>
  <c r="C321" i="6"/>
  <c r="AD320" i="6"/>
  <c r="AC320" i="6"/>
  <c r="AA320" i="6"/>
  <c r="X320" i="6"/>
  <c r="W320" i="6"/>
  <c r="U320" i="6"/>
  <c r="R320" i="6"/>
  <c r="N320" i="6"/>
  <c r="O320" i="6" s="1"/>
  <c r="L320" i="6"/>
  <c r="H320" i="6"/>
  <c r="I320" i="6" s="1"/>
  <c r="F320" i="6"/>
  <c r="C320" i="6"/>
  <c r="AD319" i="6"/>
  <c r="AC319" i="6"/>
  <c r="AA319" i="6"/>
  <c r="W319" i="6"/>
  <c r="X319" i="6" s="1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W318" i="6"/>
  <c r="U318" i="6"/>
  <c r="R318" i="6"/>
  <c r="O318" i="6"/>
  <c r="N318" i="6"/>
  <c r="L318" i="6"/>
  <c r="I318" i="6"/>
  <c r="H318" i="6"/>
  <c r="F318" i="6"/>
  <c r="C318" i="6"/>
  <c r="AC317" i="6"/>
  <c r="AD317" i="6" s="1"/>
  <c r="AA317" i="6"/>
  <c r="X317" i="6"/>
  <c r="W317" i="6"/>
  <c r="U317" i="6"/>
  <c r="R317" i="6"/>
  <c r="O317" i="6"/>
  <c r="N317" i="6"/>
  <c r="L317" i="6"/>
  <c r="H317" i="6"/>
  <c r="I317" i="6" s="1"/>
  <c r="F317" i="6"/>
  <c r="C317" i="6"/>
  <c r="AD316" i="6"/>
  <c r="AC316" i="6"/>
  <c r="AA316" i="6"/>
  <c r="W316" i="6"/>
  <c r="U316" i="6"/>
  <c r="R316" i="6"/>
  <c r="O316" i="6"/>
  <c r="N316" i="6"/>
  <c r="L316" i="6"/>
  <c r="I316" i="6"/>
  <c r="H316" i="6"/>
  <c r="F316" i="6"/>
  <c r="C316" i="6"/>
  <c r="AC315" i="6"/>
  <c r="AD315" i="6" s="1"/>
  <c r="AA315" i="6"/>
  <c r="W315" i="6"/>
  <c r="X315" i="6" s="1"/>
  <c r="U315" i="6"/>
  <c r="R315" i="6"/>
  <c r="O315" i="6"/>
  <c r="N315" i="6"/>
  <c r="L315" i="6"/>
  <c r="I315" i="6"/>
  <c r="H315" i="6"/>
  <c r="F315" i="6"/>
  <c r="C315" i="6"/>
  <c r="AC314" i="6"/>
  <c r="AD314" i="6" s="1"/>
  <c r="AA314" i="6"/>
  <c r="X314" i="6"/>
  <c r="W314" i="6"/>
  <c r="U314" i="6"/>
  <c r="R314" i="6"/>
  <c r="O314" i="6"/>
  <c r="N314" i="6"/>
  <c r="L314" i="6"/>
  <c r="I314" i="6"/>
  <c r="H314" i="6"/>
  <c r="F314" i="6"/>
  <c r="C314" i="6"/>
  <c r="AC313" i="6"/>
  <c r="AD313" i="6" s="1"/>
  <c r="AA313" i="6"/>
  <c r="W313" i="6"/>
  <c r="X313" i="6" s="1"/>
  <c r="U313" i="6"/>
  <c r="R313" i="6"/>
  <c r="O313" i="6"/>
  <c r="N313" i="6"/>
  <c r="L313" i="6"/>
  <c r="H313" i="6"/>
  <c r="I313" i="6" s="1"/>
  <c r="F313" i="6"/>
  <c r="C313" i="6"/>
  <c r="AC312" i="6"/>
  <c r="AD312" i="6" s="1"/>
  <c r="AA312" i="6"/>
  <c r="W312" i="6"/>
  <c r="U312" i="6"/>
  <c r="R312" i="6"/>
  <c r="N312" i="6"/>
  <c r="O312" i="6" s="1"/>
  <c r="L312" i="6"/>
  <c r="I312" i="6"/>
  <c r="H312" i="6"/>
  <c r="F312" i="6"/>
  <c r="C312" i="6"/>
  <c r="AD311" i="6"/>
  <c r="AC311" i="6"/>
  <c r="AA311" i="6"/>
  <c r="X311" i="6"/>
  <c r="W311" i="6"/>
  <c r="U311" i="6"/>
  <c r="R311" i="6"/>
  <c r="N311" i="6"/>
  <c r="O311" i="6" s="1"/>
  <c r="L311" i="6"/>
  <c r="H311" i="6"/>
  <c r="I311" i="6" s="1"/>
  <c r="F311" i="6"/>
  <c r="C311" i="6"/>
  <c r="AC310" i="6"/>
  <c r="AD310" i="6" s="1"/>
  <c r="AA310" i="6"/>
  <c r="W310" i="6"/>
  <c r="X310" i="6" s="1"/>
  <c r="U310" i="6"/>
  <c r="R310" i="6"/>
  <c r="O310" i="6"/>
  <c r="N310" i="6"/>
  <c r="L310" i="6"/>
  <c r="H310" i="6"/>
  <c r="I310" i="6" s="1"/>
  <c r="F310" i="6"/>
  <c r="C310" i="6"/>
  <c r="AC309" i="6"/>
  <c r="AD309" i="6" s="1"/>
  <c r="AA309" i="6"/>
  <c r="X309" i="6"/>
  <c r="W309" i="6"/>
  <c r="U309" i="6"/>
  <c r="R309" i="6"/>
  <c r="O309" i="6"/>
  <c r="N309" i="6"/>
  <c r="L309" i="6"/>
  <c r="H309" i="6"/>
  <c r="F309" i="6"/>
  <c r="C309" i="6"/>
  <c r="AC308" i="6"/>
  <c r="AD308" i="6" s="1"/>
  <c r="AA308" i="6"/>
  <c r="W308" i="6"/>
  <c r="U308" i="6"/>
  <c r="R308" i="6"/>
  <c r="N308" i="6"/>
  <c r="O308" i="6" s="1"/>
  <c r="L308" i="6"/>
  <c r="H308" i="6"/>
  <c r="I308" i="6" s="1"/>
  <c r="F308" i="6"/>
  <c r="C308" i="6"/>
  <c r="AD307" i="6"/>
  <c r="AC307" i="6"/>
  <c r="AA307" i="6"/>
  <c r="X307" i="6"/>
  <c r="W307" i="6"/>
  <c r="U307" i="6"/>
  <c r="R307" i="6"/>
  <c r="N307" i="6"/>
  <c r="O307" i="6" s="1"/>
  <c r="L307" i="6"/>
  <c r="I307" i="6"/>
  <c r="H307" i="6"/>
  <c r="F307" i="6"/>
  <c r="C307" i="6"/>
  <c r="AC306" i="6"/>
  <c r="AD306" i="6" s="1"/>
  <c r="AA306" i="6"/>
  <c r="X306" i="6"/>
  <c r="W306" i="6"/>
  <c r="U306" i="6"/>
  <c r="R306" i="6"/>
  <c r="O306" i="6"/>
  <c r="N306" i="6"/>
  <c r="L306" i="6"/>
  <c r="H306" i="6"/>
  <c r="I306" i="6" s="1"/>
  <c r="F306" i="6"/>
  <c r="C306" i="6"/>
  <c r="AD305" i="6"/>
  <c r="AC305" i="6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D304" i="6"/>
  <c r="AC304" i="6"/>
  <c r="AA304" i="6"/>
  <c r="X304" i="6"/>
  <c r="W304" i="6"/>
  <c r="U304" i="6"/>
  <c r="R304" i="6"/>
  <c r="N304" i="6"/>
  <c r="O304" i="6" s="1"/>
  <c r="L304" i="6"/>
  <c r="H304" i="6"/>
  <c r="I304" i="6" s="1"/>
  <c r="F304" i="6"/>
  <c r="C304" i="6"/>
  <c r="AD303" i="6"/>
  <c r="AC303" i="6"/>
  <c r="AA303" i="6"/>
  <c r="W303" i="6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X302" i="6"/>
  <c r="W302" i="6"/>
  <c r="U302" i="6"/>
  <c r="R302" i="6"/>
  <c r="O302" i="6"/>
  <c r="N302" i="6"/>
  <c r="L302" i="6"/>
  <c r="I302" i="6"/>
  <c r="H302" i="6"/>
  <c r="F302" i="6"/>
  <c r="C302" i="6"/>
  <c r="AC301" i="6"/>
  <c r="AD301" i="6" s="1"/>
  <c r="AA301" i="6"/>
  <c r="W301" i="6"/>
  <c r="X301" i="6" s="1"/>
  <c r="U301" i="6"/>
  <c r="R301" i="6"/>
  <c r="O301" i="6"/>
  <c r="N301" i="6"/>
  <c r="L301" i="6"/>
  <c r="H301" i="6"/>
  <c r="I301" i="6" s="1"/>
  <c r="F301" i="6"/>
  <c r="C301" i="6"/>
  <c r="AD300" i="6"/>
  <c r="AC300" i="6"/>
  <c r="AA300" i="6"/>
  <c r="W300" i="6"/>
  <c r="U300" i="6"/>
  <c r="R300" i="6"/>
  <c r="N300" i="6"/>
  <c r="O300" i="6" s="1"/>
  <c r="L300" i="6"/>
  <c r="I300" i="6"/>
  <c r="H300" i="6"/>
  <c r="F300" i="6"/>
  <c r="C300" i="6"/>
  <c r="AC299" i="6"/>
  <c r="AD299" i="6" s="1"/>
  <c r="AA299" i="6"/>
  <c r="W299" i="6"/>
  <c r="X299" i="6" s="1"/>
  <c r="U299" i="6"/>
  <c r="R299" i="6"/>
  <c r="O299" i="6"/>
  <c r="N299" i="6"/>
  <c r="L299" i="6"/>
  <c r="I299" i="6"/>
  <c r="H299" i="6"/>
  <c r="F299" i="6"/>
  <c r="C299" i="6"/>
  <c r="AC298" i="6"/>
  <c r="AD298" i="6" s="1"/>
  <c r="AA298" i="6"/>
  <c r="X298" i="6"/>
  <c r="W298" i="6"/>
  <c r="U298" i="6"/>
  <c r="R298" i="6"/>
  <c r="O298" i="6"/>
  <c r="N298" i="6"/>
  <c r="L298" i="6"/>
  <c r="I298" i="6"/>
  <c r="H298" i="6"/>
  <c r="F298" i="6"/>
  <c r="C298" i="6"/>
  <c r="AC297" i="6"/>
  <c r="AD297" i="6" s="1"/>
  <c r="AA297" i="6"/>
  <c r="W297" i="6"/>
  <c r="X297" i="6" s="1"/>
  <c r="U297" i="6"/>
  <c r="R297" i="6"/>
  <c r="O297" i="6"/>
  <c r="N297" i="6"/>
  <c r="L297" i="6"/>
  <c r="H297" i="6"/>
  <c r="I297" i="6" s="1"/>
  <c r="F297" i="6"/>
  <c r="C297" i="6"/>
  <c r="AC295" i="6"/>
  <c r="AD295" i="6" s="1"/>
  <c r="AA295" i="6"/>
  <c r="Z295" i="6"/>
  <c r="T295" i="6"/>
  <c r="U295" i="6" s="1"/>
  <c r="Q295" i="6"/>
  <c r="R295" i="6" s="1"/>
  <c r="K295" i="6"/>
  <c r="L295" i="6" s="1"/>
  <c r="F295" i="6"/>
  <c r="E295" i="6"/>
  <c r="B295" i="6"/>
  <c r="N295" i="6" s="1"/>
  <c r="O295" i="6" s="1"/>
  <c r="AC294" i="6"/>
  <c r="AD294" i="6" s="1"/>
  <c r="AA294" i="6"/>
  <c r="W294" i="6"/>
  <c r="U294" i="6"/>
  <c r="R294" i="6"/>
  <c r="O294" i="6"/>
  <c r="N294" i="6"/>
  <c r="L294" i="6"/>
  <c r="H294" i="6"/>
  <c r="I294" i="6" s="1"/>
  <c r="F294" i="6"/>
  <c r="C294" i="6"/>
  <c r="AD293" i="6"/>
  <c r="AC293" i="6"/>
  <c r="AA293" i="6"/>
  <c r="X293" i="6"/>
  <c r="W293" i="6"/>
  <c r="U293" i="6"/>
  <c r="R293" i="6"/>
  <c r="N293" i="6"/>
  <c r="O293" i="6" s="1"/>
  <c r="L293" i="6"/>
  <c r="H293" i="6"/>
  <c r="I293" i="6" s="1"/>
  <c r="F293" i="6"/>
  <c r="C293" i="6"/>
  <c r="AD292" i="6"/>
  <c r="AC292" i="6"/>
  <c r="AA292" i="6"/>
  <c r="X292" i="6"/>
  <c r="W292" i="6"/>
  <c r="U292" i="6"/>
  <c r="R292" i="6"/>
  <c r="N292" i="6"/>
  <c r="O292" i="6" s="1"/>
  <c r="L292" i="6"/>
  <c r="H292" i="6"/>
  <c r="I292" i="6" s="1"/>
  <c r="F292" i="6"/>
  <c r="C292" i="6"/>
  <c r="AD291" i="6"/>
  <c r="AC291" i="6"/>
  <c r="AA291" i="6"/>
  <c r="W291" i="6"/>
  <c r="X291" i="6" s="1"/>
  <c r="U291" i="6"/>
  <c r="R291" i="6"/>
  <c r="N291" i="6"/>
  <c r="O291" i="6" s="1"/>
  <c r="L291" i="6"/>
  <c r="I291" i="6"/>
  <c r="H291" i="6"/>
  <c r="F291" i="6"/>
  <c r="C291" i="6"/>
  <c r="AC290" i="6"/>
  <c r="AD290" i="6" s="1"/>
  <c r="AA290" i="6"/>
  <c r="X290" i="6"/>
  <c r="W290" i="6"/>
  <c r="U290" i="6"/>
  <c r="R290" i="6"/>
  <c r="O290" i="6"/>
  <c r="N290" i="6"/>
  <c r="L290" i="6"/>
  <c r="H290" i="6"/>
  <c r="I290" i="6" s="1"/>
  <c r="F290" i="6"/>
  <c r="C290" i="6"/>
  <c r="AC289" i="6"/>
  <c r="AD289" i="6" s="1"/>
  <c r="AA289" i="6"/>
  <c r="W289" i="6"/>
  <c r="X289" i="6" s="1"/>
  <c r="U289" i="6"/>
  <c r="R289" i="6"/>
  <c r="O289" i="6"/>
  <c r="N289" i="6"/>
  <c r="L289" i="6"/>
  <c r="H289" i="6"/>
  <c r="I289" i="6" s="1"/>
  <c r="F289" i="6"/>
  <c r="C289" i="6"/>
  <c r="AD288" i="6"/>
  <c r="AC288" i="6"/>
  <c r="AA288" i="6"/>
  <c r="W288" i="6"/>
  <c r="U288" i="6"/>
  <c r="R288" i="6"/>
  <c r="N288" i="6"/>
  <c r="O288" i="6" s="1"/>
  <c r="L288" i="6"/>
  <c r="I288" i="6"/>
  <c r="H288" i="6"/>
  <c r="F288" i="6"/>
  <c r="C288" i="6"/>
  <c r="AD287" i="6"/>
  <c r="AC287" i="6"/>
  <c r="AA287" i="6"/>
  <c r="W287" i="6"/>
  <c r="X287" i="6" s="1"/>
  <c r="U287" i="6"/>
  <c r="R287" i="6"/>
  <c r="O287" i="6"/>
  <c r="N287" i="6"/>
  <c r="L287" i="6"/>
  <c r="I287" i="6"/>
  <c r="H287" i="6"/>
  <c r="F287" i="6"/>
  <c r="C287" i="6"/>
  <c r="AC286" i="6"/>
  <c r="AD286" i="6" s="1"/>
  <c r="AA286" i="6"/>
  <c r="W286" i="6"/>
  <c r="X286" i="6" s="1"/>
  <c r="U286" i="6"/>
  <c r="R286" i="6"/>
  <c r="O286" i="6"/>
  <c r="N286" i="6"/>
  <c r="L286" i="6"/>
  <c r="I286" i="6"/>
  <c r="H286" i="6"/>
  <c r="F286" i="6"/>
  <c r="C286" i="6"/>
  <c r="AC284" i="6"/>
  <c r="AD284" i="6" s="1"/>
  <c r="Z284" i="6"/>
  <c r="AA284" i="6" s="1"/>
  <c r="T284" i="6"/>
  <c r="W284" i="6" s="1"/>
  <c r="X284" i="6" s="1"/>
  <c r="R284" i="6"/>
  <c r="Q284" i="6"/>
  <c r="K284" i="6"/>
  <c r="L284" i="6" s="1"/>
  <c r="I284" i="6"/>
  <c r="F284" i="6"/>
  <c r="E284" i="6"/>
  <c r="H284" i="6" s="1"/>
  <c r="B284" i="6"/>
  <c r="C284" i="6" s="1"/>
  <c r="AD283" i="6"/>
  <c r="AC283" i="6"/>
  <c r="AA283" i="6"/>
  <c r="X283" i="6"/>
  <c r="W283" i="6"/>
  <c r="U283" i="6"/>
  <c r="R283" i="6"/>
  <c r="N283" i="6"/>
  <c r="O283" i="6" s="1"/>
  <c r="L283" i="6"/>
  <c r="I283" i="6"/>
  <c r="H283" i="6"/>
  <c r="F283" i="6"/>
  <c r="C283" i="6"/>
  <c r="AC282" i="6"/>
  <c r="AD282" i="6" s="1"/>
  <c r="AA282" i="6"/>
  <c r="X282" i="6"/>
  <c r="W282" i="6"/>
  <c r="U282" i="6"/>
  <c r="R282" i="6"/>
  <c r="O282" i="6"/>
  <c r="N282" i="6"/>
  <c r="L282" i="6"/>
  <c r="H282" i="6"/>
  <c r="I282" i="6" s="1"/>
  <c r="F282" i="6"/>
  <c r="C282" i="6"/>
  <c r="AD281" i="6"/>
  <c r="AC281" i="6"/>
  <c r="AA281" i="6"/>
  <c r="X281" i="6"/>
  <c r="W281" i="6"/>
  <c r="U281" i="6"/>
  <c r="R281" i="6"/>
  <c r="N281" i="6"/>
  <c r="O281" i="6" s="1"/>
  <c r="L281" i="6"/>
  <c r="H281" i="6"/>
  <c r="I281" i="6" s="1"/>
  <c r="F281" i="6"/>
  <c r="C281" i="6"/>
  <c r="AD280" i="6"/>
  <c r="AC280" i="6"/>
  <c r="AA280" i="6"/>
  <c r="X280" i="6"/>
  <c r="W280" i="6"/>
  <c r="U280" i="6"/>
  <c r="R280" i="6"/>
  <c r="N280" i="6"/>
  <c r="O280" i="6" s="1"/>
  <c r="L280" i="6"/>
  <c r="I280" i="6"/>
  <c r="H280" i="6"/>
  <c r="F280" i="6"/>
  <c r="C280" i="6"/>
  <c r="AD279" i="6"/>
  <c r="AC279" i="6"/>
  <c r="AA279" i="6"/>
  <c r="W279" i="6"/>
  <c r="X279" i="6" s="1"/>
  <c r="U279" i="6"/>
  <c r="R279" i="6"/>
  <c r="N279" i="6"/>
  <c r="O279" i="6" s="1"/>
  <c r="L279" i="6"/>
  <c r="I279" i="6"/>
  <c r="H279" i="6"/>
  <c r="F279" i="6"/>
  <c r="C279" i="6"/>
  <c r="AC278" i="6"/>
  <c r="AD278" i="6" s="1"/>
  <c r="AA278" i="6"/>
  <c r="X278" i="6"/>
  <c r="W278" i="6"/>
  <c r="U278" i="6"/>
  <c r="R278" i="6"/>
  <c r="O278" i="6"/>
  <c r="N278" i="6"/>
  <c r="L278" i="6"/>
  <c r="H278" i="6"/>
  <c r="I278" i="6" s="1"/>
  <c r="F278" i="6"/>
  <c r="C278" i="6"/>
  <c r="AC277" i="6"/>
  <c r="AD277" i="6" s="1"/>
  <c r="AA277" i="6"/>
  <c r="X277" i="6"/>
  <c r="W277" i="6"/>
  <c r="U277" i="6"/>
  <c r="R277" i="6"/>
  <c r="O277" i="6"/>
  <c r="N277" i="6"/>
  <c r="L277" i="6"/>
  <c r="H277" i="6"/>
  <c r="I277" i="6" s="1"/>
  <c r="F277" i="6"/>
  <c r="C277" i="6"/>
  <c r="AD276" i="6"/>
  <c r="AC276" i="6"/>
  <c r="AA276" i="6"/>
  <c r="W276" i="6"/>
  <c r="U276" i="6"/>
  <c r="R276" i="6"/>
  <c r="O276" i="6"/>
  <c r="N276" i="6"/>
  <c r="L276" i="6"/>
  <c r="I276" i="6"/>
  <c r="H276" i="6"/>
  <c r="F276" i="6"/>
  <c r="C276" i="6"/>
  <c r="AD275" i="6"/>
  <c r="AC275" i="6"/>
  <c r="AA275" i="6"/>
  <c r="W275" i="6"/>
  <c r="X275" i="6" s="1"/>
  <c r="U275" i="6"/>
  <c r="R275" i="6"/>
  <c r="N275" i="6"/>
  <c r="O275" i="6" s="1"/>
  <c r="L275" i="6"/>
  <c r="I275" i="6"/>
  <c r="H275" i="6"/>
  <c r="F275" i="6"/>
  <c r="C275" i="6"/>
  <c r="AC273" i="6"/>
  <c r="AD273" i="6" s="1"/>
  <c r="Z273" i="6"/>
  <c r="AA273" i="6" s="1"/>
  <c r="W273" i="6"/>
  <c r="X273" i="6" s="1"/>
  <c r="T273" i="6"/>
  <c r="U273" i="6" s="1"/>
  <c r="Q273" i="6"/>
  <c r="R273" i="6" s="1"/>
  <c r="K273" i="6"/>
  <c r="L273" i="6" s="1"/>
  <c r="E273" i="6"/>
  <c r="F273" i="6" s="1"/>
  <c r="B273" i="6"/>
  <c r="AD272" i="6"/>
  <c r="AC272" i="6"/>
  <c r="AA272" i="6"/>
  <c r="X272" i="6"/>
  <c r="W272" i="6"/>
  <c r="U272" i="6"/>
  <c r="R272" i="6"/>
  <c r="N272" i="6"/>
  <c r="O272" i="6" s="1"/>
  <c r="L272" i="6"/>
  <c r="I272" i="6"/>
  <c r="H272" i="6"/>
  <c r="F272" i="6"/>
  <c r="C272" i="6"/>
  <c r="AC271" i="6"/>
  <c r="AD271" i="6" s="1"/>
  <c r="AA271" i="6"/>
  <c r="X271" i="6"/>
  <c r="W271" i="6"/>
  <c r="U271" i="6"/>
  <c r="R271" i="6"/>
  <c r="O271" i="6"/>
  <c r="N271" i="6"/>
  <c r="L271" i="6"/>
  <c r="H271" i="6"/>
  <c r="I271" i="6" s="1"/>
  <c r="F271" i="6"/>
  <c r="C271" i="6"/>
  <c r="AC270" i="6"/>
  <c r="AD270" i="6" s="1"/>
  <c r="AA270" i="6"/>
  <c r="W270" i="6"/>
  <c r="X270" i="6" s="1"/>
  <c r="U270" i="6"/>
  <c r="R270" i="6"/>
  <c r="N270" i="6"/>
  <c r="O270" i="6" s="1"/>
  <c r="L270" i="6"/>
  <c r="I270" i="6"/>
  <c r="H270" i="6"/>
  <c r="F270" i="6"/>
  <c r="C270" i="6"/>
  <c r="AC269" i="6"/>
  <c r="AD269" i="6" s="1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AC267" i="6"/>
  <c r="AD267" i="6" s="1"/>
  <c r="AA267" i="6"/>
  <c r="Z267" i="6"/>
  <c r="U267" i="6"/>
  <c r="T267" i="6"/>
  <c r="Q267" i="6"/>
  <c r="N267" i="6"/>
  <c r="O267" i="6" s="1"/>
  <c r="L267" i="6"/>
  <c r="K267" i="6"/>
  <c r="F267" i="6"/>
  <c r="E267" i="6"/>
  <c r="C267" i="6"/>
  <c r="B267" i="6"/>
  <c r="H267" i="6" s="1"/>
  <c r="I267" i="6" s="1"/>
  <c r="AD266" i="6"/>
  <c r="AC266" i="6"/>
  <c r="AA266" i="6"/>
  <c r="W266" i="6"/>
  <c r="X266" i="6" s="1"/>
  <c r="U266" i="6"/>
  <c r="R266" i="6"/>
  <c r="O266" i="6"/>
  <c r="N266" i="6"/>
  <c r="L266" i="6"/>
  <c r="I266" i="6"/>
  <c r="H266" i="6"/>
  <c r="F266" i="6"/>
  <c r="C266" i="6"/>
  <c r="AC265" i="6"/>
  <c r="AD265" i="6" s="1"/>
  <c r="AA265" i="6"/>
  <c r="W265" i="6"/>
  <c r="X265" i="6" s="1"/>
  <c r="U265" i="6"/>
  <c r="R265" i="6"/>
  <c r="O265" i="6"/>
  <c r="N265" i="6"/>
  <c r="L265" i="6"/>
  <c r="I265" i="6"/>
  <c r="H265" i="6"/>
  <c r="F265" i="6"/>
  <c r="C265" i="6"/>
  <c r="AA263" i="6"/>
  <c r="Z263" i="6"/>
  <c r="U263" i="6"/>
  <c r="T263" i="6"/>
  <c r="Q263" i="6"/>
  <c r="N263" i="6"/>
  <c r="O263" i="6" s="1"/>
  <c r="L263" i="6"/>
  <c r="K263" i="6"/>
  <c r="I263" i="6"/>
  <c r="F263" i="6"/>
  <c r="E263" i="6"/>
  <c r="C263" i="6"/>
  <c r="B263" i="6"/>
  <c r="H263" i="6" s="1"/>
  <c r="AD262" i="6"/>
  <c r="AA262" i="6"/>
  <c r="Z262" i="6"/>
  <c r="X262" i="6"/>
  <c r="W262" i="6"/>
  <c r="T262" i="6"/>
  <c r="U262" i="6" s="1"/>
  <c r="R262" i="6"/>
  <c r="Q262" i="6"/>
  <c r="AC262" i="6" s="1"/>
  <c r="L262" i="6"/>
  <c r="K262" i="6"/>
  <c r="I262" i="6"/>
  <c r="H262" i="6"/>
  <c r="F262" i="6"/>
  <c r="E262" i="6"/>
  <c r="C262" i="6"/>
  <c r="B262" i="6"/>
  <c r="AD261" i="6"/>
  <c r="AC261" i="6"/>
  <c r="AA261" i="6"/>
  <c r="W261" i="6"/>
  <c r="X261" i="6" s="1"/>
  <c r="U261" i="6"/>
  <c r="R261" i="6"/>
  <c r="N261" i="6"/>
  <c r="O261" i="6" s="1"/>
  <c r="L261" i="6"/>
  <c r="I261" i="6"/>
  <c r="H261" i="6"/>
  <c r="F261" i="6"/>
  <c r="C261" i="6"/>
  <c r="AD260" i="6"/>
  <c r="AC260" i="6"/>
  <c r="AA260" i="6"/>
  <c r="W260" i="6"/>
  <c r="X260" i="6" s="1"/>
  <c r="U260" i="6"/>
  <c r="R260" i="6"/>
  <c r="N260" i="6"/>
  <c r="O260" i="6" s="1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I259" i="6"/>
  <c r="H259" i="6"/>
  <c r="F259" i="6"/>
  <c r="C259" i="6"/>
  <c r="AC258" i="6"/>
  <c r="AD258" i="6" s="1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C257" i="6"/>
  <c r="AD257" i="6" s="1"/>
  <c r="AA257" i="6"/>
  <c r="W257" i="6"/>
  <c r="X257" i="6" s="1"/>
  <c r="U257" i="6"/>
  <c r="R257" i="6"/>
  <c r="N257" i="6"/>
  <c r="O257" i="6" s="1"/>
  <c r="L257" i="6"/>
  <c r="H257" i="6"/>
  <c r="I257" i="6" s="1"/>
  <c r="F257" i="6"/>
  <c r="C257" i="6"/>
  <c r="AD256" i="6"/>
  <c r="AC256" i="6"/>
  <c r="AA256" i="6"/>
  <c r="W256" i="6"/>
  <c r="X256" i="6" s="1"/>
  <c r="U256" i="6"/>
  <c r="R256" i="6"/>
  <c r="N256" i="6"/>
  <c r="O256" i="6" s="1"/>
  <c r="L256" i="6"/>
  <c r="I256" i="6"/>
  <c r="H256" i="6"/>
  <c r="F256" i="6"/>
  <c r="C256" i="6"/>
  <c r="AD255" i="6"/>
  <c r="AC255" i="6"/>
  <c r="AA255" i="6"/>
  <c r="W255" i="6"/>
  <c r="X255" i="6" s="1"/>
  <c r="U255" i="6"/>
  <c r="R255" i="6"/>
  <c r="N255" i="6"/>
  <c r="O255" i="6" s="1"/>
  <c r="L255" i="6"/>
  <c r="I255" i="6"/>
  <c r="H255" i="6"/>
  <c r="F255" i="6"/>
  <c r="C255" i="6"/>
  <c r="AC254" i="6"/>
  <c r="AD254" i="6" s="1"/>
  <c r="AA254" i="6"/>
  <c r="W254" i="6"/>
  <c r="X254" i="6" s="1"/>
  <c r="U254" i="6"/>
  <c r="R254" i="6"/>
  <c r="N254" i="6"/>
  <c r="O254" i="6" s="1"/>
  <c r="L254" i="6"/>
  <c r="I254" i="6"/>
  <c r="H254" i="6"/>
  <c r="F254" i="6"/>
  <c r="C254" i="6"/>
  <c r="AD253" i="6"/>
  <c r="AC253" i="6"/>
  <c r="AA253" i="6"/>
  <c r="W253" i="6"/>
  <c r="X253" i="6" s="1"/>
  <c r="U253" i="6"/>
  <c r="R253" i="6"/>
  <c r="N253" i="6"/>
  <c r="O253" i="6" s="1"/>
  <c r="L253" i="6"/>
  <c r="I253" i="6"/>
  <c r="H253" i="6"/>
  <c r="F253" i="6"/>
  <c r="C253" i="6"/>
  <c r="AD252" i="6"/>
  <c r="AC252" i="6"/>
  <c r="AA252" i="6"/>
  <c r="X252" i="6"/>
  <c r="W252" i="6"/>
  <c r="U252" i="6"/>
  <c r="R252" i="6"/>
  <c r="N252" i="6"/>
  <c r="O252" i="6" s="1"/>
  <c r="L252" i="6"/>
  <c r="H252" i="6"/>
  <c r="I252" i="6" s="1"/>
  <c r="F252" i="6"/>
  <c r="C252" i="6"/>
  <c r="AD251" i="6"/>
  <c r="AC251" i="6"/>
  <c r="AA251" i="6"/>
  <c r="X251" i="6"/>
  <c r="W251" i="6"/>
  <c r="U251" i="6"/>
  <c r="R251" i="6"/>
  <c r="O251" i="6"/>
  <c r="N251" i="6"/>
  <c r="L251" i="6"/>
  <c r="I251" i="6"/>
  <c r="H251" i="6"/>
  <c r="F251" i="6"/>
  <c r="C251" i="6"/>
  <c r="AC250" i="6"/>
  <c r="AD250" i="6" s="1"/>
  <c r="AA250" i="6"/>
  <c r="W250" i="6"/>
  <c r="X250" i="6" s="1"/>
  <c r="U250" i="6"/>
  <c r="R250" i="6"/>
  <c r="N250" i="6"/>
  <c r="O250" i="6" s="1"/>
  <c r="L250" i="6"/>
  <c r="I250" i="6"/>
  <c r="H250" i="6"/>
  <c r="F250" i="6"/>
  <c r="C250" i="6"/>
  <c r="AD249" i="6"/>
  <c r="AC249" i="6"/>
  <c r="AA249" i="6"/>
  <c r="W249" i="6"/>
  <c r="X249" i="6" s="1"/>
  <c r="U249" i="6"/>
  <c r="R249" i="6"/>
  <c r="N249" i="6"/>
  <c r="O249" i="6" s="1"/>
  <c r="L249" i="6"/>
  <c r="I249" i="6"/>
  <c r="H249" i="6"/>
  <c r="F249" i="6"/>
  <c r="C249" i="6"/>
  <c r="AD248" i="6"/>
  <c r="AC248" i="6"/>
  <c r="AA248" i="6"/>
  <c r="W248" i="6"/>
  <c r="X248" i="6" s="1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X247" i="6"/>
  <c r="W247" i="6"/>
  <c r="U247" i="6"/>
  <c r="R247" i="6"/>
  <c r="N247" i="6"/>
  <c r="O247" i="6" s="1"/>
  <c r="L247" i="6"/>
  <c r="H247" i="6"/>
  <c r="I247" i="6" s="1"/>
  <c r="F247" i="6"/>
  <c r="C247" i="6"/>
  <c r="AC246" i="6"/>
  <c r="AD246" i="6" s="1"/>
  <c r="AA246" i="6"/>
  <c r="W246" i="6"/>
  <c r="X246" i="6" s="1"/>
  <c r="U246" i="6"/>
  <c r="R246" i="6"/>
  <c r="N246" i="6"/>
  <c r="O246" i="6" s="1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N245" i="6"/>
  <c r="O245" i="6" s="1"/>
  <c r="L245" i="6"/>
  <c r="I245" i="6"/>
  <c r="H245" i="6"/>
  <c r="F245" i="6"/>
  <c r="C245" i="6"/>
  <c r="AD244" i="6"/>
  <c r="AC244" i="6"/>
  <c r="AA244" i="6"/>
  <c r="X244" i="6"/>
  <c r="W244" i="6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X243" i="6"/>
  <c r="W243" i="6"/>
  <c r="U243" i="6"/>
  <c r="R243" i="6"/>
  <c r="O243" i="6"/>
  <c r="N243" i="6"/>
  <c r="L243" i="6"/>
  <c r="I243" i="6"/>
  <c r="H243" i="6"/>
  <c r="F243" i="6"/>
  <c r="C243" i="6"/>
  <c r="AC242" i="6"/>
  <c r="AD242" i="6" s="1"/>
  <c r="AA242" i="6"/>
  <c r="W242" i="6"/>
  <c r="X242" i="6" s="1"/>
  <c r="U242" i="6"/>
  <c r="R242" i="6"/>
  <c r="N242" i="6"/>
  <c r="O242" i="6" s="1"/>
  <c r="L242" i="6"/>
  <c r="I242" i="6"/>
  <c r="H242" i="6"/>
  <c r="F242" i="6"/>
  <c r="C242" i="6"/>
  <c r="AD241" i="6"/>
  <c r="AC241" i="6"/>
  <c r="AA241" i="6"/>
  <c r="X241" i="6"/>
  <c r="W241" i="6"/>
  <c r="U241" i="6"/>
  <c r="R241" i="6"/>
  <c r="N241" i="6"/>
  <c r="O241" i="6" s="1"/>
  <c r="L241" i="6"/>
  <c r="H241" i="6"/>
  <c r="I241" i="6" s="1"/>
  <c r="F241" i="6"/>
  <c r="C241" i="6"/>
  <c r="AC240" i="6"/>
  <c r="AD240" i="6" s="1"/>
  <c r="AA240" i="6"/>
  <c r="W240" i="6"/>
  <c r="X240" i="6" s="1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X238" i="6"/>
  <c r="W238" i="6"/>
  <c r="U238" i="6"/>
  <c r="R238" i="6"/>
  <c r="O238" i="6"/>
  <c r="N238" i="6"/>
  <c r="L238" i="6"/>
  <c r="H238" i="6"/>
  <c r="I238" i="6" s="1"/>
  <c r="F238" i="6"/>
  <c r="C238" i="6"/>
  <c r="AC236" i="6"/>
  <c r="AD236" i="6" s="1"/>
  <c r="AA236" i="6"/>
  <c r="Z236" i="6"/>
  <c r="W236" i="6"/>
  <c r="X236" i="6" s="1"/>
  <c r="U236" i="6"/>
  <c r="T236" i="6"/>
  <c r="Q236" i="6"/>
  <c r="R236" i="6" s="1"/>
  <c r="L236" i="6"/>
  <c r="K236" i="6"/>
  <c r="I236" i="6"/>
  <c r="H236" i="6"/>
  <c r="F236" i="6"/>
  <c r="E236" i="6"/>
  <c r="C236" i="6"/>
  <c r="B236" i="6"/>
  <c r="N236" i="6" s="1"/>
  <c r="O236" i="6" s="1"/>
  <c r="AD235" i="6"/>
  <c r="AC235" i="6"/>
  <c r="AA235" i="6"/>
  <c r="W235" i="6"/>
  <c r="X235" i="6" s="1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X234" i="6"/>
  <c r="W234" i="6"/>
  <c r="U234" i="6"/>
  <c r="R234" i="6"/>
  <c r="O234" i="6"/>
  <c r="N234" i="6"/>
  <c r="L234" i="6"/>
  <c r="I234" i="6"/>
  <c r="H234" i="6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I233" i="6"/>
  <c r="H233" i="6"/>
  <c r="F233" i="6"/>
  <c r="C233" i="6"/>
  <c r="AD232" i="6"/>
  <c r="AC232" i="6"/>
  <c r="AA232" i="6"/>
  <c r="X232" i="6"/>
  <c r="W232" i="6"/>
  <c r="U232" i="6"/>
  <c r="R232" i="6"/>
  <c r="N232" i="6"/>
  <c r="O232" i="6" s="1"/>
  <c r="L232" i="6"/>
  <c r="H232" i="6"/>
  <c r="I232" i="6" s="1"/>
  <c r="F232" i="6"/>
  <c r="C232" i="6"/>
  <c r="AD231" i="6"/>
  <c r="AC231" i="6"/>
  <c r="AA231" i="6"/>
  <c r="W231" i="6"/>
  <c r="X231" i="6" s="1"/>
  <c r="U231" i="6"/>
  <c r="R231" i="6"/>
  <c r="N231" i="6"/>
  <c r="O231" i="6" s="1"/>
  <c r="L231" i="6"/>
  <c r="I231" i="6"/>
  <c r="H231" i="6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H230" i="6"/>
  <c r="I230" i="6" s="1"/>
  <c r="F230" i="6"/>
  <c r="C230" i="6"/>
  <c r="AC229" i="6"/>
  <c r="AD229" i="6" s="1"/>
  <c r="AA229" i="6"/>
  <c r="W229" i="6"/>
  <c r="X229" i="6" s="1"/>
  <c r="U229" i="6"/>
  <c r="R229" i="6"/>
  <c r="O229" i="6"/>
  <c r="N229" i="6"/>
  <c r="L229" i="6"/>
  <c r="I229" i="6"/>
  <c r="H229" i="6"/>
  <c r="F229" i="6"/>
  <c r="C229" i="6"/>
  <c r="AA227" i="6"/>
  <c r="Z227" i="6"/>
  <c r="T227" i="6"/>
  <c r="U227" i="6" s="1"/>
  <c r="Q227" i="6"/>
  <c r="AC227" i="6" s="1"/>
  <c r="AD227" i="6" s="1"/>
  <c r="L227" i="6"/>
  <c r="K227" i="6"/>
  <c r="E227" i="6"/>
  <c r="F227" i="6" s="1"/>
  <c r="B227" i="6"/>
  <c r="H227" i="6" s="1"/>
  <c r="I227" i="6" s="1"/>
  <c r="AD226" i="6"/>
  <c r="AC226" i="6"/>
  <c r="AA226" i="6"/>
  <c r="X226" i="6"/>
  <c r="W226" i="6"/>
  <c r="U226" i="6"/>
  <c r="R226" i="6"/>
  <c r="O226" i="6"/>
  <c r="N226" i="6"/>
  <c r="L226" i="6"/>
  <c r="I226" i="6"/>
  <c r="H226" i="6"/>
  <c r="F226" i="6"/>
  <c r="C226" i="6"/>
  <c r="AC225" i="6"/>
  <c r="AD225" i="6" s="1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N224" i="6"/>
  <c r="O224" i="6" s="1"/>
  <c r="L224" i="6"/>
  <c r="H224" i="6"/>
  <c r="I224" i="6" s="1"/>
  <c r="F224" i="6"/>
  <c r="C224" i="6"/>
  <c r="AD223" i="6"/>
  <c r="AC223" i="6"/>
  <c r="AA223" i="6"/>
  <c r="W223" i="6"/>
  <c r="X223" i="6" s="1"/>
  <c r="U223" i="6"/>
  <c r="R223" i="6"/>
  <c r="N223" i="6"/>
  <c r="O223" i="6" s="1"/>
  <c r="L223" i="6"/>
  <c r="I223" i="6"/>
  <c r="H223" i="6"/>
  <c r="F223" i="6"/>
  <c r="C223" i="6"/>
  <c r="AD222" i="6"/>
  <c r="AC222" i="6"/>
  <c r="AA222" i="6"/>
  <c r="W222" i="6"/>
  <c r="X222" i="6" s="1"/>
  <c r="U222" i="6"/>
  <c r="R222" i="6"/>
  <c r="N222" i="6"/>
  <c r="O222" i="6" s="1"/>
  <c r="L222" i="6"/>
  <c r="H222" i="6"/>
  <c r="I222" i="6" s="1"/>
  <c r="F222" i="6"/>
  <c r="C222" i="6"/>
  <c r="AC221" i="6"/>
  <c r="AD221" i="6" s="1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C220" i="6"/>
  <c r="AD220" i="6" s="1"/>
  <c r="AA220" i="6"/>
  <c r="W220" i="6"/>
  <c r="X220" i="6" s="1"/>
  <c r="U220" i="6"/>
  <c r="R220" i="6"/>
  <c r="N220" i="6"/>
  <c r="O220" i="6" s="1"/>
  <c r="L220" i="6"/>
  <c r="I220" i="6"/>
  <c r="H220" i="6"/>
  <c r="F220" i="6"/>
  <c r="C220" i="6"/>
  <c r="AD219" i="6"/>
  <c r="AC219" i="6"/>
  <c r="AA219" i="6"/>
  <c r="W219" i="6"/>
  <c r="X219" i="6" s="1"/>
  <c r="U219" i="6"/>
  <c r="R219" i="6"/>
  <c r="N219" i="6"/>
  <c r="O219" i="6" s="1"/>
  <c r="L219" i="6"/>
  <c r="H219" i="6"/>
  <c r="I219" i="6" s="1"/>
  <c r="F219" i="6"/>
  <c r="C219" i="6"/>
  <c r="Z218" i="6"/>
  <c r="AA218" i="6" s="1"/>
  <c r="X218" i="6"/>
  <c r="U218" i="6"/>
  <c r="T218" i="6"/>
  <c r="W218" i="6" s="1"/>
  <c r="R218" i="6"/>
  <c r="Q218" i="6"/>
  <c r="L218" i="6"/>
  <c r="K218" i="6"/>
  <c r="I218" i="6"/>
  <c r="H218" i="6"/>
  <c r="F218" i="6"/>
  <c r="E218" i="6"/>
  <c r="B218" i="6"/>
  <c r="C218" i="6" s="1"/>
  <c r="AD217" i="6"/>
  <c r="AC217" i="6"/>
  <c r="AA217" i="6"/>
  <c r="W217" i="6"/>
  <c r="X217" i="6" s="1"/>
  <c r="U217" i="6"/>
  <c r="R217" i="6"/>
  <c r="N217" i="6"/>
  <c r="O217" i="6" s="1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H216" i="6"/>
  <c r="I216" i="6" s="1"/>
  <c r="F216" i="6"/>
  <c r="C216" i="6"/>
  <c r="AD215" i="6"/>
  <c r="AC215" i="6"/>
  <c r="AA215" i="6"/>
  <c r="W215" i="6"/>
  <c r="X215" i="6" s="1"/>
  <c r="U215" i="6"/>
  <c r="R215" i="6"/>
  <c r="O215" i="6"/>
  <c r="N215" i="6"/>
  <c r="L215" i="6"/>
  <c r="H215" i="6"/>
  <c r="I215" i="6" s="1"/>
  <c r="F215" i="6"/>
  <c r="C215" i="6"/>
  <c r="AC214" i="6"/>
  <c r="AD214" i="6" s="1"/>
  <c r="AA214" i="6"/>
  <c r="W214" i="6"/>
  <c r="X214" i="6" s="1"/>
  <c r="U214" i="6"/>
  <c r="R214" i="6"/>
  <c r="O214" i="6"/>
  <c r="N214" i="6"/>
  <c r="L214" i="6"/>
  <c r="I214" i="6"/>
  <c r="H214" i="6"/>
  <c r="F214" i="6"/>
  <c r="C214" i="6"/>
  <c r="AC213" i="6"/>
  <c r="AD213" i="6" s="1"/>
  <c r="AA213" i="6"/>
  <c r="W213" i="6"/>
  <c r="X213" i="6" s="1"/>
  <c r="U213" i="6"/>
  <c r="R213" i="6"/>
  <c r="N213" i="6"/>
  <c r="O213" i="6" s="1"/>
  <c r="L213" i="6"/>
  <c r="I213" i="6"/>
  <c r="H213" i="6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Z209" i="6"/>
  <c r="AA209" i="6" s="1"/>
  <c r="T209" i="6"/>
  <c r="W209" i="6" s="1"/>
  <c r="X209" i="6" s="1"/>
  <c r="R209" i="6"/>
  <c r="Q209" i="6"/>
  <c r="L209" i="6"/>
  <c r="K209" i="6"/>
  <c r="F209" i="6"/>
  <c r="E209" i="6"/>
  <c r="C209" i="6"/>
  <c r="B209" i="6"/>
  <c r="H209" i="6" s="1"/>
  <c r="I209" i="6" s="1"/>
  <c r="AD208" i="6"/>
  <c r="AC208" i="6"/>
  <c r="AA208" i="6"/>
  <c r="W208" i="6"/>
  <c r="X208" i="6" s="1"/>
  <c r="U208" i="6"/>
  <c r="R208" i="6"/>
  <c r="N208" i="6"/>
  <c r="O208" i="6" s="1"/>
  <c r="L208" i="6"/>
  <c r="H208" i="6"/>
  <c r="I208" i="6" s="1"/>
  <c r="F208" i="6"/>
  <c r="C208" i="6"/>
  <c r="AD207" i="6"/>
  <c r="AC207" i="6"/>
  <c r="AA207" i="6"/>
  <c r="W207" i="6"/>
  <c r="X207" i="6" s="1"/>
  <c r="U207" i="6"/>
  <c r="R207" i="6"/>
  <c r="N207" i="6"/>
  <c r="O207" i="6" s="1"/>
  <c r="L207" i="6"/>
  <c r="I207" i="6"/>
  <c r="H207" i="6"/>
  <c r="F207" i="6"/>
  <c r="C207" i="6"/>
  <c r="AD206" i="6"/>
  <c r="AC206" i="6"/>
  <c r="AA206" i="6"/>
  <c r="W206" i="6"/>
  <c r="X206" i="6" s="1"/>
  <c r="U206" i="6"/>
  <c r="R206" i="6"/>
  <c r="N206" i="6"/>
  <c r="O206" i="6" s="1"/>
  <c r="L206" i="6"/>
  <c r="H206" i="6"/>
  <c r="I206" i="6" s="1"/>
  <c r="F206" i="6"/>
  <c r="C206" i="6"/>
  <c r="AC205" i="6"/>
  <c r="AD205" i="6" s="1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C204" i="6"/>
  <c r="AD204" i="6" s="1"/>
  <c r="AA204" i="6"/>
  <c r="W204" i="6"/>
  <c r="X204" i="6" s="1"/>
  <c r="U204" i="6"/>
  <c r="R204" i="6"/>
  <c r="N204" i="6"/>
  <c r="O204" i="6" s="1"/>
  <c r="L204" i="6"/>
  <c r="I204" i="6"/>
  <c r="H204" i="6"/>
  <c r="F204" i="6"/>
  <c r="C204" i="6"/>
  <c r="AD203" i="6"/>
  <c r="AC203" i="6"/>
  <c r="AA203" i="6"/>
  <c r="W203" i="6"/>
  <c r="X203" i="6" s="1"/>
  <c r="U203" i="6"/>
  <c r="R203" i="6"/>
  <c r="N203" i="6"/>
  <c r="O203" i="6" s="1"/>
  <c r="L203" i="6"/>
  <c r="H203" i="6"/>
  <c r="I203" i="6" s="1"/>
  <c r="F203" i="6"/>
  <c r="C203" i="6"/>
  <c r="AD202" i="6"/>
  <c r="AC202" i="6"/>
  <c r="AA202" i="6"/>
  <c r="X202" i="6"/>
  <c r="W202" i="6"/>
  <c r="U202" i="6"/>
  <c r="R202" i="6"/>
  <c r="O202" i="6"/>
  <c r="N202" i="6"/>
  <c r="L202" i="6"/>
  <c r="I202" i="6"/>
  <c r="H202" i="6"/>
  <c r="F202" i="6"/>
  <c r="C202" i="6"/>
  <c r="AC201" i="6"/>
  <c r="AD201" i="6" s="1"/>
  <c r="AA201" i="6"/>
  <c r="W201" i="6"/>
  <c r="X201" i="6" s="1"/>
  <c r="U201" i="6"/>
  <c r="R201" i="6"/>
  <c r="N201" i="6"/>
  <c r="O201" i="6" s="1"/>
  <c r="L201" i="6"/>
  <c r="I201" i="6"/>
  <c r="H201" i="6"/>
  <c r="F201" i="6"/>
  <c r="C201" i="6"/>
  <c r="E198" i="6"/>
  <c r="Z197" i="6"/>
  <c r="AA197" i="6" s="1"/>
  <c r="W197" i="6"/>
  <c r="X197" i="6" s="1"/>
  <c r="U197" i="6"/>
  <c r="T197" i="6"/>
  <c r="R197" i="6"/>
  <c r="Q197" i="6"/>
  <c r="K197" i="6"/>
  <c r="I197" i="6"/>
  <c r="H197" i="6"/>
  <c r="F197" i="6"/>
  <c r="E197" i="6"/>
  <c r="B197" i="6"/>
  <c r="C197" i="6" s="1"/>
  <c r="AA196" i="6"/>
  <c r="Z196" i="6"/>
  <c r="AC196" i="6" s="1"/>
  <c r="AD196" i="6" s="1"/>
  <c r="U196" i="6"/>
  <c r="T196" i="6"/>
  <c r="R196" i="6"/>
  <c r="Q196" i="6"/>
  <c r="L196" i="6"/>
  <c r="K196" i="6"/>
  <c r="I196" i="6"/>
  <c r="H196" i="6"/>
  <c r="F196" i="6"/>
  <c r="E196" i="6"/>
  <c r="B196" i="6"/>
  <c r="C196" i="6" s="1"/>
  <c r="AD195" i="6"/>
  <c r="AC195" i="6"/>
  <c r="AA195" i="6"/>
  <c r="W195" i="6"/>
  <c r="X195" i="6" s="1"/>
  <c r="U195" i="6"/>
  <c r="R195" i="6"/>
  <c r="N195" i="6"/>
  <c r="O195" i="6" s="1"/>
  <c r="L195" i="6"/>
  <c r="I195" i="6"/>
  <c r="H195" i="6"/>
  <c r="F195" i="6"/>
  <c r="C195" i="6"/>
  <c r="AC194" i="6"/>
  <c r="AD194" i="6" s="1"/>
  <c r="AA194" i="6"/>
  <c r="W194" i="6"/>
  <c r="X194" i="6" s="1"/>
  <c r="U194" i="6"/>
  <c r="R194" i="6"/>
  <c r="O194" i="6"/>
  <c r="N194" i="6"/>
  <c r="L194" i="6"/>
  <c r="I194" i="6"/>
  <c r="H194" i="6"/>
  <c r="F194" i="6"/>
  <c r="C194" i="6"/>
  <c r="Z193" i="6"/>
  <c r="AA193" i="6" s="1"/>
  <c r="U193" i="6"/>
  <c r="T193" i="6"/>
  <c r="Q193" i="6"/>
  <c r="W193" i="6" s="1"/>
  <c r="X193" i="6" s="1"/>
  <c r="L193" i="6"/>
  <c r="K193" i="6"/>
  <c r="E193" i="6"/>
  <c r="C193" i="6"/>
  <c r="B193" i="6"/>
  <c r="N193" i="6" s="1"/>
  <c r="O193" i="6" s="1"/>
  <c r="AD192" i="6"/>
  <c r="AC192" i="6"/>
  <c r="AA192" i="6"/>
  <c r="W192" i="6"/>
  <c r="X192" i="6" s="1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W191" i="6"/>
  <c r="X191" i="6" s="1"/>
  <c r="U191" i="6"/>
  <c r="R191" i="6"/>
  <c r="N191" i="6"/>
  <c r="O191" i="6" s="1"/>
  <c r="L191" i="6"/>
  <c r="I191" i="6"/>
  <c r="H191" i="6"/>
  <c r="F191" i="6"/>
  <c r="C191" i="6"/>
  <c r="AC190" i="6"/>
  <c r="AD190" i="6" s="1"/>
  <c r="AA190" i="6"/>
  <c r="X190" i="6"/>
  <c r="W190" i="6"/>
  <c r="U190" i="6"/>
  <c r="R190" i="6"/>
  <c r="O190" i="6"/>
  <c r="N190" i="6"/>
  <c r="L190" i="6"/>
  <c r="H190" i="6"/>
  <c r="I190" i="6" s="1"/>
  <c r="F190" i="6"/>
  <c r="C190" i="6"/>
  <c r="AD189" i="6"/>
  <c r="AC189" i="6"/>
  <c r="AA189" i="6"/>
  <c r="X189" i="6"/>
  <c r="W189" i="6"/>
  <c r="U189" i="6"/>
  <c r="R189" i="6"/>
  <c r="N189" i="6"/>
  <c r="O189" i="6" s="1"/>
  <c r="L189" i="6"/>
  <c r="I189" i="6"/>
  <c r="H189" i="6"/>
  <c r="F189" i="6"/>
  <c r="C189" i="6"/>
  <c r="AD188" i="6"/>
  <c r="AC188" i="6"/>
  <c r="AA188" i="6"/>
  <c r="X188" i="6"/>
  <c r="W188" i="6"/>
  <c r="U188" i="6"/>
  <c r="R188" i="6"/>
  <c r="N188" i="6"/>
  <c r="O188" i="6" s="1"/>
  <c r="L188" i="6"/>
  <c r="H188" i="6"/>
  <c r="I188" i="6" s="1"/>
  <c r="F188" i="6"/>
  <c r="C188" i="6"/>
  <c r="AD187" i="6"/>
  <c r="AC187" i="6"/>
  <c r="AA187" i="6"/>
  <c r="W187" i="6"/>
  <c r="X187" i="6" s="1"/>
  <c r="U187" i="6"/>
  <c r="R187" i="6"/>
  <c r="O187" i="6"/>
  <c r="N187" i="6"/>
  <c r="L187" i="6"/>
  <c r="I187" i="6"/>
  <c r="H187" i="6"/>
  <c r="F187" i="6"/>
  <c r="C187" i="6"/>
  <c r="AD186" i="6"/>
  <c r="AC186" i="6"/>
  <c r="AA186" i="6"/>
  <c r="X186" i="6"/>
  <c r="W186" i="6"/>
  <c r="U186" i="6"/>
  <c r="R186" i="6"/>
  <c r="N186" i="6"/>
  <c r="O186" i="6" s="1"/>
  <c r="L186" i="6"/>
  <c r="H186" i="6"/>
  <c r="I186" i="6" s="1"/>
  <c r="F186" i="6"/>
  <c r="C186" i="6"/>
  <c r="AC184" i="6"/>
  <c r="AD184" i="6" s="1"/>
  <c r="AA184" i="6"/>
  <c r="X184" i="6"/>
  <c r="W184" i="6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W183" i="6"/>
  <c r="X183" i="6" s="1"/>
  <c r="U183" i="6"/>
  <c r="R183" i="6"/>
  <c r="N183" i="6"/>
  <c r="O183" i="6" s="1"/>
  <c r="L183" i="6"/>
  <c r="I183" i="6"/>
  <c r="H183" i="6"/>
  <c r="F183" i="6"/>
  <c r="C183" i="6"/>
  <c r="AA182" i="6"/>
  <c r="Z182" i="6"/>
  <c r="U182" i="6"/>
  <c r="T182" i="6"/>
  <c r="R182" i="6"/>
  <c r="Q182" i="6"/>
  <c r="K182" i="6"/>
  <c r="L182" i="6" s="1"/>
  <c r="H182" i="6"/>
  <c r="I182" i="6" s="1"/>
  <c r="F182" i="6"/>
  <c r="E182" i="6"/>
  <c r="C182" i="6"/>
  <c r="B182" i="6"/>
  <c r="AC181" i="6"/>
  <c r="AD181" i="6" s="1"/>
  <c r="AA181" i="6"/>
  <c r="X181" i="6"/>
  <c r="W181" i="6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W179" i="6"/>
  <c r="X179" i="6" s="1"/>
  <c r="U179" i="6"/>
  <c r="R179" i="6"/>
  <c r="O179" i="6"/>
  <c r="N179" i="6"/>
  <c r="L179" i="6"/>
  <c r="I179" i="6"/>
  <c r="H179" i="6"/>
  <c r="F179" i="6"/>
  <c r="C179" i="6"/>
  <c r="AC178" i="6"/>
  <c r="AD178" i="6" s="1"/>
  <c r="AA178" i="6"/>
  <c r="X178" i="6"/>
  <c r="W178" i="6"/>
  <c r="U178" i="6"/>
  <c r="R178" i="6"/>
  <c r="N178" i="6"/>
  <c r="O178" i="6" s="1"/>
  <c r="L178" i="6"/>
  <c r="H178" i="6"/>
  <c r="I178" i="6" s="1"/>
  <c r="F178" i="6"/>
  <c r="C178" i="6"/>
  <c r="AC177" i="6"/>
  <c r="AD177" i="6" s="1"/>
  <c r="AA177" i="6"/>
  <c r="X177" i="6"/>
  <c r="W177" i="6"/>
  <c r="U177" i="6"/>
  <c r="R177" i="6"/>
  <c r="N177" i="6"/>
  <c r="O177" i="6" s="1"/>
  <c r="L177" i="6"/>
  <c r="H177" i="6"/>
  <c r="I177" i="6" s="1"/>
  <c r="F177" i="6"/>
  <c r="C177" i="6"/>
  <c r="AD175" i="6"/>
  <c r="AC175" i="6"/>
  <c r="AA175" i="6"/>
  <c r="W175" i="6"/>
  <c r="X175" i="6" s="1"/>
  <c r="U175" i="6"/>
  <c r="R175" i="6"/>
  <c r="N175" i="6"/>
  <c r="O175" i="6" s="1"/>
  <c r="L175" i="6"/>
  <c r="I175" i="6"/>
  <c r="H175" i="6"/>
  <c r="F175" i="6"/>
  <c r="C175" i="6"/>
  <c r="T172" i="6"/>
  <c r="U172" i="6" s="1"/>
  <c r="Q172" i="6"/>
  <c r="Z171" i="6"/>
  <c r="AC171" i="6" s="1"/>
  <c r="AD171" i="6" s="1"/>
  <c r="W171" i="6"/>
  <c r="X171" i="6" s="1"/>
  <c r="U171" i="6"/>
  <c r="T171" i="6"/>
  <c r="Q171" i="6"/>
  <c r="R171" i="6" s="1"/>
  <c r="K171" i="6"/>
  <c r="N171" i="6" s="1"/>
  <c r="O171" i="6" s="1"/>
  <c r="I171" i="6"/>
  <c r="F171" i="6"/>
  <c r="E171" i="6"/>
  <c r="B171" i="6"/>
  <c r="H171" i="6" s="1"/>
  <c r="AA170" i="6"/>
  <c r="Z170" i="6"/>
  <c r="T170" i="6"/>
  <c r="U170" i="6" s="1"/>
  <c r="Q170" i="6"/>
  <c r="O170" i="6"/>
  <c r="L170" i="6"/>
  <c r="K170" i="6"/>
  <c r="H170" i="6"/>
  <c r="I170" i="6" s="1"/>
  <c r="E170" i="6"/>
  <c r="F170" i="6" s="1"/>
  <c r="C170" i="6"/>
  <c r="B170" i="6"/>
  <c r="N170" i="6" s="1"/>
  <c r="AC169" i="6"/>
  <c r="AD169" i="6" s="1"/>
  <c r="AA169" i="6"/>
  <c r="X169" i="6"/>
  <c r="W169" i="6"/>
  <c r="U169" i="6"/>
  <c r="R169" i="6"/>
  <c r="N169" i="6"/>
  <c r="O169" i="6" s="1"/>
  <c r="L169" i="6"/>
  <c r="I169" i="6"/>
  <c r="H169" i="6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I168" i="6"/>
  <c r="H168" i="6"/>
  <c r="F168" i="6"/>
  <c r="C168" i="6"/>
  <c r="AD167" i="6"/>
  <c r="AC167" i="6"/>
  <c r="AA167" i="6"/>
  <c r="W167" i="6"/>
  <c r="X167" i="6" s="1"/>
  <c r="U167" i="6"/>
  <c r="R167" i="6"/>
  <c r="O167" i="6"/>
  <c r="N167" i="6"/>
  <c r="L167" i="6"/>
  <c r="I167" i="6"/>
  <c r="H167" i="6"/>
  <c r="F167" i="6"/>
  <c r="C167" i="6"/>
  <c r="AD166" i="6"/>
  <c r="AC166" i="6"/>
  <c r="Z166" i="6"/>
  <c r="AA166" i="6" s="1"/>
  <c r="T166" i="6"/>
  <c r="U166" i="6" s="1"/>
  <c r="Q166" i="6"/>
  <c r="O166" i="6"/>
  <c r="L166" i="6"/>
  <c r="K166" i="6"/>
  <c r="E166" i="6"/>
  <c r="H166" i="6" s="1"/>
  <c r="I166" i="6" s="1"/>
  <c r="C166" i="6"/>
  <c r="B166" i="6"/>
  <c r="N166" i="6" s="1"/>
  <c r="AD165" i="6"/>
  <c r="AC165" i="6"/>
  <c r="AA165" i="6"/>
  <c r="W165" i="6"/>
  <c r="X165" i="6" s="1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W164" i="6"/>
  <c r="X164" i="6" s="1"/>
  <c r="U164" i="6"/>
  <c r="R164" i="6"/>
  <c r="N164" i="6"/>
  <c r="O164" i="6" s="1"/>
  <c r="L164" i="6"/>
  <c r="I164" i="6"/>
  <c r="H164" i="6"/>
  <c r="F164" i="6"/>
  <c r="C164" i="6"/>
  <c r="AD163" i="6"/>
  <c r="AC163" i="6"/>
  <c r="AA163" i="6"/>
  <c r="X163" i="6"/>
  <c r="W163" i="6"/>
  <c r="U163" i="6"/>
  <c r="R163" i="6"/>
  <c r="N163" i="6"/>
  <c r="O163" i="6" s="1"/>
  <c r="L163" i="6"/>
  <c r="H163" i="6"/>
  <c r="I163" i="6" s="1"/>
  <c r="F163" i="6"/>
  <c r="C163" i="6"/>
  <c r="AD162" i="6"/>
  <c r="AC162" i="6"/>
  <c r="AA162" i="6"/>
  <c r="W162" i="6"/>
  <c r="X162" i="6" s="1"/>
  <c r="U162" i="6"/>
  <c r="R162" i="6"/>
  <c r="N162" i="6"/>
  <c r="O162" i="6" s="1"/>
  <c r="L162" i="6"/>
  <c r="H162" i="6"/>
  <c r="I162" i="6" s="1"/>
  <c r="F162" i="6"/>
  <c r="C162" i="6"/>
  <c r="AD161" i="6"/>
  <c r="AC161" i="6"/>
  <c r="AA161" i="6"/>
  <c r="X161" i="6"/>
  <c r="W161" i="6"/>
  <c r="U161" i="6"/>
  <c r="R161" i="6"/>
  <c r="N161" i="6"/>
  <c r="O161" i="6" s="1"/>
  <c r="L161" i="6"/>
  <c r="I161" i="6"/>
  <c r="H161" i="6"/>
  <c r="F161" i="6"/>
  <c r="C161" i="6"/>
  <c r="AC160" i="6"/>
  <c r="AD160" i="6" s="1"/>
  <c r="AA160" i="6"/>
  <c r="W160" i="6"/>
  <c r="X160" i="6" s="1"/>
  <c r="U160" i="6"/>
  <c r="R160" i="6"/>
  <c r="N160" i="6"/>
  <c r="O160" i="6" s="1"/>
  <c r="L160" i="6"/>
  <c r="I160" i="6"/>
  <c r="H160" i="6"/>
  <c r="F160" i="6"/>
  <c r="C160" i="6"/>
  <c r="AA158" i="6"/>
  <c r="Z158" i="6"/>
  <c r="U158" i="6"/>
  <c r="T158" i="6"/>
  <c r="R158" i="6"/>
  <c r="Q158" i="6"/>
  <c r="N158" i="6"/>
  <c r="O158" i="6" s="1"/>
  <c r="L158" i="6"/>
  <c r="K158" i="6"/>
  <c r="E158" i="6"/>
  <c r="F158" i="6" s="1"/>
  <c r="C158" i="6"/>
  <c r="B158" i="6"/>
  <c r="AD157" i="6"/>
  <c r="AC157" i="6"/>
  <c r="AA157" i="6"/>
  <c r="W157" i="6"/>
  <c r="X157" i="6" s="1"/>
  <c r="U157" i="6"/>
  <c r="R157" i="6"/>
  <c r="O157" i="6"/>
  <c r="N157" i="6"/>
  <c r="L157" i="6"/>
  <c r="I157" i="6"/>
  <c r="H157" i="6"/>
  <c r="F157" i="6"/>
  <c r="C157" i="6"/>
  <c r="AC156" i="6"/>
  <c r="AD156" i="6" s="1"/>
  <c r="AA156" i="6"/>
  <c r="W156" i="6"/>
  <c r="X156" i="6" s="1"/>
  <c r="U156" i="6"/>
  <c r="R156" i="6"/>
  <c r="N156" i="6"/>
  <c r="O156" i="6" s="1"/>
  <c r="L156" i="6"/>
  <c r="I156" i="6"/>
  <c r="H156" i="6"/>
  <c r="F156" i="6"/>
  <c r="C156" i="6"/>
  <c r="AC155" i="6"/>
  <c r="AD155" i="6" s="1"/>
  <c r="AA155" i="6"/>
  <c r="X155" i="6"/>
  <c r="W155" i="6"/>
  <c r="U155" i="6"/>
  <c r="R155" i="6"/>
  <c r="O155" i="6"/>
  <c r="N155" i="6"/>
  <c r="L155" i="6"/>
  <c r="H155" i="6"/>
  <c r="I155" i="6" s="1"/>
  <c r="F155" i="6"/>
  <c r="C155" i="6"/>
  <c r="AC154" i="6"/>
  <c r="AD154" i="6" s="1"/>
  <c r="AA154" i="6"/>
  <c r="W154" i="6"/>
  <c r="X154" i="6" s="1"/>
  <c r="U154" i="6"/>
  <c r="R154" i="6"/>
  <c r="N154" i="6"/>
  <c r="O154" i="6" s="1"/>
  <c r="L154" i="6"/>
  <c r="I154" i="6"/>
  <c r="H154" i="6"/>
  <c r="F154" i="6"/>
  <c r="C154" i="6"/>
  <c r="AD153" i="6"/>
  <c r="AC153" i="6"/>
  <c r="AA153" i="6"/>
  <c r="W153" i="6"/>
  <c r="X153" i="6" s="1"/>
  <c r="U153" i="6"/>
  <c r="R153" i="6"/>
  <c r="N153" i="6"/>
  <c r="O153" i="6" s="1"/>
  <c r="L153" i="6"/>
  <c r="I153" i="6"/>
  <c r="H153" i="6"/>
  <c r="F153" i="6"/>
  <c r="C153" i="6"/>
  <c r="AC151" i="6"/>
  <c r="AD151" i="6" s="1"/>
  <c r="AA151" i="6"/>
  <c r="W151" i="6"/>
  <c r="X151" i="6" s="1"/>
  <c r="U151" i="6"/>
  <c r="R151" i="6"/>
  <c r="O151" i="6"/>
  <c r="N151" i="6"/>
  <c r="L151" i="6"/>
  <c r="I151" i="6"/>
  <c r="H151" i="6"/>
  <c r="F151" i="6"/>
  <c r="C151" i="6"/>
  <c r="AC149" i="6"/>
  <c r="AD149" i="6" s="1"/>
  <c r="Z149" i="6"/>
  <c r="AA149" i="6" s="1"/>
  <c r="T149" i="6"/>
  <c r="U149" i="6" s="1"/>
  <c r="R149" i="6"/>
  <c r="Q149" i="6"/>
  <c r="L149" i="6"/>
  <c r="K149" i="6"/>
  <c r="F149" i="6"/>
  <c r="E149" i="6"/>
  <c r="H149" i="6" s="1"/>
  <c r="I149" i="6" s="1"/>
  <c r="C149" i="6"/>
  <c r="B149" i="6"/>
  <c r="N149" i="6" s="1"/>
  <c r="O149" i="6" s="1"/>
  <c r="Z148" i="6"/>
  <c r="AA148" i="6" s="1"/>
  <c r="U148" i="6"/>
  <c r="T148" i="6"/>
  <c r="W148" i="6" s="1"/>
  <c r="X148" i="6" s="1"/>
  <c r="R148" i="6"/>
  <c r="Q148" i="6"/>
  <c r="AC148" i="6" s="1"/>
  <c r="AD148" i="6" s="1"/>
  <c r="K148" i="6"/>
  <c r="L148" i="6" s="1"/>
  <c r="I148" i="6"/>
  <c r="H148" i="6"/>
  <c r="F148" i="6"/>
  <c r="E148" i="6"/>
  <c r="B148" i="6"/>
  <c r="C148" i="6" s="1"/>
  <c r="AC147" i="6"/>
  <c r="AD147" i="6" s="1"/>
  <c r="AA147" i="6"/>
  <c r="X147" i="6"/>
  <c r="W147" i="6"/>
  <c r="U147" i="6"/>
  <c r="R147" i="6"/>
  <c r="N147" i="6"/>
  <c r="O147" i="6" s="1"/>
  <c r="L147" i="6"/>
  <c r="H147" i="6"/>
  <c r="I147" i="6" s="1"/>
  <c r="F147" i="6"/>
  <c r="C147" i="6"/>
  <c r="AC146" i="6"/>
  <c r="AD146" i="6" s="1"/>
  <c r="AA146" i="6"/>
  <c r="X146" i="6"/>
  <c r="W146" i="6"/>
  <c r="U146" i="6"/>
  <c r="R146" i="6"/>
  <c r="N146" i="6"/>
  <c r="O146" i="6" s="1"/>
  <c r="L146" i="6"/>
  <c r="H146" i="6"/>
  <c r="I146" i="6" s="1"/>
  <c r="F146" i="6"/>
  <c r="C146" i="6"/>
  <c r="AD145" i="6"/>
  <c r="AC145" i="6"/>
  <c r="AA145" i="6"/>
  <c r="W145" i="6"/>
  <c r="X145" i="6" s="1"/>
  <c r="U145" i="6"/>
  <c r="R145" i="6"/>
  <c r="N145" i="6"/>
  <c r="O145" i="6" s="1"/>
  <c r="L145" i="6"/>
  <c r="I145" i="6"/>
  <c r="H145" i="6"/>
  <c r="F145" i="6"/>
  <c r="C145" i="6"/>
  <c r="AC144" i="6"/>
  <c r="AD144" i="6" s="1"/>
  <c r="AA144" i="6"/>
  <c r="W144" i="6"/>
  <c r="X144" i="6" s="1"/>
  <c r="U144" i="6"/>
  <c r="R144" i="6"/>
  <c r="N144" i="6"/>
  <c r="O144" i="6" s="1"/>
  <c r="L144" i="6"/>
  <c r="I144" i="6"/>
  <c r="H144" i="6"/>
  <c r="F144" i="6"/>
  <c r="C144" i="6"/>
  <c r="AC143" i="6"/>
  <c r="AD143" i="6" s="1"/>
  <c r="AA143" i="6"/>
  <c r="X143" i="6"/>
  <c r="W143" i="6"/>
  <c r="U143" i="6"/>
  <c r="R143" i="6"/>
  <c r="O143" i="6"/>
  <c r="N143" i="6"/>
  <c r="L143" i="6"/>
  <c r="H143" i="6"/>
  <c r="I143" i="6" s="1"/>
  <c r="F143" i="6"/>
  <c r="C143" i="6"/>
  <c r="AA141" i="6"/>
  <c r="Z141" i="6"/>
  <c r="U141" i="6"/>
  <c r="T141" i="6"/>
  <c r="Q141" i="6"/>
  <c r="N141" i="6"/>
  <c r="O141" i="6" s="1"/>
  <c r="K141" i="6"/>
  <c r="L141" i="6" s="1"/>
  <c r="F141" i="6"/>
  <c r="E141" i="6"/>
  <c r="C141" i="6"/>
  <c r="B141" i="6"/>
  <c r="H141" i="6" s="1"/>
  <c r="I141" i="6" s="1"/>
  <c r="AD140" i="6"/>
  <c r="AC140" i="6"/>
  <c r="AA140" i="6"/>
  <c r="W140" i="6"/>
  <c r="X140" i="6" s="1"/>
  <c r="U140" i="6"/>
  <c r="R140" i="6"/>
  <c r="O140" i="6"/>
  <c r="N140" i="6"/>
  <c r="L140" i="6"/>
  <c r="I140" i="6"/>
  <c r="H140" i="6"/>
  <c r="F140" i="6"/>
  <c r="C140" i="6"/>
  <c r="AC139" i="6"/>
  <c r="AD139" i="6" s="1"/>
  <c r="AA139" i="6"/>
  <c r="W139" i="6"/>
  <c r="X139" i="6" s="1"/>
  <c r="U139" i="6"/>
  <c r="R139" i="6"/>
  <c r="O139" i="6"/>
  <c r="N139" i="6"/>
  <c r="L139" i="6"/>
  <c r="I139" i="6"/>
  <c r="H139" i="6"/>
  <c r="F139" i="6"/>
  <c r="C139" i="6"/>
  <c r="AC138" i="6"/>
  <c r="AD138" i="6" s="1"/>
  <c r="AA138" i="6"/>
  <c r="X138" i="6"/>
  <c r="W138" i="6"/>
  <c r="U138" i="6"/>
  <c r="R138" i="6"/>
  <c r="N138" i="6"/>
  <c r="O138" i="6" s="1"/>
  <c r="L138" i="6"/>
  <c r="I138" i="6"/>
  <c r="H138" i="6"/>
  <c r="F138" i="6"/>
  <c r="C138" i="6"/>
  <c r="AD137" i="6"/>
  <c r="AC137" i="6"/>
  <c r="AA137" i="6"/>
  <c r="W137" i="6"/>
  <c r="X137" i="6" s="1"/>
  <c r="U137" i="6"/>
  <c r="R137" i="6"/>
  <c r="O137" i="6"/>
  <c r="N137" i="6"/>
  <c r="L137" i="6"/>
  <c r="H137" i="6"/>
  <c r="I137" i="6" s="1"/>
  <c r="F137" i="6"/>
  <c r="C137" i="6"/>
  <c r="AC136" i="6"/>
  <c r="AD136" i="6" s="1"/>
  <c r="AA136" i="6"/>
  <c r="W136" i="6"/>
  <c r="X136" i="6" s="1"/>
  <c r="U136" i="6"/>
  <c r="R136" i="6"/>
  <c r="O136" i="6"/>
  <c r="N136" i="6"/>
  <c r="L136" i="6"/>
  <c r="I136" i="6"/>
  <c r="H136" i="6"/>
  <c r="F136" i="6"/>
  <c r="C136" i="6"/>
  <c r="AC135" i="6"/>
  <c r="AD135" i="6" s="1"/>
  <c r="AA135" i="6"/>
  <c r="X135" i="6"/>
  <c r="W135" i="6"/>
  <c r="U135" i="6"/>
  <c r="R135" i="6"/>
  <c r="N135" i="6"/>
  <c r="O135" i="6" s="1"/>
  <c r="L135" i="6"/>
  <c r="H135" i="6"/>
  <c r="I135" i="6" s="1"/>
  <c r="F135" i="6"/>
  <c r="C135" i="6"/>
  <c r="AC134" i="6"/>
  <c r="AD134" i="6" s="1"/>
  <c r="AA134" i="6"/>
  <c r="X134" i="6"/>
  <c r="W134" i="6"/>
  <c r="U134" i="6"/>
  <c r="R134" i="6"/>
  <c r="N134" i="6"/>
  <c r="O134" i="6" s="1"/>
  <c r="L134" i="6"/>
  <c r="I134" i="6"/>
  <c r="H134" i="6"/>
  <c r="F134" i="6"/>
  <c r="C134" i="6"/>
  <c r="AD133" i="6"/>
  <c r="AC133" i="6"/>
  <c r="AA133" i="6"/>
  <c r="W133" i="6"/>
  <c r="X133" i="6" s="1"/>
  <c r="U133" i="6"/>
  <c r="R133" i="6"/>
  <c r="N133" i="6"/>
  <c r="O133" i="6" s="1"/>
  <c r="L133" i="6"/>
  <c r="H133" i="6"/>
  <c r="I133" i="6" s="1"/>
  <c r="F133" i="6"/>
  <c r="C133" i="6"/>
  <c r="AD132" i="6"/>
  <c r="AC132" i="6"/>
  <c r="AA132" i="6"/>
  <c r="W132" i="6"/>
  <c r="X132" i="6" s="1"/>
  <c r="U132" i="6"/>
  <c r="R132" i="6"/>
  <c r="N132" i="6"/>
  <c r="O132" i="6" s="1"/>
  <c r="L132" i="6"/>
  <c r="I132" i="6"/>
  <c r="H132" i="6"/>
  <c r="F132" i="6"/>
  <c r="C132" i="6"/>
  <c r="AD131" i="6"/>
  <c r="AC131" i="6"/>
  <c r="AA131" i="6"/>
  <c r="X131" i="6"/>
  <c r="W131" i="6"/>
  <c r="U131" i="6"/>
  <c r="R131" i="6"/>
  <c r="O131" i="6"/>
  <c r="N131" i="6"/>
  <c r="L131" i="6"/>
  <c r="I131" i="6"/>
  <c r="H131" i="6"/>
  <c r="F131" i="6"/>
  <c r="C131" i="6"/>
  <c r="AD130" i="6"/>
  <c r="AC130" i="6"/>
  <c r="AA130" i="6"/>
  <c r="W130" i="6"/>
  <c r="X130" i="6" s="1"/>
  <c r="U130" i="6"/>
  <c r="R130" i="6"/>
  <c r="N130" i="6"/>
  <c r="O130" i="6" s="1"/>
  <c r="L130" i="6"/>
  <c r="I130" i="6"/>
  <c r="H130" i="6"/>
  <c r="F130" i="6"/>
  <c r="C130" i="6"/>
  <c r="AD129" i="6"/>
  <c r="AC129" i="6"/>
  <c r="AA129" i="6"/>
  <c r="X129" i="6"/>
  <c r="W129" i="6"/>
  <c r="U129" i="6"/>
  <c r="R129" i="6"/>
  <c r="O129" i="6"/>
  <c r="N129" i="6"/>
  <c r="L129" i="6"/>
  <c r="H129" i="6"/>
  <c r="I129" i="6" s="1"/>
  <c r="F129" i="6"/>
  <c r="C129" i="6"/>
  <c r="AC127" i="6"/>
  <c r="AD127" i="6" s="1"/>
  <c r="AA127" i="6"/>
  <c r="W127" i="6"/>
  <c r="X127" i="6" s="1"/>
  <c r="U127" i="6"/>
  <c r="R127" i="6"/>
  <c r="N127" i="6"/>
  <c r="O127" i="6" s="1"/>
  <c r="L127" i="6"/>
  <c r="I127" i="6"/>
  <c r="H127" i="6"/>
  <c r="F127" i="6"/>
  <c r="C127" i="6"/>
  <c r="AA124" i="6"/>
  <c r="Z124" i="6"/>
  <c r="U124" i="6"/>
  <c r="T124" i="6"/>
  <c r="Q124" i="6"/>
  <c r="AC124" i="6" s="1"/>
  <c r="AD124" i="6" s="1"/>
  <c r="K124" i="6"/>
  <c r="E124" i="6"/>
  <c r="E172" i="6" s="1"/>
  <c r="F172" i="6" s="1"/>
  <c r="C124" i="6"/>
  <c r="B124" i="6"/>
  <c r="AD123" i="6"/>
  <c r="AC123" i="6"/>
  <c r="AA123" i="6"/>
  <c r="W123" i="6"/>
  <c r="X123" i="6" s="1"/>
  <c r="U123" i="6"/>
  <c r="R123" i="6"/>
  <c r="O123" i="6"/>
  <c r="N123" i="6"/>
  <c r="L123" i="6"/>
  <c r="I123" i="6"/>
  <c r="H123" i="6"/>
  <c r="F123" i="6"/>
  <c r="C123" i="6"/>
  <c r="AC122" i="6"/>
  <c r="AD122" i="6" s="1"/>
  <c r="AA122" i="6"/>
  <c r="Z122" i="6"/>
  <c r="X122" i="6"/>
  <c r="U122" i="6"/>
  <c r="T122" i="6"/>
  <c r="Q122" i="6"/>
  <c r="W122" i="6" s="1"/>
  <c r="L122" i="6"/>
  <c r="K122" i="6"/>
  <c r="I122" i="6"/>
  <c r="E122" i="6"/>
  <c r="F122" i="6" s="1"/>
  <c r="C122" i="6"/>
  <c r="B122" i="6"/>
  <c r="H122" i="6" s="1"/>
  <c r="AD121" i="6"/>
  <c r="AC121" i="6"/>
  <c r="AA121" i="6"/>
  <c r="W121" i="6"/>
  <c r="X121" i="6" s="1"/>
  <c r="U121" i="6"/>
  <c r="R121" i="6"/>
  <c r="O121" i="6"/>
  <c r="N121" i="6"/>
  <c r="L121" i="6"/>
  <c r="I121" i="6"/>
  <c r="H121" i="6"/>
  <c r="F121" i="6"/>
  <c r="C121" i="6"/>
  <c r="AD120" i="6"/>
  <c r="AC120" i="6"/>
  <c r="AA120" i="6"/>
  <c r="W120" i="6"/>
  <c r="X120" i="6" s="1"/>
  <c r="U120" i="6"/>
  <c r="R120" i="6"/>
  <c r="N120" i="6"/>
  <c r="O120" i="6" s="1"/>
  <c r="L120" i="6"/>
  <c r="I120" i="6"/>
  <c r="H120" i="6"/>
  <c r="F120" i="6"/>
  <c r="C120" i="6"/>
  <c r="AC119" i="6"/>
  <c r="AD119" i="6" s="1"/>
  <c r="AA119" i="6"/>
  <c r="W119" i="6"/>
  <c r="X119" i="6" s="1"/>
  <c r="U119" i="6"/>
  <c r="R119" i="6"/>
  <c r="O119" i="6"/>
  <c r="N119" i="6"/>
  <c r="L119" i="6"/>
  <c r="H119" i="6"/>
  <c r="I119" i="6" s="1"/>
  <c r="F119" i="6"/>
  <c r="C119" i="6"/>
  <c r="AC118" i="6"/>
  <c r="AD118" i="6" s="1"/>
  <c r="Z118" i="6"/>
  <c r="AA118" i="6" s="1"/>
  <c r="W118" i="6"/>
  <c r="X118" i="6" s="1"/>
  <c r="U118" i="6"/>
  <c r="T118" i="6"/>
  <c r="Q118" i="6"/>
  <c r="R118" i="6" s="1"/>
  <c r="K118" i="6"/>
  <c r="F118" i="6"/>
  <c r="E118" i="6"/>
  <c r="C118" i="6"/>
  <c r="B118" i="6"/>
  <c r="AC117" i="6"/>
  <c r="AD117" i="6" s="1"/>
  <c r="AA117" i="6"/>
  <c r="W117" i="6"/>
  <c r="X117" i="6" s="1"/>
  <c r="U117" i="6"/>
  <c r="R117" i="6"/>
  <c r="O117" i="6"/>
  <c r="N117" i="6"/>
  <c r="L117" i="6"/>
  <c r="I117" i="6"/>
  <c r="H117" i="6"/>
  <c r="F117" i="6"/>
  <c r="C117" i="6"/>
  <c r="AC116" i="6"/>
  <c r="AD116" i="6" s="1"/>
  <c r="AA116" i="6"/>
  <c r="W116" i="6"/>
  <c r="X116" i="6" s="1"/>
  <c r="U116" i="6"/>
  <c r="R116" i="6"/>
  <c r="O116" i="6"/>
  <c r="N116" i="6"/>
  <c r="L116" i="6"/>
  <c r="H116" i="6"/>
  <c r="I116" i="6" s="1"/>
  <c r="F116" i="6"/>
  <c r="C116" i="6"/>
  <c r="AD115" i="6"/>
  <c r="AC115" i="6"/>
  <c r="AA115" i="6"/>
  <c r="X115" i="6"/>
  <c r="W115" i="6"/>
  <c r="U115" i="6"/>
  <c r="R115" i="6"/>
  <c r="N115" i="6"/>
  <c r="O115" i="6" s="1"/>
  <c r="L115" i="6"/>
  <c r="I115" i="6"/>
  <c r="H115" i="6"/>
  <c r="F115" i="6"/>
  <c r="C115" i="6"/>
  <c r="AD114" i="6"/>
  <c r="AC114" i="6"/>
  <c r="AA114" i="6"/>
  <c r="X114" i="6"/>
  <c r="W114" i="6"/>
  <c r="U114" i="6"/>
  <c r="R114" i="6"/>
  <c r="N114" i="6"/>
  <c r="O114" i="6" s="1"/>
  <c r="L114" i="6"/>
  <c r="I114" i="6"/>
  <c r="H114" i="6"/>
  <c r="F114" i="6"/>
  <c r="C114" i="6"/>
  <c r="AD113" i="6"/>
  <c r="AC113" i="6"/>
  <c r="AA113" i="6"/>
  <c r="W113" i="6"/>
  <c r="X113" i="6" s="1"/>
  <c r="U113" i="6"/>
  <c r="R113" i="6"/>
  <c r="O113" i="6"/>
  <c r="N113" i="6"/>
  <c r="L113" i="6"/>
  <c r="I113" i="6"/>
  <c r="H113" i="6"/>
  <c r="F113" i="6"/>
  <c r="C113" i="6"/>
  <c r="AC112" i="6"/>
  <c r="AD112" i="6" s="1"/>
  <c r="AA112" i="6"/>
  <c r="X112" i="6"/>
  <c r="W112" i="6"/>
  <c r="U112" i="6"/>
  <c r="R112" i="6"/>
  <c r="O112" i="6"/>
  <c r="N112" i="6"/>
  <c r="L112" i="6"/>
  <c r="H112" i="6"/>
  <c r="I112" i="6" s="1"/>
  <c r="F112" i="6"/>
  <c r="C112" i="6"/>
  <c r="AC111" i="6"/>
  <c r="AD111" i="6" s="1"/>
  <c r="AA111" i="6"/>
  <c r="X111" i="6"/>
  <c r="W111" i="6"/>
  <c r="U111" i="6"/>
  <c r="R111" i="6"/>
  <c r="N111" i="6"/>
  <c r="O111" i="6" s="1"/>
  <c r="L111" i="6"/>
  <c r="H111" i="6"/>
  <c r="I111" i="6" s="1"/>
  <c r="F111" i="6"/>
  <c r="C111" i="6"/>
  <c r="AD110" i="6"/>
  <c r="AC110" i="6"/>
  <c r="AA110" i="6"/>
  <c r="W110" i="6"/>
  <c r="X110" i="6" s="1"/>
  <c r="U110" i="6"/>
  <c r="R110" i="6"/>
  <c r="N110" i="6"/>
  <c r="O110" i="6" s="1"/>
  <c r="L110" i="6"/>
  <c r="H110" i="6"/>
  <c r="I110" i="6" s="1"/>
  <c r="F110" i="6"/>
  <c r="C110" i="6"/>
  <c r="AD109" i="6"/>
  <c r="AC109" i="6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C108" i="6"/>
  <c r="AD108" i="6" s="1"/>
  <c r="AA108" i="6"/>
  <c r="X108" i="6"/>
  <c r="W108" i="6"/>
  <c r="U108" i="6"/>
  <c r="R108" i="6"/>
  <c r="N108" i="6"/>
  <c r="O108" i="6" s="1"/>
  <c r="L108" i="6"/>
  <c r="I108" i="6"/>
  <c r="H108" i="6"/>
  <c r="F108" i="6"/>
  <c r="C108" i="6"/>
  <c r="AC107" i="6"/>
  <c r="AD107" i="6" s="1"/>
  <c r="AA107" i="6"/>
  <c r="X107" i="6"/>
  <c r="W107" i="6"/>
  <c r="U107" i="6"/>
  <c r="R107" i="6"/>
  <c r="N107" i="6"/>
  <c r="O107" i="6" s="1"/>
  <c r="L107" i="6"/>
  <c r="H107" i="6"/>
  <c r="I107" i="6" s="1"/>
  <c r="F107" i="6"/>
  <c r="C107" i="6"/>
  <c r="AD106" i="6"/>
  <c r="AC106" i="6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C105" i="6"/>
  <c r="AD105" i="6" s="1"/>
  <c r="AA105" i="6"/>
  <c r="W105" i="6"/>
  <c r="X105" i="6" s="1"/>
  <c r="U105" i="6"/>
  <c r="R105" i="6"/>
  <c r="N105" i="6"/>
  <c r="O105" i="6" s="1"/>
  <c r="L105" i="6"/>
  <c r="I105" i="6"/>
  <c r="H105" i="6"/>
  <c r="F105" i="6"/>
  <c r="C105" i="6"/>
  <c r="AC104" i="6"/>
  <c r="AD104" i="6" s="1"/>
  <c r="AA104" i="6"/>
  <c r="X104" i="6"/>
  <c r="W104" i="6"/>
  <c r="U104" i="6"/>
  <c r="R104" i="6"/>
  <c r="O104" i="6"/>
  <c r="N104" i="6"/>
  <c r="L104" i="6"/>
  <c r="H104" i="6"/>
  <c r="I104" i="6" s="1"/>
  <c r="F104" i="6"/>
  <c r="C104" i="6"/>
  <c r="AC103" i="6"/>
  <c r="AD103" i="6" s="1"/>
  <c r="AA103" i="6"/>
  <c r="W103" i="6"/>
  <c r="X103" i="6" s="1"/>
  <c r="U103" i="6"/>
  <c r="R103" i="6"/>
  <c r="N103" i="6"/>
  <c r="O103" i="6" s="1"/>
  <c r="L103" i="6"/>
  <c r="I103" i="6"/>
  <c r="H103" i="6"/>
  <c r="F103" i="6"/>
  <c r="C103" i="6"/>
  <c r="AD102" i="6"/>
  <c r="AC102" i="6"/>
  <c r="AA102" i="6"/>
  <c r="W102" i="6"/>
  <c r="X102" i="6" s="1"/>
  <c r="U102" i="6"/>
  <c r="R102" i="6"/>
  <c r="N102" i="6"/>
  <c r="O102" i="6" s="1"/>
  <c r="L102" i="6"/>
  <c r="I102" i="6"/>
  <c r="H102" i="6"/>
  <c r="F102" i="6"/>
  <c r="C102" i="6"/>
  <c r="AC101" i="6"/>
  <c r="AD101" i="6" s="1"/>
  <c r="AA101" i="6"/>
  <c r="W101" i="6"/>
  <c r="X101" i="6" s="1"/>
  <c r="U101" i="6"/>
  <c r="R101" i="6"/>
  <c r="O101" i="6"/>
  <c r="N101" i="6"/>
  <c r="L101" i="6"/>
  <c r="I101" i="6"/>
  <c r="H101" i="6"/>
  <c r="F101" i="6"/>
  <c r="C101" i="6"/>
  <c r="AC100" i="6"/>
  <c r="AD100" i="6" s="1"/>
  <c r="AA100" i="6"/>
  <c r="W100" i="6"/>
  <c r="X100" i="6" s="1"/>
  <c r="U100" i="6"/>
  <c r="R100" i="6"/>
  <c r="O100" i="6"/>
  <c r="N100" i="6"/>
  <c r="L100" i="6"/>
  <c r="H100" i="6"/>
  <c r="I100" i="6" s="1"/>
  <c r="F100" i="6"/>
  <c r="C100" i="6"/>
  <c r="AC99" i="6"/>
  <c r="AD99" i="6" s="1"/>
  <c r="AA99" i="6"/>
  <c r="X99" i="6"/>
  <c r="W99" i="6"/>
  <c r="U99" i="6"/>
  <c r="R99" i="6"/>
  <c r="N99" i="6"/>
  <c r="O99" i="6" s="1"/>
  <c r="L99" i="6"/>
  <c r="H99" i="6"/>
  <c r="I99" i="6" s="1"/>
  <c r="F99" i="6"/>
  <c r="C99" i="6"/>
  <c r="AD98" i="6"/>
  <c r="AC98" i="6"/>
  <c r="AA98" i="6"/>
  <c r="W98" i="6"/>
  <c r="X98" i="6" s="1"/>
  <c r="U98" i="6"/>
  <c r="R98" i="6"/>
  <c r="N98" i="6"/>
  <c r="O98" i="6" s="1"/>
  <c r="L98" i="6"/>
  <c r="I98" i="6"/>
  <c r="H98" i="6"/>
  <c r="F98" i="6"/>
  <c r="C98" i="6"/>
  <c r="AD97" i="6"/>
  <c r="AC97" i="6"/>
  <c r="AA97" i="6"/>
  <c r="W97" i="6"/>
  <c r="X97" i="6" s="1"/>
  <c r="U97" i="6"/>
  <c r="R97" i="6"/>
  <c r="N97" i="6"/>
  <c r="O97" i="6" s="1"/>
  <c r="L97" i="6"/>
  <c r="I97" i="6"/>
  <c r="H97" i="6"/>
  <c r="F97" i="6"/>
  <c r="C97" i="6"/>
  <c r="AD96" i="6"/>
  <c r="AC96" i="6"/>
  <c r="AA96" i="6"/>
  <c r="X96" i="6"/>
  <c r="W96" i="6"/>
  <c r="U96" i="6"/>
  <c r="R96" i="6"/>
  <c r="O96" i="6"/>
  <c r="N96" i="6"/>
  <c r="L96" i="6"/>
  <c r="H96" i="6"/>
  <c r="I96" i="6" s="1"/>
  <c r="F96" i="6"/>
  <c r="C96" i="6"/>
  <c r="AC95" i="6"/>
  <c r="AD95" i="6" s="1"/>
  <c r="AA95" i="6"/>
  <c r="X95" i="6"/>
  <c r="W95" i="6"/>
  <c r="U95" i="6"/>
  <c r="R95" i="6"/>
  <c r="N95" i="6"/>
  <c r="O95" i="6" s="1"/>
  <c r="L95" i="6"/>
  <c r="I95" i="6"/>
  <c r="H95" i="6"/>
  <c r="F95" i="6"/>
  <c r="C95" i="6"/>
  <c r="AD94" i="6"/>
  <c r="AC94" i="6"/>
  <c r="AA94" i="6"/>
  <c r="W94" i="6"/>
  <c r="X94" i="6" s="1"/>
  <c r="U94" i="6"/>
  <c r="R94" i="6"/>
  <c r="O94" i="6"/>
  <c r="N94" i="6"/>
  <c r="L94" i="6"/>
  <c r="H94" i="6"/>
  <c r="I94" i="6" s="1"/>
  <c r="F94" i="6"/>
  <c r="C94" i="6"/>
  <c r="AD92" i="6"/>
  <c r="AC92" i="6"/>
  <c r="AA92" i="6"/>
  <c r="W92" i="6"/>
  <c r="X92" i="6" s="1"/>
  <c r="U92" i="6"/>
  <c r="R92" i="6"/>
  <c r="O92" i="6"/>
  <c r="N92" i="6"/>
  <c r="L92" i="6"/>
  <c r="I92" i="6"/>
  <c r="H92" i="6"/>
  <c r="F92" i="6"/>
  <c r="C92" i="6"/>
  <c r="AC91" i="6"/>
  <c r="AD91" i="6" s="1"/>
  <c r="AA91" i="6"/>
  <c r="W91" i="6"/>
  <c r="X91" i="6" s="1"/>
  <c r="U91" i="6"/>
  <c r="R91" i="6"/>
  <c r="N91" i="6"/>
  <c r="O91" i="6" s="1"/>
  <c r="L91" i="6"/>
  <c r="I91" i="6"/>
  <c r="H91" i="6"/>
  <c r="F91" i="6"/>
  <c r="C91" i="6"/>
  <c r="AC90" i="6"/>
  <c r="AD90" i="6" s="1"/>
  <c r="AA90" i="6"/>
  <c r="W90" i="6"/>
  <c r="X90" i="6" s="1"/>
  <c r="U90" i="6"/>
  <c r="R90" i="6"/>
  <c r="N90" i="6"/>
  <c r="O90" i="6" s="1"/>
  <c r="L90" i="6"/>
  <c r="H90" i="6"/>
  <c r="I90" i="6" s="1"/>
  <c r="F90" i="6"/>
  <c r="C90" i="6"/>
  <c r="AD89" i="6"/>
  <c r="AC89" i="6"/>
  <c r="AA89" i="6"/>
  <c r="W89" i="6"/>
  <c r="X89" i="6" s="1"/>
  <c r="U89" i="6"/>
  <c r="R89" i="6"/>
  <c r="O89" i="6"/>
  <c r="N89" i="6"/>
  <c r="L89" i="6"/>
  <c r="I89" i="6"/>
  <c r="H89" i="6"/>
  <c r="F89" i="6"/>
  <c r="C89" i="6"/>
  <c r="AA88" i="6"/>
  <c r="Z88" i="6"/>
  <c r="T88" i="6"/>
  <c r="U88" i="6" s="1"/>
  <c r="Q88" i="6"/>
  <c r="L88" i="6"/>
  <c r="K88" i="6"/>
  <c r="E88" i="6"/>
  <c r="C88" i="6"/>
  <c r="B88" i="6"/>
  <c r="N88" i="6" s="1"/>
  <c r="O88" i="6" s="1"/>
  <c r="AC87" i="6"/>
  <c r="AD87" i="6" s="1"/>
  <c r="AA87" i="6"/>
  <c r="W87" i="6"/>
  <c r="X87" i="6" s="1"/>
  <c r="U87" i="6"/>
  <c r="R87" i="6"/>
  <c r="N87" i="6"/>
  <c r="O87" i="6" s="1"/>
  <c r="L87" i="6"/>
  <c r="I87" i="6"/>
  <c r="H87" i="6"/>
  <c r="F87" i="6"/>
  <c r="C87" i="6"/>
  <c r="AD86" i="6"/>
  <c r="AC86" i="6"/>
  <c r="AA86" i="6"/>
  <c r="X86" i="6"/>
  <c r="W86" i="6"/>
  <c r="U86" i="6"/>
  <c r="R86" i="6"/>
  <c r="N86" i="6"/>
  <c r="O86" i="6" s="1"/>
  <c r="L86" i="6"/>
  <c r="H86" i="6"/>
  <c r="I86" i="6" s="1"/>
  <c r="F86" i="6"/>
  <c r="C86" i="6"/>
  <c r="AC85" i="6"/>
  <c r="AD85" i="6" s="1"/>
  <c r="AA85" i="6"/>
  <c r="W85" i="6"/>
  <c r="X85" i="6" s="1"/>
  <c r="U85" i="6"/>
  <c r="R85" i="6"/>
  <c r="O85" i="6"/>
  <c r="N85" i="6"/>
  <c r="L85" i="6"/>
  <c r="I85" i="6"/>
  <c r="H85" i="6"/>
  <c r="F85" i="6"/>
  <c r="C85" i="6"/>
  <c r="AC84" i="6"/>
  <c r="AD84" i="6" s="1"/>
  <c r="AA84" i="6"/>
  <c r="W84" i="6"/>
  <c r="X84" i="6" s="1"/>
  <c r="U84" i="6"/>
  <c r="R84" i="6"/>
  <c r="O84" i="6"/>
  <c r="N84" i="6"/>
  <c r="L84" i="6"/>
  <c r="H84" i="6"/>
  <c r="I84" i="6" s="1"/>
  <c r="F84" i="6"/>
  <c r="C84" i="6"/>
  <c r="AD83" i="6"/>
  <c r="AC83" i="6"/>
  <c r="AA83" i="6"/>
  <c r="X83" i="6"/>
  <c r="W83" i="6"/>
  <c r="U83" i="6"/>
  <c r="R83" i="6"/>
  <c r="N83" i="6"/>
  <c r="O83" i="6" s="1"/>
  <c r="L83" i="6"/>
  <c r="I83" i="6"/>
  <c r="H83" i="6"/>
  <c r="F83" i="6"/>
  <c r="C83" i="6"/>
  <c r="AD82" i="6"/>
  <c r="AC82" i="6"/>
  <c r="AA82" i="6"/>
  <c r="X82" i="6"/>
  <c r="W82" i="6"/>
  <c r="U82" i="6"/>
  <c r="R82" i="6"/>
  <c r="N82" i="6"/>
  <c r="O82" i="6" s="1"/>
  <c r="L82" i="6"/>
  <c r="I82" i="6"/>
  <c r="H82" i="6"/>
  <c r="F82" i="6"/>
  <c r="C82" i="6"/>
  <c r="AD81" i="6"/>
  <c r="AC81" i="6"/>
  <c r="AA81" i="6"/>
  <c r="W81" i="6"/>
  <c r="X81" i="6" s="1"/>
  <c r="U81" i="6"/>
  <c r="R81" i="6"/>
  <c r="O81" i="6"/>
  <c r="N81" i="6"/>
  <c r="L81" i="6"/>
  <c r="I81" i="6"/>
  <c r="H81" i="6"/>
  <c r="F81" i="6"/>
  <c r="C81" i="6"/>
  <c r="AC80" i="6"/>
  <c r="AD80" i="6" s="1"/>
  <c r="AA80" i="6"/>
  <c r="X80" i="6"/>
  <c r="W80" i="6"/>
  <c r="U80" i="6"/>
  <c r="R80" i="6"/>
  <c r="O80" i="6"/>
  <c r="N80" i="6"/>
  <c r="L80" i="6"/>
  <c r="I80" i="6"/>
  <c r="H80" i="6"/>
  <c r="F80" i="6"/>
  <c r="C80" i="6"/>
  <c r="AC79" i="6"/>
  <c r="AD79" i="6" s="1"/>
  <c r="AA79" i="6"/>
  <c r="W79" i="6"/>
  <c r="X79" i="6" s="1"/>
  <c r="U79" i="6"/>
  <c r="R79" i="6"/>
  <c r="N79" i="6"/>
  <c r="O79" i="6" s="1"/>
  <c r="L79" i="6"/>
  <c r="I79" i="6"/>
  <c r="H79" i="6"/>
  <c r="F79" i="6"/>
  <c r="C79" i="6"/>
  <c r="AD78" i="6"/>
  <c r="AC78" i="6"/>
  <c r="AA78" i="6"/>
  <c r="W78" i="6"/>
  <c r="X78" i="6" s="1"/>
  <c r="U78" i="6"/>
  <c r="R78" i="6"/>
  <c r="N78" i="6"/>
  <c r="O78" i="6" s="1"/>
  <c r="L78" i="6"/>
  <c r="H78" i="6"/>
  <c r="I78" i="6" s="1"/>
  <c r="F78" i="6"/>
  <c r="C78" i="6"/>
  <c r="AD77" i="6"/>
  <c r="AC77" i="6"/>
  <c r="AA77" i="6"/>
  <c r="W77" i="6"/>
  <c r="X77" i="6" s="1"/>
  <c r="U77" i="6"/>
  <c r="R77" i="6"/>
  <c r="N77" i="6"/>
  <c r="O77" i="6" s="1"/>
  <c r="L77" i="6"/>
  <c r="I77" i="6"/>
  <c r="H77" i="6"/>
  <c r="F77" i="6"/>
  <c r="C77" i="6"/>
  <c r="AC76" i="6"/>
  <c r="AD76" i="6" s="1"/>
  <c r="AA76" i="6"/>
  <c r="W76" i="6"/>
  <c r="X76" i="6" s="1"/>
  <c r="U76" i="6"/>
  <c r="R76" i="6"/>
  <c r="N76" i="6"/>
  <c r="O76" i="6" s="1"/>
  <c r="L76" i="6"/>
  <c r="I76" i="6"/>
  <c r="H76" i="6"/>
  <c r="F76" i="6"/>
  <c r="C76" i="6"/>
  <c r="AC75" i="6"/>
  <c r="AD75" i="6" s="1"/>
  <c r="AA75" i="6"/>
  <c r="X75" i="6"/>
  <c r="W75" i="6"/>
  <c r="U75" i="6"/>
  <c r="R75" i="6"/>
  <c r="N75" i="6"/>
  <c r="O75" i="6" s="1"/>
  <c r="L75" i="6"/>
  <c r="H75" i="6"/>
  <c r="I75" i="6" s="1"/>
  <c r="F75" i="6"/>
  <c r="C75" i="6"/>
  <c r="AA73" i="6"/>
  <c r="Z73" i="6"/>
  <c r="T73" i="6"/>
  <c r="R73" i="6"/>
  <c r="Q73" i="6"/>
  <c r="AC73" i="6" s="1"/>
  <c r="AD73" i="6" s="1"/>
  <c r="N73" i="6"/>
  <c r="O73" i="6" s="1"/>
  <c r="K73" i="6"/>
  <c r="L73" i="6" s="1"/>
  <c r="F73" i="6"/>
  <c r="E73" i="6"/>
  <c r="C73" i="6"/>
  <c r="B73" i="6"/>
  <c r="H73" i="6" s="1"/>
  <c r="I73" i="6" s="1"/>
  <c r="AC72" i="6"/>
  <c r="AD72" i="6" s="1"/>
  <c r="AA72" i="6"/>
  <c r="X72" i="6"/>
  <c r="W72" i="6"/>
  <c r="U72" i="6"/>
  <c r="R72" i="6"/>
  <c r="O72" i="6"/>
  <c r="N72" i="6"/>
  <c r="L72" i="6"/>
  <c r="H72" i="6"/>
  <c r="I72" i="6" s="1"/>
  <c r="F72" i="6"/>
  <c r="C72" i="6"/>
  <c r="AC71" i="6"/>
  <c r="AD71" i="6" s="1"/>
  <c r="AA71" i="6"/>
  <c r="W71" i="6"/>
  <c r="X71" i="6" s="1"/>
  <c r="U71" i="6"/>
  <c r="R71" i="6"/>
  <c r="N71" i="6"/>
  <c r="O71" i="6" s="1"/>
  <c r="L71" i="6"/>
  <c r="I71" i="6"/>
  <c r="H71" i="6"/>
  <c r="F71" i="6"/>
  <c r="C71" i="6"/>
  <c r="AD70" i="6"/>
  <c r="AC70" i="6"/>
  <c r="AA70" i="6"/>
  <c r="X70" i="6"/>
  <c r="W70" i="6"/>
  <c r="U70" i="6"/>
  <c r="R70" i="6"/>
  <c r="N70" i="6"/>
  <c r="O70" i="6" s="1"/>
  <c r="L70" i="6"/>
  <c r="I70" i="6"/>
  <c r="H70" i="6"/>
  <c r="F70" i="6"/>
  <c r="C70" i="6"/>
  <c r="AC69" i="6"/>
  <c r="AD69" i="6" s="1"/>
  <c r="AA69" i="6"/>
  <c r="W69" i="6"/>
  <c r="X69" i="6" s="1"/>
  <c r="U69" i="6"/>
  <c r="R69" i="6"/>
  <c r="O69" i="6"/>
  <c r="N69" i="6"/>
  <c r="L69" i="6"/>
  <c r="I69" i="6"/>
  <c r="H69" i="6"/>
  <c r="F69" i="6"/>
  <c r="C69" i="6"/>
  <c r="AD68" i="6"/>
  <c r="AC68" i="6"/>
  <c r="AA68" i="6"/>
  <c r="W68" i="6"/>
  <c r="X68" i="6" s="1"/>
  <c r="U68" i="6"/>
  <c r="R68" i="6"/>
  <c r="O68" i="6"/>
  <c r="N68" i="6"/>
  <c r="L68" i="6"/>
  <c r="H68" i="6"/>
  <c r="I68" i="6" s="1"/>
  <c r="F68" i="6"/>
  <c r="C68" i="6"/>
  <c r="AC67" i="6"/>
  <c r="AD67" i="6" s="1"/>
  <c r="AA67" i="6"/>
  <c r="X67" i="6"/>
  <c r="W67" i="6"/>
  <c r="U67" i="6"/>
  <c r="R67" i="6"/>
  <c r="N67" i="6"/>
  <c r="O67" i="6" s="1"/>
  <c r="L67" i="6"/>
  <c r="I67" i="6"/>
  <c r="H67" i="6"/>
  <c r="F67" i="6"/>
  <c r="C67" i="6"/>
  <c r="AD66" i="6"/>
  <c r="AC66" i="6"/>
  <c r="AA66" i="6"/>
  <c r="W66" i="6"/>
  <c r="X66" i="6" s="1"/>
  <c r="U66" i="6"/>
  <c r="R66" i="6"/>
  <c r="N66" i="6"/>
  <c r="O66" i="6" s="1"/>
  <c r="L66" i="6"/>
  <c r="I66" i="6"/>
  <c r="H66" i="6"/>
  <c r="F66" i="6"/>
  <c r="C66" i="6"/>
  <c r="AD65" i="6"/>
  <c r="AC65" i="6"/>
  <c r="AA65" i="6"/>
  <c r="W65" i="6"/>
  <c r="X65" i="6" s="1"/>
  <c r="U65" i="6"/>
  <c r="R65" i="6"/>
  <c r="N65" i="6"/>
  <c r="O65" i="6" s="1"/>
  <c r="L65" i="6"/>
  <c r="I65" i="6"/>
  <c r="H65" i="6"/>
  <c r="F65" i="6"/>
  <c r="C65" i="6"/>
  <c r="AC64" i="6"/>
  <c r="AD64" i="6" s="1"/>
  <c r="AA64" i="6"/>
  <c r="X64" i="6"/>
  <c r="W64" i="6"/>
  <c r="U64" i="6"/>
  <c r="R64" i="6"/>
  <c r="O64" i="6"/>
  <c r="N64" i="6"/>
  <c r="L64" i="6"/>
  <c r="H64" i="6"/>
  <c r="I64" i="6" s="1"/>
  <c r="F64" i="6"/>
  <c r="C64" i="6"/>
  <c r="Z62" i="6"/>
  <c r="AA62" i="6" s="1"/>
  <c r="W62" i="6"/>
  <c r="X62" i="6" s="1"/>
  <c r="U62" i="6"/>
  <c r="T62" i="6"/>
  <c r="R62" i="6"/>
  <c r="Q62" i="6"/>
  <c r="AC62" i="6" s="1"/>
  <c r="AD62" i="6" s="1"/>
  <c r="K62" i="6"/>
  <c r="N62" i="6" s="1"/>
  <c r="O62" i="6" s="1"/>
  <c r="E62" i="6"/>
  <c r="F62" i="6" s="1"/>
  <c r="C62" i="6"/>
  <c r="B62" i="6"/>
  <c r="H62" i="6" s="1"/>
  <c r="I62" i="6" s="1"/>
  <c r="AA61" i="6"/>
  <c r="Z61" i="6"/>
  <c r="T61" i="6"/>
  <c r="R61" i="6"/>
  <c r="Q61" i="6"/>
  <c r="AC61" i="6" s="1"/>
  <c r="AD61" i="6" s="1"/>
  <c r="K61" i="6"/>
  <c r="L61" i="6" s="1"/>
  <c r="E61" i="6"/>
  <c r="C61" i="6"/>
  <c r="B61" i="6"/>
  <c r="N61" i="6" s="1"/>
  <c r="O61" i="6" s="1"/>
  <c r="AC60" i="6"/>
  <c r="AD60" i="6" s="1"/>
  <c r="AA60" i="6"/>
  <c r="W60" i="6"/>
  <c r="X60" i="6" s="1"/>
  <c r="U60" i="6"/>
  <c r="R60" i="6"/>
  <c r="N60" i="6"/>
  <c r="O60" i="6" s="1"/>
  <c r="L60" i="6"/>
  <c r="H60" i="6"/>
  <c r="I60" i="6" s="1"/>
  <c r="F60" i="6"/>
  <c r="C60" i="6"/>
  <c r="AD59" i="6"/>
  <c r="AC59" i="6"/>
  <c r="AA59" i="6"/>
  <c r="W59" i="6"/>
  <c r="X59" i="6" s="1"/>
  <c r="U59" i="6"/>
  <c r="R59" i="6"/>
  <c r="O59" i="6"/>
  <c r="N59" i="6"/>
  <c r="L59" i="6"/>
  <c r="I59" i="6"/>
  <c r="H59" i="6"/>
  <c r="F59" i="6"/>
  <c r="C59" i="6"/>
  <c r="AC58" i="6"/>
  <c r="AD58" i="6" s="1"/>
  <c r="AA58" i="6"/>
  <c r="W58" i="6"/>
  <c r="X58" i="6" s="1"/>
  <c r="U58" i="6"/>
  <c r="R58" i="6"/>
  <c r="N58" i="6"/>
  <c r="O58" i="6" s="1"/>
  <c r="L58" i="6"/>
  <c r="I58" i="6"/>
  <c r="H58" i="6"/>
  <c r="F58" i="6"/>
  <c r="C58" i="6"/>
  <c r="AC57" i="6"/>
  <c r="AD57" i="6" s="1"/>
  <c r="AA57" i="6"/>
  <c r="X57" i="6"/>
  <c r="W57" i="6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N56" i="6"/>
  <c r="O56" i="6" s="1"/>
  <c r="L56" i="6"/>
  <c r="I56" i="6"/>
  <c r="H56" i="6"/>
  <c r="F56" i="6"/>
  <c r="C56" i="6"/>
  <c r="AD55" i="6"/>
  <c r="AC55" i="6"/>
  <c r="AA55" i="6"/>
  <c r="W55" i="6"/>
  <c r="X55" i="6" s="1"/>
  <c r="U55" i="6"/>
  <c r="R55" i="6"/>
  <c r="N55" i="6"/>
  <c r="O55" i="6" s="1"/>
  <c r="L55" i="6"/>
  <c r="I55" i="6"/>
  <c r="H55" i="6"/>
  <c r="F55" i="6"/>
  <c r="C55" i="6"/>
  <c r="AC54" i="6"/>
  <c r="AD54" i="6" s="1"/>
  <c r="AA54" i="6"/>
  <c r="W54" i="6"/>
  <c r="X54" i="6" s="1"/>
  <c r="U54" i="6"/>
  <c r="R54" i="6"/>
  <c r="O54" i="6"/>
  <c r="N54" i="6"/>
  <c r="L54" i="6"/>
  <c r="I54" i="6"/>
  <c r="H54" i="6"/>
  <c r="F54" i="6"/>
  <c r="C54" i="6"/>
  <c r="AD53" i="6"/>
  <c r="AC53" i="6"/>
  <c r="AA53" i="6"/>
  <c r="W53" i="6"/>
  <c r="X53" i="6" s="1"/>
  <c r="U53" i="6"/>
  <c r="R53" i="6"/>
  <c r="O53" i="6"/>
  <c r="N53" i="6"/>
  <c r="L53" i="6"/>
  <c r="H53" i="6"/>
  <c r="I53" i="6" s="1"/>
  <c r="F53" i="6"/>
  <c r="C53" i="6"/>
  <c r="AD52" i="6"/>
  <c r="AC52" i="6"/>
  <c r="AA52" i="6"/>
  <c r="X52" i="6"/>
  <c r="W52" i="6"/>
  <c r="U52" i="6"/>
  <c r="R52" i="6"/>
  <c r="N52" i="6"/>
  <c r="O52" i="6" s="1"/>
  <c r="L52" i="6"/>
  <c r="H52" i="6"/>
  <c r="I52" i="6" s="1"/>
  <c r="F52" i="6"/>
  <c r="C52" i="6"/>
  <c r="AD51" i="6"/>
  <c r="AC51" i="6"/>
  <c r="AA51" i="6"/>
  <c r="X51" i="6"/>
  <c r="W51" i="6"/>
  <c r="U51" i="6"/>
  <c r="R51" i="6"/>
  <c r="N51" i="6"/>
  <c r="O51" i="6" s="1"/>
  <c r="L51" i="6"/>
  <c r="H51" i="6"/>
  <c r="I51" i="6" s="1"/>
  <c r="F51" i="6"/>
  <c r="C51" i="6"/>
  <c r="AD50" i="6"/>
  <c r="AC50" i="6"/>
  <c r="AA50" i="6"/>
  <c r="W50" i="6"/>
  <c r="X50" i="6" s="1"/>
  <c r="U50" i="6"/>
  <c r="R50" i="6"/>
  <c r="O50" i="6"/>
  <c r="N50" i="6"/>
  <c r="L50" i="6"/>
  <c r="I50" i="6"/>
  <c r="H50" i="6"/>
  <c r="F50" i="6"/>
  <c r="C50" i="6"/>
  <c r="AC49" i="6"/>
  <c r="AD49" i="6" s="1"/>
  <c r="AA49" i="6"/>
  <c r="X49" i="6"/>
  <c r="W49" i="6"/>
  <c r="U49" i="6"/>
  <c r="R49" i="6"/>
  <c r="N49" i="6"/>
  <c r="O49" i="6" s="1"/>
  <c r="L49" i="6"/>
  <c r="H49" i="6"/>
  <c r="I49" i="6" s="1"/>
  <c r="F49" i="6"/>
  <c r="C49" i="6"/>
  <c r="AC48" i="6"/>
  <c r="AD48" i="6" s="1"/>
  <c r="AA48" i="6"/>
  <c r="X48" i="6"/>
  <c r="W48" i="6"/>
  <c r="U48" i="6"/>
  <c r="R48" i="6"/>
  <c r="N48" i="6"/>
  <c r="O48" i="6" s="1"/>
  <c r="L48" i="6"/>
  <c r="H48" i="6"/>
  <c r="I48" i="6" s="1"/>
  <c r="F48" i="6"/>
  <c r="C48" i="6"/>
  <c r="AD47" i="6"/>
  <c r="AC47" i="6"/>
  <c r="AA47" i="6"/>
  <c r="W47" i="6"/>
  <c r="X47" i="6" s="1"/>
  <c r="U47" i="6"/>
  <c r="R47" i="6"/>
  <c r="N47" i="6"/>
  <c r="O47" i="6" s="1"/>
  <c r="L47" i="6"/>
  <c r="H47" i="6"/>
  <c r="I47" i="6" s="1"/>
  <c r="F47" i="6"/>
  <c r="C47" i="6"/>
  <c r="AC46" i="6"/>
  <c r="AD46" i="6" s="1"/>
  <c r="AA46" i="6"/>
  <c r="W46" i="6"/>
  <c r="X46" i="6" s="1"/>
  <c r="U46" i="6"/>
  <c r="R46" i="6"/>
  <c r="N46" i="6"/>
  <c r="O46" i="6" s="1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H44" i="6"/>
  <c r="I44" i="6" s="1"/>
  <c r="F44" i="6"/>
  <c r="C44" i="6"/>
  <c r="AC43" i="6"/>
  <c r="AD43" i="6" s="1"/>
  <c r="AA43" i="6"/>
  <c r="X43" i="6"/>
  <c r="W43" i="6"/>
  <c r="U43" i="6"/>
  <c r="R43" i="6"/>
  <c r="N43" i="6"/>
  <c r="O43" i="6" s="1"/>
  <c r="L43" i="6"/>
  <c r="H43" i="6"/>
  <c r="I43" i="6" s="1"/>
  <c r="F43" i="6"/>
  <c r="C43" i="6"/>
  <c r="AD42" i="6"/>
  <c r="AC42" i="6"/>
  <c r="AA42" i="6"/>
  <c r="W42" i="6"/>
  <c r="X42" i="6" s="1"/>
  <c r="U42" i="6"/>
  <c r="R42" i="6"/>
  <c r="O42" i="6"/>
  <c r="N42" i="6"/>
  <c r="L42" i="6"/>
  <c r="I42" i="6"/>
  <c r="H42" i="6"/>
  <c r="F42" i="6"/>
  <c r="C42" i="6"/>
  <c r="AC40" i="6"/>
  <c r="AD40" i="6" s="1"/>
  <c r="AA40" i="6"/>
  <c r="Z40" i="6"/>
  <c r="T40" i="6"/>
  <c r="U40" i="6" s="1"/>
  <c r="Q40" i="6"/>
  <c r="W40" i="6" s="1"/>
  <c r="X40" i="6" s="1"/>
  <c r="L40" i="6"/>
  <c r="K40" i="6"/>
  <c r="F40" i="6"/>
  <c r="E40" i="6"/>
  <c r="H40" i="6" s="1"/>
  <c r="I40" i="6" s="1"/>
  <c r="C40" i="6"/>
  <c r="B40" i="6"/>
  <c r="N40" i="6" s="1"/>
  <c r="O40" i="6" s="1"/>
  <c r="AD39" i="6"/>
  <c r="AC39" i="6"/>
  <c r="AA39" i="6"/>
  <c r="W39" i="6"/>
  <c r="X39" i="6" s="1"/>
  <c r="U39" i="6"/>
  <c r="R39" i="6"/>
  <c r="N39" i="6"/>
  <c r="O39" i="6" s="1"/>
  <c r="L39" i="6"/>
  <c r="I39" i="6"/>
  <c r="H39" i="6"/>
  <c r="F39" i="6"/>
  <c r="C39" i="6"/>
  <c r="AD38" i="6"/>
  <c r="AC38" i="6"/>
  <c r="AA38" i="6"/>
  <c r="W38" i="6"/>
  <c r="X38" i="6" s="1"/>
  <c r="U38" i="6"/>
  <c r="R38" i="6"/>
  <c r="O38" i="6"/>
  <c r="N38" i="6"/>
  <c r="L38" i="6"/>
  <c r="I38" i="6"/>
  <c r="H38" i="6"/>
  <c r="F38" i="6"/>
  <c r="C38" i="6"/>
  <c r="AC37" i="6"/>
  <c r="AD37" i="6" s="1"/>
  <c r="AA37" i="6"/>
  <c r="W37" i="6"/>
  <c r="X37" i="6" s="1"/>
  <c r="U37" i="6"/>
  <c r="R37" i="6"/>
  <c r="O37" i="6"/>
  <c r="N37" i="6"/>
  <c r="L37" i="6"/>
  <c r="I37" i="6"/>
  <c r="H37" i="6"/>
  <c r="F37" i="6"/>
  <c r="C37" i="6"/>
  <c r="AD36" i="6"/>
  <c r="AC36" i="6"/>
  <c r="AA36" i="6"/>
  <c r="W36" i="6"/>
  <c r="X36" i="6" s="1"/>
  <c r="U36" i="6"/>
  <c r="R36" i="6"/>
  <c r="O36" i="6"/>
  <c r="N36" i="6"/>
  <c r="L36" i="6"/>
  <c r="H36" i="6"/>
  <c r="I36" i="6" s="1"/>
  <c r="F36" i="6"/>
  <c r="C36" i="6"/>
  <c r="AD35" i="6"/>
  <c r="AC35" i="6"/>
  <c r="AA35" i="6"/>
  <c r="X35" i="6"/>
  <c r="W35" i="6"/>
  <c r="U35" i="6"/>
  <c r="R35" i="6"/>
  <c r="N35" i="6"/>
  <c r="O35" i="6" s="1"/>
  <c r="L35" i="6"/>
  <c r="I35" i="6"/>
  <c r="H35" i="6"/>
  <c r="F35" i="6"/>
  <c r="C35" i="6"/>
  <c r="AD34" i="6"/>
  <c r="AC34" i="6"/>
  <c r="AA34" i="6"/>
  <c r="X34" i="6"/>
  <c r="W34" i="6"/>
  <c r="U34" i="6"/>
  <c r="R34" i="6"/>
  <c r="N34" i="6"/>
  <c r="O34" i="6" s="1"/>
  <c r="L34" i="6"/>
  <c r="I34" i="6"/>
  <c r="H34" i="6"/>
  <c r="F34" i="6"/>
  <c r="C34" i="6"/>
  <c r="AD33" i="6"/>
  <c r="AC33" i="6"/>
  <c r="AA33" i="6"/>
  <c r="W33" i="6"/>
  <c r="X33" i="6" s="1"/>
  <c r="U33" i="6"/>
  <c r="R33" i="6"/>
  <c r="O33" i="6"/>
  <c r="N33" i="6"/>
  <c r="L33" i="6"/>
  <c r="I33" i="6"/>
  <c r="H33" i="6"/>
  <c r="F33" i="6"/>
  <c r="C33" i="6"/>
  <c r="AC32" i="6"/>
  <c r="AD32" i="6" s="1"/>
  <c r="AA32" i="6"/>
  <c r="X32" i="6"/>
  <c r="W32" i="6"/>
  <c r="U32" i="6"/>
  <c r="R32" i="6"/>
  <c r="O32" i="6"/>
  <c r="N32" i="6"/>
  <c r="L32" i="6"/>
  <c r="I32" i="6"/>
  <c r="H32" i="6"/>
  <c r="F32" i="6"/>
  <c r="C32" i="6"/>
  <c r="AD31" i="6"/>
  <c r="AC31" i="6"/>
  <c r="AA31" i="6"/>
  <c r="X31" i="6"/>
  <c r="W31" i="6"/>
  <c r="U31" i="6"/>
  <c r="R31" i="6"/>
  <c r="N31" i="6"/>
  <c r="O31" i="6" s="1"/>
  <c r="L31" i="6"/>
  <c r="I31" i="6"/>
  <c r="H31" i="6"/>
  <c r="F31" i="6"/>
  <c r="C31" i="6"/>
  <c r="Z29" i="6"/>
  <c r="AA29" i="6" s="1"/>
  <c r="W29" i="6"/>
  <c r="X29" i="6" s="1"/>
  <c r="U29" i="6"/>
  <c r="T29" i="6"/>
  <c r="R29" i="6"/>
  <c r="Q29" i="6"/>
  <c r="AC29" i="6" s="1"/>
  <c r="AD29" i="6" s="1"/>
  <c r="L29" i="6"/>
  <c r="K29" i="6"/>
  <c r="H29" i="6"/>
  <c r="I29" i="6" s="1"/>
  <c r="F29" i="6"/>
  <c r="E29" i="6"/>
  <c r="B29" i="6"/>
  <c r="C29" i="6" s="1"/>
  <c r="AD28" i="6"/>
  <c r="AC28" i="6"/>
  <c r="AA28" i="6"/>
  <c r="W28" i="6"/>
  <c r="X28" i="6" s="1"/>
  <c r="U28" i="6"/>
  <c r="R28" i="6"/>
  <c r="N28" i="6"/>
  <c r="O28" i="6" s="1"/>
  <c r="L28" i="6"/>
  <c r="I28" i="6"/>
  <c r="H28" i="6"/>
  <c r="F28" i="6"/>
  <c r="C28" i="6"/>
  <c r="AC27" i="6"/>
  <c r="AD27" i="6" s="1"/>
  <c r="AA27" i="6"/>
  <c r="X27" i="6"/>
  <c r="W27" i="6"/>
  <c r="U27" i="6"/>
  <c r="R27" i="6"/>
  <c r="N27" i="6"/>
  <c r="O27" i="6" s="1"/>
  <c r="L27" i="6"/>
  <c r="H27" i="6"/>
  <c r="I27" i="6" s="1"/>
  <c r="F27" i="6"/>
  <c r="C27" i="6"/>
  <c r="AD26" i="6"/>
  <c r="AC26" i="6"/>
  <c r="AA26" i="6"/>
  <c r="W26" i="6"/>
  <c r="X26" i="6" s="1"/>
  <c r="U26" i="6"/>
  <c r="R26" i="6"/>
  <c r="N26" i="6"/>
  <c r="O26" i="6" s="1"/>
  <c r="L26" i="6"/>
  <c r="I26" i="6"/>
  <c r="H26" i="6"/>
  <c r="F26" i="6"/>
  <c r="C26" i="6"/>
  <c r="AD25" i="6"/>
  <c r="AC25" i="6"/>
  <c r="AA25" i="6"/>
  <c r="W25" i="6"/>
  <c r="X25" i="6" s="1"/>
  <c r="U25" i="6"/>
  <c r="R25" i="6"/>
  <c r="N25" i="6"/>
  <c r="O25" i="6" s="1"/>
  <c r="L25" i="6"/>
  <c r="I25" i="6"/>
  <c r="H25" i="6"/>
  <c r="F25" i="6"/>
  <c r="C25" i="6"/>
  <c r="AC24" i="6"/>
  <c r="AD24" i="6" s="1"/>
  <c r="AA24" i="6"/>
  <c r="W24" i="6"/>
  <c r="X24" i="6" s="1"/>
  <c r="U24" i="6"/>
  <c r="R24" i="6"/>
  <c r="O24" i="6"/>
  <c r="N24" i="6"/>
  <c r="L24" i="6"/>
  <c r="H24" i="6"/>
  <c r="I24" i="6" s="1"/>
  <c r="F24" i="6"/>
  <c r="C24" i="6"/>
  <c r="AC23" i="6"/>
  <c r="AD23" i="6" s="1"/>
  <c r="AA23" i="6"/>
  <c r="W23" i="6"/>
  <c r="X23" i="6" s="1"/>
  <c r="U23" i="6"/>
  <c r="R23" i="6"/>
  <c r="N23" i="6"/>
  <c r="O23" i="6" s="1"/>
  <c r="L23" i="6"/>
  <c r="I23" i="6"/>
  <c r="H23" i="6"/>
  <c r="F23" i="6"/>
  <c r="C23" i="6"/>
  <c r="AD22" i="6"/>
  <c r="AC22" i="6"/>
  <c r="AA22" i="6"/>
  <c r="X22" i="6"/>
  <c r="W22" i="6"/>
  <c r="U22" i="6"/>
  <c r="R22" i="6"/>
  <c r="O22" i="6"/>
  <c r="N22" i="6"/>
  <c r="L22" i="6"/>
  <c r="I22" i="6"/>
  <c r="H22" i="6"/>
  <c r="F22" i="6"/>
  <c r="C22" i="6"/>
  <c r="AC21" i="6"/>
  <c r="AD21" i="6" s="1"/>
  <c r="AA21" i="6"/>
  <c r="W21" i="6"/>
  <c r="X21" i="6" s="1"/>
  <c r="U21" i="6"/>
  <c r="R21" i="6"/>
  <c r="O21" i="6"/>
  <c r="N21" i="6"/>
  <c r="L21" i="6"/>
  <c r="I21" i="6"/>
  <c r="H21" i="6"/>
  <c r="F21" i="6"/>
  <c r="C21" i="6"/>
  <c r="AD19" i="6"/>
  <c r="AC19" i="6"/>
  <c r="AA19" i="6"/>
  <c r="W19" i="6"/>
  <c r="X19" i="6" s="1"/>
  <c r="U19" i="6"/>
  <c r="R19" i="6"/>
  <c r="N19" i="6"/>
  <c r="O19" i="6" s="1"/>
  <c r="L19" i="6"/>
  <c r="H19" i="6"/>
  <c r="I19" i="6" s="1"/>
  <c r="F19" i="6"/>
  <c r="C19" i="6"/>
  <c r="Z18" i="6"/>
  <c r="AA18" i="6" s="1"/>
  <c r="U18" i="6"/>
  <c r="T18" i="6"/>
  <c r="Q18" i="6"/>
  <c r="K18" i="6"/>
  <c r="L18" i="6" s="1"/>
  <c r="E18" i="6"/>
  <c r="F18" i="6" s="1"/>
  <c r="B18" i="6"/>
  <c r="AD17" i="6"/>
  <c r="AC17" i="6"/>
  <c r="AA17" i="6"/>
  <c r="W17" i="6"/>
  <c r="X17" i="6" s="1"/>
  <c r="U17" i="6"/>
  <c r="R17" i="6"/>
  <c r="N17" i="6"/>
  <c r="O17" i="6" s="1"/>
  <c r="L17" i="6"/>
  <c r="I17" i="6"/>
  <c r="H17" i="6"/>
  <c r="F17" i="6"/>
  <c r="C17" i="6"/>
  <c r="AD16" i="6"/>
  <c r="AC16" i="6"/>
  <c r="AA16" i="6"/>
  <c r="X16" i="6"/>
  <c r="W16" i="6"/>
  <c r="U16" i="6"/>
  <c r="R16" i="6"/>
  <c r="O16" i="6"/>
  <c r="N16" i="6"/>
  <c r="L16" i="6"/>
  <c r="I16" i="6"/>
  <c r="H16" i="6"/>
  <c r="F16" i="6"/>
  <c r="C16" i="6"/>
  <c r="AC15" i="6"/>
  <c r="AD15" i="6" s="1"/>
  <c r="AA15" i="6"/>
  <c r="W15" i="6"/>
  <c r="X15" i="6" s="1"/>
  <c r="U15" i="6"/>
  <c r="R15" i="6"/>
  <c r="N15" i="6"/>
  <c r="O15" i="6" s="1"/>
  <c r="L15" i="6"/>
  <c r="H15" i="6"/>
  <c r="I15" i="6" s="1"/>
  <c r="F15" i="6"/>
  <c r="C15" i="6"/>
  <c r="AD14" i="6"/>
  <c r="AC14" i="6"/>
  <c r="AA14" i="6"/>
  <c r="W14" i="6"/>
  <c r="X14" i="6" s="1"/>
  <c r="U14" i="6"/>
  <c r="R14" i="6"/>
  <c r="O14" i="6"/>
  <c r="N14" i="6"/>
  <c r="L14" i="6"/>
  <c r="H14" i="6"/>
  <c r="I14" i="6" s="1"/>
  <c r="F14" i="6"/>
  <c r="C14" i="6"/>
  <c r="AD13" i="6"/>
  <c r="AC13" i="6"/>
  <c r="AA13" i="6"/>
  <c r="W13" i="6"/>
  <c r="X13" i="6" s="1"/>
  <c r="U13" i="6"/>
  <c r="R13" i="6"/>
  <c r="N13" i="6"/>
  <c r="O13" i="6" s="1"/>
  <c r="L13" i="6"/>
  <c r="I13" i="6"/>
  <c r="H13" i="6"/>
  <c r="F13" i="6"/>
  <c r="C13" i="6"/>
  <c r="AC12" i="6"/>
  <c r="AD12" i="6" s="1"/>
  <c r="AA12" i="6"/>
  <c r="X12" i="6"/>
  <c r="W12" i="6"/>
  <c r="U12" i="6"/>
  <c r="R12" i="6"/>
  <c r="N12" i="6"/>
  <c r="O12" i="6" s="1"/>
  <c r="L12" i="6"/>
  <c r="I12" i="6"/>
  <c r="H12" i="6"/>
  <c r="F12" i="6"/>
  <c r="C12" i="6"/>
  <c r="AC11" i="6"/>
  <c r="AD11" i="6" s="1"/>
  <c r="AA11" i="6"/>
  <c r="X11" i="6"/>
  <c r="W11" i="6"/>
  <c r="U11" i="6"/>
  <c r="R11" i="6"/>
  <c r="N11" i="6"/>
  <c r="O11" i="6" s="1"/>
  <c r="L11" i="6"/>
  <c r="H11" i="6"/>
  <c r="I11" i="6" s="1"/>
  <c r="F11" i="6"/>
  <c r="C11" i="6"/>
  <c r="AD10" i="6"/>
  <c r="AC10" i="6"/>
  <c r="AA10" i="6"/>
  <c r="W10" i="6"/>
  <c r="X10" i="6" s="1"/>
  <c r="U10" i="6"/>
  <c r="R10" i="6"/>
  <c r="O10" i="6"/>
  <c r="N10" i="6"/>
  <c r="L10" i="6"/>
  <c r="I10" i="6"/>
  <c r="H10" i="6"/>
  <c r="F10" i="6"/>
  <c r="C10" i="6"/>
  <c r="AD8" i="6"/>
  <c r="AC8" i="6"/>
  <c r="AA8" i="6"/>
  <c r="W8" i="6"/>
  <c r="X8" i="6" s="1"/>
  <c r="U8" i="6"/>
  <c r="R8" i="6"/>
  <c r="N8" i="6"/>
  <c r="O8" i="6" s="1"/>
  <c r="L8" i="6"/>
  <c r="I8" i="6"/>
  <c r="H8" i="6"/>
  <c r="F8" i="6"/>
  <c r="C8" i="6"/>
  <c r="AC444" i="5"/>
  <c r="W444" i="5"/>
  <c r="N444" i="5"/>
  <c r="H444" i="5"/>
  <c r="AC442" i="5"/>
  <c r="AD442" i="5" s="1"/>
  <c r="AA442" i="5"/>
  <c r="Z442" i="5"/>
  <c r="U442" i="5"/>
  <c r="T442" i="5"/>
  <c r="Q442" i="5"/>
  <c r="N442" i="5"/>
  <c r="O442" i="5" s="1"/>
  <c r="L442" i="5"/>
  <c r="K442" i="5"/>
  <c r="E442" i="5"/>
  <c r="F442" i="5" s="1"/>
  <c r="B442" i="5"/>
  <c r="H442" i="5" s="1"/>
  <c r="I442" i="5" s="1"/>
  <c r="Z441" i="5"/>
  <c r="AA441" i="5" s="1"/>
  <c r="X441" i="5"/>
  <c r="W441" i="5"/>
  <c r="U441" i="5"/>
  <c r="T441" i="5"/>
  <c r="R441" i="5"/>
  <c r="Q441" i="5"/>
  <c r="K441" i="5"/>
  <c r="L441" i="5" s="1"/>
  <c r="F441" i="5"/>
  <c r="E441" i="5"/>
  <c r="B441" i="5"/>
  <c r="AD440" i="5"/>
  <c r="AC440" i="5"/>
  <c r="AA440" i="5"/>
  <c r="X440" i="5"/>
  <c r="W440" i="5"/>
  <c r="U440" i="5"/>
  <c r="R440" i="5"/>
  <c r="N440" i="5"/>
  <c r="O440" i="5" s="1"/>
  <c r="L440" i="5"/>
  <c r="I440" i="5"/>
  <c r="H440" i="5"/>
  <c r="F440" i="5"/>
  <c r="C440" i="5"/>
  <c r="AC439" i="5"/>
  <c r="AD439" i="5" s="1"/>
  <c r="AA439" i="5"/>
  <c r="X439" i="5"/>
  <c r="W439" i="5"/>
  <c r="U439" i="5"/>
  <c r="R439" i="5"/>
  <c r="N439" i="5"/>
  <c r="L439" i="5"/>
  <c r="H439" i="5"/>
  <c r="I439" i="5" s="1"/>
  <c r="F439" i="5"/>
  <c r="C439" i="5"/>
  <c r="AD438" i="5"/>
  <c r="AC438" i="5"/>
  <c r="AA438" i="5"/>
  <c r="W438" i="5"/>
  <c r="X438" i="5" s="1"/>
  <c r="U438" i="5"/>
  <c r="R438" i="5"/>
  <c r="O438" i="5"/>
  <c r="N438" i="5"/>
  <c r="L438" i="5"/>
  <c r="H438" i="5"/>
  <c r="I438" i="5" s="1"/>
  <c r="F438" i="5"/>
  <c r="C438" i="5"/>
  <c r="AC437" i="5"/>
  <c r="AD437" i="5" s="1"/>
  <c r="AA437" i="5"/>
  <c r="W437" i="5"/>
  <c r="X437" i="5" s="1"/>
  <c r="U437" i="5"/>
  <c r="R437" i="5"/>
  <c r="N437" i="5"/>
  <c r="L437" i="5"/>
  <c r="I437" i="5"/>
  <c r="H437" i="5"/>
  <c r="F437" i="5"/>
  <c r="C437" i="5"/>
  <c r="AD436" i="5"/>
  <c r="AC436" i="5"/>
  <c r="AA436" i="5"/>
  <c r="W436" i="5"/>
  <c r="X436" i="5" s="1"/>
  <c r="U436" i="5"/>
  <c r="R436" i="5"/>
  <c r="N436" i="5"/>
  <c r="L436" i="5"/>
  <c r="I436" i="5"/>
  <c r="H436" i="5"/>
  <c r="F436" i="5"/>
  <c r="C436" i="5"/>
  <c r="AD435" i="5"/>
  <c r="AC435" i="5"/>
  <c r="AA435" i="5"/>
  <c r="X435" i="5"/>
  <c r="W435" i="5"/>
  <c r="U435" i="5"/>
  <c r="R435" i="5"/>
  <c r="N435" i="5"/>
  <c r="O435" i="5" s="1"/>
  <c r="L435" i="5"/>
  <c r="H435" i="5"/>
  <c r="I435" i="5" s="1"/>
  <c r="F435" i="5"/>
  <c r="C435" i="5"/>
  <c r="AD434" i="5"/>
  <c r="AC434" i="5"/>
  <c r="AA434" i="5"/>
  <c r="X434" i="5"/>
  <c r="W434" i="5"/>
  <c r="U434" i="5"/>
  <c r="R434" i="5"/>
  <c r="N434" i="5"/>
  <c r="L434" i="5"/>
  <c r="I434" i="5"/>
  <c r="H434" i="5"/>
  <c r="F434" i="5"/>
  <c r="C434" i="5"/>
  <c r="AD433" i="5"/>
  <c r="AC433" i="5"/>
  <c r="AA433" i="5"/>
  <c r="W433" i="5"/>
  <c r="X433" i="5" s="1"/>
  <c r="U433" i="5"/>
  <c r="R433" i="5"/>
  <c r="N433" i="5"/>
  <c r="O433" i="5" s="1"/>
  <c r="L433" i="5"/>
  <c r="I433" i="5"/>
  <c r="H433" i="5"/>
  <c r="F433" i="5"/>
  <c r="C433" i="5"/>
  <c r="AD432" i="5"/>
  <c r="AC432" i="5"/>
  <c r="AA432" i="5"/>
  <c r="W432" i="5"/>
  <c r="X432" i="5" s="1"/>
  <c r="U432" i="5"/>
  <c r="R432" i="5"/>
  <c r="N432" i="5"/>
  <c r="L432" i="5"/>
  <c r="I432" i="5"/>
  <c r="H432" i="5"/>
  <c r="F432" i="5"/>
  <c r="C432" i="5"/>
  <c r="AA429" i="5"/>
  <c r="Z429" i="5"/>
  <c r="X429" i="5"/>
  <c r="W429" i="5"/>
  <c r="U429" i="5"/>
  <c r="T429" i="5"/>
  <c r="R429" i="5"/>
  <c r="Q429" i="5"/>
  <c r="AC429" i="5" s="1"/>
  <c r="AD429" i="5" s="1"/>
  <c r="K429" i="5"/>
  <c r="L429" i="5" s="1"/>
  <c r="F429" i="5"/>
  <c r="E429" i="5"/>
  <c r="C429" i="5"/>
  <c r="B429" i="5"/>
  <c r="AC428" i="5"/>
  <c r="AD428" i="5" s="1"/>
  <c r="AA428" i="5"/>
  <c r="Z428" i="5"/>
  <c r="W428" i="5"/>
  <c r="X428" i="5" s="1"/>
  <c r="U428" i="5"/>
  <c r="T428" i="5"/>
  <c r="Q428" i="5"/>
  <c r="R428" i="5" s="1"/>
  <c r="K428" i="5"/>
  <c r="L428" i="5" s="1"/>
  <c r="H428" i="5"/>
  <c r="I428" i="5" s="1"/>
  <c r="F428" i="5"/>
  <c r="E428" i="5"/>
  <c r="C428" i="5"/>
  <c r="B428" i="5"/>
  <c r="AC427" i="5"/>
  <c r="AD427" i="5" s="1"/>
  <c r="AA427" i="5"/>
  <c r="X427" i="5"/>
  <c r="W427" i="5"/>
  <c r="U427" i="5"/>
  <c r="R427" i="5"/>
  <c r="N427" i="5"/>
  <c r="L427" i="5"/>
  <c r="I427" i="5"/>
  <c r="H427" i="5"/>
  <c r="F427" i="5"/>
  <c r="C427" i="5"/>
  <c r="AD426" i="5"/>
  <c r="AC426" i="5"/>
  <c r="AA426" i="5"/>
  <c r="W426" i="5"/>
  <c r="X426" i="5" s="1"/>
  <c r="U426" i="5"/>
  <c r="R426" i="5"/>
  <c r="N426" i="5"/>
  <c r="L426" i="5"/>
  <c r="I426" i="5"/>
  <c r="H426" i="5"/>
  <c r="F426" i="5"/>
  <c r="C426" i="5"/>
  <c r="AD425" i="5"/>
  <c r="AC425" i="5"/>
  <c r="AA425" i="5"/>
  <c r="W425" i="5"/>
  <c r="X425" i="5" s="1"/>
  <c r="U425" i="5"/>
  <c r="R425" i="5"/>
  <c r="O425" i="5"/>
  <c r="N425" i="5"/>
  <c r="L425" i="5"/>
  <c r="I425" i="5"/>
  <c r="H425" i="5"/>
  <c r="F425" i="5"/>
  <c r="C425" i="5"/>
  <c r="AC424" i="5"/>
  <c r="AD424" i="5" s="1"/>
  <c r="AA424" i="5"/>
  <c r="X424" i="5"/>
  <c r="W424" i="5"/>
  <c r="U424" i="5"/>
  <c r="R424" i="5"/>
  <c r="O424" i="5"/>
  <c r="N424" i="5"/>
  <c r="L424" i="5"/>
  <c r="H424" i="5"/>
  <c r="I424" i="5" s="1"/>
  <c r="F424" i="5"/>
  <c r="C424" i="5"/>
  <c r="AC423" i="5"/>
  <c r="AD423" i="5" s="1"/>
  <c r="AA423" i="5"/>
  <c r="X423" i="5"/>
  <c r="W423" i="5"/>
  <c r="U423" i="5"/>
  <c r="R423" i="5"/>
  <c r="N423" i="5"/>
  <c r="L423" i="5"/>
  <c r="H423" i="5"/>
  <c r="I423" i="5" s="1"/>
  <c r="F423" i="5"/>
  <c r="C423" i="5"/>
  <c r="AD422" i="5"/>
  <c r="AC422" i="5"/>
  <c r="AA422" i="5"/>
  <c r="W422" i="5"/>
  <c r="X422" i="5" s="1"/>
  <c r="U422" i="5"/>
  <c r="R422" i="5"/>
  <c r="N422" i="5"/>
  <c r="O422" i="5" s="1"/>
  <c r="L422" i="5"/>
  <c r="H422" i="5"/>
  <c r="I422" i="5" s="1"/>
  <c r="F422" i="5"/>
  <c r="C422" i="5"/>
  <c r="AC421" i="5"/>
  <c r="AD421" i="5" s="1"/>
  <c r="AA421" i="5"/>
  <c r="W421" i="5"/>
  <c r="X421" i="5" s="1"/>
  <c r="U421" i="5"/>
  <c r="R421" i="5"/>
  <c r="N421" i="5"/>
  <c r="O421" i="5" s="1"/>
  <c r="L421" i="5"/>
  <c r="I421" i="5"/>
  <c r="H421" i="5"/>
  <c r="F421" i="5"/>
  <c r="C421" i="5"/>
  <c r="AD420" i="5"/>
  <c r="AC420" i="5"/>
  <c r="AA420" i="5"/>
  <c r="X420" i="5"/>
  <c r="W420" i="5"/>
  <c r="U420" i="5"/>
  <c r="R420" i="5"/>
  <c r="N420" i="5"/>
  <c r="L420" i="5"/>
  <c r="H420" i="5"/>
  <c r="I420" i="5" s="1"/>
  <c r="F420" i="5"/>
  <c r="C420" i="5"/>
  <c r="AD419" i="5"/>
  <c r="AC419" i="5"/>
  <c r="AA419" i="5"/>
  <c r="X419" i="5"/>
  <c r="W419" i="5"/>
  <c r="U419" i="5"/>
  <c r="R419" i="5"/>
  <c r="N419" i="5"/>
  <c r="O419" i="5" s="1"/>
  <c r="L419" i="5"/>
  <c r="H419" i="5"/>
  <c r="I419" i="5" s="1"/>
  <c r="F419" i="5"/>
  <c r="C419" i="5"/>
  <c r="AD418" i="5"/>
  <c r="AC418" i="5"/>
  <c r="AA418" i="5"/>
  <c r="X418" i="5"/>
  <c r="W418" i="5"/>
  <c r="U418" i="5"/>
  <c r="R418" i="5"/>
  <c r="N418" i="5"/>
  <c r="L418" i="5"/>
  <c r="H418" i="5"/>
  <c r="I418" i="5" s="1"/>
  <c r="F418" i="5"/>
  <c r="C418" i="5"/>
  <c r="AD417" i="5"/>
  <c r="AC417" i="5"/>
  <c r="AA417" i="5"/>
  <c r="W417" i="5"/>
  <c r="X417" i="5" s="1"/>
  <c r="U417" i="5"/>
  <c r="R417" i="5"/>
  <c r="N417" i="5"/>
  <c r="L417" i="5"/>
  <c r="I417" i="5"/>
  <c r="H417" i="5"/>
  <c r="F417" i="5"/>
  <c r="C417" i="5"/>
  <c r="AD416" i="5"/>
  <c r="AC416" i="5"/>
  <c r="AA416" i="5"/>
  <c r="X416" i="5"/>
  <c r="W416" i="5"/>
  <c r="U416" i="5"/>
  <c r="R416" i="5"/>
  <c r="N416" i="5"/>
  <c r="O416" i="5" s="1"/>
  <c r="L416" i="5"/>
  <c r="H416" i="5"/>
  <c r="I416" i="5" s="1"/>
  <c r="F416" i="5"/>
  <c r="C416" i="5"/>
  <c r="AC415" i="5"/>
  <c r="AD415" i="5" s="1"/>
  <c r="AA415" i="5"/>
  <c r="W415" i="5"/>
  <c r="X415" i="5" s="1"/>
  <c r="U415" i="5"/>
  <c r="R415" i="5"/>
  <c r="N415" i="5"/>
  <c r="L415" i="5"/>
  <c r="H415" i="5"/>
  <c r="I415" i="5" s="1"/>
  <c r="F415" i="5"/>
  <c r="C415" i="5"/>
  <c r="AD414" i="5"/>
  <c r="AC414" i="5"/>
  <c r="AA414" i="5"/>
  <c r="X414" i="5"/>
  <c r="W414" i="5"/>
  <c r="U414" i="5"/>
  <c r="R414" i="5"/>
  <c r="O414" i="5"/>
  <c r="N414" i="5"/>
  <c r="L414" i="5"/>
  <c r="I414" i="5"/>
  <c r="H414" i="5"/>
  <c r="F414" i="5"/>
  <c r="C414" i="5"/>
  <c r="AC413" i="5"/>
  <c r="AD413" i="5" s="1"/>
  <c r="AA413" i="5"/>
  <c r="W413" i="5"/>
  <c r="X413" i="5" s="1"/>
  <c r="U413" i="5"/>
  <c r="R413" i="5"/>
  <c r="N413" i="5"/>
  <c r="L413" i="5"/>
  <c r="I413" i="5"/>
  <c r="H413" i="5"/>
  <c r="F413" i="5"/>
  <c r="C413" i="5"/>
  <c r="AD412" i="5"/>
  <c r="AC412" i="5"/>
  <c r="AA412" i="5"/>
  <c r="W412" i="5"/>
  <c r="X412" i="5" s="1"/>
  <c r="U412" i="5"/>
  <c r="R412" i="5"/>
  <c r="N412" i="5"/>
  <c r="O412" i="5" s="1"/>
  <c r="L412" i="5"/>
  <c r="I412" i="5"/>
  <c r="H412" i="5"/>
  <c r="F412" i="5"/>
  <c r="C412" i="5"/>
  <c r="AD411" i="5"/>
  <c r="AC411" i="5"/>
  <c r="AA411" i="5"/>
  <c r="X411" i="5"/>
  <c r="W411" i="5"/>
  <c r="U411" i="5"/>
  <c r="R411" i="5"/>
  <c r="N411" i="5"/>
  <c r="L411" i="5"/>
  <c r="H411" i="5"/>
  <c r="I411" i="5" s="1"/>
  <c r="F411" i="5"/>
  <c r="C411" i="5"/>
  <c r="AD410" i="5"/>
  <c r="AC410" i="5"/>
  <c r="AA410" i="5"/>
  <c r="X410" i="5"/>
  <c r="W410" i="5"/>
  <c r="U410" i="5"/>
  <c r="R410" i="5"/>
  <c r="N410" i="5"/>
  <c r="L410" i="5"/>
  <c r="H410" i="5"/>
  <c r="I410" i="5" s="1"/>
  <c r="F410" i="5"/>
  <c r="C410" i="5"/>
  <c r="AD409" i="5"/>
  <c r="AC409" i="5"/>
  <c r="AA409" i="5"/>
  <c r="W409" i="5"/>
  <c r="X409" i="5" s="1"/>
  <c r="U409" i="5"/>
  <c r="R409" i="5"/>
  <c r="N409" i="5"/>
  <c r="L409" i="5"/>
  <c r="H409" i="5"/>
  <c r="F409" i="5"/>
  <c r="C409" i="5"/>
  <c r="AD408" i="5"/>
  <c r="AC408" i="5"/>
  <c r="AA408" i="5"/>
  <c r="X408" i="5"/>
  <c r="W408" i="5"/>
  <c r="U408" i="5"/>
  <c r="R408" i="5"/>
  <c r="O408" i="5"/>
  <c r="N408" i="5"/>
  <c r="L408" i="5"/>
  <c r="I408" i="5"/>
  <c r="H408" i="5"/>
  <c r="F408" i="5"/>
  <c r="C408" i="5"/>
  <c r="AC407" i="5"/>
  <c r="AD407" i="5" s="1"/>
  <c r="AA407" i="5"/>
  <c r="W407" i="5"/>
  <c r="X407" i="5" s="1"/>
  <c r="U407" i="5"/>
  <c r="R407" i="5"/>
  <c r="N407" i="5"/>
  <c r="O407" i="5" s="1"/>
  <c r="L407" i="5"/>
  <c r="I407" i="5"/>
  <c r="H407" i="5"/>
  <c r="F407" i="5"/>
  <c r="C407" i="5"/>
  <c r="Z403" i="5"/>
  <c r="AC403" i="5" s="1"/>
  <c r="AD403" i="5" s="1"/>
  <c r="U403" i="5"/>
  <c r="T403" i="5"/>
  <c r="W403" i="5" s="1"/>
  <c r="X403" i="5" s="1"/>
  <c r="R403" i="5"/>
  <c r="Q403" i="5"/>
  <c r="K403" i="5"/>
  <c r="L403" i="5" s="1"/>
  <c r="F403" i="5"/>
  <c r="E403" i="5"/>
  <c r="B403" i="5"/>
  <c r="AC402" i="5"/>
  <c r="AD402" i="5" s="1"/>
  <c r="AA402" i="5"/>
  <c r="W402" i="5"/>
  <c r="X402" i="5" s="1"/>
  <c r="U402" i="5"/>
  <c r="R402" i="5"/>
  <c r="N402" i="5"/>
  <c r="L402" i="5"/>
  <c r="I402" i="5"/>
  <c r="H402" i="5"/>
  <c r="F402" i="5"/>
  <c r="C402" i="5"/>
  <c r="AD401" i="5"/>
  <c r="AC401" i="5"/>
  <c r="AA401" i="5"/>
  <c r="W401" i="5"/>
  <c r="X401" i="5" s="1"/>
  <c r="U401" i="5"/>
  <c r="R401" i="5"/>
  <c r="N401" i="5"/>
  <c r="L401" i="5"/>
  <c r="H401" i="5"/>
  <c r="I401" i="5" s="1"/>
  <c r="F401" i="5"/>
  <c r="C401" i="5"/>
  <c r="AC400" i="5"/>
  <c r="AD400" i="5" s="1"/>
  <c r="AA400" i="5"/>
  <c r="X400" i="5"/>
  <c r="W400" i="5"/>
  <c r="U400" i="5"/>
  <c r="R400" i="5"/>
  <c r="N400" i="5"/>
  <c r="L400" i="5"/>
  <c r="I400" i="5"/>
  <c r="H400" i="5"/>
  <c r="F400" i="5"/>
  <c r="C400" i="5"/>
  <c r="AD399" i="5"/>
  <c r="AC399" i="5"/>
  <c r="AA399" i="5"/>
  <c r="X399" i="5"/>
  <c r="W399" i="5"/>
  <c r="U399" i="5"/>
  <c r="R399" i="5"/>
  <c r="N399" i="5"/>
  <c r="O399" i="5" s="1"/>
  <c r="L399" i="5"/>
  <c r="H399" i="5"/>
  <c r="I399" i="5" s="1"/>
  <c r="F399" i="5"/>
  <c r="C399" i="5"/>
  <c r="AC398" i="5"/>
  <c r="AD398" i="5" s="1"/>
  <c r="AA398" i="5"/>
  <c r="W398" i="5"/>
  <c r="X398" i="5" s="1"/>
  <c r="U398" i="5"/>
  <c r="R398" i="5"/>
  <c r="N398" i="5"/>
  <c r="L398" i="5"/>
  <c r="H398" i="5"/>
  <c r="I398" i="5" s="1"/>
  <c r="F398" i="5"/>
  <c r="C398" i="5"/>
  <c r="AD397" i="5"/>
  <c r="AC397" i="5"/>
  <c r="AA397" i="5"/>
  <c r="W397" i="5"/>
  <c r="X397" i="5" s="1"/>
  <c r="U397" i="5"/>
  <c r="R397" i="5"/>
  <c r="N397" i="5"/>
  <c r="O397" i="5" s="1"/>
  <c r="L397" i="5"/>
  <c r="H397" i="5"/>
  <c r="I397" i="5" s="1"/>
  <c r="F397" i="5"/>
  <c r="C397" i="5"/>
  <c r="Z396" i="5"/>
  <c r="AA396" i="5" s="1"/>
  <c r="U396" i="5"/>
  <c r="T396" i="5"/>
  <c r="Q396" i="5"/>
  <c r="W396" i="5" s="1"/>
  <c r="X396" i="5" s="1"/>
  <c r="K396" i="5"/>
  <c r="L396" i="5" s="1"/>
  <c r="E396" i="5"/>
  <c r="F396" i="5" s="1"/>
  <c r="B396" i="5"/>
  <c r="AC395" i="5"/>
  <c r="AD395" i="5" s="1"/>
  <c r="AA395" i="5"/>
  <c r="X395" i="5"/>
  <c r="W395" i="5"/>
  <c r="U395" i="5"/>
  <c r="R395" i="5"/>
  <c r="N395" i="5"/>
  <c r="L395" i="5"/>
  <c r="I395" i="5"/>
  <c r="H395" i="5"/>
  <c r="F395" i="5"/>
  <c r="C395" i="5"/>
  <c r="AC394" i="5"/>
  <c r="AD394" i="5" s="1"/>
  <c r="AA394" i="5"/>
  <c r="W394" i="5"/>
  <c r="X394" i="5" s="1"/>
  <c r="U394" i="5"/>
  <c r="R394" i="5"/>
  <c r="N394" i="5"/>
  <c r="O394" i="5" s="1"/>
  <c r="L394" i="5"/>
  <c r="H394" i="5"/>
  <c r="I394" i="5" s="1"/>
  <c r="F394" i="5"/>
  <c r="C394" i="5"/>
  <c r="Z393" i="5"/>
  <c r="AA393" i="5" s="1"/>
  <c r="W393" i="5"/>
  <c r="X393" i="5" s="1"/>
  <c r="U393" i="5"/>
  <c r="T393" i="5"/>
  <c r="R393" i="5"/>
  <c r="Q393" i="5"/>
  <c r="K393" i="5"/>
  <c r="L393" i="5" s="1"/>
  <c r="H393" i="5"/>
  <c r="I393" i="5" s="1"/>
  <c r="E393" i="5"/>
  <c r="F393" i="5" s="1"/>
  <c r="C393" i="5"/>
  <c r="B393" i="5"/>
  <c r="N393" i="5" s="1"/>
  <c r="O393" i="5" s="1"/>
  <c r="AC392" i="5"/>
  <c r="AD392" i="5" s="1"/>
  <c r="AA392" i="5"/>
  <c r="W392" i="5"/>
  <c r="X392" i="5" s="1"/>
  <c r="U392" i="5"/>
  <c r="R392" i="5"/>
  <c r="N392" i="5"/>
  <c r="L392" i="5"/>
  <c r="I392" i="5"/>
  <c r="H392" i="5"/>
  <c r="F392" i="5"/>
  <c r="C392" i="5"/>
  <c r="AD391" i="5"/>
  <c r="AC391" i="5"/>
  <c r="AA391" i="5"/>
  <c r="W391" i="5"/>
  <c r="X391" i="5" s="1"/>
  <c r="U391" i="5"/>
  <c r="R391" i="5"/>
  <c r="N391" i="5"/>
  <c r="L391" i="5"/>
  <c r="H391" i="5"/>
  <c r="I391" i="5" s="1"/>
  <c r="F391" i="5"/>
  <c r="C391" i="5"/>
  <c r="AD390" i="5"/>
  <c r="AC390" i="5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C389" i="5"/>
  <c r="AD389" i="5" s="1"/>
  <c r="AA389" i="5"/>
  <c r="X389" i="5"/>
  <c r="W389" i="5"/>
  <c r="U389" i="5"/>
  <c r="R389" i="5"/>
  <c r="N389" i="5"/>
  <c r="L389" i="5"/>
  <c r="I389" i="5"/>
  <c r="H389" i="5"/>
  <c r="F389" i="5"/>
  <c r="C389" i="5"/>
  <c r="AC388" i="5"/>
  <c r="AD388" i="5" s="1"/>
  <c r="AA388" i="5"/>
  <c r="W388" i="5"/>
  <c r="X388" i="5" s="1"/>
  <c r="U388" i="5"/>
  <c r="R388" i="5"/>
  <c r="N388" i="5"/>
  <c r="L388" i="5"/>
  <c r="I388" i="5"/>
  <c r="H388" i="5"/>
  <c r="F388" i="5"/>
  <c r="C388" i="5"/>
  <c r="AD386" i="5"/>
  <c r="AC386" i="5"/>
  <c r="AA386" i="5"/>
  <c r="X386" i="5"/>
  <c r="W386" i="5"/>
  <c r="U386" i="5"/>
  <c r="R386" i="5"/>
  <c r="N386" i="5"/>
  <c r="O386" i="5" s="1"/>
  <c r="L386" i="5"/>
  <c r="H386" i="5"/>
  <c r="I386" i="5" s="1"/>
  <c r="F386" i="5"/>
  <c r="C386" i="5"/>
  <c r="AC385" i="5"/>
  <c r="AD385" i="5" s="1"/>
  <c r="AA385" i="5"/>
  <c r="X385" i="5"/>
  <c r="W385" i="5"/>
  <c r="U385" i="5"/>
  <c r="R385" i="5"/>
  <c r="N385" i="5"/>
  <c r="L385" i="5"/>
  <c r="I385" i="5"/>
  <c r="H385" i="5"/>
  <c r="F385" i="5"/>
  <c r="C385" i="5"/>
  <c r="AD383" i="5"/>
  <c r="AC383" i="5"/>
  <c r="AA383" i="5"/>
  <c r="W383" i="5"/>
  <c r="X383" i="5" s="1"/>
  <c r="U383" i="5"/>
  <c r="R383" i="5"/>
  <c r="O383" i="5"/>
  <c r="N383" i="5"/>
  <c r="L383" i="5"/>
  <c r="H383" i="5"/>
  <c r="I383" i="5" s="1"/>
  <c r="F383" i="5"/>
  <c r="C383" i="5"/>
  <c r="AC382" i="5"/>
  <c r="AD382" i="5" s="1"/>
  <c r="AA382" i="5"/>
  <c r="X382" i="5"/>
  <c r="W382" i="5"/>
  <c r="U382" i="5"/>
  <c r="R382" i="5"/>
  <c r="O382" i="5"/>
  <c r="N382" i="5"/>
  <c r="L382" i="5"/>
  <c r="I382" i="5"/>
  <c r="H382" i="5"/>
  <c r="F382" i="5"/>
  <c r="C382" i="5"/>
  <c r="AC381" i="5"/>
  <c r="AD381" i="5" s="1"/>
  <c r="AA381" i="5"/>
  <c r="W381" i="5"/>
  <c r="X381" i="5" s="1"/>
  <c r="U381" i="5"/>
  <c r="R381" i="5"/>
  <c r="N381" i="5"/>
  <c r="O381" i="5" s="1"/>
  <c r="L381" i="5"/>
  <c r="H381" i="5"/>
  <c r="I381" i="5" s="1"/>
  <c r="F381" i="5"/>
  <c r="C381" i="5"/>
  <c r="AD380" i="5"/>
  <c r="AC380" i="5"/>
  <c r="AA380" i="5"/>
  <c r="X380" i="5"/>
  <c r="W380" i="5"/>
  <c r="U380" i="5"/>
  <c r="R380" i="5"/>
  <c r="O380" i="5"/>
  <c r="N380" i="5"/>
  <c r="L380" i="5"/>
  <c r="H380" i="5"/>
  <c r="I380" i="5" s="1"/>
  <c r="F380" i="5"/>
  <c r="C380" i="5"/>
  <c r="AC379" i="5"/>
  <c r="AD379" i="5" s="1"/>
  <c r="AA379" i="5"/>
  <c r="X379" i="5"/>
  <c r="W379" i="5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N378" i="5"/>
  <c r="L378" i="5"/>
  <c r="I378" i="5"/>
  <c r="H378" i="5"/>
  <c r="F378" i="5"/>
  <c r="C378" i="5"/>
  <c r="AD377" i="5"/>
  <c r="AC377" i="5"/>
  <c r="AA377" i="5"/>
  <c r="W377" i="5"/>
  <c r="X377" i="5" s="1"/>
  <c r="U377" i="5"/>
  <c r="R377" i="5"/>
  <c r="N377" i="5"/>
  <c r="L377" i="5"/>
  <c r="H377" i="5"/>
  <c r="I377" i="5" s="1"/>
  <c r="F377" i="5"/>
  <c r="C377" i="5"/>
  <c r="AC376" i="5"/>
  <c r="AD376" i="5" s="1"/>
  <c r="AA376" i="5"/>
  <c r="X376" i="5"/>
  <c r="W376" i="5"/>
  <c r="U376" i="5"/>
  <c r="R376" i="5"/>
  <c r="O376" i="5"/>
  <c r="N376" i="5"/>
  <c r="L376" i="5"/>
  <c r="I376" i="5"/>
  <c r="H376" i="5"/>
  <c r="F376" i="5"/>
  <c r="C376" i="5"/>
  <c r="AC375" i="5"/>
  <c r="AD375" i="5" s="1"/>
  <c r="AA375" i="5"/>
  <c r="X375" i="5"/>
  <c r="W375" i="5"/>
  <c r="U375" i="5"/>
  <c r="R375" i="5"/>
  <c r="N375" i="5"/>
  <c r="O375" i="5" s="1"/>
  <c r="L375" i="5"/>
  <c r="H375" i="5"/>
  <c r="I375" i="5" s="1"/>
  <c r="F375" i="5"/>
  <c r="C375" i="5"/>
  <c r="AC374" i="5"/>
  <c r="AD374" i="5" s="1"/>
  <c r="AA374" i="5"/>
  <c r="W374" i="5"/>
  <c r="X374" i="5" s="1"/>
  <c r="U374" i="5"/>
  <c r="R374" i="5"/>
  <c r="N374" i="5"/>
  <c r="L374" i="5"/>
  <c r="I374" i="5"/>
  <c r="H374" i="5"/>
  <c r="F374" i="5"/>
  <c r="C374" i="5"/>
  <c r="AD373" i="5"/>
  <c r="AC373" i="5"/>
  <c r="AA373" i="5"/>
  <c r="W373" i="5"/>
  <c r="X373" i="5" s="1"/>
  <c r="U373" i="5"/>
  <c r="R373" i="5"/>
  <c r="N373" i="5"/>
  <c r="O373" i="5" s="1"/>
  <c r="L373" i="5"/>
  <c r="H373" i="5"/>
  <c r="I373" i="5" s="1"/>
  <c r="F373" i="5"/>
  <c r="C373" i="5"/>
  <c r="AC372" i="5"/>
  <c r="AD372" i="5" s="1"/>
  <c r="AA372" i="5"/>
  <c r="X372" i="5"/>
  <c r="W372" i="5"/>
  <c r="U372" i="5"/>
  <c r="R372" i="5"/>
  <c r="N372" i="5"/>
  <c r="O372" i="5" s="1"/>
  <c r="L372" i="5"/>
  <c r="H372" i="5"/>
  <c r="I372" i="5" s="1"/>
  <c r="F372" i="5"/>
  <c r="C372" i="5"/>
  <c r="AC371" i="5"/>
  <c r="AD371" i="5" s="1"/>
  <c r="AA371" i="5"/>
  <c r="X371" i="5"/>
  <c r="W371" i="5"/>
  <c r="U371" i="5"/>
  <c r="R371" i="5"/>
  <c r="N371" i="5"/>
  <c r="L371" i="5"/>
  <c r="I371" i="5"/>
  <c r="H371" i="5"/>
  <c r="F371" i="5"/>
  <c r="C371" i="5"/>
  <c r="AC370" i="5"/>
  <c r="AD370" i="5" s="1"/>
  <c r="AA370" i="5"/>
  <c r="W370" i="5"/>
  <c r="X370" i="5" s="1"/>
  <c r="U370" i="5"/>
  <c r="R370" i="5"/>
  <c r="N370" i="5"/>
  <c r="L370" i="5"/>
  <c r="I370" i="5"/>
  <c r="H370" i="5"/>
  <c r="F370" i="5"/>
  <c r="C370" i="5"/>
  <c r="AD369" i="5"/>
  <c r="AC369" i="5"/>
  <c r="AA369" i="5"/>
  <c r="X369" i="5"/>
  <c r="W369" i="5"/>
  <c r="U369" i="5"/>
  <c r="R369" i="5"/>
  <c r="N369" i="5"/>
  <c r="O369" i="5" s="1"/>
  <c r="L369" i="5"/>
  <c r="H369" i="5"/>
  <c r="I369" i="5" s="1"/>
  <c r="F369" i="5"/>
  <c r="C369" i="5"/>
  <c r="Z368" i="5"/>
  <c r="AC368" i="5" s="1"/>
  <c r="AD368" i="5" s="1"/>
  <c r="U368" i="5"/>
  <c r="T368" i="5"/>
  <c r="W368" i="5" s="1"/>
  <c r="X368" i="5" s="1"/>
  <c r="R368" i="5"/>
  <c r="Q368" i="5"/>
  <c r="N368" i="5"/>
  <c r="O368" i="5" s="1"/>
  <c r="K368" i="5"/>
  <c r="L368" i="5" s="1"/>
  <c r="H368" i="5"/>
  <c r="I368" i="5" s="1"/>
  <c r="F368" i="5"/>
  <c r="E368" i="5"/>
  <c r="B368" i="5"/>
  <c r="C368" i="5" s="1"/>
  <c r="AC367" i="5"/>
  <c r="AD367" i="5" s="1"/>
  <c r="AA367" i="5"/>
  <c r="W367" i="5"/>
  <c r="X367" i="5" s="1"/>
  <c r="U367" i="5"/>
  <c r="R367" i="5"/>
  <c r="N367" i="5"/>
  <c r="L367" i="5"/>
  <c r="I367" i="5"/>
  <c r="H367" i="5"/>
  <c r="F367" i="5"/>
  <c r="C367" i="5"/>
  <c r="AD366" i="5"/>
  <c r="AC366" i="5"/>
  <c r="AA366" i="5"/>
  <c r="X366" i="5"/>
  <c r="W366" i="5"/>
  <c r="U366" i="5"/>
  <c r="R366" i="5"/>
  <c r="N366" i="5"/>
  <c r="L366" i="5"/>
  <c r="H366" i="5"/>
  <c r="I366" i="5" s="1"/>
  <c r="F366" i="5"/>
  <c r="C366" i="5"/>
  <c r="AC365" i="5"/>
  <c r="AD365" i="5" s="1"/>
  <c r="AA365" i="5"/>
  <c r="X365" i="5"/>
  <c r="W365" i="5"/>
  <c r="U365" i="5"/>
  <c r="R365" i="5"/>
  <c r="O365" i="5"/>
  <c r="N365" i="5"/>
  <c r="L365" i="5"/>
  <c r="I365" i="5"/>
  <c r="H365" i="5"/>
  <c r="F365" i="5"/>
  <c r="C365" i="5"/>
  <c r="AC364" i="5"/>
  <c r="AD364" i="5" s="1"/>
  <c r="AA364" i="5"/>
  <c r="X364" i="5"/>
  <c r="W364" i="5"/>
  <c r="U364" i="5"/>
  <c r="R364" i="5"/>
  <c r="N364" i="5"/>
  <c r="O364" i="5" s="1"/>
  <c r="L364" i="5"/>
  <c r="H364" i="5"/>
  <c r="I364" i="5" s="1"/>
  <c r="F364" i="5"/>
  <c r="C364" i="5"/>
  <c r="AC363" i="5"/>
  <c r="AD363" i="5" s="1"/>
  <c r="AA363" i="5"/>
  <c r="W363" i="5"/>
  <c r="X363" i="5" s="1"/>
  <c r="U363" i="5"/>
  <c r="R363" i="5"/>
  <c r="N363" i="5"/>
  <c r="L363" i="5"/>
  <c r="H363" i="5"/>
  <c r="I363" i="5" s="1"/>
  <c r="F363" i="5"/>
  <c r="C363" i="5"/>
  <c r="AD362" i="5"/>
  <c r="AC362" i="5"/>
  <c r="AA362" i="5"/>
  <c r="W362" i="5"/>
  <c r="X362" i="5" s="1"/>
  <c r="U362" i="5"/>
  <c r="R362" i="5"/>
  <c r="N362" i="5"/>
  <c r="L362" i="5"/>
  <c r="H362" i="5"/>
  <c r="I362" i="5" s="1"/>
  <c r="F362" i="5"/>
  <c r="C362" i="5"/>
  <c r="AC361" i="5"/>
  <c r="AD361" i="5" s="1"/>
  <c r="AA361" i="5"/>
  <c r="X361" i="5"/>
  <c r="W361" i="5"/>
  <c r="U361" i="5"/>
  <c r="R361" i="5"/>
  <c r="N361" i="5"/>
  <c r="O361" i="5" s="1"/>
  <c r="L361" i="5"/>
  <c r="H361" i="5"/>
  <c r="I361" i="5" s="1"/>
  <c r="F361" i="5"/>
  <c r="C361" i="5"/>
  <c r="AC360" i="5"/>
  <c r="AD360" i="5" s="1"/>
  <c r="AA360" i="5"/>
  <c r="X360" i="5"/>
  <c r="W360" i="5"/>
  <c r="U360" i="5"/>
  <c r="R360" i="5"/>
  <c r="N360" i="5"/>
  <c r="L360" i="5"/>
  <c r="I360" i="5"/>
  <c r="H360" i="5"/>
  <c r="F360" i="5"/>
  <c r="C360" i="5"/>
  <c r="AA358" i="5"/>
  <c r="Z358" i="5"/>
  <c r="W358" i="5"/>
  <c r="X358" i="5" s="1"/>
  <c r="U358" i="5"/>
  <c r="T358" i="5"/>
  <c r="Q358" i="5"/>
  <c r="K358" i="5"/>
  <c r="L358" i="5" s="1"/>
  <c r="H358" i="5"/>
  <c r="I358" i="5" s="1"/>
  <c r="E358" i="5"/>
  <c r="F358" i="5" s="1"/>
  <c r="C358" i="5"/>
  <c r="B358" i="5"/>
  <c r="N358" i="5" s="1"/>
  <c r="O358" i="5" s="1"/>
  <c r="AD357" i="5"/>
  <c r="AC357" i="5"/>
  <c r="AA357" i="5"/>
  <c r="X357" i="5"/>
  <c r="W357" i="5"/>
  <c r="U357" i="5"/>
  <c r="R357" i="5"/>
  <c r="N357" i="5"/>
  <c r="L357" i="5"/>
  <c r="H357" i="5"/>
  <c r="I357" i="5" s="1"/>
  <c r="F357" i="5"/>
  <c r="C357" i="5"/>
  <c r="AD356" i="5"/>
  <c r="AC356" i="5"/>
  <c r="AA356" i="5"/>
  <c r="W356" i="5"/>
  <c r="X356" i="5" s="1"/>
  <c r="U356" i="5"/>
  <c r="R356" i="5"/>
  <c r="N356" i="5"/>
  <c r="O356" i="5" s="1"/>
  <c r="L356" i="5"/>
  <c r="I356" i="5"/>
  <c r="H356" i="5"/>
  <c r="F356" i="5"/>
  <c r="C356" i="5"/>
  <c r="AC355" i="5"/>
  <c r="AD355" i="5" s="1"/>
  <c r="AA355" i="5"/>
  <c r="X355" i="5"/>
  <c r="W355" i="5"/>
  <c r="U355" i="5"/>
  <c r="R355" i="5"/>
  <c r="O355" i="5"/>
  <c r="N355" i="5"/>
  <c r="L355" i="5"/>
  <c r="H355" i="5"/>
  <c r="I355" i="5" s="1"/>
  <c r="F355" i="5"/>
  <c r="C355" i="5"/>
  <c r="AC354" i="5"/>
  <c r="AD354" i="5" s="1"/>
  <c r="AA354" i="5"/>
  <c r="X354" i="5"/>
  <c r="W354" i="5"/>
  <c r="U354" i="5"/>
  <c r="R354" i="5"/>
  <c r="N354" i="5"/>
  <c r="L354" i="5"/>
  <c r="H354" i="5"/>
  <c r="I354" i="5" s="1"/>
  <c r="F354" i="5"/>
  <c r="C354" i="5"/>
  <c r="AD353" i="5"/>
  <c r="AC353" i="5"/>
  <c r="AA353" i="5"/>
  <c r="X353" i="5"/>
  <c r="W353" i="5"/>
  <c r="U353" i="5"/>
  <c r="R353" i="5"/>
  <c r="N353" i="5"/>
  <c r="O353" i="5" s="1"/>
  <c r="L353" i="5"/>
  <c r="I353" i="5"/>
  <c r="H353" i="5"/>
  <c r="F353" i="5"/>
  <c r="C353" i="5"/>
  <c r="AD352" i="5"/>
  <c r="AC352" i="5"/>
  <c r="AA352" i="5"/>
  <c r="X352" i="5"/>
  <c r="W352" i="5"/>
  <c r="U352" i="5"/>
  <c r="R352" i="5"/>
  <c r="O352" i="5"/>
  <c r="N352" i="5"/>
  <c r="L352" i="5"/>
  <c r="I352" i="5"/>
  <c r="H352" i="5"/>
  <c r="F352" i="5"/>
  <c r="C352" i="5"/>
  <c r="AC351" i="5"/>
  <c r="AD351" i="5" s="1"/>
  <c r="AA351" i="5"/>
  <c r="X351" i="5"/>
  <c r="W351" i="5"/>
  <c r="U351" i="5"/>
  <c r="R351" i="5"/>
  <c r="N351" i="5"/>
  <c r="L351" i="5"/>
  <c r="I351" i="5"/>
  <c r="H351" i="5"/>
  <c r="F351" i="5"/>
  <c r="C351" i="5"/>
  <c r="AD350" i="5"/>
  <c r="AC350" i="5"/>
  <c r="AA350" i="5"/>
  <c r="W350" i="5"/>
  <c r="X350" i="5" s="1"/>
  <c r="U350" i="5"/>
  <c r="R350" i="5"/>
  <c r="O350" i="5"/>
  <c r="N350" i="5"/>
  <c r="L350" i="5"/>
  <c r="H350" i="5"/>
  <c r="I350" i="5" s="1"/>
  <c r="F350" i="5"/>
  <c r="C350" i="5"/>
  <c r="AD349" i="5"/>
  <c r="AC349" i="5"/>
  <c r="AA349" i="5"/>
  <c r="X349" i="5"/>
  <c r="W349" i="5"/>
  <c r="U349" i="5"/>
  <c r="R349" i="5"/>
  <c r="O349" i="5"/>
  <c r="N349" i="5"/>
  <c r="L349" i="5"/>
  <c r="I349" i="5"/>
  <c r="H349" i="5"/>
  <c r="F349" i="5"/>
  <c r="C349" i="5"/>
  <c r="AC347" i="5"/>
  <c r="AD347" i="5" s="1"/>
  <c r="AA347" i="5"/>
  <c r="W347" i="5"/>
  <c r="X347" i="5" s="1"/>
  <c r="U347" i="5"/>
  <c r="R347" i="5"/>
  <c r="N347" i="5"/>
  <c r="O347" i="5" s="1"/>
  <c r="L347" i="5"/>
  <c r="I347" i="5"/>
  <c r="H347" i="5"/>
  <c r="F347" i="5"/>
  <c r="C347" i="5"/>
  <c r="AC344" i="5"/>
  <c r="AD344" i="5" s="1"/>
  <c r="Z344" i="5"/>
  <c r="AA344" i="5" s="1"/>
  <c r="T344" i="5"/>
  <c r="U344" i="5" s="1"/>
  <c r="Q344" i="5"/>
  <c r="W344" i="5" s="1"/>
  <c r="X344" i="5" s="1"/>
  <c r="L344" i="5"/>
  <c r="K344" i="5"/>
  <c r="H344" i="5"/>
  <c r="I344" i="5" s="1"/>
  <c r="E344" i="5"/>
  <c r="F344" i="5" s="1"/>
  <c r="B344" i="5"/>
  <c r="C344" i="5" s="1"/>
  <c r="Z343" i="5"/>
  <c r="AA343" i="5" s="1"/>
  <c r="T343" i="5"/>
  <c r="R343" i="5"/>
  <c r="Q343" i="5"/>
  <c r="K343" i="5"/>
  <c r="L343" i="5" s="1"/>
  <c r="F343" i="5"/>
  <c r="E343" i="5"/>
  <c r="B343" i="5"/>
  <c r="Z342" i="5"/>
  <c r="AA342" i="5" s="1"/>
  <c r="T342" i="5"/>
  <c r="U342" i="5" s="1"/>
  <c r="Q342" i="5"/>
  <c r="N342" i="5"/>
  <c r="O342" i="5" s="1"/>
  <c r="L342" i="5"/>
  <c r="K342" i="5"/>
  <c r="E342" i="5"/>
  <c r="F342" i="5" s="1"/>
  <c r="B342" i="5"/>
  <c r="C342" i="5" s="1"/>
  <c r="AD341" i="5"/>
  <c r="AC341" i="5"/>
  <c r="AA341" i="5"/>
  <c r="W341" i="5"/>
  <c r="X341" i="5" s="1"/>
  <c r="U341" i="5"/>
  <c r="R341" i="5"/>
  <c r="N341" i="5"/>
  <c r="L341" i="5"/>
  <c r="H341" i="5"/>
  <c r="I341" i="5" s="1"/>
  <c r="F341" i="5"/>
  <c r="C341" i="5"/>
  <c r="AC340" i="5"/>
  <c r="AD340" i="5" s="1"/>
  <c r="AA340" i="5"/>
  <c r="X340" i="5"/>
  <c r="W340" i="5"/>
  <c r="U340" i="5"/>
  <c r="R340" i="5"/>
  <c r="N340" i="5"/>
  <c r="L340" i="5"/>
  <c r="I340" i="5"/>
  <c r="H340" i="5"/>
  <c r="F340" i="5"/>
  <c r="C340" i="5"/>
  <c r="AD339" i="5"/>
  <c r="AC339" i="5"/>
  <c r="AA339" i="5"/>
  <c r="X339" i="5"/>
  <c r="W339" i="5"/>
  <c r="U339" i="5"/>
  <c r="R339" i="5"/>
  <c r="N339" i="5"/>
  <c r="O339" i="5" s="1"/>
  <c r="L339" i="5"/>
  <c r="H339" i="5"/>
  <c r="I339" i="5" s="1"/>
  <c r="F339" i="5"/>
  <c r="C339" i="5"/>
  <c r="AC338" i="5"/>
  <c r="AD338" i="5" s="1"/>
  <c r="AA338" i="5"/>
  <c r="X338" i="5"/>
  <c r="W338" i="5"/>
  <c r="U338" i="5"/>
  <c r="R338" i="5"/>
  <c r="N338" i="5"/>
  <c r="L338" i="5"/>
  <c r="H338" i="5"/>
  <c r="I338" i="5" s="1"/>
  <c r="F338" i="5"/>
  <c r="C338" i="5"/>
  <c r="AD337" i="5"/>
  <c r="AC337" i="5"/>
  <c r="AA337" i="5"/>
  <c r="X337" i="5"/>
  <c r="W337" i="5"/>
  <c r="U337" i="5"/>
  <c r="R337" i="5"/>
  <c r="O337" i="5"/>
  <c r="N337" i="5"/>
  <c r="L337" i="5"/>
  <c r="H337" i="5"/>
  <c r="I337" i="5" s="1"/>
  <c r="F337" i="5"/>
  <c r="C337" i="5"/>
  <c r="AC335" i="5"/>
  <c r="AD335" i="5" s="1"/>
  <c r="AA335" i="5"/>
  <c r="X335" i="5"/>
  <c r="W335" i="5"/>
  <c r="U335" i="5"/>
  <c r="R335" i="5"/>
  <c r="O335" i="5"/>
  <c r="N335" i="5"/>
  <c r="L335" i="5"/>
  <c r="I335" i="5"/>
  <c r="H335" i="5"/>
  <c r="F335" i="5"/>
  <c r="C335" i="5"/>
  <c r="AC334" i="5"/>
  <c r="AD334" i="5" s="1"/>
  <c r="AA334" i="5"/>
  <c r="X334" i="5"/>
  <c r="W334" i="5"/>
  <c r="U334" i="5"/>
  <c r="R334" i="5"/>
  <c r="N334" i="5"/>
  <c r="O334" i="5" s="1"/>
  <c r="L334" i="5"/>
  <c r="H334" i="5"/>
  <c r="I334" i="5" s="1"/>
  <c r="F334" i="5"/>
  <c r="C334" i="5"/>
  <c r="AC333" i="5"/>
  <c r="AD333" i="5" s="1"/>
  <c r="AA333" i="5"/>
  <c r="X333" i="5"/>
  <c r="W333" i="5"/>
  <c r="U333" i="5"/>
  <c r="R333" i="5"/>
  <c r="N333" i="5"/>
  <c r="L333" i="5"/>
  <c r="I333" i="5"/>
  <c r="H333" i="5"/>
  <c r="F333" i="5"/>
  <c r="C333" i="5"/>
  <c r="AD332" i="5"/>
  <c r="AC332" i="5"/>
  <c r="AA332" i="5"/>
  <c r="W332" i="5"/>
  <c r="X332" i="5" s="1"/>
  <c r="U332" i="5"/>
  <c r="R332" i="5"/>
  <c r="O332" i="5"/>
  <c r="N332" i="5"/>
  <c r="L332" i="5"/>
  <c r="H332" i="5"/>
  <c r="I332" i="5" s="1"/>
  <c r="F332" i="5"/>
  <c r="C332" i="5"/>
  <c r="AC331" i="5"/>
  <c r="AD331" i="5" s="1"/>
  <c r="AA331" i="5"/>
  <c r="X331" i="5"/>
  <c r="W331" i="5"/>
  <c r="U331" i="5"/>
  <c r="R331" i="5"/>
  <c r="O331" i="5"/>
  <c r="N331" i="5"/>
  <c r="L331" i="5"/>
  <c r="I331" i="5"/>
  <c r="H331" i="5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H330" i="5"/>
  <c r="I330" i="5" s="1"/>
  <c r="F330" i="5"/>
  <c r="C330" i="5"/>
  <c r="AC329" i="5"/>
  <c r="AD329" i="5" s="1"/>
  <c r="AA329" i="5"/>
  <c r="X329" i="5"/>
  <c r="W329" i="5"/>
  <c r="U329" i="5"/>
  <c r="R329" i="5"/>
  <c r="N329" i="5"/>
  <c r="L329" i="5"/>
  <c r="H329" i="5"/>
  <c r="I329" i="5" s="1"/>
  <c r="F329" i="5"/>
  <c r="C329" i="5"/>
  <c r="AD328" i="5"/>
  <c r="AC328" i="5"/>
  <c r="AA328" i="5"/>
  <c r="W328" i="5"/>
  <c r="X328" i="5" s="1"/>
  <c r="U328" i="5"/>
  <c r="R328" i="5"/>
  <c r="O328" i="5"/>
  <c r="N328" i="5"/>
  <c r="L328" i="5"/>
  <c r="H328" i="5"/>
  <c r="I328" i="5" s="1"/>
  <c r="F328" i="5"/>
  <c r="C328" i="5"/>
  <c r="AC325" i="5"/>
  <c r="AD325" i="5" s="1"/>
  <c r="AA325" i="5"/>
  <c r="Z325" i="5"/>
  <c r="W325" i="5"/>
  <c r="X325" i="5" s="1"/>
  <c r="U325" i="5"/>
  <c r="T325" i="5"/>
  <c r="Q325" i="5"/>
  <c r="R325" i="5" s="1"/>
  <c r="K325" i="5"/>
  <c r="L325" i="5" s="1"/>
  <c r="E325" i="5"/>
  <c r="F325" i="5" s="1"/>
  <c r="C325" i="5"/>
  <c r="B325" i="5"/>
  <c r="N325" i="5" s="1"/>
  <c r="O325" i="5" s="1"/>
  <c r="Z324" i="5"/>
  <c r="AA324" i="5" s="1"/>
  <c r="U324" i="5"/>
  <c r="T324" i="5"/>
  <c r="Q324" i="5"/>
  <c r="K324" i="5"/>
  <c r="L324" i="5" s="1"/>
  <c r="E324" i="5"/>
  <c r="F324" i="5" s="1"/>
  <c r="B324" i="5"/>
  <c r="H324" i="5" s="1"/>
  <c r="I324" i="5" s="1"/>
  <c r="AC323" i="5"/>
  <c r="AD323" i="5" s="1"/>
  <c r="AA323" i="5"/>
  <c r="X323" i="5"/>
  <c r="W323" i="5"/>
  <c r="U323" i="5"/>
  <c r="R323" i="5"/>
  <c r="N323" i="5"/>
  <c r="L323" i="5"/>
  <c r="I323" i="5"/>
  <c r="H323" i="5"/>
  <c r="F323" i="5"/>
  <c r="C323" i="5"/>
  <c r="AD322" i="5"/>
  <c r="AC322" i="5"/>
  <c r="AA322" i="5"/>
  <c r="W322" i="5"/>
  <c r="X322" i="5" s="1"/>
  <c r="U322" i="5"/>
  <c r="R322" i="5"/>
  <c r="O322" i="5"/>
  <c r="N322" i="5"/>
  <c r="L322" i="5"/>
  <c r="H322" i="5"/>
  <c r="I322" i="5" s="1"/>
  <c r="F322" i="5"/>
  <c r="C322" i="5"/>
  <c r="AC321" i="5"/>
  <c r="AD321" i="5" s="1"/>
  <c r="AA321" i="5"/>
  <c r="X321" i="5"/>
  <c r="W321" i="5"/>
  <c r="U321" i="5"/>
  <c r="R321" i="5"/>
  <c r="N321" i="5"/>
  <c r="L321" i="5"/>
  <c r="H321" i="5"/>
  <c r="I321" i="5" s="1"/>
  <c r="F321" i="5"/>
  <c r="C321" i="5"/>
  <c r="AD320" i="5"/>
  <c r="AC320" i="5"/>
  <c r="AA320" i="5"/>
  <c r="X320" i="5"/>
  <c r="W320" i="5"/>
  <c r="U320" i="5"/>
  <c r="R320" i="5"/>
  <c r="O320" i="5"/>
  <c r="N320" i="5"/>
  <c r="L320" i="5"/>
  <c r="H320" i="5"/>
  <c r="I320" i="5" s="1"/>
  <c r="F320" i="5"/>
  <c r="C320" i="5"/>
  <c r="AC319" i="5"/>
  <c r="AD319" i="5" s="1"/>
  <c r="AA319" i="5"/>
  <c r="X319" i="5"/>
  <c r="W319" i="5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W318" i="5"/>
  <c r="X318" i="5" s="1"/>
  <c r="U318" i="5"/>
  <c r="R318" i="5"/>
  <c r="N318" i="5"/>
  <c r="O318" i="5" s="1"/>
  <c r="L318" i="5"/>
  <c r="H318" i="5"/>
  <c r="I318" i="5" s="1"/>
  <c r="F318" i="5"/>
  <c r="C318" i="5"/>
  <c r="AC317" i="5"/>
  <c r="AD317" i="5" s="1"/>
  <c r="AA317" i="5"/>
  <c r="X317" i="5"/>
  <c r="W317" i="5"/>
  <c r="U317" i="5"/>
  <c r="R317" i="5"/>
  <c r="N317" i="5"/>
  <c r="L317" i="5"/>
  <c r="I317" i="5"/>
  <c r="H317" i="5"/>
  <c r="F317" i="5"/>
  <c r="C317" i="5"/>
  <c r="AD316" i="5"/>
  <c r="AC316" i="5"/>
  <c r="AA316" i="5"/>
  <c r="X316" i="5"/>
  <c r="W316" i="5"/>
  <c r="U316" i="5"/>
  <c r="R316" i="5"/>
  <c r="N316" i="5"/>
  <c r="O316" i="5" s="1"/>
  <c r="L316" i="5"/>
  <c r="H316" i="5"/>
  <c r="I316" i="5" s="1"/>
  <c r="F316" i="5"/>
  <c r="C316" i="5"/>
  <c r="AC315" i="5"/>
  <c r="AD315" i="5" s="1"/>
  <c r="AA315" i="5"/>
  <c r="X315" i="5"/>
  <c r="W315" i="5"/>
  <c r="U315" i="5"/>
  <c r="R315" i="5"/>
  <c r="O315" i="5"/>
  <c r="N315" i="5"/>
  <c r="L315" i="5"/>
  <c r="I315" i="5"/>
  <c r="H315" i="5"/>
  <c r="F315" i="5"/>
  <c r="C315" i="5"/>
  <c r="AC314" i="5"/>
  <c r="AD314" i="5" s="1"/>
  <c r="AA314" i="5"/>
  <c r="W314" i="5"/>
  <c r="X314" i="5" s="1"/>
  <c r="U314" i="5"/>
  <c r="R314" i="5"/>
  <c r="N314" i="5"/>
  <c r="O314" i="5" s="1"/>
  <c r="L314" i="5"/>
  <c r="H314" i="5"/>
  <c r="I314" i="5" s="1"/>
  <c r="F314" i="5"/>
  <c r="C314" i="5"/>
  <c r="AC313" i="5"/>
  <c r="AD313" i="5" s="1"/>
  <c r="AA313" i="5"/>
  <c r="X313" i="5"/>
  <c r="W313" i="5"/>
  <c r="U313" i="5"/>
  <c r="R313" i="5"/>
  <c r="N313" i="5"/>
  <c r="L313" i="5"/>
  <c r="I313" i="5"/>
  <c r="H313" i="5"/>
  <c r="F313" i="5"/>
  <c r="C313" i="5"/>
  <c r="AD312" i="5"/>
  <c r="AC312" i="5"/>
  <c r="AA312" i="5"/>
  <c r="X312" i="5"/>
  <c r="W312" i="5"/>
  <c r="U312" i="5"/>
  <c r="R312" i="5"/>
  <c r="N312" i="5"/>
  <c r="O312" i="5" s="1"/>
  <c r="L312" i="5"/>
  <c r="H312" i="5"/>
  <c r="I312" i="5" s="1"/>
  <c r="F312" i="5"/>
  <c r="C312" i="5"/>
  <c r="AC311" i="5"/>
  <c r="AD311" i="5" s="1"/>
  <c r="AA311" i="5"/>
  <c r="X311" i="5"/>
  <c r="W311" i="5"/>
  <c r="U311" i="5"/>
  <c r="R311" i="5"/>
  <c r="O311" i="5"/>
  <c r="N311" i="5"/>
  <c r="L311" i="5"/>
  <c r="I311" i="5"/>
  <c r="H311" i="5"/>
  <c r="F311" i="5"/>
  <c r="C311" i="5"/>
  <c r="AC310" i="5"/>
  <c r="AD310" i="5" s="1"/>
  <c r="AA310" i="5"/>
  <c r="X310" i="5"/>
  <c r="W310" i="5"/>
  <c r="U310" i="5"/>
  <c r="R310" i="5"/>
  <c r="O310" i="5"/>
  <c r="N310" i="5"/>
  <c r="L310" i="5"/>
  <c r="H310" i="5"/>
  <c r="I310" i="5" s="1"/>
  <c r="F310" i="5"/>
  <c r="C310" i="5"/>
  <c r="AC309" i="5"/>
  <c r="AD309" i="5" s="1"/>
  <c r="AA309" i="5"/>
  <c r="X309" i="5"/>
  <c r="W309" i="5"/>
  <c r="U309" i="5"/>
  <c r="R309" i="5"/>
  <c r="N309" i="5"/>
  <c r="L309" i="5"/>
  <c r="H309" i="5"/>
  <c r="I309" i="5" s="1"/>
  <c r="F309" i="5"/>
  <c r="C309" i="5"/>
  <c r="AD308" i="5"/>
  <c r="AC308" i="5"/>
  <c r="AA308" i="5"/>
  <c r="W308" i="5"/>
  <c r="X308" i="5" s="1"/>
  <c r="U308" i="5"/>
  <c r="R308" i="5"/>
  <c r="N308" i="5"/>
  <c r="O308" i="5" s="1"/>
  <c r="L308" i="5"/>
  <c r="H308" i="5"/>
  <c r="I308" i="5" s="1"/>
  <c r="F308" i="5"/>
  <c r="C308" i="5"/>
  <c r="AC307" i="5"/>
  <c r="AD307" i="5" s="1"/>
  <c r="AA307" i="5"/>
  <c r="X307" i="5"/>
  <c r="W307" i="5"/>
  <c r="U307" i="5"/>
  <c r="R307" i="5"/>
  <c r="N307" i="5"/>
  <c r="L307" i="5"/>
  <c r="I307" i="5"/>
  <c r="H307" i="5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H306" i="5"/>
  <c r="I306" i="5" s="1"/>
  <c r="F306" i="5"/>
  <c r="C306" i="5"/>
  <c r="AC305" i="5"/>
  <c r="AD305" i="5" s="1"/>
  <c r="AA305" i="5"/>
  <c r="X305" i="5"/>
  <c r="W305" i="5"/>
  <c r="U305" i="5"/>
  <c r="R305" i="5"/>
  <c r="O305" i="5"/>
  <c r="N305" i="5"/>
  <c r="L305" i="5"/>
  <c r="H305" i="5"/>
  <c r="I305" i="5" s="1"/>
  <c r="F305" i="5"/>
  <c r="C305" i="5"/>
  <c r="AC304" i="5"/>
  <c r="AD304" i="5" s="1"/>
  <c r="AA304" i="5"/>
  <c r="W304" i="5"/>
  <c r="X304" i="5" s="1"/>
  <c r="U304" i="5"/>
  <c r="R304" i="5"/>
  <c r="N304" i="5"/>
  <c r="O304" i="5" s="1"/>
  <c r="L304" i="5"/>
  <c r="H304" i="5"/>
  <c r="I304" i="5" s="1"/>
  <c r="F304" i="5"/>
  <c r="C304" i="5"/>
  <c r="AC303" i="5"/>
  <c r="AD303" i="5" s="1"/>
  <c r="AA303" i="5"/>
  <c r="X303" i="5"/>
  <c r="W303" i="5"/>
  <c r="U303" i="5"/>
  <c r="R303" i="5"/>
  <c r="N303" i="5"/>
  <c r="L303" i="5"/>
  <c r="I303" i="5"/>
  <c r="H303" i="5"/>
  <c r="F303" i="5"/>
  <c r="C303" i="5"/>
  <c r="AD302" i="5"/>
  <c r="AC302" i="5"/>
  <c r="AA302" i="5"/>
  <c r="X302" i="5"/>
  <c r="W302" i="5"/>
  <c r="U302" i="5"/>
  <c r="R302" i="5"/>
  <c r="N302" i="5"/>
  <c r="O302" i="5" s="1"/>
  <c r="L302" i="5"/>
  <c r="H302" i="5"/>
  <c r="I302" i="5" s="1"/>
  <c r="F302" i="5"/>
  <c r="C302" i="5"/>
  <c r="AC301" i="5"/>
  <c r="AD301" i="5" s="1"/>
  <c r="AA301" i="5"/>
  <c r="X301" i="5"/>
  <c r="W301" i="5"/>
  <c r="U301" i="5"/>
  <c r="R301" i="5"/>
  <c r="O301" i="5"/>
  <c r="N301" i="5"/>
  <c r="L301" i="5"/>
  <c r="H301" i="5"/>
  <c r="I301" i="5" s="1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H300" i="5"/>
  <c r="I300" i="5" s="1"/>
  <c r="F300" i="5"/>
  <c r="C300" i="5"/>
  <c r="AC299" i="5"/>
  <c r="AD299" i="5" s="1"/>
  <c r="AA299" i="5"/>
  <c r="X299" i="5"/>
  <c r="W299" i="5"/>
  <c r="U299" i="5"/>
  <c r="R299" i="5"/>
  <c r="N299" i="5"/>
  <c r="L299" i="5"/>
  <c r="I299" i="5"/>
  <c r="H299" i="5"/>
  <c r="F299" i="5"/>
  <c r="C299" i="5"/>
  <c r="AD298" i="5"/>
  <c r="AC298" i="5"/>
  <c r="AA298" i="5"/>
  <c r="W298" i="5"/>
  <c r="X298" i="5" s="1"/>
  <c r="U298" i="5"/>
  <c r="R298" i="5"/>
  <c r="N298" i="5"/>
  <c r="O298" i="5" s="1"/>
  <c r="L298" i="5"/>
  <c r="H298" i="5"/>
  <c r="I298" i="5" s="1"/>
  <c r="F298" i="5"/>
  <c r="C298" i="5"/>
  <c r="AC297" i="5"/>
  <c r="AD297" i="5" s="1"/>
  <c r="AA297" i="5"/>
  <c r="X297" i="5"/>
  <c r="W297" i="5"/>
  <c r="U297" i="5"/>
  <c r="R297" i="5"/>
  <c r="O297" i="5"/>
  <c r="N297" i="5"/>
  <c r="L297" i="5"/>
  <c r="H297" i="5"/>
  <c r="I297" i="5" s="1"/>
  <c r="F297" i="5"/>
  <c r="C297" i="5"/>
  <c r="Z295" i="5"/>
  <c r="W295" i="5"/>
  <c r="X295" i="5" s="1"/>
  <c r="T295" i="5"/>
  <c r="U295" i="5" s="1"/>
  <c r="R295" i="5"/>
  <c r="Q295" i="5"/>
  <c r="K295" i="5"/>
  <c r="L295" i="5" s="1"/>
  <c r="E295" i="5"/>
  <c r="F295" i="5" s="1"/>
  <c r="B295" i="5"/>
  <c r="AC294" i="5"/>
  <c r="AD294" i="5" s="1"/>
  <c r="AA294" i="5"/>
  <c r="X294" i="5"/>
  <c r="W294" i="5"/>
  <c r="U294" i="5"/>
  <c r="R294" i="5"/>
  <c r="O294" i="5"/>
  <c r="N294" i="5"/>
  <c r="L294" i="5"/>
  <c r="H294" i="5"/>
  <c r="I294" i="5" s="1"/>
  <c r="F294" i="5"/>
  <c r="C294" i="5"/>
  <c r="AC293" i="5"/>
  <c r="AD293" i="5" s="1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C292" i="5"/>
  <c r="AD292" i="5" s="1"/>
  <c r="AA292" i="5"/>
  <c r="X292" i="5"/>
  <c r="W292" i="5"/>
  <c r="U292" i="5"/>
  <c r="R292" i="5"/>
  <c r="N292" i="5"/>
  <c r="O292" i="5" s="1"/>
  <c r="L292" i="5"/>
  <c r="H292" i="5"/>
  <c r="I292" i="5" s="1"/>
  <c r="F292" i="5"/>
  <c r="C292" i="5"/>
  <c r="AC291" i="5"/>
  <c r="AD291" i="5" s="1"/>
  <c r="AA291" i="5"/>
  <c r="X291" i="5"/>
  <c r="W291" i="5"/>
  <c r="U291" i="5"/>
  <c r="R291" i="5"/>
  <c r="O291" i="5"/>
  <c r="N291" i="5"/>
  <c r="L291" i="5"/>
  <c r="H291" i="5"/>
  <c r="I291" i="5" s="1"/>
  <c r="F291" i="5"/>
  <c r="C291" i="5"/>
  <c r="AC290" i="5"/>
  <c r="AD290" i="5" s="1"/>
  <c r="AA290" i="5"/>
  <c r="X290" i="5"/>
  <c r="W290" i="5"/>
  <c r="U290" i="5"/>
  <c r="R290" i="5"/>
  <c r="O290" i="5"/>
  <c r="N290" i="5"/>
  <c r="L290" i="5"/>
  <c r="H290" i="5"/>
  <c r="I290" i="5" s="1"/>
  <c r="F290" i="5"/>
  <c r="C290" i="5"/>
  <c r="AC289" i="5"/>
  <c r="AD289" i="5" s="1"/>
  <c r="AA289" i="5"/>
  <c r="X289" i="5"/>
  <c r="W289" i="5"/>
  <c r="U289" i="5"/>
  <c r="R289" i="5"/>
  <c r="O289" i="5"/>
  <c r="N289" i="5"/>
  <c r="L289" i="5"/>
  <c r="I289" i="5"/>
  <c r="H289" i="5"/>
  <c r="F289" i="5"/>
  <c r="C289" i="5"/>
  <c r="AC288" i="5"/>
  <c r="AD288" i="5" s="1"/>
  <c r="AA288" i="5"/>
  <c r="W288" i="5"/>
  <c r="X288" i="5" s="1"/>
  <c r="U288" i="5"/>
  <c r="R288" i="5"/>
  <c r="O288" i="5"/>
  <c r="N288" i="5"/>
  <c r="L288" i="5"/>
  <c r="H288" i="5"/>
  <c r="I288" i="5" s="1"/>
  <c r="F288" i="5"/>
  <c r="C288" i="5"/>
  <c r="AC287" i="5"/>
  <c r="AD287" i="5" s="1"/>
  <c r="AA287" i="5"/>
  <c r="X287" i="5"/>
  <c r="W287" i="5"/>
  <c r="U287" i="5"/>
  <c r="R287" i="5"/>
  <c r="N287" i="5"/>
  <c r="L287" i="5"/>
  <c r="H287" i="5"/>
  <c r="I287" i="5" s="1"/>
  <c r="F287" i="5"/>
  <c r="C287" i="5"/>
  <c r="AC286" i="5"/>
  <c r="AD286" i="5" s="1"/>
  <c r="AA286" i="5"/>
  <c r="X286" i="5"/>
  <c r="W286" i="5"/>
  <c r="U286" i="5"/>
  <c r="R286" i="5"/>
  <c r="O286" i="5"/>
  <c r="N286" i="5"/>
  <c r="L286" i="5"/>
  <c r="H286" i="5"/>
  <c r="I286" i="5" s="1"/>
  <c r="F286" i="5"/>
  <c r="C286" i="5"/>
  <c r="Z284" i="5"/>
  <c r="AC284" i="5" s="1"/>
  <c r="AD284" i="5" s="1"/>
  <c r="T284" i="5"/>
  <c r="U284" i="5" s="1"/>
  <c r="Q284" i="5"/>
  <c r="K284" i="5"/>
  <c r="L284" i="5" s="1"/>
  <c r="E284" i="5"/>
  <c r="F284" i="5" s="1"/>
  <c r="B284" i="5"/>
  <c r="AC283" i="5"/>
  <c r="AD283" i="5" s="1"/>
  <c r="AA283" i="5"/>
  <c r="X283" i="5"/>
  <c r="W283" i="5"/>
  <c r="U283" i="5"/>
  <c r="R283" i="5"/>
  <c r="O283" i="5"/>
  <c r="N283" i="5"/>
  <c r="L283" i="5"/>
  <c r="H283" i="5"/>
  <c r="I283" i="5" s="1"/>
  <c r="F283" i="5"/>
  <c r="C283" i="5"/>
  <c r="AC282" i="5"/>
  <c r="AD282" i="5" s="1"/>
  <c r="AA282" i="5"/>
  <c r="W282" i="5"/>
  <c r="X282" i="5" s="1"/>
  <c r="U282" i="5"/>
  <c r="R282" i="5"/>
  <c r="N282" i="5"/>
  <c r="O282" i="5" s="1"/>
  <c r="L282" i="5"/>
  <c r="H282" i="5"/>
  <c r="I282" i="5" s="1"/>
  <c r="F282" i="5"/>
  <c r="C282" i="5"/>
  <c r="AC281" i="5"/>
  <c r="AD281" i="5" s="1"/>
  <c r="AA281" i="5"/>
  <c r="X281" i="5"/>
  <c r="W281" i="5"/>
  <c r="U281" i="5"/>
  <c r="R281" i="5"/>
  <c r="N281" i="5"/>
  <c r="L281" i="5"/>
  <c r="I281" i="5"/>
  <c r="H281" i="5"/>
  <c r="F281" i="5"/>
  <c r="C281" i="5"/>
  <c r="AD280" i="5"/>
  <c r="AC280" i="5"/>
  <c r="AA280" i="5"/>
  <c r="X280" i="5"/>
  <c r="W280" i="5"/>
  <c r="U280" i="5"/>
  <c r="R280" i="5"/>
  <c r="N280" i="5"/>
  <c r="O280" i="5" s="1"/>
  <c r="L280" i="5"/>
  <c r="H280" i="5"/>
  <c r="I280" i="5" s="1"/>
  <c r="F280" i="5"/>
  <c r="C280" i="5"/>
  <c r="AC279" i="5"/>
  <c r="AD279" i="5" s="1"/>
  <c r="AA279" i="5"/>
  <c r="X279" i="5"/>
  <c r="W279" i="5"/>
  <c r="U279" i="5"/>
  <c r="R279" i="5"/>
  <c r="O279" i="5"/>
  <c r="N279" i="5"/>
  <c r="L279" i="5"/>
  <c r="H279" i="5"/>
  <c r="I279" i="5" s="1"/>
  <c r="F279" i="5"/>
  <c r="C279" i="5"/>
  <c r="AD278" i="5"/>
  <c r="AC278" i="5"/>
  <c r="AA278" i="5"/>
  <c r="W278" i="5"/>
  <c r="X278" i="5" s="1"/>
  <c r="U278" i="5"/>
  <c r="R278" i="5"/>
  <c r="N278" i="5"/>
  <c r="O278" i="5" s="1"/>
  <c r="L278" i="5"/>
  <c r="H278" i="5"/>
  <c r="I278" i="5" s="1"/>
  <c r="F278" i="5"/>
  <c r="C278" i="5"/>
  <c r="AC277" i="5"/>
  <c r="AD277" i="5" s="1"/>
  <c r="AA277" i="5"/>
  <c r="X277" i="5"/>
  <c r="W277" i="5"/>
  <c r="U277" i="5"/>
  <c r="R277" i="5"/>
  <c r="N277" i="5"/>
  <c r="L277" i="5"/>
  <c r="I277" i="5"/>
  <c r="H277" i="5"/>
  <c r="F277" i="5"/>
  <c r="C277" i="5"/>
  <c r="AD276" i="5"/>
  <c r="AC276" i="5"/>
  <c r="AA276" i="5"/>
  <c r="X276" i="5"/>
  <c r="W276" i="5"/>
  <c r="U276" i="5"/>
  <c r="R276" i="5"/>
  <c r="N276" i="5"/>
  <c r="O276" i="5" s="1"/>
  <c r="L276" i="5"/>
  <c r="H276" i="5"/>
  <c r="I276" i="5" s="1"/>
  <c r="F276" i="5"/>
  <c r="C276" i="5"/>
  <c r="AC275" i="5"/>
  <c r="AD275" i="5" s="1"/>
  <c r="AA275" i="5"/>
  <c r="X275" i="5"/>
  <c r="W275" i="5"/>
  <c r="U275" i="5"/>
  <c r="R275" i="5"/>
  <c r="O275" i="5"/>
  <c r="N275" i="5"/>
  <c r="L275" i="5"/>
  <c r="H275" i="5"/>
  <c r="I275" i="5" s="1"/>
  <c r="F275" i="5"/>
  <c r="C275" i="5"/>
  <c r="Z273" i="5"/>
  <c r="W273" i="5"/>
  <c r="X273" i="5" s="1"/>
  <c r="T273" i="5"/>
  <c r="U273" i="5" s="1"/>
  <c r="R273" i="5"/>
  <c r="Q273" i="5"/>
  <c r="K273" i="5"/>
  <c r="L273" i="5" s="1"/>
  <c r="E273" i="5"/>
  <c r="F273" i="5" s="1"/>
  <c r="B273" i="5"/>
  <c r="AC272" i="5"/>
  <c r="AD272" i="5" s="1"/>
  <c r="AA272" i="5"/>
  <c r="X272" i="5"/>
  <c r="W272" i="5"/>
  <c r="U272" i="5"/>
  <c r="R272" i="5"/>
  <c r="O272" i="5"/>
  <c r="N272" i="5"/>
  <c r="L272" i="5"/>
  <c r="H272" i="5"/>
  <c r="I272" i="5" s="1"/>
  <c r="F272" i="5"/>
  <c r="C272" i="5"/>
  <c r="AC271" i="5"/>
  <c r="AD271" i="5" s="1"/>
  <c r="AA271" i="5"/>
  <c r="X271" i="5"/>
  <c r="W271" i="5"/>
  <c r="U271" i="5"/>
  <c r="R271" i="5"/>
  <c r="O271" i="5"/>
  <c r="N271" i="5"/>
  <c r="L271" i="5"/>
  <c r="H271" i="5"/>
  <c r="I271" i="5" s="1"/>
  <c r="F271" i="5"/>
  <c r="C271" i="5"/>
  <c r="AC270" i="5"/>
  <c r="AD270" i="5" s="1"/>
  <c r="AA270" i="5"/>
  <c r="X270" i="5"/>
  <c r="W270" i="5"/>
  <c r="U270" i="5"/>
  <c r="R270" i="5"/>
  <c r="N270" i="5"/>
  <c r="O270" i="5" s="1"/>
  <c r="L270" i="5"/>
  <c r="H270" i="5"/>
  <c r="I270" i="5" s="1"/>
  <c r="F270" i="5"/>
  <c r="C270" i="5"/>
  <c r="AC269" i="5"/>
  <c r="AD269" i="5" s="1"/>
  <c r="AA269" i="5"/>
  <c r="X269" i="5"/>
  <c r="W269" i="5"/>
  <c r="U269" i="5"/>
  <c r="R269" i="5"/>
  <c r="O269" i="5"/>
  <c r="N269" i="5"/>
  <c r="L269" i="5"/>
  <c r="H269" i="5"/>
  <c r="I269" i="5" s="1"/>
  <c r="F269" i="5"/>
  <c r="C269" i="5"/>
  <c r="Z267" i="5"/>
  <c r="AA267" i="5" s="1"/>
  <c r="T267" i="5"/>
  <c r="U267" i="5" s="1"/>
  <c r="Q267" i="5"/>
  <c r="L267" i="5"/>
  <c r="K267" i="5"/>
  <c r="E267" i="5"/>
  <c r="F267" i="5" s="1"/>
  <c r="B267" i="5"/>
  <c r="AD266" i="5"/>
  <c r="AC266" i="5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C265" i="5"/>
  <c r="AD265" i="5" s="1"/>
  <c r="AA265" i="5"/>
  <c r="X265" i="5"/>
  <c r="W265" i="5"/>
  <c r="U265" i="5"/>
  <c r="R265" i="5"/>
  <c r="O265" i="5"/>
  <c r="N265" i="5"/>
  <c r="L265" i="5"/>
  <c r="H265" i="5"/>
  <c r="I265" i="5" s="1"/>
  <c r="F265" i="5"/>
  <c r="C265" i="5"/>
  <c r="Z263" i="5"/>
  <c r="AA263" i="5" s="1"/>
  <c r="T263" i="5"/>
  <c r="U263" i="5" s="1"/>
  <c r="R263" i="5"/>
  <c r="Q263" i="5"/>
  <c r="W263" i="5" s="1"/>
  <c r="X263" i="5" s="1"/>
  <c r="L263" i="5"/>
  <c r="K263" i="5"/>
  <c r="E263" i="5"/>
  <c r="F263" i="5" s="1"/>
  <c r="B263" i="5"/>
  <c r="Z262" i="5"/>
  <c r="AA262" i="5" s="1"/>
  <c r="X262" i="5"/>
  <c r="T262" i="5"/>
  <c r="U262" i="5" s="1"/>
  <c r="R262" i="5"/>
  <c r="Q262" i="5"/>
  <c r="W262" i="5" s="1"/>
  <c r="L262" i="5"/>
  <c r="K262" i="5"/>
  <c r="E262" i="5"/>
  <c r="F262" i="5" s="1"/>
  <c r="B262" i="5"/>
  <c r="AD261" i="5"/>
  <c r="AC261" i="5"/>
  <c r="AA261" i="5"/>
  <c r="X261" i="5"/>
  <c r="W261" i="5"/>
  <c r="U261" i="5"/>
  <c r="R261" i="5"/>
  <c r="O261" i="5"/>
  <c r="N261" i="5"/>
  <c r="L261" i="5"/>
  <c r="H261" i="5"/>
  <c r="I261" i="5" s="1"/>
  <c r="F261" i="5"/>
  <c r="C261" i="5"/>
  <c r="AC260" i="5"/>
  <c r="AD260" i="5" s="1"/>
  <c r="AA260" i="5"/>
  <c r="X260" i="5"/>
  <c r="W260" i="5"/>
  <c r="U260" i="5"/>
  <c r="R260" i="5"/>
  <c r="O260" i="5"/>
  <c r="N260" i="5"/>
  <c r="L260" i="5"/>
  <c r="H260" i="5"/>
  <c r="I260" i="5" s="1"/>
  <c r="F260" i="5"/>
  <c r="C260" i="5"/>
  <c r="AD259" i="5"/>
  <c r="AC259" i="5"/>
  <c r="AA259" i="5"/>
  <c r="W259" i="5"/>
  <c r="X259" i="5" s="1"/>
  <c r="U259" i="5"/>
  <c r="R259" i="5"/>
  <c r="N259" i="5"/>
  <c r="O259" i="5" s="1"/>
  <c r="L259" i="5"/>
  <c r="H259" i="5"/>
  <c r="I259" i="5" s="1"/>
  <c r="F259" i="5"/>
  <c r="C259" i="5"/>
  <c r="AC258" i="5"/>
  <c r="AD258" i="5" s="1"/>
  <c r="AA258" i="5"/>
  <c r="X258" i="5"/>
  <c r="W258" i="5"/>
  <c r="U258" i="5"/>
  <c r="R258" i="5"/>
  <c r="N258" i="5"/>
  <c r="L258" i="5"/>
  <c r="I258" i="5"/>
  <c r="H258" i="5"/>
  <c r="F258" i="5"/>
  <c r="C258" i="5"/>
  <c r="AD257" i="5"/>
  <c r="AC257" i="5"/>
  <c r="AA257" i="5"/>
  <c r="X257" i="5"/>
  <c r="W257" i="5"/>
  <c r="U257" i="5"/>
  <c r="R257" i="5"/>
  <c r="O257" i="5"/>
  <c r="N257" i="5"/>
  <c r="L257" i="5"/>
  <c r="H257" i="5"/>
  <c r="I257" i="5" s="1"/>
  <c r="F257" i="5"/>
  <c r="C257" i="5"/>
  <c r="AC256" i="5"/>
  <c r="AD256" i="5" s="1"/>
  <c r="AA256" i="5"/>
  <c r="X256" i="5"/>
  <c r="W256" i="5"/>
  <c r="U256" i="5"/>
  <c r="R256" i="5"/>
  <c r="O256" i="5"/>
  <c r="N256" i="5"/>
  <c r="L256" i="5"/>
  <c r="H256" i="5"/>
  <c r="I256" i="5" s="1"/>
  <c r="F256" i="5"/>
  <c r="C256" i="5"/>
  <c r="AC255" i="5"/>
  <c r="AD255" i="5" s="1"/>
  <c r="AA255" i="5"/>
  <c r="W255" i="5"/>
  <c r="X255" i="5" s="1"/>
  <c r="U255" i="5"/>
  <c r="R255" i="5"/>
  <c r="N255" i="5"/>
  <c r="O255" i="5" s="1"/>
  <c r="L255" i="5"/>
  <c r="H255" i="5"/>
  <c r="I255" i="5" s="1"/>
  <c r="F255" i="5"/>
  <c r="C255" i="5"/>
  <c r="AC254" i="5"/>
  <c r="AD254" i="5" s="1"/>
  <c r="AA254" i="5"/>
  <c r="X254" i="5"/>
  <c r="W254" i="5"/>
  <c r="U254" i="5"/>
  <c r="R254" i="5"/>
  <c r="O254" i="5"/>
  <c r="N254" i="5"/>
  <c r="L254" i="5"/>
  <c r="I254" i="5"/>
  <c r="H254" i="5"/>
  <c r="F254" i="5"/>
  <c r="C254" i="5"/>
  <c r="AD253" i="5"/>
  <c r="AC253" i="5"/>
  <c r="AA253" i="5"/>
  <c r="X253" i="5"/>
  <c r="W253" i="5"/>
  <c r="U253" i="5"/>
  <c r="R253" i="5"/>
  <c r="N253" i="5"/>
  <c r="O253" i="5" s="1"/>
  <c r="L253" i="5"/>
  <c r="H253" i="5"/>
  <c r="I253" i="5" s="1"/>
  <c r="F253" i="5"/>
  <c r="C253" i="5"/>
  <c r="AC252" i="5"/>
  <c r="AD252" i="5" s="1"/>
  <c r="AA252" i="5"/>
  <c r="X252" i="5"/>
  <c r="W252" i="5"/>
  <c r="U252" i="5"/>
  <c r="R252" i="5"/>
  <c r="O252" i="5"/>
  <c r="N252" i="5"/>
  <c r="L252" i="5"/>
  <c r="H252" i="5"/>
  <c r="I252" i="5" s="1"/>
  <c r="F252" i="5"/>
  <c r="C252" i="5"/>
  <c r="AC251" i="5"/>
  <c r="AD251" i="5" s="1"/>
  <c r="AA251" i="5"/>
  <c r="W251" i="5"/>
  <c r="X251" i="5" s="1"/>
  <c r="U251" i="5"/>
  <c r="R251" i="5"/>
  <c r="N251" i="5"/>
  <c r="O251" i="5" s="1"/>
  <c r="L251" i="5"/>
  <c r="H251" i="5"/>
  <c r="I251" i="5" s="1"/>
  <c r="F251" i="5"/>
  <c r="C251" i="5"/>
  <c r="AC250" i="5"/>
  <c r="AD250" i="5" s="1"/>
  <c r="AA250" i="5"/>
  <c r="X250" i="5"/>
  <c r="W250" i="5"/>
  <c r="U250" i="5"/>
  <c r="R250" i="5"/>
  <c r="N250" i="5"/>
  <c r="L250" i="5"/>
  <c r="I250" i="5"/>
  <c r="H250" i="5"/>
  <c r="F250" i="5"/>
  <c r="C250" i="5"/>
  <c r="AD249" i="5"/>
  <c r="AC249" i="5"/>
  <c r="AA249" i="5"/>
  <c r="X249" i="5"/>
  <c r="W249" i="5"/>
  <c r="U249" i="5"/>
  <c r="R249" i="5"/>
  <c r="N249" i="5"/>
  <c r="O249" i="5" s="1"/>
  <c r="L249" i="5"/>
  <c r="H249" i="5"/>
  <c r="I249" i="5" s="1"/>
  <c r="F249" i="5"/>
  <c r="C249" i="5"/>
  <c r="AC248" i="5"/>
  <c r="AD248" i="5" s="1"/>
  <c r="AA248" i="5"/>
  <c r="X248" i="5"/>
  <c r="W248" i="5"/>
  <c r="U248" i="5"/>
  <c r="R248" i="5"/>
  <c r="O248" i="5"/>
  <c r="N248" i="5"/>
  <c r="L248" i="5"/>
  <c r="I248" i="5"/>
  <c r="H248" i="5"/>
  <c r="F248" i="5"/>
  <c r="C248" i="5"/>
  <c r="AC247" i="5"/>
  <c r="AD247" i="5" s="1"/>
  <c r="AA247" i="5"/>
  <c r="W247" i="5"/>
  <c r="X247" i="5" s="1"/>
  <c r="U247" i="5"/>
  <c r="R247" i="5"/>
  <c r="N247" i="5"/>
  <c r="O247" i="5" s="1"/>
  <c r="L247" i="5"/>
  <c r="H247" i="5"/>
  <c r="I247" i="5" s="1"/>
  <c r="F247" i="5"/>
  <c r="C247" i="5"/>
  <c r="AC246" i="5"/>
  <c r="AD246" i="5" s="1"/>
  <c r="AA246" i="5"/>
  <c r="X246" i="5"/>
  <c r="W246" i="5"/>
  <c r="U246" i="5"/>
  <c r="R246" i="5"/>
  <c r="O246" i="5"/>
  <c r="N246" i="5"/>
  <c r="L246" i="5"/>
  <c r="I246" i="5"/>
  <c r="H246" i="5"/>
  <c r="F246" i="5"/>
  <c r="C246" i="5"/>
  <c r="AD245" i="5"/>
  <c r="AC245" i="5"/>
  <c r="AA245" i="5"/>
  <c r="X245" i="5"/>
  <c r="W245" i="5"/>
  <c r="U245" i="5"/>
  <c r="R245" i="5"/>
  <c r="O245" i="5"/>
  <c r="N245" i="5"/>
  <c r="L245" i="5"/>
  <c r="H245" i="5"/>
  <c r="I245" i="5" s="1"/>
  <c r="F245" i="5"/>
  <c r="C245" i="5"/>
  <c r="AC244" i="5"/>
  <c r="AD244" i="5" s="1"/>
  <c r="AA244" i="5"/>
  <c r="X244" i="5"/>
  <c r="W244" i="5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W243" i="5"/>
  <c r="X243" i="5" s="1"/>
  <c r="U243" i="5"/>
  <c r="R243" i="5"/>
  <c r="N243" i="5"/>
  <c r="O243" i="5" s="1"/>
  <c r="L243" i="5"/>
  <c r="H243" i="5"/>
  <c r="I243" i="5" s="1"/>
  <c r="F243" i="5"/>
  <c r="C243" i="5"/>
  <c r="AC242" i="5"/>
  <c r="AD242" i="5" s="1"/>
  <c r="AA242" i="5"/>
  <c r="X242" i="5"/>
  <c r="W242" i="5"/>
  <c r="U242" i="5"/>
  <c r="R242" i="5"/>
  <c r="N242" i="5"/>
  <c r="L242" i="5"/>
  <c r="I242" i="5"/>
  <c r="H242" i="5"/>
  <c r="F242" i="5"/>
  <c r="C242" i="5"/>
  <c r="AD241" i="5"/>
  <c r="AC241" i="5"/>
  <c r="AA241" i="5"/>
  <c r="X241" i="5"/>
  <c r="W241" i="5"/>
  <c r="U241" i="5"/>
  <c r="R241" i="5"/>
  <c r="O241" i="5"/>
  <c r="N241" i="5"/>
  <c r="L241" i="5"/>
  <c r="H241" i="5"/>
  <c r="I241" i="5" s="1"/>
  <c r="F241" i="5"/>
  <c r="C241" i="5"/>
  <c r="AC240" i="5"/>
  <c r="AD240" i="5" s="1"/>
  <c r="AA240" i="5"/>
  <c r="X240" i="5"/>
  <c r="W240" i="5"/>
  <c r="U240" i="5"/>
  <c r="R240" i="5"/>
  <c r="O240" i="5"/>
  <c r="N240" i="5"/>
  <c r="L240" i="5"/>
  <c r="H240" i="5"/>
  <c r="I240" i="5" s="1"/>
  <c r="F240" i="5"/>
  <c r="C240" i="5"/>
  <c r="AC238" i="5"/>
  <c r="AD238" i="5" s="1"/>
  <c r="AA238" i="5"/>
  <c r="W238" i="5"/>
  <c r="X238" i="5" s="1"/>
  <c r="U238" i="5"/>
  <c r="R238" i="5"/>
  <c r="N238" i="5"/>
  <c r="O238" i="5" s="1"/>
  <c r="L238" i="5"/>
  <c r="H238" i="5"/>
  <c r="I238" i="5" s="1"/>
  <c r="F238" i="5"/>
  <c r="C238" i="5"/>
  <c r="AC236" i="5"/>
  <c r="AD236" i="5" s="1"/>
  <c r="AA236" i="5"/>
  <c r="Z236" i="5"/>
  <c r="U236" i="5"/>
  <c r="T236" i="5"/>
  <c r="Q236" i="5"/>
  <c r="R236" i="5" s="1"/>
  <c r="O236" i="5"/>
  <c r="N236" i="5"/>
  <c r="K236" i="5"/>
  <c r="L236" i="5" s="1"/>
  <c r="E236" i="5"/>
  <c r="F236" i="5" s="1"/>
  <c r="C236" i="5"/>
  <c r="B236" i="5"/>
  <c r="H236" i="5" s="1"/>
  <c r="I236" i="5" s="1"/>
  <c r="AC235" i="5"/>
  <c r="AD235" i="5" s="1"/>
  <c r="AA235" i="5"/>
  <c r="X235" i="5"/>
  <c r="W235" i="5"/>
  <c r="U235" i="5"/>
  <c r="R235" i="5"/>
  <c r="O235" i="5"/>
  <c r="N235" i="5"/>
  <c r="L235" i="5"/>
  <c r="H235" i="5"/>
  <c r="I235" i="5" s="1"/>
  <c r="F235" i="5"/>
  <c r="C235" i="5"/>
  <c r="AD234" i="5"/>
  <c r="AC234" i="5"/>
  <c r="AA234" i="5"/>
  <c r="W234" i="5"/>
  <c r="X234" i="5" s="1"/>
  <c r="U234" i="5"/>
  <c r="R234" i="5"/>
  <c r="N234" i="5"/>
  <c r="O234" i="5" s="1"/>
  <c r="L234" i="5"/>
  <c r="H234" i="5"/>
  <c r="I234" i="5" s="1"/>
  <c r="F234" i="5"/>
  <c r="C234" i="5"/>
  <c r="AC233" i="5"/>
  <c r="AD233" i="5" s="1"/>
  <c r="AA233" i="5"/>
  <c r="X233" i="5"/>
  <c r="W233" i="5"/>
  <c r="U233" i="5"/>
  <c r="R233" i="5"/>
  <c r="O233" i="5"/>
  <c r="N233" i="5"/>
  <c r="L233" i="5"/>
  <c r="H233" i="5"/>
  <c r="I233" i="5" s="1"/>
  <c r="F233" i="5"/>
  <c r="C233" i="5"/>
  <c r="AC232" i="5"/>
  <c r="AD232" i="5" s="1"/>
  <c r="AA232" i="5"/>
  <c r="X232" i="5"/>
  <c r="W232" i="5"/>
  <c r="U232" i="5"/>
  <c r="R232" i="5"/>
  <c r="O232" i="5"/>
  <c r="N232" i="5"/>
  <c r="L232" i="5"/>
  <c r="H232" i="5"/>
  <c r="I232" i="5" s="1"/>
  <c r="F232" i="5"/>
  <c r="C232" i="5"/>
  <c r="AC231" i="5"/>
  <c r="AD231" i="5" s="1"/>
  <c r="AA231" i="5"/>
  <c r="X231" i="5"/>
  <c r="W231" i="5"/>
  <c r="U231" i="5"/>
  <c r="R231" i="5"/>
  <c r="O231" i="5"/>
  <c r="N231" i="5"/>
  <c r="L231" i="5"/>
  <c r="I231" i="5"/>
  <c r="H231" i="5"/>
  <c r="F231" i="5"/>
  <c r="C231" i="5"/>
  <c r="AC230" i="5"/>
  <c r="AD230" i="5" s="1"/>
  <c r="AA230" i="5"/>
  <c r="W230" i="5"/>
  <c r="X230" i="5" s="1"/>
  <c r="U230" i="5"/>
  <c r="R230" i="5"/>
  <c r="N230" i="5"/>
  <c r="O230" i="5" s="1"/>
  <c r="L230" i="5"/>
  <c r="H230" i="5"/>
  <c r="I230" i="5" s="1"/>
  <c r="F230" i="5"/>
  <c r="C230" i="5"/>
  <c r="AC229" i="5"/>
  <c r="AD229" i="5" s="1"/>
  <c r="AA229" i="5"/>
  <c r="X229" i="5"/>
  <c r="W229" i="5"/>
  <c r="U229" i="5"/>
  <c r="R229" i="5"/>
  <c r="N229" i="5"/>
  <c r="L229" i="5"/>
  <c r="H229" i="5"/>
  <c r="I229" i="5" s="1"/>
  <c r="F229" i="5"/>
  <c r="C229" i="5"/>
  <c r="Z227" i="5"/>
  <c r="AA227" i="5" s="1"/>
  <c r="T227" i="5"/>
  <c r="U227" i="5" s="1"/>
  <c r="Q227" i="5"/>
  <c r="K227" i="5"/>
  <c r="L227" i="5" s="1"/>
  <c r="E227" i="5"/>
  <c r="F227" i="5" s="1"/>
  <c r="B227" i="5"/>
  <c r="AD226" i="5"/>
  <c r="AC226" i="5"/>
  <c r="AA226" i="5"/>
  <c r="W226" i="5"/>
  <c r="X226" i="5" s="1"/>
  <c r="U226" i="5"/>
  <c r="R226" i="5"/>
  <c r="O226" i="5"/>
  <c r="N226" i="5"/>
  <c r="L226" i="5"/>
  <c r="H226" i="5"/>
  <c r="I226" i="5" s="1"/>
  <c r="F226" i="5"/>
  <c r="C226" i="5"/>
  <c r="AC225" i="5"/>
  <c r="AD225" i="5" s="1"/>
  <c r="AA225" i="5"/>
  <c r="X225" i="5"/>
  <c r="W225" i="5"/>
  <c r="U225" i="5"/>
  <c r="R225" i="5"/>
  <c r="O225" i="5"/>
  <c r="N225" i="5"/>
  <c r="L225" i="5"/>
  <c r="H225" i="5"/>
  <c r="I225" i="5" s="1"/>
  <c r="F225" i="5"/>
  <c r="C225" i="5"/>
  <c r="AC224" i="5"/>
  <c r="AD224" i="5" s="1"/>
  <c r="AA224" i="5"/>
  <c r="W224" i="5"/>
  <c r="X224" i="5" s="1"/>
  <c r="U224" i="5"/>
  <c r="R224" i="5"/>
  <c r="N224" i="5"/>
  <c r="O224" i="5" s="1"/>
  <c r="L224" i="5"/>
  <c r="H224" i="5"/>
  <c r="I224" i="5" s="1"/>
  <c r="F224" i="5"/>
  <c r="C224" i="5"/>
  <c r="AC223" i="5"/>
  <c r="AD223" i="5" s="1"/>
  <c r="AA223" i="5"/>
  <c r="X223" i="5"/>
  <c r="W223" i="5"/>
  <c r="U223" i="5"/>
  <c r="R223" i="5"/>
  <c r="O223" i="5"/>
  <c r="N223" i="5"/>
  <c r="L223" i="5"/>
  <c r="I223" i="5"/>
  <c r="H223" i="5"/>
  <c r="F223" i="5"/>
  <c r="C223" i="5"/>
  <c r="AD222" i="5"/>
  <c r="AC222" i="5"/>
  <c r="AA222" i="5"/>
  <c r="X222" i="5"/>
  <c r="W222" i="5"/>
  <c r="U222" i="5"/>
  <c r="R222" i="5"/>
  <c r="N222" i="5"/>
  <c r="O222" i="5" s="1"/>
  <c r="L222" i="5"/>
  <c r="H222" i="5"/>
  <c r="I222" i="5" s="1"/>
  <c r="F222" i="5"/>
  <c r="C222" i="5"/>
  <c r="AC221" i="5"/>
  <c r="AD221" i="5" s="1"/>
  <c r="AA221" i="5"/>
  <c r="X221" i="5"/>
  <c r="W221" i="5"/>
  <c r="U221" i="5"/>
  <c r="R221" i="5"/>
  <c r="O221" i="5"/>
  <c r="N221" i="5"/>
  <c r="L221" i="5"/>
  <c r="H221" i="5"/>
  <c r="I221" i="5" s="1"/>
  <c r="F221" i="5"/>
  <c r="C221" i="5"/>
  <c r="AC220" i="5"/>
  <c r="AD220" i="5" s="1"/>
  <c r="AA220" i="5"/>
  <c r="W220" i="5"/>
  <c r="X220" i="5" s="1"/>
  <c r="U220" i="5"/>
  <c r="R220" i="5"/>
  <c r="N220" i="5"/>
  <c r="O220" i="5" s="1"/>
  <c r="L220" i="5"/>
  <c r="H220" i="5"/>
  <c r="I220" i="5" s="1"/>
  <c r="F220" i="5"/>
  <c r="C220" i="5"/>
  <c r="AC219" i="5"/>
  <c r="AD219" i="5" s="1"/>
  <c r="AA219" i="5"/>
  <c r="X219" i="5"/>
  <c r="W219" i="5"/>
  <c r="U219" i="5"/>
  <c r="R219" i="5"/>
  <c r="N219" i="5"/>
  <c r="O219" i="5" s="1"/>
  <c r="L219" i="5"/>
  <c r="I219" i="5"/>
  <c r="H219" i="5"/>
  <c r="F219" i="5"/>
  <c r="C219" i="5"/>
  <c r="Z218" i="5"/>
  <c r="AA218" i="5" s="1"/>
  <c r="T218" i="5"/>
  <c r="U218" i="5" s="1"/>
  <c r="R218" i="5"/>
  <c r="Q218" i="5"/>
  <c r="L218" i="5"/>
  <c r="K218" i="5"/>
  <c r="N218" i="5" s="1"/>
  <c r="O218" i="5" s="1"/>
  <c r="F218" i="5"/>
  <c r="E218" i="5"/>
  <c r="H218" i="5" s="1"/>
  <c r="I218" i="5" s="1"/>
  <c r="C218" i="5"/>
  <c r="B218" i="5"/>
  <c r="AC217" i="5"/>
  <c r="AD217" i="5" s="1"/>
  <c r="AA217" i="5"/>
  <c r="W217" i="5"/>
  <c r="X217" i="5" s="1"/>
  <c r="U217" i="5"/>
  <c r="R217" i="5"/>
  <c r="N217" i="5"/>
  <c r="O217" i="5" s="1"/>
  <c r="L217" i="5"/>
  <c r="H217" i="5"/>
  <c r="I217" i="5" s="1"/>
  <c r="F217" i="5"/>
  <c r="C217" i="5"/>
  <c r="AC216" i="5"/>
  <c r="AD216" i="5" s="1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C215" i="5"/>
  <c r="AD215" i="5" s="1"/>
  <c r="AA215" i="5"/>
  <c r="X215" i="5"/>
  <c r="W215" i="5"/>
  <c r="U215" i="5"/>
  <c r="R215" i="5"/>
  <c r="O215" i="5"/>
  <c r="N215" i="5"/>
  <c r="L215" i="5"/>
  <c r="I215" i="5"/>
  <c r="H215" i="5"/>
  <c r="F215" i="5"/>
  <c r="C215" i="5"/>
  <c r="AC214" i="5"/>
  <c r="AD214" i="5" s="1"/>
  <c r="AA214" i="5"/>
  <c r="W214" i="5"/>
  <c r="X214" i="5" s="1"/>
  <c r="U214" i="5"/>
  <c r="R214" i="5"/>
  <c r="N214" i="5"/>
  <c r="L214" i="5"/>
  <c r="I214" i="5"/>
  <c r="H214" i="5"/>
  <c r="F214" i="5"/>
  <c r="C214" i="5"/>
  <c r="AD213" i="5"/>
  <c r="AC213" i="5"/>
  <c r="AA213" i="5"/>
  <c r="W213" i="5"/>
  <c r="X213" i="5" s="1"/>
  <c r="U213" i="5"/>
  <c r="R213" i="5"/>
  <c r="O213" i="5"/>
  <c r="N213" i="5"/>
  <c r="L213" i="5"/>
  <c r="H213" i="5"/>
  <c r="I213" i="5" s="1"/>
  <c r="F213" i="5"/>
  <c r="C213" i="5"/>
  <c r="AC211" i="5"/>
  <c r="AD211" i="5" s="1"/>
  <c r="AA211" i="5"/>
  <c r="X211" i="5"/>
  <c r="W211" i="5"/>
  <c r="U211" i="5"/>
  <c r="R211" i="5"/>
  <c r="O211" i="5"/>
  <c r="N211" i="5"/>
  <c r="L211" i="5"/>
  <c r="H211" i="5"/>
  <c r="I211" i="5" s="1"/>
  <c r="F211" i="5"/>
  <c r="C211" i="5"/>
  <c r="Z209" i="5"/>
  <c r="AA209" i="5" s="1"/>
  <c r="T209" i="5"/>
  <c r="U209" i="5" s="1"/>
  <c r="Q209" i="5"/>
  <c r="K209" i="5"/>
  <c r="L209" i="5" s="1"/>
  <c r="E209" i="5"/>
  <c r="F209" i="5" s="1"/>
  <c r="B209" i="5"/>
  <c r="AC208" i="5"/>
  <c r="AD208" i="5" s="1"/>
  <c r="AA208" i="5"/>
  <c r="X208" i="5"/>
  <c r="W208" i="5"/>
  <c r="U208" i="5"/>
  <c r="R208" i="5"/>
  <c r="O208" i="5"/>
  <c r="N208" i="5"/>
  <c r="L208" i="5"/>
  <c r="H208" i="5"/>
  <c r="I208" i="5" s="1"/>
  <c r="F208" i="5"/>
  <c r="C208" i="5"/>
  <c r="AC207" i="5"/>
  <c r="AD207" i="5" s="1"/>
  <c r="AA207" i="5"/>
  <c r="X207" i="5"/>
  <c r="W207" i="5"/>
  <c r="U207" i="5"/>
  <c r="R207" i="5"/>
  <c r="N207" i="5"/>
  <c r="O207" i="5" s="1"/>
  <c r="L207" i="5"/>
  <c r="I207" i="5"/>
  <c r="H207" i="5"/>
  <c r="F207" i="5"/>
  <c r="C207" i="5"/>
  <c r="AD206" i="5"/>
  <c r="AC206" i="5"/>
  <c r="AA206" i="5"/>
  <c r="W206" i="5"/>
  <c r="X206" i="5" s="1"/>
  <c r="U206" i="5"/>
  <c r="R206" i="5"/>
  <c r="N206" i="5"/>
  <c r="O206" i="5" s="1"/>
  <c r="L206" i="5"/>
  <c r="H206" i="5"/>
  <c r="I206" i="5" s="1"/>
  <c r="F206" i="5"/>
  <c r="C206" i="5"/>
  <c r="AC205" i="5"/>
  <c r="AD205" i="5" s="1"/>
  <c r="AA205" i="5"/>
  <c r="X205" i="5"/>
  <c r="W205" i="5"/>
  <c r="U205" i="5"/>
  <c r="R205" i="5"/>
  <c r="O205" i="5"/>
  <c r="N205" i="5"/>
  <c r="L205" i="5"/>
  <c r="H205" i="5"/>
  <c r="I205" i="5" s="1"/>
  <c r="F205" i="5"/>
  <c r="C205" i="5"/>
  <c r="AC204" i="5"/>
  <c r="AD204" i="5" s="1"/>
  <c r="AA204" i="5"/>
  <c r="X204" i="5"/>
  <c r="W204" i="5"/>
  <c r="U204" i="5"/>
  <c r="R204" i="5"/>
  <c r="N204" i="5"/>
  <c r="O204" i="5" s="1"/>
  <c r="L204" i="5"/>
  <c r="H204" i="5"/>
  <c r="I204" i="5" s="1"/>
  <c r="F204" i="5"/>
  <c r="C204" i="5"/>
  <c r="AD203" i="5"/>
  <c r="AC203" i="5"/>
  <c r="AA203" i="5"/>
  <c r="X203" i="5"/>
  <c r="W203" i="5"/>
  <c r="U203" i="5"/>
  <c r="R203" i="5"/>
  <c r="O203" i="5"/>
  <c r="N203" i="5"/>
  <c r="L203" i="5"/>
  <c r="H203" i="5"/>
  <c r="I203" i="5" s="1"/>
  <c r="F203" i="5"/>
  <c r="C203" i="5"/>
  <c r="AC202" i="5"/>
  <c r="AD202" i="5" s="1"/>
  <c r="AA202" i="5"/>
  <c r="W202" i="5"/>
  <c r="X202" i="5" s="1"/>
  <c r="U202" i="5"/>
  <c r="R202" i="5"/>
  <c r="N202" i="5"/>
  <c r="O202" i="5" s="1"/>
  <c r="L202" i="5"/>
  <c r="I202" i="5"/>
  <c r="H202" i="5"/>
  <c r="F202" i="5"/>
  <c r="C202" i="5"/>
  <c r="AC201" i="5"/>
  <c r="AD201" i="5" s="1"/>
  <c r="AA201" i="5"/>
  <c r="X201" i="5"/>
  <c r="W201" i="5"/>
  <c r="U201" i="5"/>
  <c r="R201" i="5"/>
  <c r="N201" i="5"/>
  <c r="L201" i="5"/>
  <c r="H201" i="5"/>
  <c r="I201" i="5" s="1"/>
  <c r="F201" i="5"/>
  <c r="C201" i="5"/>
  <c r="K198" i="5"/>
  <c r="K345" i="5" s="1"/>
  <c r="L345" i="5" s="1"/>
  <c r="AC197" i="5"/>
  <c r="AD197" i="5" s="1"/>
  <c r="AA197" i="5"/>
  <c r="Z197" i="5"/>
  <c r="X197" i="5"/>
  <c r="W197" i="5"/>
  <c r="T197" i="5"/>
  <c r="U197" i="5" s="1"/>
  <c r="Q197" i="5"/>
  <c r="R197" i="5" s="1"/>
  <c r="K197" i="5"/>
  <c r="L197" i="5" s="1"/>
  <c r="F197" i="5"/>
  <c r="E197" i="5"/>
  <c r="B197" i="5"/>
  <c r="C197" i="5" s="1"/>
  <c r="Z196" i="5"/>
  <c r="AA196" i="5" s="1"/>
  <c r="T196" i="5"/>
  <c r="U196" i="5" s="1"/>
  <c r="Q196" i="5"/>
  <c r="L196" i="5"/>
  <c r="K196" i="5"/>
  <c r="E196" i="5"/>
  <c r="F196" i="5" s="1"/>
  <c r="B196" i="5"/>
  <c r="AC195" i="5"/>
  <c r="AD195" i="5" s="1"/>
  <c r="AA195" i="5"/>
  <c r="X195" i="5"/>
  <c r="W195" i="5"/>
  <c r="U195" i="5"/>
  <c r="R195" i="5"/>
  <c r="O195" i="5"/>
  <c r="N195" i="5"/>
  <c r="L195" i="5"/>
  <c r="H195" i="5"/>
  <c r="I195" i="5" s="1"/>
  <c r="F195" i="5"/>
  <c r="C195" i="5"/>
  <c r="AC194" i="5"/>
  <c r="AD194" i="5" s="1"/>
  <c r="AA194" i="5"/>
  <c r="W194" i="5"/>
  <c r="X194" i="5" s="1"/>
  <c r="U194" i="5"/>
  <c r="R194" i="5"/>
  <c r="N194" i="5"/>
  <c r="L194" i="5"/>
  <c r="I194" i="5"/>
  <c r="H194" i="5"/>
  <c r="F194" i="5"/>
  <c r="C194" i="5"/>
  <c r="Z193" i="5"/>
  <c r="AA193" i="5" s="1"/>
  <c r="T193" i="5"/>
  <c r="U193" i="5" s="1"/>
  <c r="Q193" i="5"/>
  <c r="AC193" i="5" s="1"/>
  <c r="AD193" i="5" s="1"/>
  <c r="K193" i="5"/>
  <c r="L193" i="5" s="1"/>
  <c r="F193" i="5"/>
  <c r="E193" i="5"/>
  <c r="B193" i="5"/>
  <c r="AC192" i="5"/>
  <c r="AD192" i="5" s="1"/>
  <c r="AA192" i="5"/>
  <c r="X192" i="5"/>
  <c r="W192" i="5"/>
  <c r="U192" i="5"/>
  <c r="R192" i="5"/>
  <c r="O192" i="5"/>
  <c r="N192" i="5"/>
  <c r="L192" i="5"/>
  <c r="H192" i="5"/>
  <c r="I192" i="5" s="1"/>
  <c r="F192" i="5"/>
  <c r="C192" i="5"/>
  <c r="AC191" i="5"/>
  <c r="AD191" i="5" s="1"/>
  <c r="AA191" i="5"/>
  <c r="W191" i="5"/>
  <c r="X191" i="5" s="1"/>
  <c r="U191" i="5"/>
  <c r="R191" i="5"/>
  <c r="O191" i="5"/>
  <c r="N191" i="5"/>
  <c r="L191" i="5"/>
  <c r="I191" i="5"/>
  <c r="H191" i="5"/>
  <c r="F191" i="5"/>
  <c r="C191" i="5"/>
  <c r="AD190" i="5"/>
  <c r="AC190" i="5"/>
  <c r="AA190" i="5"/>
  <c r="W190" i="5"/>
  <c r="X190" i="5" s="1"/>
  <c r="U190" i="5"/>
  <c r="R190" i="5"/>
  <c r="N190" i="5"/>
  <c r="O190" i="5" s="1"/>
  <c r="L190" i="5"/>
  <c r="H190" i="5"/>
  <c r="I190" i="5" s="1"/>
  <c r="F190" i="5"/>
  <c r="C190" i="5"/>
  <c r="AC189" i="5"/>
  <c r="AD189" i="5" s="1"/>
  <c r="AA189" i="5"/>
  <c r="X189" i="5"/>
  <c r="W189" i="5"/>
  <c r="U189" i="5"/>
  <c r="R189" i="5"/>
  <c r="O189" i="5"/>
  <c r="N189" i="5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C187" i="5"/>
  <c r="AD187" i="5" s="1"/>
  <c r="AA187" i="5"/>
  <c r="W187" i="5"/>
  <c r="X187" i="5" s="1"/>
  <c r="U187" i="5"/>
  <c r="R187" i="5"/>
  <c r="O187" i="5"/>
  <c r="N187" i="5"/>
  <c r="L187" i="5"/>
  <c r="H187" i="5"/>
  <c r="I187" i="5" s="1"/>
  <c r="F187" i="5"/>
  <c r="C187" i="5"/>
  <c r="AC186" i="5"/>
  <c r="AD186" i="5" s="1"/>
  <c r="AA186" i="5"/>
  <c r="W186" i="5"/>
  <c r="X186" i="5" s="1"/>
  <c r="U186" i="5"/>
  <c r="R186" i="5"/>
  <c r="N186" i="5"/>
  <c r="O186" i="5" s="1"/>
  <c r="L186" i="5"/>
  <c r="H186" i="5"/>
  <c r="I186" i="5" s="1"/>
  <c r="F186" i="5"/>
  <c r="C186" i="5"/>
  <c r="AD184" i="5"/>
  <c r="AC184" i="5"/>
  <c r="AA184" i="5"/>
  <c r="X184" i="5"/>
  <c r="W184" i="5"/>
  <c r="U184" i="5"/>
  <c r="R184" i="5"/>
  <c r="O184" i="5"/>
  <c r="N184" i="5"/>
  <c r="L184" i="5"/>
  <c r="H184" i="5"/>
  <c r="I184" i="5" s="1"/>
  <c r="F184" i="5"/>
  <c r="C184" i="5"/>
  <c r="AC183" i="5"/>
  <c r="AD183" i="5" s="1"/>
  <c r="AA183" i="5"/>
  <c r="X183" i="5"/>
  <c r="W183" i="5"/>
  <c r="U183" i="5"/>
  <c r="R183" i="5"/>
  <c r="O183" i="5"/>
  <c r="N183" i="5"/>
  <c r="L183" i="5"/>
  <c r="H183" i="5"/>
  <c r="I183" i="5" s="1"/>
  <c r="F183" i="5"/>
  <c r="C183" i="5"/>
  <c r="AC182" i="5"/>
  <c r="AD182" i="5" s="1"/>
  <c r="AA182" i="5"/>
  <c r="Z182" i="5"/>
  <c r="X182" i="5"/>
  <c r="W182" i="5"/>
  <c r="U182" i="5"/>
  <c r="T182" i="5"/>
  <c r="Q182" i="5"/>
  <c r="R182" i="5" s="1"/>
  <c r="K182" i="5"/>
  <c r="L182" i="5" s="1"/>
  <c r="E182" i="5"/>
  <c r="F182" i="5" s="1"/>
  <c r="B182" i="5"/>
  <c r="AD181" i="5"/>
  <c r="AC181" i="5"/>
  <c r="AA181" i="5"/>
  <c r="X181" i="5"/>
  <c r="W181" i="5"/>
  <c r="U181" i="5"/>
  <c r="R181" i="5"/>
  <c r="O181" i="5"/>
  <c r="N181" i="5"/>
  <c r="L181" i="5"/>
  <c r="H181" i="5"/>
  <c r="I181" i="5" s="1"/>
  <c r="F181" i="5"/>
  <c r="C181" i="5"/>
  <c r="AC180" i="5"/>
  <c r="AD180" i="5" s="1"/>
  <c r="AA180" i="5"/>
  <c r="W180" i="5"/>
  <c r="X180" i="5" s="1"/>
  <c r="U180" i="5"/>
  <c r="R180" i="5"/>
  <c r="N180" i="5"/>
  <c r="O180" i="5" s="1"/>
  <c r="L180" i="5"/>
  <c r="I180" i="5"/>
  <c r="H180" i="5"/>
  <c r="F180" i="5"/>
  <c r="C180" i="5"/>
  <c r="AC179" i="5"/>
  <c r="AD179" i="5" s="1"/>
  <c r="AA179" i="5"/>
  <c r="W179" i="5"/>
  <c r="X179" i="5" s="1"/>
  <c r="U179" i="5"/>
  <c r="R179" i="5"/>
  <c r="O179" i="5"/>
  <c r="N179" i="5"/>
  <c r="L179" i="5"/>
  <c r="H179" i="5"/>
  <c r="I179" i="5" s="1"/>
  <c r="F179" i="5"/>
  <c r="C179" i="5"/>
  <c r="AC178" i="5"/>
  <c r="AD178" i="5" s="1"/>
  <c r="AA178" i="5"/>
  <c r="X178" i="5"/>
  <c r="W178" i="5"/>
  <c r="U178" i="5"/>
  <c r="R178" i="5"/>
  <c r="O178" i="5"/>
  <c r="N178" i="5"/>
  <c r="L178" i="5"/>
  <c r="H178" i="5"/>
  <c r="I178" i="5" s="1"/>
  <c r="F178" i="5"/>
  <c r="C178" i="5"/>
  <c r="AC177" i="5"/>
  <c r="AD177" i="5" s="1"/>
  <c r="AA177" i="5"/>
  <c r="X177" i="5"/>
  <c r="W177" i="5"/>
  <c r="U177" i="5"/>
  <c r="R177" i="5"/>
  <c r="N177" i="5"/>
  <c r="O177" i="5" s="1"/>
  <c r="L177" i="5"/>
  <c r="I177" i="5"/>
  <c r="H177" i="5"/>
  <c r="F177" i="5"/>
  <c r="C177" i="5"/>
  <c r="AD175" i="5"/>
  <c r="AC175" i="5"/>
  <c r="AA175" i="5"/>
  <c r="X175" i="5"/>
  <c r="W175" i="5"/>
  <c r="U175" i="5"/>
  <c r="R175" i="5"/>
  <c r="N175" i="5"/>
  <c r="O175" i="5" s="1"/>
  <c r="L175" i="5"/>
  <c r="H175" i="5"/>
  <c r="I175" i="5" s="1"/>
  <c r="F175" i="5"/>
  <c r="C175" i="5"/>
  <c r="Z171" i="5"/>
  <c r="AA171" i="5" s="1"/>
  <c r="W171" i="5"/>
  <c r="X171" i="5" s="1"/>
  <c r="U171" i="5"/>
  <c r="T171" i="5"/>
  <c r="Q171" i="5"/>
  <c r="R171" i="5" s="1"/>
  <c r="K171" i="5"/>
  <c r="L171" i="5" s="1"/>
  <c r="I171" i="5"/>
  <c r="H171" i="5"/>
  <c r="E171" i="5"/>
  <c r="F171" i="5" s="1"/>
  <c r="B171" i="5"/>
  <c r="N171" i="5" s="1"/>
  <c r="O171" i="5" s="1"/>
  <c r="Z170" i="5"/>
  <c r="AA170" i="5" s="1"/>
  <c r="T170" i="5"/>
  <c r="U170" i="5" s="1"/>
  <c r="Q170" i="5"/>
  <c r="L170" i="5"/>
  <c r="K170" i="5"/>
  <c r="N170" i="5" s="1"/>
  <c r="O170" i="5" s="1"/>
  <c r="E170" i="5"/>
  <c r="F170" i="5" s="1"/>
  <c r="C170" i="5"/>
  <c r="B170" i="5"/>
  <c r="AC169" i="5"/>
  <c r="AD169" i="5" s="1"/>
  <c r="AA169" i="5"/>
  <c r="X169" i="5"/>
  <c r="W169" i="5"/>
  <c r="U169" i="5"/>
  <c r="R169" i="5"/>
  <c r="N169" i="5"/>
  <c r="O169" i="5" s="1"/>
  <c r="L169" i="5"/>
  <c r="I169" i="5"/>
  <c r="H169" i="5"/>
  <c r="F169" i="5"/>
  <c r="C169" i="5"/>
  <c r="AD168" i="5"/>
  <c r="AC168" i="5"/>
  <c r="AA168" i="5"/>
  <c r="W168" i="5"/>
  <c r="X168" i="5" s="1"/>
  <c r="U168" i="5"/>
  <c r="R168" i="5"/>
  <c r="N168" i="5"/>
  <c r="O168" i="5" s="1"/>
  <c r="L168" i="5"/>
  <c r="H168" i="5"/>
  <c r="I168" i="5" s="1"/>
  <c r="F168" i="5"/>
  <c r="C168" i="5"/>
  <c r="AC167" i="5"/>
  <c r="AD167" i="5" s="1"/>
  <c r="AA167" i="5"/>
  <c r="X167" i="5"/>
  <c r="W167" i="5"/>
  <c r="U167" i="5"/>
  <c r="R167" i="5"/>
  <c r="O167" i="5"/>
  <c r="N167" i="5"/>
  <c r="L167" i="5"/>
  <c r="I167" i="5"/>
  <c r="H167" i="5"/>
  <c r="F167" i="5"/>
  <c r="C167" i="5"/>
  <c r="Z166" i="5"/>
  <c r="AA166" i="5" s="1"/>
  <c r="U166" i="5"/>
  <c r="T166" i="5"/>
  <c r="Q166" i="5"/>
  <c r="R166" i="5" s="1"/>
  <c r="N166" i="5"/>
  <c r="O166" i="5" s="1"/>
  <c r="K166" i="5"/>
  <c r="L166" i="5" s="1"/>
  <c r="H166" i="5"/>
  <c r="I166" i="5" s="1"/>
  <c r="E166" i="5"/>
  <c r="F166" i="5" s="1"/>
  <c r="B166" i="5"/>
  <c r="C166" i="5" s="1"/>
  <c r="AD165" i="5"/>
  <c r="AC165" i="5"/>
  <c r="AA165" i="5"/>
  <c r="W165" i="5"/>
  <c r="X165" i="5" s="1"/>
  <c r="U165" i="5"/>
  <c r="R165" i="5"/>
  <c r="N165" i="5"/>
  <c r="O165" i="5" s="1"/>
  <c r="L165" i="5"/>
  <c r="I165" i="5"/>
  <c r="H165" i="5"/>
  <c r="F165" i="5"/>
  <c r="C165" i="5"/>
  <c r="AC164" i="5"/>
  <c r="AD164" i="5" s="1"/>
  <c r="AA164" i="5"/>
  <c r="X164" i="5"/>
  <c r="W164" i="5"/>
  <c r="U164" i="5"/>
  <c r="R164" i="5"/>
  <c r="O164" i="5"/>
  <c r="N164" i="5"/>
  <c r="L164" i="5"/>
  <c r="H164" i="5"/>
  <c r="I164" i="5" s="1"/>
  <c r="F164" i="5"/>
  <c r="C164" i="5"/>
  <c r="AC163" i="5"/>
  <c r="AD163" i="5" s="1"/>
  <c r="AA163" i="5"/>
  <c r="W163" i="5"/>
  <c r="X163" i="5" s="1"/>
  <c r="U163" i="5"/>
  <c r="R163" i="5"/>
  <c r="N163" i="5"/>
  <c r="O163" i="5" s="1"/>
  <c r="L163" i="5"/>
  <c r="H163" i="5"/>
  <c r="I163" i="5" s="1"/>
  <c r="F163" i="5"/>
  <c r="C163" i="5"/>
  <c r="AD162" i="5"/>
  <c r="AC162" i="5"/>
  <c r="AA162" i="5"/>
  <c r="X162" i="5"/>
  <c r="W162" i="5"/>
  <c r="U162" i="5"/>
  <c r="R162" i="5"/>
  <c r="O162" i="5"/>
  <c r="N162" i="5"/>
  <c r="L162" i="5"/>
  <c r="H162" i="5"/>
  <c r="I162" i="5" s="1"/>
  <c r="F162" i="5"/>
  <c r="C162" i="5"/>
  <c r="AC161" i="5"/>
  <c r="AD161" i="5" s="1"/>
  <c r="AA161" i="5"/>
  <c r="W161" i="5"/>
  <c r="X161" i="5" s="1"/>
  <c r="U161" i="5"/>
  <c r="R161" i="5"/>
  <c r="N161" i="5"/>
  <c r="O161" i="5" s="1"/>
  <c r="L161" i="5"/>
  <c r="I161" i="5"/>
  <c r="H161" i="5"/>
  <c r="F161" i="5"/>
  <c r="C161" i="5"/>
  <c r="AC160" i="5"/>
  <c r="AD160" i="5" s="1"/>
  <c r="AA160" i="5"/>
  <c r="W160" i="5"/>
  <c r="X160" i="5" s="1"/>
  <c r="U160" i="5"/>
  <c r="R160" i="5"/>
  <c r="O160" i="5"/>
  <c r="N160" i="5"/>
  <c r="L160" i="5"/>
  <c r="H160" i="5"/>
  <c r="I160" i="5" s="1"/>
  <c r="F160" i="5"/>
  <c r="C160" i="5"/>
  <c r="AA158" i="5"/>
  <c r="Z158" i="5"/>
  <c r="U158" i="5"/>
  <c r="T158" i="5"/>
  <c r="Q158" i="5"/>
  <c r="AC158" i="5" s="1"/>
  <c r="AD158" i="5" s="1"/>
  <c r="K158" i="5"/>
  <c r="L158" i="5" s="1"/>
  <c r="I158" i="5"/>
  <c r="H158" i="5"/>
  <c r="E158" i="5"/>
  <c r="F158" i="5" s="1"/>
  <c r="B158" i="5"/>
  <c r="C158" i="5" s="1"/>
  <c r="AC157" i="5"/>
  <c r="AD157" i="5" s="1"/>
  <c r="AA157" i="5"/>
  <c r="X157" i="5"/>
  <c r="W157" i="5"/>
  <c r="U157" i="5"/>
  <c r="R157" i="5"/>
  <c r="O157" i="5"/>
  <c r="N157" i="5"/>
  <c r="L157" i="5"/>
  <c r="I157" i="5"/>
  <c r="H157" i="5"/>
  <c r="F157" i="5"/>
  <c r="C157" i="5"/>
  <c r="AD156" i="5"/>
  <c r="AC156" i="5"/>
  <c r="AA156" i="5"/>
  <c r="W156" i="5"/>
  <c r="X156" i="5" s="1"/>
  <c r="U156" i="5"/>
  <c r="R156" i="5"/>
  <c r="O156" i="5"/>
  <c r="N156" i="5"/>
  <c r="L156" i="5"/>
  <c r="H156" i="5"/>
  <c r="I156" i="5" s="1"/>
  <c r="F156" i="5"/>
  <c r="C156" i="5"/>
  <c r="AC155" i="5"/>
  <c r="AD155" i="5" s="1"/>
  <c r="AA155" i="5"/>
  <c r="X155" i="5"/>
  <c r="W155" i="5"/>
  <c r="U155" i="5"/>
  <c r="R155" i="5"/>
  <c r="O155" i="5"/>
  <c r="N155" i="5"/>
  <c r="L155" i="5"/>
  <c r="H155" i="5"/>
  <c r="I155" i="5" s="1"/>
  <c r="F155" i="5"/>
  <c r="C155" i="5"/>
  <c r="AC154" i="5"/>
  <c r="AD154" i="5" s="1"/>
  <c r="AA154" i="5"/>
  <c r="X154" i="5"/>
  <c r="W154" i="5"/>
  <c r="U154" i="5"/>
  <c r="R154" i="5"/>
  <c r="N154" i="5"/>
  <c r="O154" i="5" s="1"/>
  <c r="L154" i="5"/>
  <c r="H154" i="5"/>
  <c r="I154" i="5" s="1"/>
  <c r="F154" i="5"/>
  <c r="C154" i="5"/>
  <c r="AC153" i="5"/>
  <c r="AD153" i="5" s="1"/>
  <c r="AA153" i="5"/>
  <c r="X153" i="5"/>
  <c r="W153" i="5"/>
  <c r="U153" i="5"/>
  <c r="R153" i="5"/>
  <c r="O153" i="5"/>
  <c r="N153" i="5"/>
  <c r="L153" i="5"/>
  <c r="H153" i="5"/>
  <c r="I153" i="5" s="1"/>
  <c r="F153" i="5"/>
  <c r="C153" i="5"/>
  <c r="AD151" i="5"/>
  <c r="AC151" i="5"/>
  <c r="AA151" i="5"/>
  <c r="W151" i="5"/>
  <c r="X151" i="5" s="1"/>
  <c r="U151" i="5"/>
  <c r="R151" i="5"/>
  <c r="O151" i="5"/>
  <c r="N151" i="5"/>
  <c r="L151" i="5"/>
  <c r="H151" i="5"/>
  <c r="I151" i="5" s="1"/>
  <c r="F151" i="5"/>
  <c r="C151" i="5"/>
  <c r="AC149" i="5"/>
  <c r="AD149" i="5" s="1"/>
  <c r="AA149" i="5"/>
  <c r="Z149" i="5"/>
  <c r="T149" i="5"/>
  <c r="U149" i="5" s="1"/>
  <c r="Q149" i="5"/>
  <c r="K149" i="5"/>
  <c r="L149" i="5" s="1"/>
  <c r="I149" i="5"/>
  <c r="E149" i="5"/>
  <c r="F149" i="5" s="1"/>
  <c r="B149" i="5"/>
  <c r="H149" i="5" s="1"/>
  <c r="AA148" i="5"/>
  <c r="Z148" i="5"/>
  <c r="W148" i="5"/>
  <c r="X148" i="5" s="1"/>
  <c r="U148" i="5"/>
  <c r="T148" i="5"/>
  <c r="Q148" i="5"/>
  <c r="R148" i="5" s="1"/>
  <c r="K148" i="5"/>
  <c r="L148" i="5" s="1"/>
  <c r="H148" i="5"/>
  <c r="I148" i="5" s="1"/>
  <c r="E148" i="5"/>
  <c r="F148" i="5" s="1"/>
  <c r="C148" i="5"/>
  <c r="B148" i="5"/>
  <c r="AC147" i="5"/>
  <c r="AD147" i="5" s="1"/>
  <c r="AA147" i="5"/>
  <c r="X147" i="5"/>
  <c r="W147" i="5"/>
  <c r="U147" i="5"/>
  <c r="R147" i="5"/>
  <c r="O147" i="5"/>
  <c r="N147" i="5"/>
  <c r="L147" i="5"/>
  <c r="H147" i="5"/>
  <c r="I147" i="5" s="1"/>
  <c r="F147" i="5"/>
  <c r="C147" i="5"/>
  <c r="AD146" i="5"/>
  <c r="AC146" i="5"/>
  <c r="AA146" i="5"/>
  <c r="X146" i="5"/>
  <c r="W146" i="5"/>
  <c r="U146" i="5"/>
  <c r="R146" i="5"/>
  <c r="N146" i="5"/>
  <c r="O146" i="5" s="1"/>
  <c r="L146" i="5"/>
  <c r="H146" i="5"/>
  <c r="I146" i="5" s="1"/>
  <c r="F146" i="5"/>
  <c r="C146" i="5"/>
  <c r="AC145" i="5"/>
  <c r="AD145" i="5" s="1"/>
  <c r="AA145" i="5"/>
  <c r="X145" i="5"/>
  <c r="W145" i="5"/>
  <c r="U145" i="5"/>
  <c r="R145" i="5"/>
  <c r="O145" i="5"/>
  <c r="N145" i="5"/>
  <c r="L145" i="5"/>
  <c r="I145" i="5"/>
  <c r="H145" i="5"/>
  <c r="F145" i="5"/>
  <c r="C145" i="5"/>
  <c r="AD144" i="5"/>
  <c r="AC144" i="5"/>
  <c r="AA144" i="5"/>
  <c r="W144" i="5"/>
  <c r="X144" i="5" s="1"/>
  <c r="U144" i="5"/>
  <c r="R144" i="5"/>
  <c r="O144" i="5"/>
  <c r="N144" i="5"/>
  <c r="L144" i="5"/>
  <c r="H144" i="5"/>
  <c r="I144" i="5" s="1"/>
  <c r="F144" i="5"/>
  <c r="C144" i="5"/>
  <c r="AC143" i="5"/>
  <c r="AD143" i="5" s="1"/>
  <c r="AA143" i="5"/>
  <c r="X143" i="5"/>
  <c r="W143" i="5"/>
  <c r="U143" i="5"/>
  <c r="R143" i="5"/>
  <c r="O143" i="5"/>
  <c r="N143" i="5"/>
  <c r="L143" i="5"/>
  <c r="H143" i="5"/>
  <c r="I143" i="5" s="1"/>
  <c r="F143" i="5"/>
  <c r="C143" i="5"/>
  <c r="Z141" i="5"/>
  <c r="AA141" i="5" s="1"/>
  <c r="T141" i="5"/>
  <c r="U141" i="5" s="1"/>
  <c r="R141" i="5"/>
  <c r="Q141" i="5"/>
  <c r="W141" i="5" s="1"/>
  <c r="X141" i="5" s="1"/>
  <c r="K141" i="5"/>
  <c r="L141" i="5" s="1"/>
  <c r="F141" i="5"/>
  <c r="E141" i="5"/>
  <c r="B141" i="5"/>
  <c r="AD140" i="5"/>
  <c r="AC140" i="5"/>
  <c r="AA140" i="5"/>
  <c r="W140" i="5"/>
  <c r="X140" i="5" s="1"/>
  <c r="U140" i="5"/>
  <c r="R140" i="5"/>
  <c r="N140" i="5"/>
  <c r="O140" i="5" s="1"/>
  <c r="L140" i="5"/>
  <c r="H140" i="5"/>
  <c r="I140" i="5" s="1"/>
  <c r="F140" i="5"/>
  <c r="C140" i="5"/>
  <c r="AC139" i="5"/>
  <c r="AD139" i="5" s="1"/>
  <c r="AA139" i="5"/>
  <c r="X139" i="5"/>
  <c r="W139" i="5"/>
  <c r="U139" i="5"/>
  <c r="R139" i="5"/>
  <c r="O139" i="5"/>
  <c r="N139" i="5"/>
  <c r="L139" i="5"/>
  <c r="I139" i="5"/>
  <c r="H139" i="5"/>
  <c r="F139" i="5"/>
  <c r="C139" i="5"/>
  <c r="AD138" i="5"/>
  <c r="AC138" i="5"/>
  <c r="AA138" i="5"/>
  <c r="X138" i="5"/>
  <c r="W138" i="5"/>
  <c r="U138" i="5"/>
  <c r="R138" i="5"/>
  <c r="N138" i="5"/>
  <c r="O138" i="5" s="1"/>
  <c r="L138" i="5"/>
  <c r="H138" i="5"/>
  <c r="I138" i="5" s="1"/>
  <c r="F138" i="5"/>
  <c r="C138" i="5"/>
  <c r="AC137" i="5"/>
  <c r="AD137" i="5" s="1"/>
  <c r="AA137" i="5"/>
  <c r="X137" i="5"/>
  <c r="W137" i="5"/>
  <c r="U137" i="5"/>
  <c r="R137" i="5"/>
  <c r="O137" i="5"/>
  <c r="N137" i="5"/>
  <c r="L137" i="5"/>
  <c r="H137" i="5"/>
  <c r="I137" i="5" s="1"/>
  <c r="F137" i="5"/>
  <c r="C137" i="5"/>
  <c r="AC136" i="5"/>
  <c r="AD136" i="5" s="1"/>
  <c r="AA136" i="5"/>
  <c r="W136" i="5"/>
  <c r="X136" i="5" s="1"/>
  <c r="U136" i="5"/>
  <c r="R136" i="5"/>
  <c r="O136" i="5"/>
  <c r="N136" i="5"/>
  <c r="L136" i="5"/>
  <c r="H136" i="5"/>
  <c r="I136" i="5" s="1"/>
  <c r="F136" i="5"/>
  <c r="C136" i="5"/>
  <c r="AC135" i="5"/>
  <c r="AD135" i="5" s="1"/>
  <c r="AA135" i="5"/>
  <c r="X135" i="5"/>
  <c r="W135" i="5"/>
  <c r="U135" i="5"/>
  <c r="R135" i="5"/>
  <c r="O135" i="5"/>
  <c r="N135" i="5"/>
  <c r="L135" i="5"/>
  <c r="H135" i="5"/>
  <c r="I135" i="5" s="1"/>
  <c r="F135" i="5"/>
  <c r="C135" i="5"/>
  <c r="AC134" i="5"/>
  <c r="AD134" i="5" s="1"/>
  <c r="AA134" i="5"/>
  <c r="W134" i="5"/>
  <c r="X134" i="5" s="1"/>
  <c r="U134" i="5"/>
  <c r="R134" i="5"/>
  <c r="N134" i="5"/>
  <c r="O134" i="5" s="1"/>
  <c r="L134" i="5"/>
  <c r="H134" i="5"/>
  <c r="I134" i="5" s="1"/>
  <c r="F134" i="5"/>
  <c r="C134" i="5"/>
  <c r="AC133" i="5"/>
  <c r="AD133" i="5" s="1"/>
  <c r="AA133" i="5"/>
  <c r="X133" i="5"/>
  <c r="W133" i="5"/>
  <c r="U133" i="5"/>
  <c r="R133" i="5"/>
  <c r="O133" i="5"/>
  <c r="N133" i="5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C131" i="5"/>
  <c r="AD131" i="5" s="1"/>
  <c r="AA131" i="5"/>
  <c r="X131" i="5"/>
  <c r="W131" i="5"/>
  <c r="U131" i="5"/>
  <c r="R131" i="5"/>
  <c r="O131" i="5"/>
  <c r="N131" i="5"/>
  <c r="L131" i="5"/>
  <c r="I131" i="5"/>
  <c r="H131" i="5"/>
  <c r="F131" i="5"/>
  <c r="C131" i="5"/>
  <c r="AD130" i="5"/>
  <c r="AC130" i="5"/>
  <c r="AA130" i="5"/>
  <c r="X130" i="5"/>
  <c r="W130" i="5"/>
  <c r="U130" i="5"/>
  <c r="R130" i="5"/>
  <c r="N130" i="5"/>
  <c r="O130" i="5" s="1"/>
  <c r="L130" i="5"/>
  <c r="H130" i="5"/>
  <c r="I130" i="5" s="1"/>
  <c r="F130" i="5"/>
  <c r="C130" i="5"/>
  <c r="AC129" i="5"/>
  <c r="AD129" i="5" s="1"/>
  <c r="AA129" i="5"/>
  <c r="X129" i="5"/>
  <c r="W129" i="5"/>
  <c r="U129" i="5"/>
  <c r="R129" i="5"/>
  <c r="O129" i="5"/>
  <c r="N129" i="5"/>
  <c r="L129" i="5"/>
  <c r="H129" i="5"/>
  <c r="I129" i="5" s="1"/>
  <c r="F129" i="5"/>
  <c r="C129" i="5"/>
  <c r="AC127" i="5"/>
  <c r="AD127" i="5" s="1"/>
  <c r="AA127" i="5"/>
  <c r="W127" i="5"/>
  <c r="X127" i="5" s="1"/>
  <c r="U127" i="5"/>
  <c r="R127" i="5"/>
  <c r="N127" i="5"/>
  <c r="O127" i="5" s="1"/>
  <c r="L127" i="5"/>
  <c r="H127" i="5"/>
  <c r="I127" i="5" s="1"/>
  <c r="F127" i="5"/>
  <c r="C127" i="5"/>
  <c r="Z124" i="5"/>
  <c r="AA124" i="5" s="1"/>
  <c r="U124" i="5"/>
  <c r="T124" i="5"/>
  <c r="T172" i="5" s="1"/>
  <c r="Q124" i="5"/>
  <c r="K124" i="5"/>
  <c r="K172" i="5" s="1"/>
  <c r="L172" i="5" s="1"/>
  <c r="E124" i="5"/>
  <c r="F124" i="5" s="1"/>
  <c r="B124" i="5"/>
  <c r="AC123" i="5"/>
  <c r="AD123" i="5" s="1"/>
  <c r="AA123" i="5"/>
  <c r="X123" i="5"/>
  <c r="W123" i="5"/>
  <c r="U123" i="5"/>
  <c r="R123" i="5"/>
  <c r="O123" i="5"/>
  <c r="N123" i="5"/>
  <c r="L123" i="5"/>
  <c r="I123" i="5"/>
  <c r="H123" i="5"/>
  <c r="F123" i="5"/>
  <c r="C123" i="5"/>
  <c r="Z122" i="5"/>
  <c r="AA122" i="5" s="1"/>
  <c r="X122" i="5"/>
  <c r="T122" i="5"/>
  <c r="U122" i="5" s="1"/>
  <c r="Q122" i="5"/>
  <c r="W122" i="5" s="1"/>
  <c r="L122" i="5"/>
  <c r="K122" i="5"/>
  <c r="H122" i="5"/>
  <c r="I122" i="5" s="1"/>
  <c r="F122" i="5"/>
  <c r="E122" i="5"/>
  <c r="B122" i="5"/>
  <c r="C122" i="5" s="1"/>
  <c r="AC121" i="5"/>
  <c r="AD121" i="5" s="1"/>
  <c r="AA121" i="5"/>
  <c r="W121" i="5"/>
  <c r="X121" i="5" s="1"/>
  <c r="U121" i="5"/>
  <c r="R121" i="5"/>
  <c r="N121" i="5"/>
  <c r="O121" i="5" s="1"/>
  <c r="L121" i="5"/>
  <c r="H121" i="5"/>
  <c r="I121" i="5" s="1"/>
  <c r="F121" i="5"/>
  <c r="C121" i="5"/>
  <c r="AC120" i="5"/>
  <c r="AD120" i="5" s="1"/>
  <c r="AA120" i="5"/>
  <c r="X120" i="5"/>
  <c r="W120" i="5"/>
  <c r="U120" i="5"/>
  <c r="R120" i="5"/>
  <c r="O120" i="5"/>
  <c r="N120" i="5"/>
  <c r="L120" i="5"/>
  <c r="I120" i="5"/>
  <c r="H120" i="5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H119" i="5"/>
  <c r="I119" i="5" s="1"/>
  <c r="F119" i="5"/>
  <c r="C119" i="5"/>
  <c r="AC118" i="5"/>
  <c r="AD118" i="5" s="1"/>
  <c r="AA118" i="5"/>
  <c r="Z118" i="5"/>
  <c r="T118" i="5"/>
  <c r="U118" i="5" s="1"/>
  <c r="Q118" i="5"/>
  <c r="N118" i="5"/>
  <c r="O118" i="5" s="1"/>
  <c r="K118" i="5"/>
  <c r="L118" i="5" s="1"/>
  <c r="E118" i="5"/>
  <c r="F118" i="5" s="1"/>
  <c r="C118" i="5"/>
  <c r="B118" i="5"/>
  <c r="H118" i="5" s="1"/>
  <c r="I118" i="5" s="1"/>
  <c r="AC117" i="5"/>
  <c r="AD117" i="5" s="1"/>
  <c r="AA117" i="5"/>
  <c r="X117" i="5"/>
  <c r="W117" i="5"/>
  <c r="U117" i="5"/>
  <c r="R117" i="5"/>
  <c r="O117" i="5"/>
  <c r="N117" i="5"/>
  <c r="L117" i="5"/>
  <c r="I117" i="5"/>
  <c r="H117" i="5"/>
  <c r="F117" i="5"/>
  <c r="C117" i="5"/>
  <c r="AC116" i="5"/>
  <c r="AD116" i="5" s="1"/>
  <c r="AA116" i="5"/>
  <c r="W116" i="5"/>
  <c r="X116" i="5" s="1"/>
  <c r="U116" i="5"/>
  <c r="R116" i="5"/>
  <c r="O116" i="5"/>
  <c r="N116" i="5"/>
  <c r="L116" i="5"/>
  <c r="H116" i="5"/>
  <c r="I116" i="5" s="1"/>
  <c r="F116" i="5"/>
  <c r="C116" i="5"/>
  <c r="AC115" i="5"/>
  <c r="AD115" i="5" s="1"/>
  <c r="AA115" i="5"/>
  <c r="X115" i="5"/>
  <c r="W115" i="5"/>
  <c r="U115" i="5"/>
  <c r="R115" i="5"/>
  <c r="O115" i="5"/>
  <c r="N115" i="5"/>
  <c r="L115" i="5"/>
  <c r="I115" i="5"/>
  <c r="H115" i="5"/>
  <c r="F115" i="5"/>
  <c r="C115" i="5"/>
  <c r="AD114" i="5"/>
  <c r="AC114" i="5"/>
  <c r="AA114" i="5"/>
  <c r="X114" i="5"/>
  <c r="W114" i="5"/>
  <c r="U114" i="5"/>
  <c r="R114" i="5"/>
  <c r="N114" i="5"/>
  <c r="O114" i="5" s="1"/>
  <c r="L114" i="5"/>
  <c r="H114" i="5"/>
  <c r="I114" i="5" s="1"/>
  <c r="F114" i="5"/>
  <c r="C114" i="5"/>
  <c r="AC113" i="5"/>
  <c r="AD113" i="5" s="1"/>
  <c r="AA113" i="5"/>
  <c r="X113" i="5"/>
  <c r="W113" i="5"/>
  <c r="U113" i="5"/>
  <c r="R113" i="5"/>
  <c r="O113" i="5"/>
  <c r="N113" i="5"/>
  <c r="L113" i="5"/>
  <c r="I113" i="5"/>
  <c r="H113" i="5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H112" i="5"/>
  <c r="I112" i="5" s="1"/>
  <c r="F112" i="5"/>
  <c r="C112" i="5"/>
  <c r="AC111" i="5"/>
  <c r="AD111" i="5" s="1"/>
  <c r="AA111" i="5"/>
  <c r="X111" i="5"/>
  <c r="W111" i="5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X110" i="5"/>
  <c r="W110" i="5"/>
  <c r="U110" i="5"/>
  <c r="R110" i="5"/>
  <c r="N110" i="5"/>
  <c r="O110" i="5" s="1"/>
  <c r="L110" i="5"/>
  <c r="H110" i="5"/>
  <c r="I110" i="5" s="1"/>
  <c r="F110" i="5"/>
  <c r="C110" i="5"/>
  <c r="AC109" i="5"/>
  <c r="AD109" i="5" s="1"/>
  <c r="AA109" i="5"/>
  <c r="X109" i="5"/>
  <c r="W109" i="5"/>
  <c r="U109" i="5"/>
  <c r="R109" i="5"/>
  <c r="O109" i="5"/>
  <c r="N109" i="5"/>
  <c r="L109" i="5"/>
  <c r="H109" i="5"/>
  <c r="I109" i="5" s="1"/>
  <c r="F109" i="5"/>
  <c r="C109" i="5"/>
  <c r="AD108" i="5"/>
  <c r="AC108" i="5"/>
  <c r="AA108" i="5"/>
  <c r="W108" i="5"/>
  <c r="X108" i="5" s="1"/>
  <c r="U108" i="5"/>
  <c r="R108" i="5"/>
  <c r="O108" i="5"/>
  <c r="N108" i="5"/>
  <c r="L108" i="5"/>
  <c r="H108" i="5"/>
  <c r="I108" i="5" s="1"/>
  <c r="F108" i="5"/>
  <c r="C108" i="5"/>
  <c r="AC107" i="5"/>
  <c r="AD107" i="5" s="1"/>
  <c r="AA107" i="5"/>
  <c r="X107" i="5"/>
  <c r="W107" i="5"/>
  <c r="U107" i="5"/>
  <c r="R107" i="5"/>
  <c r="O107" i="5"/>
  <c r="N107" i="5"/>
  <c r="L107" i="5"/>
  <c r="I107" i="5"/>
  <c r="H107" i="5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H106" i="5"/>
  <c r="I106" i="5" s="1"/>
  <c r="F106" i="5"/>
  <c r="C106" i="5"/>
  <c r="AC105" i="5"/>
  <c r="AD105" i="5" s="1"/>
  <c r="AA105" i="5"/>
  <c r="X105" i="5"/>
  <c r="W105" i="5"/>
  <c r="U105" i="5"/>
  <c r="R105" i="5"/>
  <c r="O105" i="5"/>
  <c r="N105" i="5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C103" i="5"/>
  <c r="AD103" i="5" s="1"/>
  <c r="AA103" i="5"/>
  <c r="X103" i="5"/>
  <c r="W103" i="5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X102" i="5"/>
  <c r="W102" i="5"/>
  <c r="U102" i="5"/>
  <c r="R102" i="5"/>
  <c r="N102" i="5"/>
  <c r="O102" i="5" s="1"/>
  <c r="L102" i="5"/>
  <c r="H102" i="5"/>
  <c r="I102" i="5" s="1"/>
  <c r="F102" i="5"/>
  <c r="C102" i="5"/>
  <c r="AC101" i="5"/>
  <c r="AD101" i="5" s="1"/>
  <c r="AA101" i="5"/>
  <c r="X101" i="5"/>
  <c r="W101" i="5"/>
  <c r="U101" i="5"/>
  <c r="R101" i="5"/>
  <c r="O101" i="5"/>
  <c r="N101" i="5"/>
  <c r="L101" i="5"/>
  <c r="I101" i="5"/>
  <c r="H101" i="5"/>
  <c r="F101" i="5"/>
  <c r="C101" i="5"/>
  <c r="AC100" i="5"/>
  <c r="AD100" i="5" s="1"/>
  <c r="AA100" i="5"/>
  <c r="W100" i="5"/>
  <c r="X100" i="5" s="1"/>
  <c r="U100" i="5"/>
  <c r="R100" i="5"/>
  <c r="O100" i="5"/>
  <c r="N100" i="5"/>
  <c r="L100" i="5"/>
  <c r="H100" i="5"/>
  <c r="I100" i="5" s="1"/>
  <c r="F100" i="5"/>
  <c r="C100" i="5"/>
  <c r="AC99" i="5"/>
  <c r="AD99" i="5" s="1"/>
  <c r="AA99" i="5"/>
  <c r="X99" i="5"/>
  <c r="W99" i="5"/>
  <c r="U99" i="5"/>
  <c r="R99" i="5"/>
  <c r="O99" i="5"/>
  <c r="N99" i="5"/>
  <c r="L99" i="5"/>
  <c r="I99" i="5"/>
  <c r="H99" i="5"/>
  <c r="F99" i="5"/>
  <c r="C99" i="5"/>
  <c r="AD98" i="5"/>
  <c r="AC98" i="5"/>
  <c r="AA98" i="5"/>
  <c r="X98" i="5"/>
  <c r="W98" i="5"/>
  <c r="U98" i="5"/>
  <c r="R98" i="5"/>
  <c r="N98" i="5"/>
  <c r="O98" i="5" s="1"/>
  <c r="L98" i="5"/>
  <c r="H98" i="5"/>
  <c r="I98" i="5" s="1"/>
  <c r="F98" i="5"/>
  <c r="C98" i="5"/>
  <c r="AC97" i="5"/>
  <c r="AD97" i="5" s="1"/>
  <c r="AA97" i="5"/>
  <c r="X97" i="5"/>
  <c r="W97" i="5"/>
  <c r="U97" i="5"/>
  <c r="R97" i="5"/>
  <c r="O97" i="5"/>
  <c r="N97" i="5"/>
  <c r="L97" i="5"/>
  <c r="I97" i="5"/>
  <c r="H97" i="5"/>
  <c r="F97" i="5"/>
  <c r="C97" i="5"/>
  <c r="AD96" i="5"/>
  <c r="AC96" i="5"/>
  <c r="AA96" i="5"/>
  <c r="W96" i="5"/>
  <c r="X96" i="5" s="1"/>
  <c r="U96" i="5"/>
  <c r="R96" i="5"/>
  <c r="N96" i="5"/>
  <c r="O96" i="5" s="1"/>
  <c r="L96" i="5"/>
  <c r="H96" i="5"/>
  <c r="I96" i="5" s="1"/>
  <c r="F96" i="5"/>
  <c r="C96" i="5"/>
  <c r="AC95" i="5"/>
  <c r="AD95" i="5" s="1"/>
  <c r="AA95" i="5"/>
  <c r="X95" i="5"/>
  <c r="W95" i="5"/>
  <c r="U95" i="5"/>
  <c r="R95" i="5"/>
  <c r="O95" i="5"/>
  <c r="N95" i="5"/>
  <c r="L95" i="5"/>
  <c r="H95" i="5"/>
  <c r="I95" i="5" s="1"/>
  <c r="F95" i="5"/>
  <c r="C95" i="5"/>
  <c r="AC94" i="5"/>
  <c r="AD94" i="5" s="1"/>
  <c r="AA94" i="5"/>
  <c r="X94" i="5"/>
  <c r="W94" i="5"/>
  <c r="U94" i="5"/>
  <c r="R94" i="5"/>
  <c r="N94" i="5"/>
  <c r="O94" i="5" s="1"/>
  <c r="L94" i="5"/>
  <c r="H94" i="5"/>
  <c r="I94" i="5" s="1"/>
  <c r="F94" i="5"/>
  <c r="C94" i="5"/>
  <c r="AC92" i="5"/>
  <c r="AD92" i="5" s="1"/>
  <c r="AA92" i="5"/>
  <c r="X92" i="5"/>
  <c r="W92" i="5"/>
  <c r="U92" i="5"/>
  <c r="R92" i="5"/>
  <c r="O92" i="5"/>
  <c r="N92" i="5"/>
  <c r="L92" i="5"/>
  <c r="H92" i="5"/>
  <c r="I92" i="5" s="1"/>
  <c r="F92" i="5"/>
  <c r="C92" i="5"/>
  <c r="AD91" i="5"/>
  <c r="AC91" i="5"/>
  <c r="AA91" i="5"/>
  <c r="W91" i="5"/>
  <c r="X91" i="5" s="1"/>
  <c r="U91" i="5"/>
  <c r="R91" i="5"/>
  <c r="O91" i="5"/>
  <c r="N91" i="5"/>
  <c r="L91" i="5"/>
  <c r="H91" i="5"/>
  <c r="I91" i="5" s="1"/>
  <c r="F91" i="5"/>
  <c r="C91" i="5"/>
  <c r="AC90" i="5"/>
  <c r="AD90" i="5" s="1"/>
  <c r="AA90" i="5"/>
  <c r="X90" i="5"/>
  <c r="W90" i="5"/>
  <c r="U90" i="5"/>
  <c r="R90" i="5"/>
  <c r="O90" i="5"/>
  <c r="N90" i="5"/>
  <c r="L90" i="5"/>
  <c r="I90" i="5"/>
  <c r="H90" i="5"/>
  <c r="F90" i="5"/>
  <c r="C90" i="5"/>
  <c r="AD89" i="5"/>
  <c r="AC89" i="5"/>
  <c r="AA89" i="5"/>
  <c r="W89" i="5"/>
  <c r="X89" i="5" s="1"/>
  <c r="U89" i="5"/>
  <c r="R89" i="5"/>
  <c r="N89" i="5"/>
  <c r="O89" i="5" s="1"/>
  <c r="L89" i="5"/>
  <c r="H89" i="5"/>
  <c r="I89" i="5" s="1"/>
  <c r="F89" i="5"/>
  <c r="C89" i="5"/>
  <c r="Z88" i="5"/>
  <c r="AA88" i="5" s="1"/>
  <c r="U88" i="5"/>
  <c r="T88" i="5"/>
  <c r="W88" i="5" s="1"/>
  <c r="X88" i="5" s="1"/>
  <c r="Q88" i="5"/>
  <c r="R88" i="5" s="1"/>
  <c r="N88" i="5"/>
  <c r="O88" i="5" s="1"/>
  <c r="K88" i="5"/>
  <c r="L88" i="5" s="1"/>
  <c r="E88" i="5"/>
  <c r="F88" i="5" s="1"/>
  <c r="C88" i="5"/>
  <c r="B88" i="5"/>
  <c r="H88" i="5" s="1"/>
  <c r="I88" i="5" s="1"/>
  <c r="AC87" i="5"/>
  <c r="AD87" i="5" s="1"/>
  <c r="AA87" i="5"/>
  <c r="X87" i="5"/>
  <c r="W87" i="5"/>
  <c r="U87" i="5"/>
  <c r="R87" i="5"/>
  <c r="O87" i="5"/>
  <c r="N87" i="5"/>
  <c r="L87" i="5"/>
  <c r="I87" i="5"/>
  <c r="H87" i="5"/>
  <c r="F87" i="5"/>
  <c r="C87" i="5"/>
  <c r="AC86" i="5"/>
  <c r="AD86" i="5" s="1"/>
  <c r="AA86" i="5"/>
  <c r="W86" i="5"/>
  <c r="X86" i="5" s="1"/>
  <c r="U86" i="5"/>
  <c r="R86" i="5"/>
  <c r="N86" i="5"/>
  <c r="O86" i="5" s="1"/>
  <c r="L86" i="5"/>
  <c r="H86" i="5"/>
  <c r="I86" i="5" s="1"/>
  <c r="F86" i="5"/>
  <c r="C86" i="5"/>
  <c r="AC85" i="5"/>
  <c r="AD85" i="5" s="1"/>
  <c r="AA85" i="5"/>
  <c r="X85" i="5"/>
  <c r="W85" i="5"/>
  <c r="U85" i="5"/>
  <c r="R85" i="5"/>
  <c r="O85" i="5"/>
  <c r="N85" i="5"/>
  <c r="L85" i="5"/>
  <c r="I85" i="5"/>
  <c r="H85" i="5"/>
  <c r="F85" i="5"/>
  <c r="C85" i="5"/>
  <c r="AD84" i="5"/>
  <c r="AC84" i="5"/>
  <c r="AA84" i="5"/>
  <c r="W84" i="5"/>
  <c r="X84" i="5" s="1"/>
  <c r="U84" i="5"/>
  <c r="R84" i="5"/>
  <c r="N84" i="5"/>
  <c r="O84" i="5" s="1"/>
  <c r="L84" i="5"/>
  <c r="H84" i="5"/>
  <c r="I84" i="5" s="1"/>
  <c r="F84" i="5"/>
  <c r="C84" i="5"/>
  <c r="AC83" i="5"/>
  <c r="AD83" i="5" s="1"/>
  <c r="AA83" i="5"/>
  <c r="X83" i="5"/>
  <c r="W83" i="5"/>
  <c r="U83" i="5"/>
  <c r="R83" i="5"/>
  <c r="O83" i="5"/>
  <c r="N83" i="5"/>
  <c r="L83" i="5"/>
  <c r="I83" i="5"/>
  <c r="H83" i="5"/>
  <c r="F83" i="5"/>
  <c r="C83" i="5"/>
  <c r="AD82" i="5"/>
  <c r="AC82" i="5"/>
  <c r="AA82" i="5"/>
  <c r="W82" i="5"/>
  <c r="X82" i="5" s="1"/>
  <c r="U82" i="5"/>
  <c r="R82" i="5"/>
  <c r="N82" i="5"/>
  <c r="O82" i="5" s="1"/>
  <c r="L82" i="5"/>
  <c r="H82" i="5"/>
  <c r="I82" i="5" s="1"/>
  <c r="F82" i="5"/>
  <c r="C82" i="5"/>
  <c r="AC81" i="5"/>
  <c r="AD81" i="5" s="1"/>
  <c r="AA81" i="5"/>
  <c r="X81" i="5"/>
  <c r="W81" i="5"/>
  <c r="U81" i="5"/>
  <c r="R81" i="5"/>
  <c r="O81" i="5"/>
  <c r="N81" i="5"/>
  <c r="L81" i="5"/>
  <c r="H81" i="5"/>
  <c r="I81" i="5" s="1"/>
  <c r="F81" i="5"/>
  <c r="C81" i="5"/>
  <c r="AC80" i="5"/>
  <c r="AD80" i="5" s="1"/>
  <c r="AA80" i="5"/>
  <c r="W80" i="5"/>
  <c r="X80" i="5" s="1"/>
  <c r="U80" i="5"/>
  <c r="R80" i="5"/>
  <c r="O80" i="5"/>
  <c r="N80" i="5"/>
  <c r="L80" i="5"/>
  <c r="H80" i="5"/>
  <c r="I80" i="5" s="1"/>
  <c r="F80" i="5"/>
  <c r="C80" i="5"/>
  <c r="AC79" i="5"/>
  <c r="AD79" i="5" s="1"/>
  <c r="AA79" i="5"/>
  <c r="X79" i="5"/>
  <c r="W79" i="5"/>
  <c r="U79" i="5"/>
  <c r="R79" i="5"/>
  <c r="O79" i="5"/>
  <c r="N79" i="5"/>
  <c r="L79" i="5"/>
  <c r="I79" i="5"/>
  <c r="H79" i="5"/>
  <c r="F79" i="5"/>
  <c r="C79" i="5"/>
  <c r="AD78" i="5"/>
  <c r="AC78" i="5"/>
  <c r="AA78" i="5"/>
  <c r="W78" i="5"/>
  <c r="X78" i="5" s="1"/>
  <c r="U78" i="5"/>
  <c r="R78" i="5"/>
  <c r="N78" i="5"/>
  <c r="O78" i="5" s="1"/>
  <c r="L78" i="5"/>
  <c r="H78" i="5"/>
  <c r="I78" i="5" s="1"/>
  <c r="F78" i="5"/>
  <c r="C78" i="5"/>
  <c r="AC77" i="5"/>
  <c r="AD77" i="5" s="1"/>
  <c r="AA77" i="5"/>
  <c r="X77" i="5"/>
  <c r="W77" i="5"/>
  <c r="U77" i="5"/>
  <c r="R77" i="5"/>
  <c r="O77" i="5"/>
  <c r="N77" i="5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H76" i="5"/>
  <c r="I76" i="5" s="1"/>
  <c r="F76" i="5"/>
  <c r="C76" i="5"/>
  <c r="AC75" i="5"/>
  <c r="AD75" i="5" s="1"/>
  <c r="AA75" i="5"/>
  <c r="X75" i="5"/>
  <c r="W75" i="5"/>
  <c r="U75" i="5"/>
  <c r="R75" i="5"/>
  <c r="O75" i="5"/>
  <c r="N75" i="5"/>
  <c r="L75" i="5"/>
  <c r="I75" i="5"/>
  <c r="H75" i="5"/>
  <c r="F75" i="5"/>
  <c r="C75" i="5"/>
  <c r="Z73" i="5"/>
  <c r="AA73" i="5" s="1"/>
  <c r="T73" i="5"/>
  <c r="U73" i="5" s="1"/>
  <c r="R73" i="5"/>
  <c r="Q73" i="5"/>
  <c r="N73" i="5"/>
  <c r="O73" i="5" s="1"/>
  <c r="K73" i="5"/>
  <c r="L73" i="5" s="1"/>
  <c r="F73" i="5"/>
  <c r="E73" i="5"/>
  <c r="B73" i="5"/>
  <c r="AC72" i="5"/>
  <c r="AD72" i="5" s="1"/>
  <c r="AA72" i="5"/>
  <c r="W72" i="5"/>
  <c r="X72" i="5" s="1"/>
  <c r="U72" i="5"/>
  <c r="R72" i="5"/>
  <c r="O72" i="5"/>
  <c r="N72" i="5"/>
  <c r="L72" i="5"/>
  <c r="H72" i="5"/>
  <c r="I72" i="5" s="1"/>
  <c r="F72" i="5"/>
  <c r="C72" i="5"/>
  <c r="AC71" i="5"/>
  <c r="AD71" i="5" s="1"/>
  <c r="AA71" i="5"/>
  <c r="X71" i="5"/>
  <c r="W71" i="5"/>
  <c r="U71" i="5"/>
  <c r="R71" i="5"/>
  <c r="O71" i="5"/>
  <c r="N71" i="5"/>
  <c r="L71" i="5"/>
  <c r="I71" i="5"/>
  <c r="H71" i="5"/>
  <c r="F71" i="5"/>
  <c r="C71" i="5"/>
  <c r="AD70" i="5"/>
  <c r="AC70" i="5"/>
  <c r="AA70" i="5"/>
  <c r="W70" i="5"/>
  <c r="X70" i="5" s="1"/>
  <c r="U70" i="5"/>
  <c r="R70" i="5"/>
  <c r="N70" i="5"/>
  <c r="O70" i="5" s="1"/>
  <c r="L70" i="5"/>
  <c r="H70" i="5"/>
  <c r="I70" i="5" s="1"/>
  <c r="F70" i="5"/>
  <c r="C70" i="5"/>
  <c r="AC69" i="5"/>
  <c r="AD69" i="5" s="1"/>
  <c r="AA69" i="5"/>
  <c r="X69" i="5"/>
  <c r="W69" i="5"/>
  <c r="U69" i="5"/>
  <c r="R69" i="5"/>
  <c r="O69" i="5"/>
  <c r="N69" i="5"/>
  <c r="L69" i="5"/>
  <c r="I69" i="5"/>
  <c r="H69" i="5"/>
  <c r="F69" i="5"/>
  <c r="C69" i="5"/>
  <c r="AD68" i="5"/>
  <c r="AC68" i="5"/>
  <c r="AA68" i="5"/>
  <c r="W68" i="5"/>
  <c r="X68" i="5" s="1"/>
  <c r="U68" i="5"/>
  <c r="R68" i="5"/>
  <c r="N68" i="5"/>
  <c r="O68" i="5" s="1"/>
  <c r="L68" i="5"/>
  <c r="H68" i="5"/>
  <c r="I68" i="5" s="1"/>
  <c r="F68" i="5"/>
  <c r="C68" i="5"/>
  <c r="AC67" i="5"/>
  <c r="AD67" i="5" s="1"/>
  <c r="AA67" i="5"/>
  <c r="X67" i="5"/>
  <c r="W67" i="5"/>
  <c r="U67" i="5"/>
  <c r="R67" i="5"/>
  <c r="O67" i="5"/>
  <c r="N67" i="5"/>
  <c r="L67" i="5"/>
  <c r="H67" i="5"/>
  <c r="I67" i="5" s="1"/>
  <c r="F67" i="5"/>
  <c r="C67" i="5"/>
  <c r="AC66" i="5"/>
  <c r="AD66" i="5" s="1"/>
  <c r="AA66" i="5"/>
  <c r="X66" i="5"/>
  <c r="W66" i="5"/>
  <c r="U66" i="5"/>
  <c r="R66" i="5"/>
  <c r="N66" i="5"/>
  <c r="O66" i="5" s="1"/>
  <c r="L66" i="5"/>
  <c r="H66" i="5"/>
  <c r="I66" i="5" s="1"/>
  <c r="F66" i="5"/>
  <c r="C66" i="5"/>
  <c r="AC65" i="5"/>
  <c r="AD65" i="5" s="1"/>
  <c r="AA65" i="5"/>
  <c r="X65" i="5"/>
  <c r="W65" i="5"/>
  <c r="U65" i="5"/>
  <c r="R65" i="5"/>
  <c r="O65" i="5"/>
  <c r="N65" i="5"/>
  <c r="L65" i="5"/>
  <c r="H65" i="5"/>
  <c r="I65" i="5" s="1"/>
  <c r="F65" i="5"/>
  <c r="C65" i="5"/>
  <c r="AD64" i="5"/>
  <c r="AC64" i="5"/>
  <c r="AA64" i="5"/>
  <c r="W64" i="5"/>
  <c r="X64" i="5" s="1"/>
  <c r="U64" i="5"/>
  <c r="R64" i="5"/>
  <c r="O64" i="5"/>
  <c r="N64" i="5"/>
  <c r="L64" i="5"/>
  <c r="H64" i="5"/>
  <c r="I64" i="5" s="1"/>
  <c r="F64" i="5"/>
  <c r="C64" i="5"/>
  <c r="AC62" i="5"/>
  <c r="AD62" i="5" s="1"/>
  <c r="AA62" i="5"/>
  <c r="Z62" i="5"/>
  <c r="T62" i="5"/>
  <c r="U62" i="5" s="1"/>
  <c r="Q62" i="5"/>
  <c r="K62" i="5"/>
  <c r="L62" i="5" s="1"/>
  <c r="H62" i="5"/>
  <c r="I62" i="5" s="1"/>
  <c r="E62" i="5"/>
  <c r="F62" i="5" s="1"/>
  <c r="C62" i="5"/>
  <c r="B62" i="5"/>
  <c r="N62" i="5" s="1"/>
  <c r="O62" i="5" s="1"/>
  <c r="AA61" i="5"/>
  <c r="Z61" i="5"/>
  <c r="T61" i="5"/>
  <c r="W61" i="5" s="1"/>
  <c r="X61" i="5" s="1"/>
  <c r="Q61" i="5"/>
  <c r="R61" i="5" s="1"/>
  <c r="O61" i="5"/>
  <c r="N61" i="5"/>
  <c r="K61" i="5"/>
  <c r="L61" i="5" s="1"/>
  <c r="H61" i="5"/>
  <c r="I61" i="5" s="1"/>
  <c r="E61" i="5"/>
  <c r="F61" i="5" s="1"/>
  <c r="C61" i="5"/>
  <c r="B61" i="5"/>
  <c r="AC60" i="5"/>
  <c r="AD60" i="5" s="1"/>
  <c r="AA60" i="5"/>
  <c r="X60" i="5"/>
  <c r="W60" i="5"/>
  <c r="U60" i="5"/>
  <c r="R60" i="5"/>
  <c r="O60" i="5"/>
  <c r="N60" i="5"/>
  <c r="L60" i="5"/>
  <c r="I60" i="5"/>
  <c r="H60" i="5"/>
  <c r="F60" i="5"/>
  <c r="C60" i="5"/>
  <c r="AD59" i="5"/>
  <c r="AC59" i="5"/>
  <c r="AA59" i="5"/>
  <c r="X59" i="5"/>
  <c r="W59" i="5"/>
  <c r="U59" i="5"/>
  <c r="R59" i="5"/>
  <c r="N59" i="5"/>
  <c r="O59" i="5" s="1"/>
  <c r="L59" i="5"/>
  <c r="H59" i="5"/>
  <c r="I59" i="5" s="1"/>
  <c r="F59" i="5"/>
  <c r="C59" i="5"/>
  <c r="AC58" i="5"/>
  <c r="AD58" i="5" s="1"/>
  <c r="AA58" i="5"/>
  <c r="X58" i="5"/>
  <c r="W58" i="5"/>
  <c r="U58" i="5"/>
  <c r="R58" i="5"/>
  <c r="O58" i="5"/>
  <c r="N58" i="5"/>
  <c r="L58" i="5"/>
  <c r="I58" i="5"/>
  <c r="H58" i="5"/>
  <c r="F58" i="5"/>
  <c r="C58" i="5"/>
  <c r="AD57" i="5"/>
  <c r="AC57" i="5"/>
  <c r="AA57" i="5"/>
  <c r="W57" i="5"/>
  <c r="X57" i="5" s="1"/>
  <c r="U57" i="5"/>
  <c r="R57" i="5"/>
  <c r="O57" i="5"/>
  <c r="N57" i="5"/>
  <c r="L57" i="5"/>
  <c r="H57" i="5"/>
  <c r="I57" i="5" s="1"/>
  <c r="F57" i="5"/>
  <c r="C57" i="5"/>
  <c r="AC56" i="5"/>
  <c r="AD56" i="5" s="1"/>
  <c r="AA56" i="5"/>
  <c r="X56" i="5"/>
  <c r="W56" i="5"/>
  <c r="U56" i="5"/>
  <c r="R56" i="5"/>
  <c r="O56" i="5"/>
  <c r="N56" i="5"/>
  <c r="L56" i="5"/>
  <c r="H56" i="5"/>
  <c r="I56" i="5" s="1"/>
  <c r="F56" i="5"/>
  <c r="C56" i="5"/>
  <c r="AC55" i="5"/>
  <c r="AD55" i="5" s="1"/>
  <c r="AA55" i="5"/>
  <c r="X55" i="5"/>
  <c r="W55" i="5"/>
  <c r="U55" i="5"/>
  <c r="R55" i="5"/>
  <c r="N55" i="5"/>
  <c r="O55" i="5" s="1"/>
  <c r="L55" i="5"/>
  <c r="H55" i="5"/>
  <c r="I55" i="5" s="1"/>
  <c r="F55" i="5"/>
  <c r="C55" i="5"/>
  <c r="AC54" i="5"/>
  <c r="AD54" i="5" s="1"/>
  <c r="AA54" i="5"/>
  <c r="X54" i="5"/>
  <c r="W54" i="5"/>
  <c r="U54" i="5"/>
  <c r="R54" i="5"/>
  <c r="O54" i="5"/>
  <c r="N54" i="5"/>
  <c r="L54" i="5"/>
  <c r="H54" i="5"/>
  <c r="I54" i="5" s="1"/>
  <c r="F54" i="5"/>
  <c r="C54" i="5"/>
  <c r="AC53" i="5"/>
  <c r="AD53" i="5" s="1"/>
  <c r="AA53" i="5"/>
  <c r="W53" i="5"/>
  <c r="X53" i="5" s="1"/>
  <c r="U53" i="5"/>
  <c r="R53" i="5"/>
  <c r="O53" i="5"/>
  <c r="N53" i="5"/>
  <c r="L53" i="5"/>
  <c r="H53" i="5"/>
  <c r="I53" i="5" s="1"/>
  <c r="F53" i="5"/>
  <c r="C53" i="5"/>
  <c r="AC52" i="5"/>
  <c r="AD52" i="5" s="1"/>
  <c r="AA52" i="5"/>
  <c r="X52" i="5"/>
  <c r="W52" i="5"/>
  <c r="U52" i="5"/>
  <c r="R52" i="5"/>
  <c r="O52" i="5"/>
  <c r="N52" i="5"/>
  <c r="L52" i="5"/>
  <c r="I52" i="5"/>
  <c r="H52" i="5"/>
  <c r="F52" i="5"/>
  <c r="C52" i="5"/>
  <c r="AD51" i="5"/>
  <c r="AC51" i="5"/>
  <c r="AA51" i="5"/>
  <c r="W51" i="5"/>
  <c r="X51" i="5" s="1"/>
  <c r="U51" i="5"/>
  <c r="R51" i="5"/>
  <c r="N51" i="5"/>
  <c r="O51" i="5" s="1"/>
  <c r="L51" i="5"/>
  <c r="H51" i="5"/>
  <c r="I51" i="5" s="1"/>
  <c r="F51" i="5"/>
  <c r="C51" i="5"/>
  <c r="AC50" i="5"/>
  <c r="AD50" i="5" s="1"/>
  <c r="AA50" i="5"/>
  <c r="X50" i="5"/>
  <c r="W50" i="5"/>
  <c r="U50" i="5"/>
  <c r="R50" i="5"/>
  <c r="O50" i="5"/>
  <c r="N50" i="5"/>
  <c r="L50" i="5"/>
  <c r="I50" i="5"/>
  <c r="H50" i="5"/>
  <c r="F50" i="5"/>
  <c r="C50" i="5"/>
  <c r="AD49" i="5"/>
  <c r="AC49" i="5"/>
  <c r="AA49" i="5"/>
  <c r="W49" i="5"/>
  <c r="X49" i="5" s="1"/>
  <c r="U49" i="5"/>
  <c r="R49" i="5"/>
  <c r="N49" i="5"/>
  <c r="O49" i="5" s="1"/>
  <c r="L49" i="5"/>
  <c r="H49" i="5"/>
  <c r="I49" i="5" s="1"/>
  <c r="F49" i="5"/>
  <c r="C49" i="5"/>
  <c r="AC48" i="5"/>
  <c r="AD48" i="5" s="1"/>
  <c r="AA48" i="5"/>
  <c r="X48" i="5"/>
  <c r="W48" i="5"/>
  <c r="U48" i="5"/>
  <c r="R48" i="5"/>
  <c r="O48" i="5"/>
  <c r="N48" i="5"/>
  <c r="L48" i="5"/>
  <c r="H48" i="5"/>
  <c r="I48" i="5" s="1"/>
  <c r="F48" i="5"/>
  <c r="C48" i="5"/>
  <c r="AC47" i="5"/>
  <c r="AD47" i="5" s="1"/>
  <c r="AA47" i="5"/>
  <c r="X47" i="5"/>
  <c r="W47" i="5"/>
  <c r="U47" i="5"/>
  <c r="R47" i="5"/>
  <c r="N47" i="5"/>
  <c r="O47" i="5" s="1"/>
  <c r="L47" i="5"/>
  <c r="H47" i="5"/>
  <c r="I47" i="5" s="1"/>
  <c r="F47" i="5"/>
  <c r="C47" i="5"/>
  <c r="AC46" i="5"/>
  <c r="AD46" i="5" s="1"/>
  <c r="AA46" i="5"/>
  <c r="X46" i="5"/>
  <c r="W46" i="5"/>
  <c r="U46" i="5"/>
  <c r="R46" i="5"/>
  <c r="O46" i="5"/>
  <c r="N46" i="5"/>
  <c r="L46" i="5"/>
  <c r="I46" i="5"/>
  <c r="H46" i="5"/>
  <c r="F46" i="5"/>
  <c r="C46" i="5"/>
  <c r="AD44" i="5"/>
  <c r="AC44" i="5"/>
  <c r="AA44" i="5"/>
  <c r="W44" i="5"/>
  <c r="X44" i="5" s="1"/>
  <c r="U44" i="5"/>
  <c r="R44" i="5"/>
  <c r="O44" i="5"/>
  <c r="N44" i="5"/>
  <c r="L44" i="5"/>
  <c r="H44" i="5"/>
  <c r="I44" i="5" s="1"/>
  <c r="F44" i="5"/>
  <c r="C44" i="5"/>
  <c r="AC43" i="5"/>
  <c r="AD43" i="5" s="1"/>
  <c r="AA43" i="5"/>
  <c r="X43" i="5"/>
  <c r="W43" i="5"/>
  <c r="U43" i="5"/>
  <c r="R43" i="5"/>
  <c r="O43" i="5"/>
  <c r="N43" i="5"/>
  <c r="L43" i="5"/>
  <c r="I43" i="5"/>
  <c r="H43" i="5"/>
  <c r="F43" i="5"/>
  <c r="C43" i="5"/>
  <c r="AD42" i="5"/>
  <c r="AC42" i="5"/>
  <c r="AA42" i="5"/>
  <c r="X42" i="5"/>
  <c r="W42" i="5"/>
  <c r="U42" i="5"/>
  <c r="R42" i="5"/>
  <c r="N42" i="5"/>
  <c r="O42" i="5" s="1"/>
  <c r="L42" i="5"/>
  <c r="H42" i="5"/>
  <c r="I42" i="5" s="1"/>
  <c r="F42" i="5"/>
  <c r="C42" i="5"/>
  <c r="AA40" i="5"/>
  <c r="Z40" i="5"/>
  <c r="T40" i="5"/>
  <c r="W40" i="5" s="1"/>
  <c r="X40" i="5" s="1"/>
  <c r="Q40" i="5"/>
  <c r="R40" i="5" s="1"/>
  <c r="K40" i="5"/>
  <c r="E40" i="5"/>
  <c r="F40" i="5" s="1"/>
  <c r="C40" i="5"/>
  <c r="B40" i="5"/>
  <c r="H40" i="5" s="1"/>
  <c r="I40" i="5" s="1"/>
  <c r="AC39" i="5"/>
  <c r="AD39" i="5" s="1"/>
  <c r="AA39" i="5"/>
  <c r="X39" i="5"/>
  <c r="W39" i="5"/>
  <c r="U39" i="5"/>
  <c r="R39" i="5"/>
  <c r="O39" i="5"/>
  <c r="N39" i="5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I38" i="5"/>
  <c r="H38" i="5"/>
  <c r="F38" i="5"/>
  <c r="C38" i="5"/>
  <c r="AC37" i="5"/>
  <c r="AD37" i="5" s="1"/>
  <c r="AA37" i="5"/>
  <c r="X37" i="5"/>
  <c r="W37" i="5"/>
  <c r="U37" i="5"/>
  <c r="R37" i="5"/>
  <c r="O37" i="5"/>
  <c r="N37" i="5"/>
  <c r="L37" i="5"/>
  <c r="H37" i="5"/>
  <c r="I37" i="5" s="1"/>
  <c r="F37" i="5"/>
  <c r="C37" i="5"/>
  <c r="AC36" i="5"/>
  <c r="AD36" i="5" s="1"/>
  <c r="AA36" i="5"/>
  <c r="W36" i="5"/>
  <c r="X36" i="5" s="1"/>
  <c r="U36" i="5"/>
  <c r="R36" i="5"/>
  <c r="N36" i="5"/>
  <c r="O36" i="5" s="1"/>
  <c r="L36" i="5"/>
  <c r="H36" i="5"/>
  <c r="I36" i="5" s="1"/>
  <c r="F36" i="5"/>
  <c r="C36" i="5"/>
  <c r="AC35" i="5"/>
  <c r="AD35" i="5" s="1"/>
  <c r="AA35" i="5"/>
  <c r="X35" i="5"/>
  <c r="W35" i="5"/>
  <c r="U35" i="5"/>
  <c r="R35" i="5"/>
  <c r="O35" i="5"/>
  <c r="N35" i="5"/>
  <c r="L35" i="5"/>
  <c r="I35" i="5"/>
  <c r="H35" i="5"/>
  <c r="F35" i="5"/>
  <c r="C35" i="5"/>
  <c r="AD34" i="5"/>
  <c r="AC34" i="5"/>
  <c r="AA34" i="5"/>
  <c r="X34" i="5"/>
  <c r="W34" i="5"/>
  <c r="U34" i="5"/>
  <c r="R34" i="5"/>
  <c r="O34" i="5"/>
  <c r="N34" i="5"/>
  <c r="L34" i="5"/>
  <c r="H34" i="5"/>
  <c r="I34" i="5" s="1"/>
  <c r="F34" i="5"/>
  <c r="C34" i="5"/>
  <c r="AC33" i="5"/>
  <c r="AD33" i="5" s="1"/>
  <c r="AA33" i="5"/>
  <c r="X33" i="5"/>
  <c r="W33" i="5"/>
  <c r="U33" i="5"/>
  <c r="R33" i="5"/>
  <c r="O33" i="5"/>
  <c r="N33" i="5"/>
  <c r="L33" i="5"/>
  <c r="I33" i="5"/>
  <c r="H33" i="5"/>
  <c r="F33" i="5"/>
  <c r="C33" i="5"/>
  <c r="AC32" i="5"/>
  <c r="AD32" i="5" s="1"/>
  <c r="AA32" i="5"/>
  <c r="W32" i="5"/>
  <c r="X32" i="5" s="1"/>
  <c r="U32" i="5"/>
  <c r="R32" i="5"/>
  <c r="N32" i="5"/>
  <c r="O32" i="5" s="1"/>
  <c r="L32" i="5"/>
  <c r="H32" i="5"/>
  <c r="I32" i="5" s="1"/>
  <c r="F32" i="5"/>
  <c r="C32" i="5"/>
  <c r="AD31" i="5"/>
  <c r="AC31" i="5"/>
  <c r="AA31" i="5"/>
  <c r="X31" i="5"/>
  <c r="W31" i="5"/>
  <c r="U31" i="5"/>
  <c r="R31" i="5"/>
  <c r="O31" i="5"/>
  <c r="N31" i="5"/>
  <c r="L31" i="5"/>
  <c r="H31" i="5"/>
  <c r="I31" i="5" s="1"/>
  <c r="F31" i="5"/>
  <c r="C31" i="5"/>
  <c r="AC29" i="5"/>
  <c r="AD29" i="5" s="1"/>
  <c r="AA29" i="5"/>
  <c r="Z29" i="5"/>
  <c r="T29" i="5"/>
  <c r="R29" i="5"/>
  <c r="Q29" i="5"/>
  <c r="N29" i="5"/>
  <c r="O29" i="5" s="1"/>
  <c r="L29" i="5"/>
  <c r="K29" i="5"/>
  <c r="F29" i="5"/>
  <c r="E29" i="5"/>
  <c r="H29" i="5" s="1"/>
  <c r="I29" i="5" s="1"/>
  <c r="B29" i="5"/>
  <c r="C29" i="5" s="1"/>
  <c r="AD28" i="5"/>
  <c r="AC28" i="5"/>
  <c r="AA28" i="5"/>
  <c r="X28" i="5"/>
  <c r="W28" i="5"/>
  <c r="U28" i="5"/>
  <c r="R28" i="5"/>
  <c r="O28" i="5"/>
  <c r="N28" i="5"/>
  <c r="L28" i="5"/>
  <c r="H28" i="5"/>
  <c r="I28" i="5" s="1"/>
  <c r="F28" i="5"/>
  <c r="C28" i="5"/>
  <c r="AD27" i="5"/>
  <c r="AC27" i="5"/>
  <c r="AA27" i="5"/>
  <c r="X27" i="5"/>
  <c r="W27" i="5"/>
  <c r="U27" i="5"/>
  <c r="R27" i="5"/>
  <c r="N27" i="5"/>
  <c r="O27" i="5" s="1"/>
  <c r="L27" i="5"/>
  <c r="I27" i="5"/>
  <c r="H27" i="5"/>
  <c r="F27" i="5"/>
  <c r="C27" i="5"/>
  <c r="AD26" i="5"/>
  <c r="AC26" i="5"/>
  <c r="AA26" i="5"/>
  <c r="W26" i="5"/>
  <c r="X26" i="5" s="1"/>
  <c r="U26" i="5"/>
  <c r="R26" i="5"/>
  <c r="N26" i="5"/>
  <c r="O26" i="5" s="1"/>
  <c r="L26" i="5"/>
  <c r="I26" i="5"/>
  <c r="H26" i="5"/>
  <c r="F26" i="5"/>
  <c r="C26" i="5"/>
  <c r="AC25" i="5"/>
  <c r="AD25" i="5" s="1"/>
  <c r="AA25" i="5"/>
  <c r="W25" i="5"/>
  <c r="X25" i="5" s="1"/>
  <c r="U25" i="5"/>
  <c r="R25" i="5"/>
  <c r="O25" i="5"/>
  <c r="N25" i="5"/>
  <c r="L25" i="5"/>
  <c r="H25" i="5"/>
  <c r="I25" i="5" s="1"/>
  <c r="F25" i="5"/>
  <c r="C25" i="5"/>
  <c r="AC24" i="5"/>
  <c r="AD24" i="5" s="1"/>
  <c r="AA24" i="5"/>
  <c r="X24" i="5"/>
  <c r="W24" i="5"/>
  <c r="U24" i="5"/>
  <c r="R24" i="5"/>
  <c r="O24" i="5"/>
  <c r="N24" i="5"/>
  <c r="L24" i="5"/>
  <c r="H24" i="5"/>
  <c r="I24" i="5" s="1"/>
  <c r="F24" i="5"/>
  <c r="C24" i="5"/>
  <c r="AD23" i="5"/>
  <c r="AC23" i="5"/>
  <c r="AA23" i="5"/>
  <c r="X23" i="5"/>
  <c r="W23" i="5"/>
  <c r="U23" i="5"/>
  <c r="R23" i="5"/>
  <c r="N23" i="5"/>
  <c r="O23" i="5" s="1"/>
  <c r="L23" i="5"/>
  <c r="I23" i="5"/>
  <c r="H23" i="5"/>
  <c r="F23" i="5"/>
  <c r="C23" i="5"/>
  <c r="AD22" i="5"/>
  <c r="AC22" i="5"/>
  <c r="AA22" i="5"/>
  <c r="X22" i="5"/>
  <c r="W22" i="5"/>
  <c r="U22" i="5"/>
  <c r="R22" i="5"/>
  <c r="O22" i="5"/>
  <c r="N22" i="5"/>
  <c r="L22" i="5"/>
  <c r="I22" i="5"/>
  <c r="H22" i="5"/>
  <c r="F22" i="5"/>
  <c r="C22" i="5"/>
  <c r="AC21" i="5"/>
  <c r="AD21" i="5" s="1"/>
  <c r="AA21" i="5"/>
  <c r="X21" i="5"/>
  <c r="W21" i="5"/>
  <c r="U21" i="5"/>
  <c r="R21" i="5"/>
  <c r="O21" i="5"/>
  <c r="N21" i="5"/>
  <c r="L21" i="5"/>
  <c r="I21" i="5"/>
  <c r="H21" i="5"/>
  <c r="F21" i="5"/>
  <c r="C21" i="5"/>
  <c r="AD19" i="5"/>
  <c r="AC19" i="5"/>
  <c r="AA19" i="5"/>
  <c r="W19" i="5"/>
  <c r="X19" i="5" s="1"/>
  <c r="U19" i="5"/>
  <c r="R19" i="5"/>
  <c r="O19" i="5"/>
  <c r="N19" i="5"/>
  <c r="L19" i="5"/>
  <c r="H19" i="5"/>
  <c r="I19" i="5" s="1"/>
  <c r="F19" i="5"/>
  <c r="C19" i="5"/>
  <c r="Z18" i="5"/>
  <c r="AA18" i="5" s="1"/>
  <c r="W18" i="5"/>
  <c r="X18" i="5" s="1"/>
  <c r="T18" i="5"/>
  <c r="U18" i="5" s="1"/>
  <c r="R18" i="5"/>
  <c r="Q18" i="5"/>
  <c r="K18" i="5"/>
  <c r="L18" i="5" s="1"/>
  <c r="F18" i="5"/>
  <c r="E18" i="5"/>
  <c r="H18" i="5" s="1"/>
  <c r="I18" i="5" s="1"/>
  <c r="C18" i="5"/>
  <c r="B18" i="5"/>
  <c r="AC17" i="5"/>
  <c r="AD17" i="5" s="1"/>
  <c r="AA17" i="5"/>
  <c r="X17" i="5"/>
  <c r="W17" i="5"/>
  <c r="U17" i="5"/>
  <c r="R17" i="5"/>
  <c r="O17" i="5"/>
  <c r="N17" i="5"/>
  <c r="L17" i="5"/>
  <c r="H17" i="5"/>
  <c r="I17" i="5" s="1"/>
  <c r="F17" i="5"/>
  <c r="C17" i="5"/>
  <c r="AD16" i="5"/>
  <c r="AC16" i="5"/>
  <c r="AA16" i="5"/>
  <c r="W16" i="5"/>
  <c r="X16" i="5" s="1"/>
  <c r="U16" i="5"/>
  <c r="R16" i="5"/>
  <c r="O16" i="5"/>
  <c r="N16" i="5"/>
  <c r="L16" i="5"/>
  <c r="H16" i="5"/>
  <c r="I16" i="5" s="1"/>
  <c r="F16" i="5"/>
  <c r="C16" i="5"/>
  <c r="AD15" i="5"/>
  <c r="AC15" i="5"/>
  <c r="AA15" i="5"/>
  <c r="X15" i="5"/>
  <c r="W15" i="5"/>
  <c r="U15" i="5"/>
  <c r="R15" i="5"/>
  <c r="N15" i="5"/>
  <c r="O15" i="5" s="1"/>
  <c r="L15" i="5"/>
  <c r="I15" i="5"/>
  <c r="H15" i="5"/>
  <c r="F15" i="5"/>
  <c r="C15" i="5"/>
  <c r="AC14" i="5"/>
  <c r="AD14" i="5" s="1"/>
  <c r="AA14" i="5"/>
  <c r="W14" i="5"/>
  <c r="X14" i="5" s="1"/>
  <c r="U14" i="5"/>
  <c r="R14" i="5"/>
  <c r="N14" i="5"/>
  <c r="O14" i="5" s="1"/>
  <c r="L14" i="5"/>
  <c r="I14" i="5"/>
  <c r="H14" i="5"/>
  <c r="F14" i="5"/>
  <c r="C14" i="5"/>
  <c r="AC13" i="5"/>
  <c r="AD13" i="5" s="1"/>
  <c r="AA13" i="5"/>
  <c r="X13" i="5"/>
  <c r="W13" i="5"/>
  <c r="U13" i="5"/>
  <c r="R13" i="5"/>
  <c r="O13" i="5"/>
  <c r="N13" i="5"/>
  <c r="L13" i="5"/>
  <c r="H13" i="5"/>
  <c r="I13" i="5" s="1"/>
  <c r="F13" i="5"/>
  <c r="C13" i="5"/>
  <c r="AC12" i="5"/>
  <c r="AD12" i="5" s="1"/>
  <c r="AA12" i="5"/>
  <c r="X12" i="5"/>
  <c r="W12" i="5"/>
  <c r="U12" i="5"/>
  <c r="R12" i="5"/>
  <c r="O12" i="5"/>
  <c r="N12" i="5"/>
  <c r="L12" i="5"/>
  <c r="H12" i="5"/>
  <c r="I12" i="5" s="1"/>
  <c r="F12" i="5"/>
  <c r="C12" i="5"/>
  <c r="AD11" i="5"/>
  <c r="AC11" i="5"/>
  <c r="AA11" i="5"/>
  <c r="X11" i="5"/>
  <c r="W11" i="5"/>
  <c r="U11" i="5"/>
  <c r="R11" i="5"/>
  <c r="N11" i="5"/>
  <c r="O11" i="5" s="1"/>
  <c r="L11" i="5"/>
  <c r="I11" i="5"/>
  <c r="H11" i="5"/>
  <c r="F11" i="5"/>
  <c r="C11" i="5"/>
  <c r="AD10" i="5"/>
  <c r="AC10" i="5"/>
  <c r="AA10" i="5"/>
  <c r="X10" i="5"/>
  <c r="W10" i="5"/>
  <c r="U10" i="5"/>
  <c r="R10" i="5"/>
  <c r="O10" i="5"/>
  <c r="N10" i="5"/>
  <c r="L10" i="5"/>
  <c r="H10" i="5"/>
  <c r="I10" i="5" s="1"/>
  <c r="F10" i="5"/>
  <c r="C10" i="5"/>
  <c r="AC8" i="5"/>
  <c r="AD8" i="5" s="1"/>
  <c r="AA8" i="5"/>
  <c r="X8" i="5"/>
  <c r="W8" i="5"/>
  <c r="U8" i="5"/>
  <c r="R8" i="5"/>
  <c r="O8" i="5"/>
  <c r="N8" i="5"/>
  <c r="L8" i="5"/>
  <c r="I8" i="5"/>
  <c r="H8" i="5"/>
  <c r="F8" i="5"/>
  <c r="C8" i="5"/>
  <c r="AC444" i="4"/>
  <c r="W444" i="4"/>
  <c r="X434" i="4" s="1"/>
  <c r="N444" i="4"/>
  <c r="H444" i="4"/>
  <c r="Z442" i="4"/>
  <c r="X442" i="4"/>
  <c r="U442" i="4"/>
  <c r="T442" i="4"/>
  <c r="W442" i="4" s="1"/>
  <c r="R442" i="4"/>
  <c r="Q442" i="4"/>
  <c r="K442" i="4"/>
  <c r="H442" i="4"/>
  <c r="I442" i="4" s="1"/>
  <c r="F442" i="4"/>
  <c r="E442" i="4"/>
  <c r="B442" i="4"/>
  <c r="C442" i="4" s="1"/>
  <c r="AC441" i="4"/>
  <c r="AD441" i="4" s="1"/>
  <c r="AA441" i="4"/>
  <c r="Z441" i="4"/>
  <c r="T441" i="4"/>
  <c r="U441" i="4" s="1"/>
  <c r="Q441" i="4"/>
  <c r="R441" i="4" s="1"/>
  <c r="N441" i="4"/>
  <c r="O441" i="4" s="1"/>
  <c r="K441" i="4"/>
  <c r="L441" i="4" s="1"/>
  <c r="H441" i="4"/>
  <c r="I441" i="4" s="1"/>
  <c r="F441" i="4"/>
  <c r="E441" i="4"/>
  <c r="B441" i="4"/>
  <c r="C441" i="4" s="1"/>
  <c r="AC440" i="4"/>
  <c r="AA440" i="4"/>
  <c r="X440" i="4"/>
  <c r="W440" i="4"/>
  <c r="U440" i="4"/>
  <c r="R440" i="4"/>
  <c r="O440" i="4"/>
  <c r="N440" i="4"/>
  <c r="L440" i="4"/>
  <c r="H440" i="4"/>
  <c r="I440" i="4" s="1"/>
  <c r="F440" i="4"/>
  <c r="C440" i="4"/>
  <c r="AC439" i="4"/>
  <c r="AA439" i="4"/>
  <c r="X439" i="4"/>
  <c r="W439" i="4"/>
  <c r="U439" i="4"/>
  <c r="R439" i="4"/>
  <c r="O439" i="4"/>
  <c r="N439" i="4"/>
  <c r="L439" i="4"/>
  <c r="H439" i="4"/>
  <c r="I439" i="4" s="1"/>
  <c r="F439" i="4"/>
  <c r="C439" i="4"/>
  <c r="AC438" i="4"/>
  <c r="AA438" i="4"/>
  <c r="W438" i="4"/>
  <c r="U438" i="4"/>
  <c r="R438" i="4"/>
  <c r="O438" i="4"/>
  <c r="N438" i="4"/>
  <c r="L438" i="4"/>
  <c r="H438" i="4"/>
  <c r="I438" i="4" s="1"/>
  <c r="F438" i="4"/>
  <c r="C438" i="4"/>
  <c r="AC437" i="4"/>
  <c r="AA437" i="4"/>
  <c r="X437" i="4"/>
  <c r="W437" i="4"/>
  <c r="U437" i="4"/>
  <c r="R437" i="4"/>
  <c r="O437" i="4"/>
  <c r="N437" i="4"/>
  <c r="L437" i="4"/>
  <c r="H437" i="4"/>
  <c r="I437" i="4" s="1"/>
  <c r="F437" i="4"/>
  <c r="C437" i="4"/>
  <c r="AC436" i="4"/>
  <c r="AA436" i="4"/>
  <c r="W436" i="4"/>
  <c r="X436" i="4" s="1"/>
  <c r="U436" i="4"/>
  <c r="R436" i="4"/>
  <c r="N436" i="4"/>
  <c r="O436" i="4" s="1"/>
  <c r="L436" i="4"/>
  <c r="H436" i="4"/>
  <c r="I436" i="4" s="1"/>
  <c r="F436" i="4"/>
  <c r="C436" i="4"/>
  <c r="AC435" i="4"/>
  <c r="AA435" i="4"/>
  <c r="W435" i="4"/>
  <c r="U435" i="4"/>
  <c r="R435" i="4"/>
  <c r="N435" i="4"/>
  <c r="O435" i="4" s="1"/>
  <c r="L435" i="4"/>
  <c r="H435" i="4"/>
  <c r="I435" i="4" s="1"/>
  <c r="F435" i="4"/>
  <c r="C435" i="4"/>
  <c r="AC434" i="4"/>
  <c r="AA434" i="4"/>
  <c r="W434" i="4"/>
  <c r="U434" i="4"/>
  <c r="R434" i="4"/>
  <c r="O434" i="4"/>
  <c r="N434" i="4"/>
  <c r="L434" i="4"/>
  <c r="I434" i="4"/>
  <c r="H434" i="4"/>
  <c r="F434" i="4"/>
  <c r="C434" i="4"/>
  <c r="AC433" i="4"/>
  <c r="AA433" i="4"/>
  <c r="W433" i="4"/>
  <c r="X433" i="4" s="1"/>
  <c r="U433" i="4"/>
  <c r="R433" i="4"/>
  <c r="O433" i="4"/>
  <c r="N433" i="4"/>
  <c r="L433" i="4"/>
  <c r="I433" i="4"/>
  <c r="H433" i="4"/>
  <c r="F433" i="4"/>
  <c r="C433" i="4"/>
  <c r="AC432" i="4"/>
  <c r="AA432" i="4"/>
  <c r="W432" i="4"/>
  <c r="X432" i="4" s="1"/>
  <c r="U432" i="4"/>
  <c r="R432" i="4"/>
  <c r="O432" i="4"/>
  <c r="N432" i="4"/>
  <c r="L432" i="4"/>
  <c r="H432" i="4"/>
  <c r="I432" i="4" s="1"/>
  <c r="F432" i="4"/>
  <c r="C432" i="4"/>
  <c r="AC429" i="4"/>
  <c r="AA429" i="4"/>
  <c r="Z429" i="4"/>
  <c r="U429" i="4"/>
  <c r="T429" i="4"/>
  <c r="R429" i="4"/>
  <c r="Q429" i="4"/>
  <c r="N429" i="4"/>
  <c r="O429" i="4" s="1"/>
  <c r="K429" i="4"/>
  <c r="L429" i="4" s="1"/>
  <c r="F429" i="4"/>
  <c r="E429" i="4"/>
  <c r="H429" i="4" s="1"/>
  <c r="I429" i="4" s="1"/>
  <c r="B429" i="4"/>
  <c r="C429" i="4" s="1"/>
  <c r="AA428" i="4"/>
  <c r="Z428" i="4"/>
  <c r="X428" i="4"/>
  <c r="W428" i="4"/>
  <c r="U428" i="4"/>
  <c r="T428" i="4"/>
  <c r="Q428" i="4"/>
  <c r="R428" i="4" s="1"/>
  <c r="K428" i="4"/>
  <c r="L428" i="4" s="1"/>
  <c r="H428" i="4"/>
  <c r="I428" i="4" s="1"/>
  <c r="E428" i="4"/>
  <c r="F428" i="4" s="1"/>
  <c r="C428" i="4"/>
  <c r="B428" i="4"/>
  <c r="AC427" i="4"/>
  <c r="AA427" i="4"/>
  <c r="X427" i="4"/>
  <c r="W427" i="4"/>
  <c r="U427" i="4"/>
  <c r="R427" i="4"/>
  <c r="O427" i="4"/>
  <c r="N427" i="4"/>
  <c r="L427" i="4"/>
  <c r="H427" i="4"/>
  <c r="I427" i="4" s="1"/>
  <c r="F427" i="4"/>
  <c r="C427" i="4"/>
  <c r="AC426" i="4"/>
  <c r="AD426" i="4" s="1"/>
  <c r="AA426" i="4"/>
  <c r="W426" i="4"/>
  <c r="U426" i="4"/>
  <c r="R426" i="4"/>
  <c r="N426" i="4"/>
  <c r="O426" i="4" s="1"/>
  <c r="L426" i="4"/>
  <c r="H426" i="4"/>
  <c r="F426" i="4"/>
  <c r="C426" i="4"/>
  <c r="AC425" i="4"/>
  <c r="AA425" i="4"/>
  <c r="X425" i="4"/>
  <c r="W425" i="4"/>
  <c r="U425" i="4"/>
  <c r="R425" i="4"/>
  <c r="O425" i="4"/>
  <c r="N425" i="4"/>
  <c r="L425" i="4"/>
  <c r="H425" i="4"/>
  <c r="I425" i="4" s="1"/>
  <c r="F425" i="4"/>
  <c r="C425" i="4"/>
  <c r="AC424" i="4"/>
  <c r="AA424" i="4"/>
  <c r="X424" i="4"/>
  <c r="W424" i="4"/>
  <c r="U424" i="4"/>
  <c r="R424" i="4"/>
  <c r="O424" i="4"/>
  <c r="N424" i="4"/>
  <c r="L424" i="4"/>
  <c r="H424" i="4"/>
  <c r="I424" i="4" s="1"/>
  <c r="F424" i="4"/>
  <c r="C424" i="4"/>
  <c r="AC423" i="4"/>
  <c r="AA423" i="4"/>
  <c r="W423" i="4"/>
  <c r="X423" i="4" s="1"/>
  <c r="U423" i="4"/>
  <c r="R423" i="4"/>
  <c r="N423" i="4"/>
  <c r="O423" i="4" s="1"/>
  <c r="L423" i="4"/>
  <c r="H423" i="4"/>
  <c r="F423" i="4"/>
  <c r="C423" i="4"/>
  <c r="AC422" i="4"/>
  <c r="AA422" i="4"/>
  <c r="X422" i="4"/>
  <c r="W422" i="4"/>
  <c r="U422" i="4"/>
  <c r="R422" i="4"/>
  <c r="N422" i="4"/>
  <c r="O422" i="4" s="1"/>
  <c r="L422" i="4"/>
  <c r="H422" i="4"/>
  <c r="I422" i="4" s="1"/>
  <c r="F422" i="4"/>
  <c r="C422" i="4"/>
  <c r="AC421" i="4"/>
  <c r="AD421" i="4" s="1"/>
  <c r="AA421" i="4"/>
  <c r="W421" i="4"/>
  <c r="X421" i="4" s="1"/>
  <c r="U421" i="4"/>
  <c r="R421" i="4"/>
  <c r="N421" i="4"/>
  <c r="O421" i="4" s="1"/>
  <c r="L421" i="4"/>
  <c r="I421" i="4"/>
  <c r="H421" i="4"/>
  <c r="F421" i="4"/>
  <c r="C421" i="4"/>
  <c r="AC420" i="4"/>
  <c r="AA420" i="4"/>
  <c r="X420" i="4"/>
  <c r="W420" i="4"/>
  <c r="U420" i="4"/>
  <c r="R420" i="4"/>
  <c r="O420" i="4"/>
  <c r="N420" i="4"/>
  <c r="L420" i="4"/>
  <c r="I420" i="4"/>
  <c r="H420" i="4"/>
  <c r="F420" i="4"/>
  <c r="C420" i="4"/>
  <c r="AC419" i="4"/>
  <c r="AD419" i="4" s="1"/>
  <c r="AA419" i="4"/>
  <c r="W419" i="4"/>
  <c r="X419" i="4" s="1"/>
  <c r="U419" i="4"/>
  <c r="R419" i="4"/>
  <c r="N419" i="4"/>
  <c r="O419" i="4" s="1"/>
  <c r="L419" i="4"/>
  <c r="H419" i="4"/>
  <c r="F419" i="4"/>
  <c r="C419" i="4"/>
  <c r="AC418" i="4"/>
  <c r="AA418" i="4"/>
  <c r="W418" i="4"/>
  <c r="U418" i="4"/>
  <c r="R418" i="4"/>
  <c r="O418" i="4"/>
  <c r="N418" i="4"/>
  <c r="L418" i="4"/>
  <c r="I418" i="4"/>
  <c r="H418" i="4"/>
  <c r="F418" i="4"/>
  <c r="C418" i="4"/>
  <c r="AC417" i="4"/>
  <c r="AD417" i="4" s="1"/>
  <c r="AA417" i="4"/>
  <c r="W417" i="4"/>
  <c r="X417" i="4" s="1"/>
  <c r="U417" i="4"/>
  <c r="R417" i="4"/>
  <c r="N417" i="4"/>
  <c r="O417" i="4" s="1"/>
  <c r="L417" i="4"/>
  <c r="I417" i="4"/>
  <c r="H417" i="4"/>
  <c r="F417" i="4"/>
  <c r="C417" i="4"/>
  <c r="AC416" i="4"/>
  <c r="AA416" i="4"/>
  <c r="W416" i="4"/>
  <c r="X416" i="4" s="1"/>
  <c r="U416" i="4"/>
  <c r="R416" i="4"/>
  <c r="O416" i="4"/>
  <c r="N416" i="4"/>
  <c r="L416" i="4"/>
  <c r="I416" i="4"/>
  <c r="H416" i="4"/>
  <c r="F416" i="4"/>
  <c r="C416" i="4"/>
  <c r="AC415" i="4"/>
  <c r="AA415" i="4"/>
  <c r="W415" i="4"/>
  <c r="X415" i="4" s="1"/>
  <c r="U415" i="4"/>
  <c r="R415" i="4"/>
  <c r="N415" i="4"/>
  <c r="O415" i="4" s="1"/>
  <c r="L415" i="4"/>
  <c r="H415" i="4"/>
  <c r="F415" i="4"/>
  <c r="C415" i="4"/>
  <c r="AC414" i="4"/>
  <c r="AA414" i="4"/>
  <c r="X414" i="4"/>
  <c r="W414" i="4"/>
  <c r="U414" i="4"/>
  <c r="R414" i="4"/>
  <c r="O414" i="4"/>
  <c r="N414" i="4"/>
  <c r="L414" i="4"/>
  <c r="H414" i="4"/>
  <c r="I414" i="4" s="1"/>
  <c r="F414" i="4"/>
  <c r="C414" i="4"/>
  <c r="AC413" i="4"/>
  <c r="AD413" i="4" s="1"/>
  <c r="AA413" i="4"/>
  <c r="W413" i="4"/>
  <c r="U413" i="4"/>
  <c r="R413" i="4"/>
  <c r="N413" i="4"/>
  <c r="O413" i="4" s="1"/>
  <c r="L413" i="4"/>
  <c r="I413" i="4"/>
  <c r="H413" i="4"/>
  <c r="F413" i="4"/>
  <c r="C413" i="4"/>
  <c r="AC412" i="4"/>
  <c r="AA412" i="4"/>
  <c r="W412" i="4"/>
  <c r="X412" i="4" s="1"/>
  <c r="U412" i="4"/>
  <c r="R412" i="4"/>
  <c r="O412" i="4"/>
  <c r="N412" i="4"/>
  <c r="L412" i="4"/>
  <c r="H412" i="4"/>
  <c r="I412" i="4" s="1"/>
  <c r="F412" i="4"/>
  <c r="C412" i="4"/>
  <c r="AD411" i="4"/>
  <c r="AC411" i="4"/>
  <c r="AA411" i="4"/>
  <c r="W411" i="4"/>
  <c r="U411" i="4"/>
  <c r="R411" i="4"/>
  <c r="N411" i="4"/>
  <c r="O411" i="4" s="1"/>
  <c r="L411" i="4"/>
  <c r="H411" i="4"/>
  <c r="F411" i="4"/>
  <c r="C411" i="4"/>
  <c r="AC410" i="4"/>
  <c r="AA410" i="4"/>
  <c r="X410" i="4"/>
  <c r="W410" i="4"/>
  <c r="U410" i="4"/>
  <c r="R410" i="4"/>
  <c r="O410" i="4"/>
  <c r="N410" i="4"/>
  <c r="L410" i="4"/>
  <c r="H410" i="4"/>
  <c r="I410" i="4" s="1"/>
  <c r="F410" i="4"/>
  <c r="C410" i="4"/>
  <c r="AC409" i="4"/>
  <c r="AA409" i="4"/>
  <c r="W409" i="4"/>
  <c r="X409" i="4" s="1"/>
  <c r="U409" i="4"/>
  <c r="R409" i="4"/>
  <c r="N409" i="4"/>
  <c r="O409" i="4" s="1"/>
  <c r="L409" i="4"/>
  <c r="I409" i="4"/>
  <c r="H409" i="4"/>
  <c r="F409" i="4"/>
  <c r="C409" i="4"/>
  <c r="AC408" i="4"/>
  <c r="AA408" i="4"/>
  <c r="W408" i="4"/>
  <c r="X408" i="4" s="1"/>
  <c r="U408" i="4"/>
  <c r="R408" i="4"/>
  <c r="O408" i="4"/>
  <c r="N408" i="4"/>
  <c r="L408" i="4"/>
  <c r="I408" i="4"/>
  <c r="H408" i="4"/>
  <c r="F408" i="4"/>
  <c r="C408" i="4"/>
  <c r="AC407" i="4"/>
  <c r="AA407" i="4"/>
  <c r="W407" i="4"/>
  <c r="X407" i="4" s="1"/>
  <c r="U407" i="4"/>
  <c r="R407" i="4"/>
  <c r="N407" i="4"/>
  <c r="O407" i="4" s="1"/>
  <c r="L407" i="4"/>
  <c r="H407" i="4"/>
  <c r="F407" i="4"/>
  <c r="C407" i="4"/>
  <c r="AA403" i="4"/>
  <c r="Z403" i="4"/>
  <c r="T403" i="4"/>
  <c r="W403" i="4" s="1"/>
  <c r="X403" i="4" s="1"/>
  <c r="R403" i="4"/>
  <c r="Q403" i="4"/>
  <c r="AC403" i="4" s="1"/>
  <c r="AD403" i="4" s="1"/>
  <c r="L403" i="4"/>
  <c r="K403" i="4"/>
  <c r="H403" i="4"/>
  <c r="I403" i="4" s="1"/>
  <c r="F403" i="4"/>
  <c r="E403" i="4"/>
  <c r="C403" i="4"/>
  <c r="B403" i="4"/>
  <c r="N403" i="4" s="1"/>
  <c r="O403" i="4" s="1"/>
  <c r="AC402" i="4"/>
  <c r="AA402" i="4"/>
  <c r="X402" i="4"/>
  <c r="W402" i="4"/>
  <c r="U402" i="4"/>
  <c r="R402" i="4"/>
  <c r="O402" i="4"/>
  <c r="N402" i="4"/>
  <c r="L402" i="4"/>
  <c r="H402" i="4"/>
  <c r="I402" i="4" s="1"/>
  <c r="F402" i="4"/>
  <c r="C402" i="4"/>
  <c r="AC401" i="4"/>
  <c r="AA401" i="4"/>
  <c r="W401" i="4"/>
  <c r="X401" i="4" s="1"/>
  <c r="U401" i="4"/>
  <c r="R401" i="4"/>
  <c r="N401" i="4"/>
  <c r="O401" i="4" s="1"/>
  <c r="L401" i="4"/>
  <c r="I401" i="4"/>
  <c r="H401" i="4"/>
  <c r="F401" i="4"/>
  <c r="C401" i="4"/>
  <c r="AC400" i="4"/>
  <c r="AA400" i="4"/>
  <c r="W400" i="4"/>
  <c r="X400" i="4" s="1"/>
  <c r="U400" i="4"/>
  <c r="R400" i="4"/>
  <c r="O400" i="4"/>
  <c r="N400" i="4"/>
  <c r="L400" i="4"/>
  <c r="I400" i="4"/>
  <c r="H400" i="4"/>
  <c r="F400" i="4"/>
  <c r="C400" i="4"/>
  <c r="AC399" i="4"/>
  <c r="AA399" i="4"/>
  <c r="W399" i="4"/>
  <c r="X399" i="4" s="1"/>
  <c r="U399" i="4"/>
  <c r="R399" i="4"/>
  <c r="N399" i="4"/>
  <c r="O399" i="4" s="1"/>
  <c r="L399" i="4"/>
  <c r="H399" i="4"/>
  <c r="F399" i="4"/>
  <c r="C399" i="4"/>
  <c r="AC398" i="4"/>
  <c r="AA398" i="4"/>
  <c r="X398" i="4"/>
  <c r="W398" i="4"/>
  <c r="U398" i="4"/>
  <c r="R398" i="4"/>
  <c r="N398" i="4"/>
  <c r="O398" i="4" s="1"/>
  <c r="L398" i="4"/>
  <c r="H398" i="4"/>
  <c r="I398" i="4" s="1"/>
  <c r="F398" i="4"/>
  <c r="C398" i="4"/>
  <c r="AC397" i="4"/>
  <c r="AD397" i="4" s="1"/>
  <c r="AA397" i="4"/>
  <c r="W397" i="4"/>
  <c r="X397" i="4" s="1"/>
  <c r="U397" i="4"/>
  <c r="R397" i="4"/>
  <c r="N397" i="4"/>
  <c r="O397" i="4" s="1"/>
  <c r="L397" i="4"/>
  <c r="I397" i="4"/>
  <c r="H397" i="4"/>
  <c r="F397" i="4"/>
  <c r="C397" i="4"/>
  <c r="Z396" i="4"/>
  <c r="AA396" i="4" s="1"/>
  <c r="X396" i="4"/>
  <c r="U396" i="4"/>
  <c r="T396" i="4"/>
  <c r="W396" i="4" s="1"/>
  <c r="R396" i="4"/>
  <c r="Q396" i="4"/>
  <c r="L396" i="4"/>
  <c r="K396" i="4"/>
  <c r="F396" i="4"/>
  <c r="E396" i="4"/>
  <c r="C396" i="4"/>
  <c r="B396" i="4"/>
  <c r="H396" i="4" s="1"/>
  <c r="I396" i="4" s="1"/>
  <c r="AD395" i="4"/>
  <c r="AC395" i="4"/>
  <c r="AA395" i="4"/>
  <c r="W395" i="4"/>
  <c r="U395" i="4"/>
  <c r="R395" i="4"/>
  <c r="N395" i="4"/>
  <c r="O395" i="4" s="1"/>
  <c r="L395" i="4"/>
  <c r="I395" i="4"/>
  <c r="H395" i="4"/>
  <c r="F395" i="4"/>
  <c r="C395" i="4"/>
  <c r="AC394" i="4"/>
  <c r="AA394" i="4"/>
  <c r="W394" i="4"/>
  <c r="X394" i="4" s="1"/>
  <c r="U394" i="4"/>
  <c r="R394" i="4"/>
  <c r="N394" i="4"/>
  <c r="O394" i="4" s="1"/>
  <c r="L394" i="4"/>
  <c r="I394" i="4"/>
  <c r="H394" i="4"/>
  <c r="F394" i="4"/>
  <c r="C394" i="4"/>
  <c r="AA393" i="4"/>
  <c r="Z393" i="4"/>
  <c r="T393" i="4"/>
  <c r="W393" i="4" s="1"/>
  <c r="X393" i="4" s="1"/>
  <c r="R393" i="4"/>
  <c r="Q393" i="4"/>
  <c r="AC393" i="4" s="1"/>
  <c r="AD393" i="4" s="1"/>
  <c r="L393" i="4"/>
  <c r="K393" i="4"/>
  <c r="H393" i="4"/>
  <c r="I393" i="4" s="1"/>
  <c r="F393" i="4"/>
  <c r="E393" i="4"/>
  <c r="C393" i="4"/>
  <c r="B393" i="4"/>
  <c r="N393" i="4" s="1"/>
  <c r="O393" i="4" s="1"/>
  <c r="AC392" i="4"/>
  <c r="AA392" i="4"/>
  <c r="X392" i="4"/>
  <c r="W392" i="4"/>
  <c r="U392" i="4"/>
  <c r="R392" i="4"/>
  <c r="O392" i="4"/>
  <c r="N392" i="4"/>
  <c r="L392" i="4"/>
  <c r="H392" i="4"/>
  <c r="I392" i="4" s="1"/>
  <c r="F392" i="4"/>
  <c r="C392" i="4"/>
  <c r="AC391" i="4"/>
  <c r="AA391" i="4"/>
  <c r="W391" i="4"/>
  <c r="X391" i="4" s="1"/>
  <c r="U391" i="4"/>
  <c r="R391" i="4"/>
  <c r="N391" i="4"/>
  <c r="O391" i="4" s="1"/>
  <c r="L391" i="4"/>
  <c r="I391" i="4"/>
  <c r="H391" i="4"/>
  <c r="F391" i="4"/>
  <c r="C391" i="4"/>
  <c r="AC390" i="4"/>
  <c r="AA390" i="4"/>
  <c r="W390" i="4"/>
  <c r="X390" i="4" s="1"/>
  <c r="U390" i="4"/>
  <c r="R390" i="4"/>
  <c r="O390" i="4"/>
  <c r="N390" i="4"/>
  <c r="L390" i="4"/>
  <c r="I390" i="4"/>
  <c r="H390" i="4"/>
  <c r="F390" i="4"/>
  <c r="C390" i="4"/>
  <c r="AC389" i="4"/>
  <c r="AA389" i="4"/>
  <c r="W389" i="4"/>
  <c r="X389" i="4" s="1"/>
  <c r="U389" i="4"/>
  <c r="R389" i="4"/>
  <c r="N389" i="4"/>
  <c r="O389" i="4" s="1"/>
  <c r="L389" i="4"/>
  <c r="H389" i="4"/>
  <c r="F389" i="4"/>
  <c r="C389" i="4"/>
  <c r="AC388" i="4"/>
  <c r="AA388" i="4"/>
  <c r="X388" i="4"/>
  <c r="W388" i="4"/>
  <c r="U388" i="4"/>
  <c r="R388" i="4"/>
  <c r="N388" i="4"/>
  <c r="O388" i="4" s="1"/>
  <c r="L388" i="4"/>
  <c r="H388" i="4"/>
  <c r="I388" i="4" s="1"/>
  <c r="F388" i="4"/>
  <c r="C388" i="4"/>
  <c r="AC386" i="4"/>
  <c r="AD386" i="4" s="1"/>
  <c r="AA386" i="4"/>
  <c r="W386" i="4"/>
  <c r="X386" i="4" s="1"/>
  <c r="U386" i="4"/>
  <c r="R386" i="4"/>
  <c r="N386" i="4"/>
  <c r="O386" i="4" s="1"/>
  <c r="L386" i="4"/>
  <c r="I386" i="4"/>
  <c r="H386" i="4"/>
  <c r="F386" i="4"/>
  <c r="C386" i="4"/>
  <c r="AC385" i="4"/>
  <c r="AA385" i="4"/>
  <c r="X385" i="4"/>
  <c r="W385" i="4"/>
  <c r="U385" i="4"/>
  <c r="R385" i="4"/>
  <c r="O385" i="4"/>
  <c r="N385" i="4"/>
  <c r="L385" i="4"/>
  <c r="I385" i="4"/>
  <c r="H385" i="4"/>
  <c r="F385" i="4"/>
  <c r="C385" i="4"/>
  <c r="AC383" i="4"/>
  <c r="AD383" i="4" s="1"/>
  <c r="AA383" i="4"/>
  <c r="W383" i="4"/>
  <c r="X383" i="4" s="1"/>
  <c r="U383" i="4"/>
  <c r="R383" i="4"/>
  <c r="N383" i="4"/>
  <c r="O383" i="4" s="1"/>
  <c r="L383" i="4"/>
  <c r="H383" i="4"/>
  <c r="F383" i="4"/>
  <c r="C383" i="4"/>
  <c r="AC382" i="4"/>
  <c r="AA382" i="4"/>
  <c r="X382" i="4"/>
  <c r="W382" i="4"/>
  <c r="U382" i="4"/>
  <c r="R382" i="4"/>
  <c r="O382" i="4"/>
  <c r="N382" i="4"/>
  <c r="L382" i="4"/>
  <c r="I382" i="4"/>
  <c r="H382" i="4"/>
  <c r="F382" i="4"/>
  <c r="C382" i="4"/>
  <c r="AC381" i="4"/>
  <c r="AD381" i="4" s="1"/>
  <c r="AA381" i="4"/>
  <c r="W381" i="4"/>
  <c r="X381" i="4" s="1"/>
  <c r="U381" i="4"/>
  <c r="R381" i="4"/>
  <c r="N381" i="4"/>
  <c r="O381" i="4" s="1"/>
  <c r="L381" i="4"/>
  <c r="I381" i="4"/>
  <c r="H381" i="4"/>
  <c r="F381" i="4"/>
  <c r="C381" i="4"/>
  <c r="AC380" i="4"/>
  <c r="AA380" i="4"/>
  <c r="W380" i="4"/>
  <c r="X380" i="4" s="1"/>
  <c r="U380" i="4"/>
  <c r="R380" i="4"/>
  <c r="O380" i="4"/>
  <c r="N380" i="4"/>
  <c r="L380" i="4"/>
  <c r="I380" i="4"/>
  <c r="H380" i="4"/>
  <c r="F380" i="4"/>
  <c r="C380" i="4"/>
  <c r="AC379" i="4"/>
  <c r="AA379" i="4"/>
  <c r="W379" i="4"/>
  <c r="X379" i="4" s="1"/>
  <c r="U379" i="4"/>
  <c r="R379" i="4"/>
  <c r="N379" i="4"/>
  <c r="O379" i="4" s="1"/>
  <c r="L379" i="4"/>
  <c r="H379" i="4"/>
  <c r="F379" i="4"/>
  <c r="C379" i="4"/>
  <c r="AC378" i="4"/>
  <c r="AA378" i="4"/>
  <c r="X378" i="4"/>
  <c r="W378" i="4"/>
  <c r="U378" i="4"/>
  <c r="R378" i="4"/>
  <c r="O378" i="4"/>
  <c r="N378" i="4"/>
  <c r="L378" i="4"/>
  <c r="H378" i="4"/>
  <c r="I378" i="4" s="1"/>
  <c r="F378" i="4"/>
  <c r="C378" i="4"/>
  <c r="AC377" i="4"/>
  <c r="AD377" i="4" s="1"/>
  <c r="AA377" i="4"/>
  <c r="W377" i="4"/>
  <c r="X377" i="4" s="1"/>
  <c r="U377" i="4"/>
  <c r="R377" i="4"/>
  <c r="N377" i="4"/>
  <c r="O377" i="4" s="1"/>
  <c r="L377" i="4"/>
  <c r="I377" i="4"/>
  <c r="H377" i="4"/>
  <c r="F377" i="4"/>
  <c r="C377" i="4"/>
  <c r="AC376" i="4"/>
  <c r="AA376" i="4"/>
  <c r="W376" i="4"/>
  <c r="X376" i="4" s="1"/>
  <c r="U376" i="4"/>
  <c r="R376" i="4"/>
  <c r="O376" i="4"/>
  <c r="N376" i="4"/>
  <c r="L376" i="4"/>
  <c r="H376" i="4"/>
  <c r="I376" i="4" s="1"/>
  <c r="F376" i="4"/>
  <c r="C376" i="4"/>
  <c r="AD375" i="4"/>
  <c r="AC375" i="4"/>
  <c r="AA375" i="4"/>
  <c r="W375" i="4"/>
  <c r="X375" i="4" s="1"/>
  <c r="U375" i="4"/>
  <c r="R375" i="4"/>
  <c r="N375" i="4"/>
  <c r="O375" i="4" s="1"/>
  <c r="L375" i="4"/>
  <c r="H375" i="4"/>
  <c r="F375" i="4"/>
  <c r="C375" i="4"/>
  <c r="AC374" i="4"/>
  <c r="AA374" i="4"/>
  <c r="X374" i="4"/>
  <c r="W374" i="4"/>
  <c r="U374" i="4"/>
  <c r="R374" i="4"/>
  <c r="O374" i="4"/>
  <c r="N374" i="4"/>
  <c r="L374" i="4"/>
  <c r="H374" i="4"/>
  <c r="I374" i="4" s="1"/>
  <c r="F374" i="4"/>
  <c r="C374" i="4"/>
  <c r="AC373" i="4"/>
  <c r="AA373" i="4"/>
  <c r="W373" i="4"/>
  <c r="X373" i="4" s="1"/>
  <c r="U373" i="4"/>
  <c r="R373" i="4"/>
  <c r="N373" i="4"/>
  <c r="O373" i="4" s="1"/>
  <c r="L373" i="4"/>
  <c r="I373" i="4"/>
  <c r="H373" i="4"/>
  <c r="F373" i="4"/>
  <c r="C373" i="4"/>
  <c r="AC372" i="4"/>
  <c r="AA372" i="4"/>
  <c r="W372" i="4"/>
  <c r="X372" i="4" s="1"/>
  <c r="U372" i="4"/>
  <c r="R372" i="4"/>
  <c r="O372" i="4"/>
  <c r="N372" i="4"/>
  <c r="L372" i="4"/>
  <c r="I372" i="4"/>
  <c r="H372" i="4"/>
  <c r="F372" i="4"/>
  <c r="C372" i="4"/>
  <c r="AC371" i="4"/>
  <c r="AA371" i="4"/>
  <c r="W371" i="4"/>
  <c r="X371" i="4" s="1"/>
  <c r="U371" i="4"/>
  <c r="R371" i="4"/>
  <c r="N371" i="4"/>
  <c r="O371" i="4" s="1"/>
  <c r="L371" i="4"/>
  <c r="H371" i="4"/>
  <c r="F371" i="4"/>
  <c r="C371" i="4"/>
  <c r="AC370" i="4"/>
  <c r="AA370" i="4"/>
  <c r="X370" i="4"/>
  <c r="W370" i="4"/>
  <c r="U370" i="4"/>
  <c r="R370" i="4"/>
  <c r="N370" i="4"/>
  <c r="O370" i="4" s="1"/>
  <c r="L370" i="4"/>
  <c r="H370" i="4"/>
  <c r="I370" i="4" s="1"/>
  <c r="F370" i="4"/>
  <c r="C370" i="4"/>
  <c r="AC369" i="4"/>
  <c r="AD369" i="4" s="1"/>
  <c r="AA369" i="4"/>
  <c r="W369" i="4"/>
  <c r="X369" i="4" s="1"/>
  <c r="U369" i="4"/>
  <c r="R369" i="4"/>
  <c r="N369" i="4"/>
  <c r="O369" i="4" s="1"/>
  <c r="L369" i="4"/>
  <c r="I369" i="4"/>
  <c r="H369" i="4"/>
  <c r="F369" i="4"/>
  <c r="C369" i="4"/>
  <c r="Z368" i="4"/>
  <c r="AA368" i="4" s="1"/>
  <c r="X368" i="4"/>
  <c r="U368" i="4"/>
  <c r="T368" i="4"/>
  <c r="W368" i="4" s="1"/>
  <c r="R368" i="4"/>
  <c r="Q368" i="4"/>
  <c r="L368" i="4"/>
  <c r="K368" i="4"/>
  <c r="F368" i="4"/>
  <c r="E368" i="4"/>
  <c r="C368" i="4"/>
  <c r="B368" i="4"/>
  <c r="H368" i="4" s="1"/>
  <c r="I368" i="4" s="1"/>
  <c r="AD367" i="4"/>
  <c r="AC367" i="4"/>
  <c r="AA367" i="4"/>
  <c r="X367" i="4"/>
  <c r="W367" i="4"/>
  <c r="U367" i="4"/>
  <c r="R367" i="4"/>
  <c r="N367" i="4"/>
  <c r="O367" i="4" s="1"/>
  <c r="L367" i="4"/>
  <c r="I367" i="4"/>
  <c r="H367" i="4"/>
  <c r="F367" i="4"/>
  <c r="C367" i="4"/>
  <c r="AC366" i="4"/>
  <c r="AA366" i="4"/>
  <c r="W366" i="4"/>
  <c r="X366" i="4" s="1"/>
  <c r="U366" i="4"/>
  <c r="R366" i="4"/>
  <c r="N366" i="4"/>
  <c r="O366" i="4" s="1"/>
  <c r="L366" i="4"/>
  <c r="I366" i="4"/>
  <c r="H366" i="4"/>
  <c r="F366" i="4"/>
  <c r="C366" i="4"/>
  <c r="AC365" i="4"/>
  <c r="AA365" i="4"/>
  <c r="W365" i="4"/>
  <c r="X365" i="4" s="1"/>
  <c r="U365" i="4"/>
  <c r="R365" i="4"/>
  <c r="O365" i="4"/>
  <c r="N365" i="4"/>
  <c r="L365" i="4"/>
  <c r="H365" i="4"/>
  <c r="I365" i="4" s="1"/>
  <c r="F365" i="4"/>
  <c r="C365" i="4"/>
  <c r="AC364" i="4"/>
  <c r="AD364" i="4" s="1"/>
  <c r="AA364" i="4"/>
  <c r="W364" i="4"/>
  <c r="X364" i="4" s="1"/>
  <c r="U364" i="4"/>
  <c r="R364" i="4"/>
  <c r="N364" i="4"/>
  <c r="O364" i="4" s="1"/>
  <c r="L364" i="4"/>
  <c r="H364" i="4"/>
  <c r="F364" i="4"/>
  <c r="C364" i="4"/>
  <c r="AC363" i="4"/>
  <c r="AA363" i="4"/>
  <c r="X363" i="4"/>
  <c r="W363" i="4"/>
  <c r="U363" i="4"/>
  <c r="R363" i="4"/>
  <c r="O363" i="4"/>
  <c r="N363" i="4"/>
  <c r="L363" i="4"/>
  <c r="H363" i="4"/>
  <c r="I363" i="4" s="1"/>
  <c r="F363" i="4"/>
  <c r="C363" i="4"/>
  <c r="AD362" i="4"/>
  <c r="AC362" i="4"/>
  <c r="AA362" i="4"/>
  <c r="W362" i="4"/>
  <c r="X362" i="4" s="1"/>
  <c r="U362" i="4"/>
  <c r="R362" i="4"/>
  <c r="N362" i="4"/>
  <c r="O362" i="4" s="1"/>
  <c r="L362" i="4"/>
  <c r="I362" i="4"/>
  <c r="H362" i="4"/>
  <c r="F362" i="4"/>
  <c r="C362" i="4"/>
  <c r="AC361" i="4"/>
  <c r="AA361" i="4"/>
  <c r="X361" i="4"/>
  <c r="W361" i="4"/>
  <c r="U361" i="4"/>
  <c r="R361" i="4"/>
  <c r="O361" i="4"/>
  <c r="N361" i="4"/>
  <c r="L361" i="4"/>
  <c r="H361" i="4"/>
  <c r="I361" i="4" s="1"/>
  <c r="F361" i="4"/>
  <c r="C361" i="4"/>
  <c r="AC360" i="4"/>
  <c r="AA360" i="4"/>
  <c r="W360" i="4"/>
  <c r="X360" i="4" s="1"/>
  <c r="U360" i="4"/>
  <c r="R360" i="4"/>
  <c r="N360" i="4"/>
  <c r="O360" i="4" s="1"/>
  <c r="L360" i="4"/>
  <c r="H360" i="4"/>
  <c r="F360" i="4"/>
  <c r="C360" i="4"/>
  <c r="Z358" i="4"/>
  <c r="AA358" i="4" s="1"/>
  <c r="T358" i="4"/>
  <c r="U358" i="4" s="1"/>
  <c r="R358" i="4"/>
  <c r="Q358" i="4"/>
  <c r="L358" i="4"/>
  <c r="K358" i="4"/>
  <c r="H358" i="4"/>
  <c r="I358" i="4" s="1"/>
  <c r="F358" i="4"/>
  <c r="E358" i="4"/>
  <c r="B358" i="4"/>
  <c r="C358" i="4" s="1"/>
  <c r="AC357" i="4"/>
  <c r="AA357" i="4"/>
  <c r="W357" i="4"/>
  <c r="X357" i="4" s="1"/>
  <c r="U357" i="4"/>
  <c r="R357" i="4"/>
  <c r="O357" i="4"/>
  <c r="N357" i="4"/>
  <c r="L357" i="4"/>
  <c r="I357" i="4"/>
  <c r="H357" i="4"/>
  <c r="F357" i="4"/>
  <c r="C357" i="4"/>
  <c r="AC356" i="4"/>
  <c r="AA356" i="4"/>
  <c r="W356" i="4"/>
  <c r="X356" i="4" s="1"/>
  <c r="U356" i="4"/>
  <c r="R356" i="4"/>
  <c r="N356" i="4"/>
  <c r="O356" i="4" s="1"/>
  <c r="L356" i="4"/>
  <c r="H356" i="4"/>
  <c r="F356" i="4"/>
  <c r="C356" i="4"/>
  <c r="AC355" i="4"/>
  <c r="AA355" i="4"/>
  <c r="X355" i="4"/>
  <c r="W355" i="4"/>
  <c r="U355" i="4"/>
  <c r="R355" i="4"/>
  <c r="N355" i="4"/>
  <c r="O355" i="4" s="1"/>
  <c r="L355" i="4"/>
  <c r="H355" i="4"/>
  <c r="I355" i="4" s="1"/>
  <c r="F355" i="4"/>
  <c r="C355" i="4"/>
  <c r="AC354" i="4"/>
  <c r="AD354" i="4" s="1"/>
  <c r="AA354" i="4"/>
  <c r="W354" i="4"/>
  <c r="X354" i="4" s="1"/>
  <c r="U354" i="4"/>
  <c r="R354" i="4"/>
  <c r="N354" i="4"/>
  <c r="O354" i="4" s="1"/>
  <c r="L354" i="4"/>
  <c r="I354" i="4"/>
  <c r="H354" i="4"/>
  <c r="F354" i="4"/>
  <c r="C354" i="4"/>
  <c r="AC353" i="4"/>
  <c r="AA353" i="4"/>
  <c r="X353" i="4"/>
  <c r="W353" i="4"/>
  <c r="U353" i="4"/>
  <c r="R353" i="4"/>
  <c r="O353" i="4"/>
  <c r="N353" i="4"/>
  <c r="L353" i="4"/>
  <c r="I353" i="4"/>
  <c r="H353" i="4"/>
  <c r="F353" i="4"/>
  <c r="C353" i="4"/>
  <c r="AC352" i="4"/>
  <c r="AD352" i="4" s="1"/>
  <c r="AA352" i="4"/>
  <c r="W352" i="4"/>
  <c r="X352" i="4" s="1"/>
  <c r="U352" i="4"/>
  <c r="R352" i="4"/>
  <c r="N352" i="4"/>
  <c r="O352" i="4" s="1"/>
  <c r="L352" i="4"/>
  <c r="H352" i="4"/>
  <c r="F352" i="4"/>
  <c r="C352" i="4"/>
  <c r="AC351" i="4"/>
  <c r="AA351" i="4"/>
  <c r="X351" i="4"/>
  <c r="W351" i="4"/>
  <c r="U351" i="4"/>
  <c r="R351" i="4"/>
  <c r="O351" i="4"/>
  <c r="N351" i="4"/>
  <c r="L351" i="4"/>
  <c r="I351" i="4"/>
  <c r="H351" i="4"/>
  <c r="F351" i="4"/>
  <c r="C351" i="4"/>
  <c r="AC350" i="4"/>
  <c r="AD350" i="4" s="1"/>
  <c r="AA350" i="4"/>
  <c r="W350" i="4"/>
  <c r="X350" i="4" s="1"/>
  <c r="U350" i="4"/>
  <c r="R350" i="4"/>
  <c r="N350" i="4"/>
  <c r="O350" i="4" s="1"/>
  <c r="L350" i="4"/>
  <c r="I350" i="4"/>
  <c r="H350" i="4"/>
  <c r="F350" i="4"/>
  <c r="C350" i="4"/>
  <c r="AC349" i="4"/>
  <c r="AA349" i="4"/>
  <c r="W349" i="4"/>
  <c r="X349" i="4" s="1"/>
  <c r="U349" i="4"/>
  <c r="R349" i="4"/>
  <c r="O349" i="4"/>
  <c r="N349" i="4"/>
  <c r="L349" i="4"/>
  <c r="I349" i="4"/>
  <c r="H349" i="4"/>
  <c r="F349" i="4"/>
  <c r="C349" i="4"/>
  <c r="AC347" i="4"/>
  <c r="AA347" i="4"/>
  <c r="W347" i="4"/>
  <c r="X347" i="4" s="1"/>
  <c r="U347" i="4"/>
  <c r="R347" i="4"/>
  <c r="N347" i="4"/>
  <c r="O347" i="4" s="1"/>
  <c r="L347" i="4"/>
  <c r="H347" i="4"/>
  <c r="F347" i="4"/>
  <c r="C347" i="4"/>
  <c r="AA344" i="4"/>
  <c r="Z344" i="4"/>
  <c r="U344" i="4"/>
  <c r="T344" i="4"/>
  <c r="Q344" i="4"/>
  <c r="R344" i="4" s="1"/>
  <c r="L344" i="4"/>
  <c r="K344" i="4"/>
  <c r="I344" i="4"/>
  <c r="E344" i="4"/>
  <c r="F344" i="4" s="1"/>
  <c r="B344" i="4"/>
  <c r="H344" i="4" s="1"/>
  <c r="AA343" i="4"/>
  <c r="Z343" i="4"/>
  <c r="U343" i="4"/>
  <c r="T343" i="4"/>
  <c r="R343" i="4"/>
  <c r="Q343" i="4"/>
  <c r="K343" i="4"/>
  <c r="L343" i="4" s="1"/>
  <c r="H343" i="4"/>
  <c r="I343" i="4" s="1"/>
  <c r="F343" i="4"/>
  <c r="E343" i="4"/>
  <c r="B343" i="4"/>
  <c r="C343" i="4" s="1"/>
  <c r="Z342" i="4"/>
  <c r="AA342" i="4" s="1"/>
  <c r="U342" i="4"/>
  <c r="T342" i="4"/>
  <c r="Q342" i="4"/>
  <c r="R342" i="4" s="1"/>
  <c r="N342" i="4"/>
  <c r="O342" i="4" s="1"/>
  <c r="L342" i="4"/>
  <c r="K342" i="4"/>
  <c r="H342" i="4"/>
  <c r="I342" i="4" s="1"/>
  <c r="E342" i="4"/>
  <c r="F342" i="4" s="1"/>
  <c r="C342" i="4"/>
  <c r="B342" i="4"/>
  <c r="AC341" i="4"/>
  <c r="AA341" i="4"/>
  <c r="X341" i="4"/>
  <c r="W341" i="4"/>
  <c r="U341" i="4"/>
  <c r="R341" i="4"/>
  <c r="N341" i="4"/>
  <c r="O341" i="4" s="1"/>
  <c r="L341" i="4"/>
  <c r="I341" i="4"/>
  <c r="H341" i="4"/>
  <c r="F341" i="4"/>
  <c r="C341" i="4"/>
  <c r="AC340" i="4"/>
  <c r="AA340" i="4"/>
  <c r="W340" i="4"/>
  <c r="X340" i="4" s="1"/>
  <c r="U340" i="4"/>
  <c r="R340" i="4"/>
  <c r="N340" i="4"/>
  <c r="O340" i="4" s="1"/>
  <c r="L340" i="4"/>
  <c r="I340" i="4"/>
  <c r="H340" i="4"/>
  <c r="F340" i="4"/>
  <c r="C340" i="4"/>
  <c r="AC339" i="4"/>
  <c r="AA339" i="4"/>
  <c r="X339" i="4"/>
  <c r="W339" i="4"/>
  <c r="U339" i="4"/>
  <c r="R339" i="4"/>
  <c r="O339" i="4"/>
  <c r="N339" i="4"/>
  <c r="L339" i="4"/>
  <c r="H339" i="4"/>
  <c r="I339" i="4" s="1"/>
  <c r="F339" i="4"/>
  <c r="C339" i="4"/>
  <c r="AC338" i="4"/>
  <c r="AD338" i="4" s="1"/>
  <c r="AA338" i="4"/>
  <c r="W338" i="4"/>
  <c r="X338" i="4" s="1"/>
  <c r="U338" i="4"/>
  <c r="R338" i="4"/>
  <c r="N338" i="4"/>
  <c r="O338" i="4" s="1"/>
  <c r="L338" i="4"/>
  <c r="H338" i="4"/>
  <c r="I338" i="4" s="1"/>
  <c r="F338" i="4"/>
  <c r="C338" i="4"/>
  <c r="AC337" i="4"/>
  <c r="AA337" i="4"/>
  <c r="X337" i="4"/>
  <c r="W337" i="4"/>
  <c r="U337" i="4"/>
  <c r="R337" i="4"/>
  <c r="N337" i="4"/>
  <c r="O337" i="4" s="1"/>
  <c r="L337" i="4"/>
  <c r="I337" i="4"/>
  <c r="H337" i="4"/>
  <c r="F337" i="4"/>
  <c r="C337" i="4"/>
  <c r="AC335" i="4"/>
  <c r="AD335" i="4" s="1"/>
  <c r="AA335" i="4"/>
  <c r="W335" i="4"/>
  <c r="X335" i="4" s="1"/>
  <c r="U335" i="4"/>
  <c r="R335" i="4"/>
  <c r="N335" i="4"/>
  <c r="O335" i="4" s="1"/>
  <c r="L335" i="4"/>
  <c r="I335" i="4"/>
  <c r="H335" i="4"/>
  <c r="F335" i="4"/>
  <c r="C335" i="4"/>
  <c r="AC334" i="4"/>
  <c r="AD334" i="4" s="1"/>
  <c r="AA334" i="4"/>
  <c r="X334" i="4"/>
  <c r="W334" i="4"/>
  <c r="U334" i="4"/>
  <c r="R334" i="4"/>
  <c r="O334" i="4"/>
  <c r="N334" i="4"/>
  <c r="L334" i="4"/>
  <c r="I334" i="4"/>
  <c r="H334" i="4"/>
  <c r="F334" i="4"/>
  <c r="C334" i="4"/>
  <c r="AC333" i="4"/>
  <c r="AD333" i="4" s="1"/>
  <c r="AA333" i="4"/>
  <c r="W333" i="4"/>
  <c r="X333" i="4" s="1"/>
  <c r="U333" i="4"/>
  <c r="R333" i="4"/>
  <c r="N333" i="4"/>
  <c r="O333" i="4" s="1"/>
  <c r="L333" i="4"/>
  <c r="H333" i="4"/>
  <c r="I333" i="4" s="1"/>
  <c r="F333" i="4"/>
  <c r="C333" i="4"/>
  <c r="AD332" i="4"/>
  <c r="AC332" i="4"/>
  <c r="AA332" i="4"/>
  <c r="X332" i="4"/>
  <c r="W332" i="4"/>
  <c r="U332" i="4"/>
  <c r="R332" i="4"/>
  <c r="N332" i="4"/>
  <c r="O332" i="4" s="1"/>
  <c r="L332" i="4"/>
  <c r="I332" i="4"/>
  <c r="H332" i="4"/>
  <c r="F332" i="4"/>
  <c r="C332" i="4"/>
  <c r="AC331" i="4"/>
  <c r="AA331" i="4"/>
  <c r="W331" i="4"/>
  <c r="X331" i="4" s="1"/>
  <c r="U331" i="4"/>
  <c r="R331" i="4"/>
  <c r="N331" i="4"/>
  <c r="O331" i="4" s="1"/>
  <c r="L331" i="4"/>
  <c r="I331" i="4"/>
  <c r="H331" i="4"/>
  <c r="F331" i="4"/>
  <c r="C331" i="4"/>
  <c r="AC330" i="4"/>
  <c r="AA330" i="4"/>
  <c r="X330" i="4"/>
  <c r="W330" i="4"/>
  <c r="U330" i="4"/>
  <c r="R330" i="4"/>
  <c r="O330" i="4"/>
  <c r="N330" i="4"/>
  <c r="L330" i="4"/>
  <c r="H330" i="4"/>
  <c r="I330" i="4" s="1"/>
  <c r="F330" i="4"/>
  <c r="C330" i="4"/>
  <c r="AC329" i="4"/>
  <c r="AD329" i="4" s="1"/>
  <c r="AA329" i="4"/>
  <c r="W329" i="4"/>
  <c r="X329" i="4" s="1"/>
  <c r="U329" i="4"/>
  <c r="R329" i="4"/>
  <c r="N329" i="4"/>
  <c r="O329" i="4" s="1"/>
  <c r="L329" i="4"/>
  <c r="H329" i="4"/>
  <c r="I329" i="4" s="1"/>
  <c r="F329" i="4"/>
  <c r="C329" i="4"/>
  <c r="AC328" i="4"/>
  <c r="AA328" i="4"/>
  <c r="X328" i="4"/>
  <c r="W328" i="4"/>
  <c r="U328" i="4"/>
  <c r="R328" i="4"/>
  <c r="O328" i="4"/>
  <c r="N328" i="4"/>
  <c r="L328" i="4"/>
  <c r="H328" i="4"/>
  <c r="I328" i="4" s="1"/>
  <c r="F328" i="4"/>
  <c r="C328" i="4"/>
  <c r="AA325" i="4"/>
  <c r="Z325" i="4"/>
  <c r="T325" i="4"/>
  <c r="U325" i="4" s="1"/>
  <c r="Q325" i="4"/>
  <c r="L325" i="4"/>
  <c r="K325" i="4"/>
  <c r="E325" i="4"/>
  <c r="F325" i="4" s="1"/>
  <c r="C325" i="4"/>
  <c r="B325" i="4"/>
  <c r="Z324" i="4"/>
  <c r="AA324" i="4" s="1"/>
  <c r="U324" i="4"/>
  <c r="T324" i="4"/>
  <c r="Q324" i="4"/>
  <c r="L324" i="4"/>
  <c r="K324" i="4"/>
  <c r="E324" i="4"/>
  <c r="H324" i="4" s="1"/>
  <c r="I324" i="4" s="1"/>
  <c r="B324" i="4"/>
  <c r="C324" i="4" s="1"/>
  <c r="AC323" i="4"/>
  <c r="AD323" i="4" s="1"/>
  <c r="AA323" i="4"/>
  <c r="W323" i="4"/>
  <c r="X323" i="4" s="1"/>
  <c r="U323" i="4"/>
  <c r="R323" i="4"/>
  <c r="N323" i="4"/>
  <c r="O323" i="4" s="1"/>
  <c r="L323" i="4"/>
  <c r="I323" i="4"/>
  <c r="H323" i="4"/>
  <c r="F323" i="4"/>
  <c r="C323" i="4"/>
  <c r="AC322" i="4"/>
  <c r="AA322" i="4"/>
  <c r="X322" i="4"/>
  <c r="W322" i="4"/>
  <c r="U322" i="4"/>
  <c r="R322" i="4"/>
  <c r="O322" i="4"/>
  <c r="N322" i="4"/>
  <c r="L322" i="4"/>
  <c r="H322" i="4"/>
  <c r="I322" i="4" s="1"/>
  <c r="F322" i="4"/>
  <c r="C322" i="4"/>
  <c r="AD321" i="4"/>
  <c r="AC321" i="4"/>
  <c r="AA321" i="4"/>
  <c r="W321" i="4"/>
  <c r="X321" i="4" s="1"/>
  <c r="U321" i="4"/>
  <c r="R321" i="4"/>
  <c r="N321" i="4"/>
  <c r="O321" i="4" s="1"/>
  <c r="L321" i="4"/>
  <c r="H321" i="4"/>
  <c r="I321" i="4" s="1"/>
  <c r="F321" i="4"/>
  <c r="C321" i="4"/>
  <c r="AC320" i="4"/>
  <c r="AA320" i="4"/>
  <c r="X320" i="4"/>
  <c r="W320" i="4"/>
  <c r="U320" i="4"/>
  <c r="R320" i="4"/>
  <c r="O320" i="4"/>
  <c r="N320" i="4"/>
  <c r="L320" i="4"/>
  <c r="I320" i="4"/>
  <c r="H320" i="4"/>
  <c r="F320" i="4"/>
  <c r="C320" i="4"/>
  <c r="AC319" i="4"/>
  <c r="AA319" i="4"/>
  <c r="W319" i="4"/>
  <c r="X319" i="4" s="1"/>
  <c r="U319" i="4"/>
  <c r="R319" i="4"/>
  <c r="N319" i="4"/>
  <c r="O319" i="4" s="1"/>
  <c r="L319" i="4"/>
  <c r="I319" i="4"/>
  <c r="H319" i="4"/>
  <c r="F319" i="4"/>
  <c r="C319" i="4"/>
  <c r="AC318" i="4"/>
  <c r="AA318" i="4"/>
  <c r="W318" i="4"/>
  <c r="X318" i="4" s="1"/>
  <c r="U318" i="4"/>
  <c r="R318" i="4"/>
  <c r="O318" i="4"/>
  <c r="N318" i="4"/>
  <c r="L318" i="4"/>
  <c r="I318" i="4"/>
  <c r="H318" i="4"/>
  <c r="F318" i="4"/>
  <c r="C318" i="4"/>
  <c r="AC317" i="4"/>
  <c r="AA317" i="4"/>
  <c r="W317" i="4"/>
  <c r="X317" i="4" s="1"/>
  <c r="U317" i="4"/>
  <c r="R317" i="4"/>
  <c r="N317" i="4"/>
  <c r="O317" i="4" s="1"/>
  <c r="L317" i="4"/>
  <c r="H317" i="4"/>
  <c r="I317" i="4" s="1"/>
  <c r="F317" i="4"/>
  <c r="C317" i="4"/>
  <c r="AC316" i="4"/>
  <c r="AA316" i="4"/>
  <c r="X316" i="4"/>
  <c r="W316" i="4"/>
  <c r="U316" i="4"/>
  <c r="R316" i="4"/>
  <c r="N316" i="4"/>
  <c r="O316" i="4" s="1"/>
  <c r="L316" i="4"/>
  <c r="H316" i="4"/>
  <c r="I316" i="4" s="1"/>
  <c r="F316" i="4"/>
  <c r="C316" i="4"/>
  <c r="AC315" i="4"/>
  <c r="AD315" i="4" s="1"/>
  <c r="AA315" i="4"/>
  <c r="W315" i="4"/>
  <c r="X315" i="4" s="1"/>
  <c r="U315" i="4"/>
  <c r="R315" i="4"/>
  <c r="N315" i="4"/>
  <c r="O315" i="4" s="1"/>
  <c r="L315" i="4"/>
  <c r="I315" i="4"/>
  <c r="H315" i="4"/>
  <c r="F315" i="4"/>
  <c r="C315" i="4"/>
  <c r="AC314" i="4"/>
  <c r="AA314" i="4"/>
  <c r="X314" i="4"/>
  <c r="W314" i="4"/>
  <c r="U314" i="4"/>
  <c r="R314" i="4"/>
  <c r="O314" i="4"/>
  <c r="N314" i="4"/>
  <c r="L314" i="4"/>
  <c r="I314" i="4"/>
  <c r="H314" i="4"/>
  <c r="F314" i="4"/>
  <c r="C314" i="4"/>
  <c r="AC313" i="4"/>
  <c r="AD313" i="4" s="1"/>
  <c r="AA313" i="4"/>
  <c r="W313" i="4"/>
  <c r="X313" i="4" s="1"/>
  <c r="U313" i="4"/>
  <c r="R313" i="4"/>
  <c r="N313" i="4"/>
  <c r="O313" i="4" s="1"/>
  <c r="L313" i="4"/>
  <c r="H313" i="4"/>
  <c r="I313" i="4" s="1"/>
  <c r="F313" i="4"/>
  <c r="C313" i="4"/>
  <c r="AC312" i="4"/>
  <c r="AA312" i="4"/>
  <c r="X312" i="4"/>
  <c r="W312" i="4"/>
  <c r="U312" i="4"/>
  <c r="R312" i="4"/>
  <c r="O312" i="4"/>
  <c r="N312" i="4"/>
  <c r="L312" i="4"/>
  <c r="I312" i="4"/>
  <c r="H312" i="4"/>
  <c r="F312" i="4"/>
  <c r="C312" i="4"/>
  <c r="AC311" i="4"/>
  <c r="AA311" i="4"/>
  <c r="W311" i="4"/>
  <c r="X311" i="4" s="1"/>
  <c r="U311" i="4"/>
  <c r="R311" i="4"/>
  <c r="N311" i="4"/>
  <c r="O311" i="4" s="1"/>
  <c r="L311" i="4"/>
  <c r="I311" i="4"/>
  <c r="H311" i="4"/>
  <c r="F311" i="4"/>
  <c r="C311" i="4"/>
  <c r="AC310" i="4"/>
  <c r="AA310" i="4"/>
  <c r="W310" i="4"/>
  <c r="X310" i="4" s="1"/>
  <c r="U310" i="4"/>
  <c r="R310" i="4"/>
  <c r="O310" i="4"/>
  <c r="N310" i="4"/>
  <c r="L310" i="4"/>
  <c r="I310" i="4"/>
  <c r="H310" i="4"/>
  <c r="F310" i="4"/>
  <c r="C310" i="4"/>
  <c r="AC309" i="4"/>
  <c r="AA309" i="4"/>
  <c r="W309" i="4"/>
  <c r="X309" i="4" s="1"/>
  <c r="U309" i="4"/>
  <c r="R309" i="4"/>
  <c r="N309" i="4"/>
  <c r="O309" i="4" s="1"/>
  <c r="L309" i="4"/>
  <c r="H309" i="4"/>
  <c r="I309" i="4" s="1"/>
  <c r="F309" i="4"/>
  <c r="C309" i="4"/>
  <c r="AC308" i="4"/>
  <c r="AA308" i="4"/>
  <c r="X308" i="4"/>
  <c r="W308" i="4"/>
  <c r="U308" i="4"/>
  <c r="R308" i="4"/>
  <c r="O308" i="4"/>
  <c r="N308" i="4"/>
  <c r="L308" i="4"/>
  <c r="H308" i="4"/>
  <c r="I308" i="4" s="1"/>
  <c r="F308" i="4"/>
  <c r="C308" i="4"/>
  <c r="AC307" i="4"/>
  <c r="AD307" i="4" s="1"/>
  <c r="AA307" i="4"/>
  <c r="W307" i="4"/>
  <c r="X307" i="4" s="1"/>
  <c r="U307" i="4"/>
  <c r="R307" i="4"/>
  <c r="N307" i="4"/>
  <c r="O307" i="4" s="1"/>
  <c r="L307" i="4"/>
  <c r="I307" i="4"/>
  <c r="H307" i="4"/>
  <c r="F307" i="4"/>
  <c r="C307" i="4"/>
  <c r="AC306" i="4"/>
  <c r="AA306" i="4"/>
  <c r="X306" i="4"/>
  <c r="W306" i="4"/>
  <c r="U306" i="4"/>
  <c r="R306" i="4"/>
  <c r="O306" i="4"/>
  <c r="N306" i="4"/>
  <c r="L306" i="4"/>
  <c r="H306" i="4"/>
  <c r="I306" i="4" s="1"/>
  <c r="F306" i="4"/>
  <c r="C306" i="4"/>
  <c r="AD305" i="4"/>
  <c r="AC305" i="4"/>
  <c r="AA305" i="4"/>
  <c r="W305" i="4"/>
  <c r="X305" i="4" s="1"/>
  <c r="U305" i="4"/>
  <c r="R305" i="4"/>
  <c r="N305" i="4"/>
  <c r="O305" i="4" s="1"/>
  <c r="L305" i="4"/>
  <c r="H305" i="4"/>
  <c r="I305" i="4" s="1"/>
  <c r="F305" i="4"/>
  <c r="C305" i="4"/>
  <c r="AC304" i="4"/>
  <c r="AA304" i="4"/>
  <c r="X304" i="4"/>
  <c r="W304" i="4"/>
  <c r="U304" i="4"/>
  <c r="R304" i="4"/>
  <c r="O304" i="4"/>
  <c r="N304" i="4"/>
  <c r="L304" i="4"/>
  <c r="I304" i="4"/>
  <c r="H304" i="4"/>
  <c r="F304" i="4"/>
  <c r="C304" i="4"/>
  <c r="AC303" i="4"/>
  <c r="AA303" i="4"/>
  <c r="W303" i="4"/>
  <c r="X303" i="4" s="1"/>
  <c r="U303" i="4"/>
  <c r="R303" i="4"/>
  <c r="N303" i="4"/>
  <c r="O303" i="4" s="1"/>
  <c r="L303" i="4"/>
  <c r="I303" i="4"/>
  <c r="H303" i="4"/>
  <c r="F303" i="4"/>
  <c r="C303" i="4"/>
  <c r="AC302" i="4"/>
  <c r="AA302" i="4"/>
  <c r="W302" i="4"/>
  <c r="X302" i="4" s="1"/>
  <c r="U302" i="4"/>
  <c r="R302" i="4"/>
  <c r="O302" i="4"/>
  <c r="N302" i="4"/>
  <c r="L302" i="4"/>
  <c r="I302" i="4"/>
  <c r="H302" i="4"/>
  <c r="F302" i="4"/>
  <c r="C302" i="4"/>
  <c r="AC301" i="4"/>
  <c r="AA301" i="4"/>
  <c r="W301" i="4"/>
  <c r="X301" i="4" s="1"/>
  <c r="U301" i="4"/>
  <c r="R301" i="4"/>
  <c r="N301" i="4"/>
  <c r="O301" i="4" s="1"/>
  <c r="L301" i="4"/>
  <c r="H301" i="4"/>
  <c r="I301" i="4" s="1"/>
  <c r="F301" i="4"/>
  <c r="C301" i="4"/>
  <c r="AC300" i="4"/>
  <c r="AA300" i="4"/>
  <c r="X300" i="4"/>
  <c r="W300" i="4"/>
  <c r="U300" i="4"/>
  <c r="R300" i="4"/>
  <c r="N300" i="4"/>
  <c r="O300" i="4" s="1"/>
  <c r="L300" i="4"/>
  <c r="H300" i="4"/>
  <c r="I300" i="4" s="1"/>
  <c r="F300" i="4"/>
  <c r="C300" i="4"/>
  <c r="AC299" i="4"/>
  <c r="AD299" i="4" s="1"/>
  <c r="AA299" i="4"/>
  <c r="W299" i="4"/>
  <c r="X299" i="4" s="1"/>
  <c r="U299" i="4"/>
  <c r="R299" i="4"/>
  <c r="N299" i="4"/>
  <c r="O299" i="4" s="1"/>
  <c r="L299" i="4"/>
  <c r="I299" i="4"/>
  <c r="H299" i="4"/>
  <c r="F299" i="4"/>
  <c r="C299" i="4"/>
  <c r="AC298" i="4"/>
  <c r="AA298" i="4"/>
  <c r="X298" i="4"/>
  <c r="W298" i="4"/>
  <c r="U298" i="4"/>
  <c r="R298" i="4"/>
  <c r="O298" i="4"/>
  <c r="N298" i="4"/>
  <c r="L298" i="4"/>
  <c r="I298" i="4"/>
  <c r="H298" i="4"/>
  <c r="F298" i="4"/>
  <c r="C298" i="4"/>
  <c r="AC297" i="4"/>
  <c r="AD297" i="4" s="1"/>
  <c r="AA297" i="4"/>
  <c r="W297" i="4"/>
  <c r="X297" i="4" s="1"/>
  <c r="U297" i="4"/>
  <c r="R297" i="4"/>
  <c r="N297" i="4"/>
  <c r="O297" i="4" s="1"/>
  <c r="L297" i="4"/>
  <c r="H297" i="4"/>
  <c r="I297" i="4" s="1"/>
  <c r="F297" i="4"/>
  <c r="C297" i="4"/>
  <c r="AA295" i="4"/>
  <c r="Z295" i="4"/>
  <c r="U295" i="4"/>
  <c r="T295" i="4"/>
  <c r="R295" i="4"/>
  <c r="Q295" i="4"/>
  <c r="W295" i="4" s="1"/>
  <c r="X295" i="4" s="1"/>
  <c r="K295" i="4"/>
  <c r="L295" i="4" s="1"/>
  <c r="F295" i="4"/>
  <c r="E295" i="4"/>
  <c r="C295" i="4"/>
  <c r="B295" i="4"/>
  <c r="H295" i="4" s="1"/>
  <c r="I295" i="4" s="1"/>
  <c r="AC294" i="4"/>
  <c r="AA294" i="4"/>
  <c r="X294" i="4"/>
  <c r="W294" i="4"/>
  <c r="U294" i="4"/>
  <c r="R294" i="4"/>
  <c r="O294" i="4"/>
  <c r="N294" i="4"/>
  <c r="L294" i="4"/>
  <c r="I294" i="4"/>
  <c r="H294" i="4"/>
  <c r="F294" i="4"/>
  <c r="C294" i="4"/>
  <c r="AC293" i="4"/>
  <c r="AD293" i="4" s="1"/>
  <c r="AA293" i="4"/>
  <c r="W293" i="4"/>
  <c r="X293" i="4" s="1"/>
  <c r="U293" i="4"/>
  <c r="R293" i="4"/>
  <c r="N293" i="4"/>
  <c r="O293" i="4" s="1"/>
  <c r="L293" i="4"/>
  <c r="H293" i="4"/>
  <c r="I293" i="4" s="1"/>
  <c r="F293" i="4"/>
  <c r="C293" i="4"/>
  <c r="AC292" i="4"/>
  <c r="AA292" i="4"/>
  <c r="X292" i="4"/>
  <c r="W292" i="4"/>
  <c r="U292" i="4"/>
  <c r="R292" i="4"/>
  <c r="O292" i="4"/>
  <c r="N292" i="4"/>
  <c r="L292" i="4"/>
  <c r="I292" i="4"/>
  <c r="H292" i="4"/>
  <c r="F292" i="4"/>
  <c r="C292" i="4"/>
  <c r="AC291" i="4"/>
  <c r="AA291" i="4"/>
  <c r="W291" i="4"/>
  <c r="X291" i="4" s="1"/>
  <c r="U291" i="4"/>
  <c r="R291" i="4"/>
  <c r="N291" i="4"/>
  <c r="O291" i="4" s="1"/>
  <c r="L291" i="4"/>
  <c r="I291" i="4"/>
  <c r="H291" i="4"/>
  <c r="F291" i="4"/>
  <c r="C291" i="4"/>
  <c r="AC290" i="4"/>
  <c r="AA290" i="4"/>
  <c r="W290" i="4"/>
  <c r="X290" i="4" s="1"/>
  <c r="U290" i="4"/>
  <c r="R290" i="4"/>
  <c r="O290" i="4"/>
  <c r="N290" i="4"/>
  <c r="L290" i="4"/>
  <c r="I290" i="4"/>
  <c r="H290" i="4"/>
  <c r="F290" i="4"/>
  <c r="C290" i="4"/>
  <c r="AC289" i="4"/>
  <c r="AA289" i="4"/>
  <c r="W289" i="4"/>
  <c r="X289" i="4" s="1"/>
  <c r="U289" i="4"/>
  <c r="R289" i="4"/>
  <c r="N289" i="4"/>
  <c r="O289" i="4" s="1"/>
  <c r="L289" i="4"/>
  <c r="H289" i="4"/>
  <c r="I289" i="4" s="1"/>
  <c r="F289" i="4"/>
  <c r="C289" i="4"/>
  <c r="AC288" i="4"/>
  <c r="AA288" i="4"/>
  <c r="X288" i="4"/>
  <c r="W288" i="4"/>
  <c r="U288" i="4"/>
  <c r="R288" i="4"/>
  <c r="O288" i="4"/>
  <c r="N288" i="4"/>
  <c r="L288" i="4"/>
  <c r="H288" i="4"/>
  <c r="I288" i="4" s="1"/>
  <c r="F288" i="4"/>
  <c r="C288" i="4"/>
  <c r="AC287" i="4"/>
  <c r="AD287" i="4" s="1"/>
  <c r="AA287" i="4"/>
  <c r="W287" i="4"/>
  <c r="X287" i="4" s="1"/>
  <c r="U287" i="4"/>
  <c r="R287" i="4"/>
  <c r="N287" i="4"/>
  <c r="O287" i="4" s="1"/>
  <c r="L287" i="4"/>
  <c r="I287" i="4"/>
  <c r="H287" i="4"/>
  <c r="F287" i="4"/>
  <c r="C287" i="4"/>
  <c r="AC286" i="4"/>
  <c r="AA286" i="4"/>
  <c r="X286" i="4"/>
  <c r="W286" i="4"/>
  <c r="U286" i="4"/>
  <c r="R286" i="4"/>
  <c r="O286" i="4"/>
  <c r="N286" i="4"/>
  <c r="L286" i="4"/>
  <c r="H286" i="4"/>
  <c r="I286" i="4" s="1"/>
  <c r="F286" i="4"/>
  <c r="C286" i="4"/>
  <c r="Z284" i="4"/>
  <c r="AA284" i="4" s="1"/>
  <c r="U284" i="4"/>
  <c r="T284" i="4"/>
  <c r="Q284" i="4"/>
  <c r="L284" i="4"/>
  <c r="K284" i="4"/>
  <c r="E284" i="4"/>
  <c r="F284" i="4" s="1"/>
  <c r="B284" i="4"/>
  <c r="C284" i="4" s="1"/>
  <c r="AC283" i="4"/>
  <c r="AD283" i="4" s="1"/>
  <c r="AA283" i="4"/>
  <c r="W283" i="4"/>
  <c r="X283" i="4" s="1"/>
  <c r="U283" i="4"/>
  <c r="R283" i="4"/>
  <c r="N283" i="4"/>
  <c r="O283" i="4" s="1"/>
  <c r="L283" i="4"/>
  <c r="I283" i="4"/>
  <c r="H283" i="4"/>
  <c r="F283" i="4"/>
  <c r="C283" i="4"/>
  <c r="AC282" i="4"/>
  <c r="AA282" i="4"/>
  <c r="X282" i="4"/>
  <c r="W282" i="4"/>
  <c r="U282" i="4"/>
  <c r="R282" i="4"/>
  <c r="O282" i="4"/>
  <c r="N282" i="4"/>
  <c r="L282" i="4"/>
  <c r="H282" i="4"/>
  <c r="I282" i="4" s="1"/>
  <c r="F282" i="4"/>
  <c r="C282" i="4"/>
  <c r="AD281" i="4"/>
  <c r="AC281" i="4"/>
  <c r="AA281" i="4"/>
  <c r="W281" i="4"/>
  <c r="X281" i="4" s="1"/>
  <c r="U281" i="4"/>
  <c r="R281" i="4"/>
  <c r="N281" i="4"/>
  <c r="O281" i="4" s="1"/>
  <c r="L281" i="4"/>
  <c r="H281" i="4"/>
  <c r="I281" i="4" s="1"/>
  <c r="F281" i="4"/>
  <c r="C281" i="4"/>
  <c r="AC280" i="4"/>
  <c r="AA280" i="4"/>
  <c r="X280" i="4"/>
  <c r="W280" i="4"/>
  <c r="U280" i="4"/>
  <c r="R280" i="4"/>
  <c r="O280" i="4"/>
  <c r="N280" i="4"/>
  <c r="L280" i="4"/>
  <c r="I280" i="4"/>
  <c r="H280" i="4"/>
  <c r="F280" i="4"/>
  <c r="C280" i="4"/>
  <c r="AC279" i="4"/>
  <c r="AA279" i="4"/>
  <c r="W279" i="4"/>
  <c r="X279" i="4" s="1"/>
  <c r="U279" i="4"/>
  <c r="R279" i="4"/>
  <c r="N279" i="4"/>
  <c r="O279" i="4" s="1"/>
  <c r="L279" i="4"/>
  <c r="I279" i="4"/>
  <c r="H279" i="4"/>
  <c r="F279" i="4"/>
  <c r="C279" i="4"/>
  <c r="AC278" i="4"/>
  <c r="AA278" i="4"/>
  <c r="W278" i="4"/>
  <c r="X278" i="4" s="1"/>
  <c r="U278" i="4"/>
  <c r="R278" i="4"/>
  <c r="O278" i="4"/>
  <c r="N278" i="4"/>
  <c r="L278" i="4"/>
  <c r="I278" i="4"/>
  <c r="H278" i="4"/>
  <c r="F278" i="4"/>
  <c r="C278" i="4"/>
  <c r="AC277" i="4"/>
  <c r="AA277" i="4"/>
  <c r="W277" i="4"/>
  <c r="X277" i="4" s="1"/>
  <c r="U277" i="4"/>
  <c r="R277" i="4"/>
  <c r="N277" i="4"/>
  <c r="O277" i="4" s="1"/>
  <c r="L277" i="4"/>
  <c r="H277" i="4"/>
  <c r="I277" i="4" s="1"/>
  <c r="F277" i="4"/>
  <c r="C277" i="4"/>
  <c r="AC276" i="4"/>
  <c r="AA276" i="4"/>
  <c r="X276" i="4"/>
  <c r="W276" i="4"/>
  <c r="U276" i="4"/>
  <c r="R276" i="4"/>
  <c r="N276" i="4"/>
  <c r="O276" i="4" s="1"/>
  <c r="L276" i="4"/>
  <c r="H276" i="4"/>
  <c r="I276" i="4" s="1"/>
  <c r="F276" i="4"/>
  <c r="C276" i="4"/>
  <c r="AC275" i="4"/>
  <c r="AD275" i="4" s="1"/>
  <c r="AA275" i="4"/>
  <c r="W275" i="4"/>
  <c r="X275" i="4" s="1"/>
  <c r="U275" i="4"/>
  <c r="R275" i="4"/>
  <c r="N275" i="4"/>
  <c r="O275" i="4" s="1"/>
  <c r="L275" i="4"/>
  <c r="I275" i="4"/>
  <c r="H275" i="4"/>
  <c r="F275" i="4"/>
  <c r="C275" i="4"/>
  <c r="Z273" i="4"/>
  <c r="AA273" i="4" s="1"/>
  <c r="U273" i="4"/>
  <c r="T273" i="4"/>
  <c r="Q273" i="4"/>
  <c r="R273" i="4" s="1"/>
  <c r="L273" i="4"/>
  <c r="K273" i="4"/>
  <c r="E273" i="4"/>
  <c r="F273" i="4" s="1"/>
  <c r="B273" i="4"/>
  <c r="H273" i="4" s="1"/>
  <c r="I273" i="4" s="1"/>
  <c r="AC272" i="4"/>
  <c r="AA272" i="4"/>
  <c r="X272" i="4"/>
  <c r="W272" i="4"/>
  <c r="U272" i="4"/>
  <c r="R272" i="4"/>
  <c r="O272" i="4"/>
  <c r="N272" i="4"/>
  <c r="L272" i="4"/>
  <c r="I272" i="4"/>
  <c r="H272" i="4"/>
  <c r="F272" i="4"/>
  <c r="C272" i="4"/>
  <c r="AC271" i="4"/>
  <c r="AD271" i="4" s="1"/>
  <c r="AA271" i="4"/>
  <c r="W271" i="4"/>
  <c r="X271" i="4" s="1"/>
  <c r="U271" i="4"/>
  <c r="R271" i="4"/>
  <c r="N271" i="4"/>
  <c r="O271" i="4" s="1"/>
  <c r="L271" i="4"/>
  <c r="I271" i="4"/>
  <c r="H271" i="4"/>
  <c r="F271" i="4"/>
  <c r="C271" i="4"/>
  <c r="AC270" i="4"/>
  <c r="AD270" i="4" s="1"/>
  <c r="AA270" i="4"/>
  <c r="X270" i="4"/>
  <c r="W270" i="4"/>
  <c r="U270" i="4"/>
  <c r="R270" i="4"/>
  <c r="O270" i="4"/>
  <c r="N270" i="4"/>
  <c r="L270" i="4"/>
  <c r="I270" i="4"/>
  <c r="H270" i="4"/>
  <c r="F270" i="4"/>
  <c r="C270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Z267" i="4"/>
  <c r="AA267" i="4" s="1"/>
  <c r="W267" i="4"/>
  <c r="X267" i="4" s="1"/>
  <c r="U267" i="4"/>
  <c r="T267" i="4"/>
  <c r="R267" i="4"/>
  <c r="Q267" i="4"/>
  <c r="AC267" i="4" s="1"/>
  <c r="AD267" i="4" s="1"/>
  <c r="K267" i="4"/>
  <c r="L267" i="4" s="1"/>
  <c r="E267" i="4"/>
  <c r="C267" i="4"/>
  <c r="B267" i="4"/>
  <c r="N267" i="4" s="1"/>
  <c r="O267" i="4" s="1"/>
  <c r="AC266" i="4"/>
  <c r="AA266" i="4"/>
  <c r="X266" i="4"/>
  <c r="W266" i="4"/>
  <c r="U266" i="4"/>
  <c r="R266" i="4"/>
  <c r="O266" i="4"/>
  <c r="N266" i="4"/>
  <c r="L266" i="4"/>
  <c r="H266" i="4"/>
  <c r="I266" i="4" s="1"/>
  <c r="F266" i="4"/>
  <c r="C266" i="4"/>
  <c r="AD265" i="4"/>
  <c r="AC265" i="4"/>
  <c r="AA265" i="4"/>
  <c r="W265" i="4"/>
  <c r="X265" i="4" s="1"/>
  <c r="U265" i="4"/>
  <c r="R265" i="4"/>
  <c r="N265" i="4"/>
  <c r="O265" i="4" s="1"/>
  <c r="L265" i="4"/>
  <c r="H265" i="4"/>
  <c r="I265" i="4" s="1"/>
  <c r="F265" i="4"/>
  <c r="C265" i="4"/>
  <c r="Z263" i="4"/>
  <c r="AA263" i="4" s="1"/>
  <c r="U263" i="4"/>
  <c r="T263" i="4"/>
  <c r="Q263" i="4"/>
  <c r="W263" i="4" s="1"/>
  <c r="X263" i="4" s="1"/>
  <c r="K263" i="4"/>
  <c r="L263" i="4" s="1"/>
  <c r="E263" i="4"/>
  <c r="F263" i="4" s="1"/>
  <c r="C263" i="4"/>
  <c r="B263" i="4"/>
  <c r="H263" i="4" s="1"/>
  <c r="I263" i="4" s="1"/>
  <c r="AA262" i="4"/>
  <c r="Z262" i="4"/>
  <c r="T262" i="4"/>
  <c r="U262" i="4" s="1"/>
  <c r="Q262" i="4"/>
  <c r="R262" i="4" s="1"/>
  <c r="N262" i="4"/>
  <c r="O262" i="4" s="1"/>
  <c r="L262" i="4"/>
  <c r="K262" i="4"/>
  <c r="E262" i="4"/>
  <c r="F262" i="4" s="1"/>
  <c r="C262" i="4"/>
  <c r="B262" i="4"/>
  <c r="AD261" i="4"/>
  <c r="AC261" i="4"/>
  <c r="AA261" i="4"/>
  <c r="X261" i="4"/>
  <c r="W261" i="4"/>
  <c r="U261" i="4"/>
  <c r="R261" i="4"/>
  <c r="N261" i="4"/>
  <c r="O261" i="4" s="1"/>
  <c r="L261" i="4"/>
  <c r="I261" i="4"/>
  <c r="H261" i="4"/>
  <c r="F261" i="4"/>
  <c r="C261" i="4"/>
  <c r="AC260" i="4"/>
  <c r="AA260" i="4"/>
  <c r="X260" i="4"/>
  <c r="W260" i="4"/>
  <c r="U260" i="4"/>
  <c r="R260" i="4"/>
  <c r="O260" i="4"/>
  <c r="N260" i="4"/>
  <c r="L260" i="4"/>
  <c r="I260" i="4"/>
  <c r="H260" i="4"/>
  <c r="F260" i="4"/>
  <c r="C260" i="4"/>
  <c r="AC259" i="4"/>
  <c r="AA259" i="4"/>
  <c r="X259" i="4"/>
  <c r="W259" i="4"/>
  <c r="U259" i="4"/>
  <c r="R259" i="4"/>
  <c r="O259" i="4"/>
  <c r="N259" i="4"/>
  <c r="L259" i="4"/>
  <c r="I259" i="4"/>
  <c r="H259" i="4"/>
  <c r="F259" i="4"/>
  <c r="C259" i="4"/>
  <c r="AC258" i="4"/>
  <c r="AA258" i="4"/>
  <c r="W258" i="4"/>
  <c r="X258" i="4" s="1"/>
  <c r="U258" i="4"/>
  <c r="R258" i="4"/>
  <c r="O258" i="4"/>
  <c r="N258" i="4"/>
  <c r="L258" i="4"/>
  <c r="H258" i="4"/>
  <c r="I258" i="4" s="1"/>
  <c r="F258" i="4"/>
  <c r="C258" i="4"/>
  <c r="AC257" i="4"/>
  <c r="AA257" i="4"/>
  <c r="X257" i="4"/>
  <c r="W257" i="4"/>
  <c r="U257" i="4"/>
  <c r="R257" i="4"/>
  <c r="O257" i="4"/>
  <c r="N257" i="4"/>
  <c r="L257" i="4"/>
  <c r="I257" i="4"/>
  <c r="H257" i="4"/>
  <c r="F257" i="4"/>
  <c r="C257" i="4"/>
  <c r="AC256" i="4"/>
  <c r="AD256" i="4" s="1"/>
  <c r="AA256" i="4"/>
  <c r="W256" i="4"/>
  <c r="X256" i="4" s="1"/>
  <c r="U256" i="4"/>
  <c r="R256" i="4"/>
  <c r="N256" i="4"/>
  <c r="O256" i="4" s="1"/>
  <c r="L256" i="4"/>
  <c r="I256" i="4"/>
  <c r="H256" i="4"/>
  <c r="F256" i="4"/>
  <c r="C256" i="4"/>
  <c r="AC255" i="4"/>
  <c r="AA255" i="4"/>
  <c r="W255" i="4"/>
  <c r="X255" i="4" s="1"/>
  <c r="U255" i="4"/>
  <c r="R255" i="4"/>
  <c r="O255" i="4"/>
  <c r="N255" i="4"/>
  <c r="L255" i="4"/>
  <c r="H255" i="4"/>
  <c r="I255" i="4" s="1"/>
  <c r="F255" i="4"/>
  <c r="C255" i="4"/>
  <c r="AC254" i="4"/>
  <c r="AD254" i="4" s="1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C253" i="4"/>
  <c r="AD253" i="4" s="1"/>
  <c r="AA253" i="4"/>
  <c r="X253" i="4"/>
  <c r="W253" i="4"/>
  <c r="U253" i="4"/>
  <c r="R253" i="4"/>
  <c r="N253" i="4"/>
  <c r="O253" i="4" s="1"/>
  <c r="L253" i="4"/>
  <c r="I253" i="4"/>
  <c r="H253" i="4"/>
  <c r="F253" i="4"/>
  <c r="C253" i="4"/>
  <c r="AC252" i="4"/>
  <c r="AA252" i="4"/>
  <c r="X252" i="4"/>
  <c r="W252" i="4"/>
  <c r="U252" i="4"/>
  <c r="R252" i="4"/>
  <c r="O252" i="4"/>
  <c r="N252" i="4"/>
  <c r="L252" i="4"/>
  <c r="H252" i="4"/>
  <c r="I252" i="4" s="1"/>
  <c r="F252" i="4"/>
  <c r="C252" i="4"/>
  <c r="AC251" i="4"/>
  <c r="AD251" i="4" s="1"/>
  <c r="AA251" i="4"/>
  <c r="X251" i="4"/>
  <c r="W251" i="4"/>
  <c r="U251" i="4"/>
  <c r="R251" i="4"/>
  <c r="O251" i="4"/>
  <c r="N251" i="4"/>
  <c r="L251" i="4"/>
  <c r="I251" i="4"/>
  <c r="H251" i="4"/>
  <c r="F251" i="4"/>
  <c r="C251" i="4"/>
  <c r="AC250" i="4"/>
  <c r="AA250" i="4"/>
  <c r="X250" i="4"/>
  <c r="W250" i="4"/>
  <c r="U250" i="4"/>
  <c r="R250" i="4"/>
  <c r="N250" i="4"/>
  <c r="O250" i="4" s="1"/>
  <c r="L250" i="4"/>
  <c r="H250" i="4"/>
  <c r="I250" i="4" s="1"/>
  <c r="F250" i="4"/>
  <c r="C250" i="4"/>
  <c r="AC249" i="4"/>
  <c r="AA249" i="4"/>
  <c r="X249" i="4"/>
  <c r="W249" i="4"/>
  <c r="U249" i="4"/>
  <c r="R249" i="4"/>
  <c r="O249" i="4"/>
  <c r="N249" i="4"/>
  <c r="L249" i="4"/>
  <c r="H249" i="4"/>
  <c r="I249" i="4" s="1"/>
  <c r="F249" i="4"/>
  <c r="C249" i="4"/>
  <c r="AD248" i="4"/>
  <c r="AC248" i="4"/>
  <c r="AA248" i="4"/>
  <c r="W248" i="4"/>
  <c r="X248" i="4" s="1"/>
  <c r="U248" i="4"/>
  <c r="R248" i="4"/>
  <c r="N248" i="4"/>
  <c r="O248" i="4" s="1"/>
  <c r="L248" i="4"/>
  <c r="I248" i="4"/>
  <c r="H248" i="4"/>
  <c r="F248" i="4"/>
  <c r="C248" i="4"/>
  <c r="AC247" i="4"/>
  <c r="AA247" i="4"/>
  <c r="X247" i="4"/>
  <c r="W247" i="4"/>
  <c r="U247" i="4"/>
  <c r="R247" i="4"/>
  <c r="O247" i="4"/>
  <c r="N247" i="4"/>
  <c r="L247" i="4"/>
  <c r="H247" i="4"/>
  <c r="I247" i="4" s="1"/>
  <c r="F247" i="4"/>
  <c r="C247" i="4"/>
  <c r="AC246" i="4"/>
  <c r="AD246" i="4" s="1"/>
  <c r="AA246" i="4"/>
  <c r="X246" i="4"/>
  <c r="W246" i="4"/>
  <c r="U246" i="4"/>
  <c r="R246" i="4"/>
  <c r="O246" i="4"/>
  <c r="N246" i="4"/>
  <c r="L246" i="4"/>
  <c r="I246" i="4"/>
  <c r="H246" i="4"/>
  <c r="F246" i="4"/>
  <c r="C246" i="4"/>
  <c r="AC245" i="4"/>
  <c r="AA245" i="4"/>
  <c r="W245" i="4"/>
  <c r="X245" i="4" s="1"/>
  <c r="U245" i="4"/>
  <c r="R245" i="4"/>
  <c r="O245" i="4"/>
  <c r="N245" i="4"/>
  <c r="L245" i="4"/>
  <c r="H245" i="4"/>
  <c r="I245" i="4" s="1"/>
  <c r="F245" i="4"/>
  <c r="C245" i="4"/>
  <c r="AC244" i="4"/>
  <c r="AD244" i="4" s="1"/>
  <c r="AA244" i="4"/>
  <c r="X244" i="4"/>
  <c r="W244" i="4"/>
  <c r="U244" i="4"/>
  <c r="R244" i="4"/>
  <c r="O244" i="4"/>
  <c r="N244" i="4"/>
  <c r="L244" i="4"/>
  <c r="I244" i="4"/>
  <c r="H244" i="4"/>
  <c r="F244" i="4"/>
  <c r="C244" i="4"/>
  <c r="AC243" i="4"/>
  <c r="AA243" i="4"/>
  <c r="X243" i="4"/>
  <c r="W243" i="4"/>
  <c r="U243" i="4"/>
  <c r="R243" i="4"/>
  <c r="N243" i="4"/>
  <c r="O243" i="4" s="1"/>
  <c r="L243" i="4"/>
  <c r="H243" i="4"/>
  <c r="I243" i="4" s="1"/>
  <c r="F243" i="4"/>
  <c r="C243" i="4"/>
  <c r="AC242" i="4"/>
  <c r="AD242" i="4" s="1"/>
  <c r="AA242" i="4"/>
  <c r="X242" i="4"/>
  <c r="W242" i="4"/>
  <c r="U242" i="4"/>
  <c r="R242" i="4"/>
  <c r="O242" i="4"/>
  <c r="N242" i="4"/>
  <c r="L242" i="4"/>
  <c r="I242" i="4"/>
  <c r="H242" i="4"/>
  <c r="F242" i="4"/>
  <c r="C242" i="4"/>
  <c r="AC241" i="4"/>
  <c r="AA241" i="4"/>
  <c r="W241" i="4"/>
  <c r="X241" i="4" s="1"/>
  <c r="U241" i="4"/>
  <c r="R241" i="4"/>
  <c r="O241" i="4"/>
  <c r="N241" i="4"/>
  <c r="L241" i="4"/>
  <c r="H241" i="4"/>
  <c r="I241" i="4" s="1"/>
  <c r="F241" i="4"/>
  <c r="C241" i="4"/>
  <c r="AC240" i="4"/>
  <c r="AD240" i="4" s="1"/>
  <c r="AA240" i="4"/>
  <c r="X240" i="4"/>
  <c r="W240" i="4"/>
  <c r="U240" i="4"/>
  <c r="R240" i="4"/>
  <c r="O240" i="4"/>
  <c r="N240" i="4"/>
  <c r="L240" i="4"/>
  <c r="I240" i="4"/>
  <c r="H240" i="4"/>
  <c r="F240" i="4"/>
  <c r="C240" i="4"/>
  <c r="AC238" i="4"/>
  <c r="AD238" i="4" s="1"/>
  <c r="AA238" i="4"/>
  <c r="X238" i="4"/>
  <c r="W238" i="4"/>
  <c r="U238" i="4"/>
  <c r="R238" i="4"/>
  <c r="N238" i="4"/>
  <c r="O238" i="4" s="1"/>
  <c r="L238" i="4"/>
  <c r="H238" i="4"/>
  <c r="I238" i="4" s="1"/>
  <c r="F238" i="4"/>
  <c r="C238" i="4"/>
  <c r="Z236" i="4"/>
  <c r="AA236" i="4" s="1"/>
  <c r="W236" i="4"/>
  <c r="X236" i="4" s="1"/>
  <c r="U236" i="4"/>
  <c r="T236" i="4"/>
  <c r="Q236" i="4"/>
  <c r="R236" i="4" s="1"/>
  <c r="K236" i="4"/>
  <c r="L236" i="4" s="1"/>
  <c r="E236" i="4"/>
  <c r="F236" i="4" s="1"/>
  <c r="B236" i="4"/>
  <c r="H236" i="4" s="1"/>
  <c r="I236" i="4" s="1"/>
  <c r="AC235" i="4"/>
  <c r="AD235" i="4" s="1"/>
  <c r="AA235" i="4"/>
  <c r="X235" i="4"/>
  <c r="W235" i="4"/>
  <c r="U235" i="4"/>
  <c r="R235" i="4"/>
  <c r="O235" i="4"/>
  <c r="N235" i="4"/>
  <c r="L235" i="4"/>
  <c r="I235" i="4"/>
  <c r="H235" i="4"/>
  <c r="F235" i="4"/>
  <c r="C235" i="4"/>
  <c r="AC234" i="4"/>
  <c r="AD234" i="4" s="1"/>
  <c r="AA234" i="4"/>
  <c r="X234" i="4"/>
  <c r="W234" i="4"/>
  <c r="U234" i="4"/>
  <c r="R234" i="4"/>
  <c r="N234" i="4"/>
  <c r="O234" i="4" s="1"/>
  <c r="L234" i="4"/>
  <c r="H234" i="4"/>
  <c r="I234" i="4" s="1"/>
  <c r="F234" i="4"/>
  <c r="C234" i="4"/>
  <c r="AC233" i="4"/>
  <c r="AD233" i="4" s="1"/>
  <c r="AA233" i="4"/>
  <c r="X233" i="4"/>
  <c r="W233" i="4"/>
  <c r="U233" i="4"/>
  <c r="R233" i="4"/>
  <c r="O233" i="4"/>
  <c r="N233" i="4"/>
  <c r="L233" i="4"/>
  <c r="H233" i="4"/>
  <c r="I233" i="4" s="1"/>
  <c r="F233" i="4"/>
  <c r="C233" i="4"/>
  <c r="AC232" i="4"/>
  <c r="AA232" i="4"/>
  <c r="W232" i="4"/>
  <c r="X232" i="4" s="1"/>
  <c r="U232" i="4"/>
  <c r="R232" i="4"/>
  <c r="O232" i="4"/>
  <c r="N232" i="4"/>
  <c r="L232" i="4"/>
  <c r="H232" i="4"/>
  <c r="I232" i="4" s="1"/>
  <c r="F232" i="4"/>
  <c r="C232" i="4"/>
  <c r="AC231" i="4"/>
  <c r="AD231" i="4" s="1"/>
  <c r="AA231" i="4"/>
  <c r="X231" i="4"/>
  <c r="W231" i="4"/>
  <c r="U231" i="4"/>
  <c r="R231" i="4"/>
  <c r="O231" i="4"/>
  <c r="N231" i="4"/>
  <c r="L231" i="4"/>
  <c r="I231" i="4"/>
  <c r="H231" i="4"/>
  <c r="F231" i="4"/>
  <c r="C231" i="4"/>
  <c r="AC230" i="4"/>
  <c r="AD230" i="4" s="1"/>
  <c r="AA230" i="4"/>
  <c r="X230" i="4"/>
  <c r="W230" i="4"/>
  <c r="U230" i="4"/>
  <c r="R230" i="4"/>
  <c r="N230" i="4"/>
  <c r="O230" i="4" s="1"/>
  <c r="L230" i="4"/>
  <c r="H230" i="4"/>
  <c r="I230" i="4" s="1"/>
  <c r="F230" i="4"/>
  <c r="C230" i="4"/>
  <c r="AC229" i="4"/>
  <c r="AD229" i="4" s="1"/>
  <c r="AA229" i="4"/>
  <c r="X229" i="4"/>
  <c r="W229" i="4"/>
  <c r="U229" i="4"/>
  <c r="R229" i="4"/>
  <c r="O229" i="4"/>
  <c r="N229" i="4"/>
  <c r="L229" i="4"/>
  <c r="I229" i="4"/>
  <c r="H229" i="4"/>
  <c r="F229" i="4"/>
  <c r="C229" i="4"/>
  <c r="Z227" i="4"/>
  <c r="AA227" i="4" s="1"/>
  <c r="T227" i="4"/>
  <c r="U227" i="4" s="1"/>
  <c r="R227" i="4"/>
  <c r="Q227" i="4"/>
  <c r="K227" i="4"/>
  <c r="N227" i="4" s="1"/>
  <c r="O227" i="4" s="1"/>
  <c r="H227" i="4"/>
  <c r="I227" i="4" s="1"/>
  <c r="F227" i="4"/>
  <c r="E227" i="4"/>
  <c r="B227" i="4"/>
  <c r="C227" i="4" s="1"/>
  <c r="AC226" i="4"/>
  <c r="AD226" i="4" s="1"/>
  <c r="AA226" i="4"/>
  <c r="X226" i="4"/>
  <c r="W226" i="4"/>
  <c r="U226" i="4"/>
  <c r="R226" i="4"/>
  <c r="O226" i="4"/>
  <c r="N226" i="4"/>
  <c r="L226" i="4"/>
  <c r="H226" i="4"/>
  <c r="I226" i="4" s="1"/>
  <c r="F226" i="4"/>
  <c r="C226" i="4"/>
  <c r="AC225" i="4"/>
  <c r="AD225" i="4" s="1"/>
  <c r="AA225" i="4"/>
  <c r="X225" i="4"/>
  <c r="W225" i="4"/>
  <c r="U225" i="4"/>
  <c r="R225" i="4"/>
  <c r="O225" i="4"/>
  <c r="N225" i="4"/>
  <c r="L225" i="4"/>
  <c r="I225" i="4"/>
  <c r="H225" i="4"/>
  <c r="F225" i="4"/>
  <c r="C225" i="4"/>
  <c r="AC224" i="4"/>
  <c r="AA224" i="4"/>
  <c r="X224" i="4"/>
  <c r="W224" i="4"/>
  <c r="U224" i="4"/>
  <c r="R224" i="4"/>
  <c r="O224" i="4"/>
  <c r="N224" i="4"/>
  <c r="L224" i="4"/>
  <c r="H224" i="4"/>
  <c r="I224" i="4" s="1"/>
  <c r="F224" i="4"/>
  <c r="C224" i="4"/>
  <c r="AC223" i="4"/>
  <c r="AD223" i="4" s="1"/>
  <c r="AA223" i="4"/>
  <c r="X223" i="4"/>
  <c r="W223" i="4"/>
  <c r="U223" i="4"/>
  <c r="R223" i="4"/>
  <c r="O223" i="4"/>
  <c r="N223" i="4"/>
  <c r="L223" i="4"/>
  <c r="I223" i="4"/>
  <c r="H223" i="4"/>
  <c r="F223" i="4"/>
  <c r="C223" i="4"/>
  <c r="AD222" i="4"/>
  <c r="AC222" i="4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C221" i="4"/>
  <c r="AD221" i="4" s="1"/>
  <c r="AA221" i="4"/>
  <c r="X221" i="4"/>
  <c r="W221" i="4"/>
  <c r="U221" i="4"/>
  <c r="R221" i="4"/>
  <c r="O221" i="4"/>
  <c r="N221" i="4"/>
  <c r="L221" i="4"/>
  <c r="H221" i="4"/>
  <c r="I221" i="4" s="1"/>
  <c r="F221" i="4"/>
  <c r="C221" i="4"/>
  <c r="AC220" i="4"/>
  <c r="AA220" i="4"/>
  <c r="X220" i="4"/>
  <c r="W220" i="4"/>
  <c r="U220" i="4"/>
  <c r="R220" i="4"/>
  <c r="O220" i="4"/>
  <c r="N220" i="4"/>
  <c r="L220" i="4"/>
  <c r="H220" i="4"/>
  <c r="I220" i="4" s="1"/>
  <c r="F220" i="4"/>
  <c r="C220" i="4"/>
  <c r="AC219" i="4"/>
  <c r="AD219" i="4" s="1"/>
  <c r="AA219" i="4"/>
  <c r="X219" i="4"/>
  <c r="W219" i="4"/>
  <c r="U219" i="4"/>
  <c r="R219" i="4"/>
  <c r="O219" i="4"/>
  <c r="N219" i="4"/>
  <c r="L219" i="4"/>
  <c r="I219" i="4"/>
  <c r="H219" i="4"/>
  <c r="F219" i="4"/>
  <c r="C219" i="4"/>
  <c r="Z218" i="4"/>
  <c r="AA218" i="4" s="1"/>
  <c r="T218" i="4"/>
  <c r="U218" i="4" s="1"/>
  <c r="Q218" i="4"/>
  <c r="W218" i="4" s="1"/>
  <c r="X218" i="4" s="1"/>
  <c r="L218" i="4"/>
  <c r="K218" i="4"/>
  <c r="E218" i="4"/>
  <c r="F218" i="4" s="1"/>
  <c r="B218" i="4"/>
  <c r="C218" i="4" s="1"/>
  <c r="AC217" i="4"/>
  <c r="AA217" i="4"/>
  <c r="W217" i="4"/>
  <c r="X217" i="4" s="1"/>
  <c r="U217" i="4"/>
  <c r="R217" i="4"/>
  <c r="O217" i="4"/>
  <c r="N217" i="4"/>
  <c r="L217" i="4"/>
  <c r="H217" i="4"/>
  <c r="I217" i="4" s="1"/>
  <c r="F217" i="4"/>
  <c r="C217" i="4"/>
  <c r="AC216" i="4"/>
  <c r="AD216" i="4" s="1"/>
  <c r="AA216" i="4"/>
  <c r="X216" i="4"/>
  <c r="W216" i="4"/>
  <c r="U216" i="4"/>
  <c r="R216" i="4"/>
  <c r="O216" i="4"/>
  <c r="N216" i="4"/>
  <c r="L216" i="4"/>
  <c r="I216" i="4"/>
  <c r="H216" i="4"/>
  <c r="F216" i="4"/>
  <c r="C216" i="4"/>
  <c r="AD215" i="4"/>
  <c r="AC215" i="4"/>
  <c r="AA215" i="4"/>
  <c r="X215" i="4"/>
  <c r="W215" i="4"/>
  <c r="U215" i="4"/>
  <c r="R215" i="4"/>
  <c r="O215" i="4"/>
  <c r="N215" i="4"/>
  <c r="L215" i="4"/>
  <c r="H215" i="4"/>
  <c r="I215" i="4" s="1"/>
  <c r="F215" i="4"/>
  <c r="C215" i="4"/>
  <c r="AC214" i="4"/>
  <c r="AD214" i="4" s="1"/>
  <c r="AA214" i="4"/>
  <c r="X214" i="4"/>
  <c r="W214" i="4"/>
  <c r="U214" i="4"/>
  <c r="R214" i="4"/>
  <c r="O214" i="4"/>
  <c r="N214" i="4"/>
  <c r="L214" i="4"/>
  <c r="H214" i="4"/>
  <c r="I214" i="4" s="1"/>
  <c r="F214" i="4"/>
  <c r="C214" i="4"/>
  <c r="AC213" i="4"/>
  <c r="AA213" i="4"/>
  <c r="W213" i="4"/>
  <c r="X213" i="4" s="1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X211" i="4"/>
  <c r="W211" i="4"/>
  <c r="U211" i="4"/>
  <c r="R211" i="4"/>
  <c r="O211" i="4"/>
  <c r="N211" i="4"/>
  <c r="L211" i="4"/>
  <c r="I211" i="4"/>
  <c r="H211" i="4"/>
  <c r="F211" i="4"/>
  <c r="C211" i="4"/>
  <c r="Z209" i="4"/>
  <c r="AA209" i="4" s="1"/>
  <c r="T209" i="4"/>
  <c r="U209" i="4" s="1"/>
  <c r="R209" i="4"/>
  <c r="Q209" i="4"/>
  <c r="L209" i="4"/>
  <c r="K209" i="4"/>
  <c r="E209" i="4"/>
  <c r="F209" i="4" s="1"/>
  <c r="B209" i="4"/>
  <c r="C209" i="4" s="1"/>
  <c r="AC208" i="4"/>
  <c r="AA208" i="4"/>
  <c r="X208" i="4"/>
  <c r="W208" i="4"/>
  <c r="U208" i="4"/>
  <c r="R208" i="4"/>
  <c r="O208" i="4"/>
  <c r="N208" i="4"/>
  <c r="L208" i="4"/>
  <c r="H208" i="4"/>
  <c r="I208" i="4" s="1"/>
  <c r="F208" i="4"/>
  <c r="C208" i="4"/>
  <c r="AC207" i="4"/>
  <c r="AD207" i="4" s="1"/>
  <c r="AA207" i="4"/>
  <c r="X207" i="4"/>
  <c r="W207" i="4"/>
  <c r="U207" i="4"/>
  <c r="R207" i="4"/>
  <c r="O207" i="4"/>
  <c r="N207" i="4"/>
  <c r="L207" i="4"/>
  <c r="I207" i="4"/>
  <c r="H207" i="4"/>
  <c r="F207" i="4"/>
  <c r="C207" i="4"/>
  <c r="AC206" i="4"/>
  <c r="AD206" i="4" s="1"/>
  <c r="AA206" i="4"/>
  <c r="X206" i="4"/>
  <c r="W206" i="4"/>
  <c r="U206" i="4"/>
  <c r="R206" i="4"/>
  <c r="O206" i="4"/>
  <c r="N206" i="4"/>
  <c r="L206" i="4"/>
  <c r="H206" i="4"/>
  <c r="I206" i="4" s="1"/>
  <c r="F206" i="4"/>
  <c r="C206" i="4"/>
  <c r="AC205" i="4"/>
  <c r="AD205" i="4" s="1"/>
  <c r="AA205" i="4"/>
  <c r="X205" i="4"/>
  <c r="W205" i="4"/>
  <c r="U205" i="4"/>
  <c r="R205" i="4"/>
  <c r="O205" i="4"/>
  <c r="N205" i="4"/>
  <c r="L205" i="4"/>
  <c r="I205" i="4"/>
  <c r="H205" i="4"/>
  <c r="F205" i="4"/>
  <c r="C205" i="4"/>
  <c r="AC204" i="4"/>
  <c r="AA204" i="4"/>
  <c r="W204" i="4"/>
  <c r="X204" i="4" s="1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X203" i="4"/>
  <c r="W203" i="4"/>
  <c r="U203" i="4"/>
  <c r="R203" i="4"/>
  <c r="O203" i="4"/>
  <c r="N203" i="4"/>
  <c r="L203" i="4"/>
  <c r="I203" i="4"/>
  <c r="H203" i="4"/>
  <c r="F203" i="4"/>
  <c r="C203" i="4"/>
  <c r="AC202" i="4"/>
  <c r="AD202" i="4" s="1"/>
  <c r="AA202" i="4"/>
  <c r="X202" i="4"/>
  <c r="W202" i="4"/>
  <c r="U202" i="4"/>
  <c r="R202" i="4"/>
  <c r="O202" i="4"/>
  <c r="N202" i="4"/>
  <c r="L202" i="4"/>
  <c r="H202" i="4"/>
  <c r="I202" i="4" s="1"/>
  <c r="F202" i="4"/>
  <c r="C202" i="4"/>
  <c r="AC201" i="4"/>
  <c r="AD201" i="4" s="1"/>
  <c r="AA201" i="4"/>
  <c r="X201" i="4"/>
  <c r="W201" i="4"/>
  <c r="U201" i="4"/>
  <c r="R201" i="4"/>
  <c r="O201" i="4"/>
  <c r="N201" i="4"/>
  <c r="L201" i="4"/>
  <c r="I201" i="4"/>
  <c r="H201" i="4"/>
  <c r="F201" i="4"/>
  <c r="C201" i="4"/>
  <c r="AD197" i="4"/>
  <c r="AC197" i="4"/>
  <c r="Z197" i="4"/>
  <c r="AA197" i="4" s="1"/>
  <c r="T197" i="4"/>
  <c r="U197" i="4" s="1"/>
  <c r="R197" i="4"/>
  <c r="Q197" i="4"/>
  <c r="K197" i="4"/>
  <c r="L197" i="4" s="1"/>
  <c r="F197" i="4"/>
  <c r="E197" i="4"/>
  <c r="B197" i="4"/>
  <c r="C197" i="4" s="1"/>
  <c r="Z196" i="4"/>
  <c r="AA196" i="4" s="1"/>
  <c r="T196" i="4"/>
  <c r="U196" i="4" s="1"/>
  <c r="Q196" i="4"/>
  <c r="R196" i="4" s="1"/>
  <c r="K196" i="4"/>
  <c r="N196" i="4" s="1"/>
  <c r="O196" i="4" s="1"/>
  <c r="E196" i="4"/>
  <c r="F196" i="4" s="1"/>
  <c r="B196" i="4"/>
  <c r="C196" i="4" s="1"/>
  <c r="AC195" i="4"/>
  <c r="AD195" i="4" s="1"/>
  <c r="AA195" i="4"/>
  <c r="X195" i="4"/>
  <c r="W195" i="4"/>
  <c r="U195" i="4"/>
  <c r="R195" i="4"/>
  <c r="N195" i="4"/>
  <c r="O195" i="4" s="1"/>
  <c r="L195" i="4"/>
  <c r="H195" i="4"/>
  <c r="I195" i="4" s="1"/>
  <c r="F195" i="4"/>
  <c r="C195" i="4"/>
  <c r="AC194" i="4"/>
  <c r="AD194" i="4" s="1"/>
  <c r="AA194" i="4"/>
  <c r="X194" i="4"/>
  <c r="W194" i="4"/>
  <c r="U194" i="4"/>
  <c r="R194" i="4"/>
  <c r="O194" i="4"/>
  <c r="N194" i="4"/>
  <c r="L194" i="4"/>
  <c r="H194" i="4"/>
  <c r="I194" i="4" s="1"/>
  <c r="F194" i="4"/>
  <c r="C194" i="4"/>
  <c r="Z193" i="4"/>
  <c r="AA193" i="4" s="1"/>
  <c r="W193" i="4"/>
  <c r="X193" i="4" s="1"/>
  <c r="T193" i="4"/>
  <c r="U193" i="4" s="1"/>
  <c r="Q193" i="4"/>
  <c r="R193" i="4" s="1"/>
  <c r="K193" i="4"/>
  <c r="L193" i="4" s="1"/>
  <c r="E193" i="4"/>
  <c r="F193" i="4" s="1"/>
  <c r="B193" i="4"/>
  <c r="C193" i="4" s="1"/>
  <c r="AD192" i="4"/>
  <c r="AC192" i="4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C191" i="4"/>
  <c r="AD191" i="4" s="1"/>
  <c r="AA191" i="4"/>
  <c r="X191" i="4"/>
  <c r="W191" i="4"/>
  <c r="U191" i="4"/>
  <c r="R191" i="4"/>
  <c r="O191" i="4"/>
  <c r="N191" i="4"/>
  <c r="L191" i="4"/>
  <c r="H191" i="4"/>
  <c r="I191" i="4" s="1"/>
  <c r="F191" i="4"/>
  <c r="C191" i="4"/>
  <c r="AC190" i="4"/>
  <c r="AD190" i="4" s="1"/>
  <c r="AA190" i="4"/>
  <c r="X190" i="4"/>
  <c r="W190" i="4"/>
  <c r="U190" i="4"/>
  <c r="R190" i="4"/>
  <c r="O190" i="4"/>
  <c r="N190" i="4"/>
  <c r="L190" i="4"/>
  <c r="H190" i="4"/>
  <c r="I190" i="4" s="1"/>
  <c r="F190" i="4"/>
  <c r="C190" i="4"/>
  <c r="AC189" i="4"/>
  <c r="AD189" i="4" s="1"/>
  <c r="AA189" i="4"/>
  <c r="X189" i="4"/>
  <c r="W189" i="4"/>
  <c r="U189" i="4"/>
  <c r="R189" i="4"/>
  <c r="O189" i="4"/>
  <c r="N189" i="4"/>
  <c r="L189" i="4"/>
  <c r="H189" i="4"/>
  <c r="I189" i="4" s="1"/>
  <c r="F189" i="4"/>
  <c r="C189" i="4"/>
  <c r="AC188" i="4"/>
  <c r="AD188" i="4" s="1"/>
  <c r="AA188" i="4"/>
  <c r="X188" i="4"/>
  <c r="W188" i="4"/>
  <c r="U188" i="4"/>
  <c r="R188" i="4"/>
  <c r="N188" i="4"/>
  <c r="O188" i="4" s="1"/>
  <c r="L188" i="4"/>
  <c r="H188" i="4"/>
  <c r="I188" i="4" s="1"/>
  <c r="F188" i="4"/>
  <c r="C188" i="4"/>
  <c r="AC187" i="4"/>
  <c r="AD187" i="4" s="1"/>
  <c r="AA187" i="4"/>
  <c r="X187" i="4"/>
  <c r="W187" i="4"/>
  <c r="U187" i="4"/>
  <c r="R187" i="4"/>
  <c r="O187" i="4"/>
  <c r="N187" i="4"/>
  <c r="L187" i="4"/>
  <c r="I187" i="4"/>
  <c r="H187" i="4"/>
  <c r="F187" i="4"/>
  <c r="C187" i="4"/>
  <c r="AC186" i="4"/>
  <c r="AD186" i="4" s="1"/>
  <c r="AA186" i="4"/>
  <c r="W186" i="4"/>
  <c r="X186" i="4" s="1"/>
  <c r="U186" i="4"/>
  <c r="R186" i="4"/>
  <c r="O186" i="4"/>
  <c r="N186" i="4"/>
  <c r="L186" i="4"/>
  <c r="H186" i="4"/>
  <c r="I186" i="4" s="1"/>
  <c r="F186" i="4"/>
  <c r="C186" i="4"/>
  <c r="AC184" i="4"/>
  <c r="AD184" i="4" s="1"/>
  <c r="AA184" i="4"/>
  <c r="X184" i="4"/>
  <c r="W184" i="4"/>
  <c r="U184" i="4"/>
  <c r="R184" i="4"/>
  <c r="O184" i="4"/>
  <c r="N184" i="4"/>
  <c r="L184" i="4"/>
  <c r="H184" i="4"/>
  <c r="I184" i="4" s="1"/>
  <c r="F184" i="4"/>
  <c r="C184" i="4"/>
  <c r="AD183" i="4"/>
  <c r="AC183" i="4"/>
  <c r="AA183" i="4"/>
  <c r="X183" i="4"/>
  <c r="W183" i="4"/>
  <c r="U183" i="4"/>
  <c r="R183" i="4"/>
  <c r="N183" i="4"/>
  <c r="O183" i="4" s="1"/>
  <c r="L183" i="4"/>
  <c r="H183" i="4"/>
  <c r="I183" i="4" s="1"/>
  <c r="F183" i="4"/>
  <c r="C183" i="4"/>
  <c r="Z182" i="4"/>
  <c r="AC182" i="4" s="1"/>
  <c r="AD182" i="4" s="1"/>
  <c r="W182" i="4"/>
  <c r="X182" i="4" s="1"/>
  <c r="T182" i="4"/>
  <c r="U182" i="4" s="1"/>
  <c r="Q182" i="4"/>
  <c r="R182" i="4" s="1"/>
  <c r="K182" i="4"/>
  <c r="L182" i="4" s="1"/>
  <c r="E182" i="4"/>
  <c r="F182" i="4" s="1"/>
  <c r="B182" i="4"/>
  <c r="H182" i="4" s="1"/>
  <c r="I182" i="4" s="1"/>
  <c r="AC181" i="4"/>
  <c r="AD181" i="4" s="1"/>
  <c r="AA181" i="4"/>
  <c r="X181" i="4"/>
  <c r="W181" i="4"/>
  <c r="U181" i="4"/>
  <c r="R181" i="4"/>
  <c r="O181" i="4"/>
  <c r="N181" i="4"/>
  <c r="L181" i="4"/>
  <c r="H181" i="4"/>
  <c r="I181" i="4" s="1"/>
  <c r="F181" i="4"/>
  <c r="C181" i="4"/>
  <c r="AC180" i="4"/>
  <c r="AD180" i="4" s="1"/>
  <c r="AA180" i="4"/>
  <c r="X180" i="4"/>
  <c r="W180" i="4"/>
  <c r="U180" i="4"/>
  <c r="R180" i="4"/>
  <c r="O180" i="4"/>
  <c r="N180" i="4"/>
  <c r="L180" i="4"/>
  <c r="H180" i="4"/>
  <c r="I180" i="4" s="1"/>
  <c r="F180" i="4"/>
  <c r="C180" i="4"/>
  <c r="AC179" i="4"/>
  <c r="AD179" i="4" s="1"/>
  <c r="AA179" i="4"/>
  <c r="X179" i="4"/>
  <c r="W179" i="4"/>
  <c r="U179" i="4"/>
  <c r="R179" i="4"/>
  <c r="O179" i="4"/>
  <c r="N179" i="4"/>
  <c r="L179" i="4"/>
  <c r="I179" i="4"/>
  <c r="H179" i="4"/>
  <c r="F179" i="4"/>
  <c r="C179" i="4"/>
  <c r="AC178" i="4"/>
  <c r="AD178" i="4" s="1"/>
  <c r="AA178" i="4"/>
  <c r="X178" i="4"/>
  <c r="W178" i="4"/>
  <c r="U178" i="4"/>
  <c r="R178" i="4"/>
  <c r="O178" i="4"/>
  <c r="N178" i="4"/>
  <c r="L178" i="4"/>
  <c r="H178" i="4"/>
  <c r="I178" i="4" s="1"/>
  <c r="F178" i="4"/>
  <c r="C178" i="4"/>
  <c r="AC177" i="4"/>
  <c r="AD177" i="4" s="1"/>
  <c r="AA177" i="4"/>
  <c r="X177" i="4"/>
  <c r="W177" i="4"/>
  <c r="U177" i="4"/>
  <c r="R177" i="4"/>
  <c r="O177" i="4"/>
  <c r="N177" i="4"/>
  <c r="L177" i="4"/>
  <c r="H177" i="4"/>
  <c r="I177" i="4" s="1"/>
  <c r="F177" i="4"/>
  <c r="C177" i="4"/>
  <c r="AC175" i="4"/>
  <c r="AD175" i="4" s="1"/>
  <c r="AA175" i="4"/>
  <c r="X175" i="4"/>
  <c r="W175" i="4"/>
  <c r="U175" i="4"/>
  <c r="R175" i="4"/>
  <c r="N175" i="4"/>
  <c r="O175" i="4" s="1"/>
  <c r="L175" i="4"/>
  <c r="H175" i="4"/>
  <c r="I175" i="4" s="1"/>
  <c r="F175" i="4"/>
  <c r="C175" i="4"/>
  <c r="Q172" i="4"/>
  <c r="K172" i="4"/>
  <c r="L172" i="4" s="1"/>
  <c r="AC171" i="4"/>
  <c r="AD171" i="4" s="1"/>
  <c r="Z171" i="4"/>
  <c r="AA171" i="4" s="1"/>
  <c r="T171" i="4"/>
  <c r="W171" i="4" s="1"/>
  <c r="X171" i="4" s="1"/>
  <c r="Q171" i="4"/>
  <c r="R171" i="4" s="1"/>
  <c r="K171" i="4"/>
  <c r="L171" i="4" s="1"/>
  <c r="E171" i="4"/>
  <c r="F171" i="4" s="1"/>
  <c r="B171" i="4"/>
  <c r="C171" i="4" s="1"/>
  <c r="AA170" i="4"/>
  <c r="Z170" i="4"/>
  <c r="T170" i="4"/>
  <c r="U170" i="4" s="1"/>
  <c r="Q170" i="4"/>
  <c r="R170" i="4" s="1"/>
  <c r="O170" i="4"/>
  <c r="N170" i="4"/>
  <c r="K170" i="4"/>
  <c r="L170" i="4" s="1"/>
  <c r="E170" i="4"/>
  <c r="F170" i="4" s="1"/>
  <c r="C170" i="4"/>
  <c r="B170" i="4"/>
  <c r="AC169" i="4"/>
  <c r="AD169" i="4" s="1"/>
  <c r="AA169" i="4"/>
  <c r="X169" i="4"/>
  <c r="W169" i="4"/>
  <c r="U169" i="4"/>
  <c r="R169" i="4"/>
  <c r="O169" i="4"/>
  <c r="N169" i="4"/>
  <c r="L169" i="4"/>
  <c r="H169" i="4"/>
  <c r="I169" i="4" s="1"/>
  <c r="F169" i="4"/>
  <c r="C169" i="4"/>
  <c r="AC168" i="4"/>
  <c r="AD168" i="4" s="1"/>
  <c r="AA168" i="4"/>
  <c r="X168" i="4"/>
  <c r="W168" i="4"/>
  <c r="U168" i="4"/>
  <c r="R168" i="4"/>
  <c r="O168" i="4"/>
  <c r="N168" i="4"/>
  <c r="L168" i="4"/>
  <c r="H168" i="4"/>
  <c r="I168" i="4" s="1"/>
  <c r="F168" i="4"/>
  <c r="C168" i="4"/>
  <c r="AC167" i="4"/>
  <c r="AD167" i="4" s="1"/>
  <c r="AA167" i="4"/>
  <c r="X167" i="4"/>
  <c r="W167" i="4"/>
  <c r="U167" i="4"/>
  <c r="R167" i="4"/>
  <c r="O167" i="4"/>
  <c r="N167" i="4"/>
  <c r="L167" i="4"/>
  <c r="I167" i="4"/>
  <c r="H167" i="4"/>
  <c r="F167" i="4"/>
  <c r="C167" i="4"/>
  <c r="Z166" i="4"/>
  <c r="AA166" i="4" s="1"/>
  <c r="T166" i="4"/>
  <c r="U166" i="4" s="1"/>
  <c r="Q166" i="4"/>
  <c r="R166" i="4" s="1"/>
  <c r="K166" i="4"/>
  <c r="N166" i="4" s="1"/>
  <c r="O166" i="4" s="1"/>
  <c r="E166" i="4"/>
  <c r="F166" i="4" s="1"/>
  <c r="B166" i="4"/>
  <c r="C166" i="4" s="1"/>
  <c r="AD165" i="4"/>
  <c r="AC165" i="4"/>
  <c r="AA165" i="4"/>
  <c r="X165" i="4"/>
  <c r="W165" i="4"/>
  <c r="U165" i="4"/>
  <c r="R165" i="4"/>
  <c r="N165" i="4"/>
  <c r="O165" i="4" s="1"/>
  <c r="L165" i="4"/>
  <c r="H165" i="4"/>
  <c r="I165" i="4" s="1"/>
  <c r="F165" i="4"/>
  <c r="C165" i="4"/>
  <c r="AC164" i="4"/>
  <c r="AD164" i="4" s="1"/>
  <c r="AA164" i="4"/>
  <c r="X164" i="4"/>
  <c r="W164" i="4"/>
  <c r="U164" i="4"/>
  <c r="R164" i="4"/>
  <c r="O164" i="4"/>
  <c r="N164" i="4"/>
  <c r="L164" i="4"/>
  <c r="H164" i="4"/>
  <c r="I164" i="4" s="1"/>
  <c r="F164" i="4"/>
  <c r="C164" i="4"/>
  <c r="AC163" i="4"/>
  <c r="AD163" i="4" s="1"/>
  <c r="AA163" i="4"/>
  <c r="X163" i="4"/>
  <c r="W163" i="4"/>
  <c r="U163" i="4"/>
  <c r="R163" i="4"/>
  <c r="O163" i="4"/>
  <c r="N163" i="4"/>
  <c r="L163" i="4"/>
  <c r="H163" i="4"/>
  <c r="I163" i="4" s="1"/>
  <c r="F163" i="4"/>
  <c r="C163" i="4"/>
  <c r="AC162" i="4"/>
  <c r="AD162" i="4" s="1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D161" i="4"/>
  <c r="AC161" i="4"/>
  <c r="AA161" i="4"/>
  <c r="X161" i="4"/>
  <c r="W161" i="4"/>
  <c r="U161" i="4"/>
  <c r="R161" i="4"/>
  <c r="O161" i="4"/>
  <c r="N161" i="4"/>
  <c r="L161" i="4"/>
  <c r="H161" i="4"/>
  <c r="I161" i="4" s="1"/>
  <c r="F161" i="4"/>
  <c r="C161" i="4"/>
  <c r="AC160" i="4"/>
  <c r="AD160" i="4" s="1"/>
  <c r="AA160" i="4"/>
  <c r="X160" i="4"/>
  <c r="W160" i="4"/>
  <c r="U160" i="4"/>
  <c r="R160" i="4"/>
  <c r="O160" i="4"/>
  <c r="N160" i="4"/>
  <c r="L160" i="4"/>
  <c r="H160" i="4"/>
  <c r="I160" i="4" s="1"/>
  <c r="F160" i="4"/>
  <c r="C160" i="4"/>
  <c r="Z158" i="4"/>
  <c r="AA158" i="4" s="1"/>
  <c r="T158" i="4"/>
  <c r="U158" i="4" s="1"/>
  <c r="Q158" i="4"/>
  <c r="R158" i="4" s="1"/>
  <c r="N158" i="4"/>
  <c r="O158" i="4" s="1"/>
  <c r="L158" i="4"/>
  <c r="K158" i="4"/>
  <c r="H158" i="4"/>
  <c r="I158" i="4" s="1"/>
  <c r="E158" i="4"/>
  <c r="F158" i="4" s="1"/>
  <c r="B158" i="4"/>
  <c r="C158" i="4" s="1"/>
  <c r="AC157" i="4"/>
  <c r="AD157" i="4" s="1"/>
  <c r="AA157" i="4"/>
  <c r="X157" i="4"/>
  <c r="W157" i="4"/>
  <c r="U157" i="4"/>
  <c r="R157" i="4"/>
  <c r="N157" i="4"/>
  <c r="O157" i="4" s="1"/>
  <c r="L157" i="4"/>
  <c r="H157" i="4"/>
  <c r="I157" i="4" s="1"/>
  <c r="F157" i="4"/>
  <c r="C157" i="4"/>
  <c r="AC156" i="4"/>
  <c r="AD156" i="4" s="1"/>
  <c r="AA156" i="4"/>
  <c r="X156" i="4"/>
  <c r="W156" i="4"/>
  <c r="U156" i="4"/>
  <c r="R156" i="4"/>
  <c r="O156" i="4"/>
  <c r="N156" i="4"/>
  <c r="L156" i="4"/>
  <c r="I156" i="4"/>
  <c r="H156" i="4"/>
  <c r="F156" i="4"/>
  <c r="C156" i="4"/>
  <c r="AC155" i="4"/>
  <c r="AD155" i="4" s="1"/>
  <c r="AA155" i="4"/>
  <c r="W155" i="4"/>
  <c r="X155" i="4" s="1"/>
  <c r="U155" i="4"/>
  <c r="R155" i="4"/>
  <c r="O155" i="4"/>
  <c r="N155" i="4"/>
  <c r="L155" i="4"/>
  <c r="H155" i="4"/>
  <c r="I155" i="4" s="1"/>
  <c r="F155" i="4"/>
  <c r="C155" i="4"/>
  <c r="AC154" i="4"/>
  <c r="AD154" i="4" s="1"/>
  <c r="AA154" i="4"/>
  <c r="X154" i="4"/>
  <c r="W154" i="4"/>
  <c r="U154" i="4"/>
  <c r="R154" i="4"/>
  <c r="O154" i="4"/>
  <c r="N154" i="4"/>
  <c r="L154" i="4"/>
  <c r="H154" i="4"/>
  <c r="I154" i="4" s="1"/>
  <c r="F154" i="4"/>
  <c r="C154" i="4"/>
  <c r="AD153" i="4"/>
  <c r="AC153" i="4"/>
  <c r="AA153" i="4"/>
  <c r="X153" i="4"/>
  <c r="W153" i="4"/>
  <c r="U153" i="4"/>
  <c r="R153" i="4"/>
  <c r="N153" i="4"/>
  <c r="O153" i="4" s="1"/>
  <c r="L153" i="4"/>
  <c r="H153" i="4"/>
  <c r="I153" i="4" s="1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H151" i="4"/>
  <c r="I151" i="4" s="1"/>
  <c r="F151" i="4"/>
  <c r="C151" i="4"/>
  <c r="Z149" i="4"/>
  <c r="AA149" i="4" s="1"/>
  <c r="X149" i="4"/>
  <c r="W149" i="4"/>
  <c r="T149" i="4"/>
  <c r="U149" i="4" s="1"/>
  <c r="Q149" i="4"/>
  <c r="R149" i="4" s="1"/>
  <c r="K149" i="4"/>
  <c r="N149" i="4" s="1"/>
  <c r="O149" i="4" s="1"/>
  <c r="E149" i="4"/>
  <c r="F149" i="4" s="1"/>
  <c r="B149" i="4"/>
  <c r="C149" i="4" s="1"/>
  <c r="Z148" i="4"/>
  <c r="AA148" i="4" s="1"/>
  <c r="T148" i="4"/>
  <c r="U148" i="4" s="1"/>
  <c r="R148" i="4"/>
  <c r="Q148" i="4"/>
  <c r="N148" i="4"/>
  <c r="O148" i="4" s="1"/>
  <c r="K148" i="4"/>
  <c r="L148" i="4" s="1"/>
  <c r="E148" i="4"/>
  <c r="F148" i="4" s="1"/>
  <c r="B148" i="4"/>
  <c r="C148" i="4" s="1"/>
  <c r="AC147" i="4"/>
  <c r="AD147" i="4" s="1"/>
  <c r="AA147" i="4"/>
  <c r="X147" i="4"/>
  <c r="W147" i="4"/>
  <c r="U147" i="4"/>
  <c r="R147" i="4"/>
  <c r="O147" i="4"/>
  <c r="N147" i="4"/>
  <c r="L147" i="4"/>
  <c r="H147" i="4"/>
  <c r="I147" i="4" s="1"/>
  <c r="F147" i="4"/>
  <c r="C147" i="4"/>
  <c r="AC146" i="4"/>
  <c r="AD146" i="4" s="1"/>
  <c r="AA146" i="4"/>
  <c r="X146" i="4"/>
  <c r="W146" i="4"/>
  <c r="U146" i="4"/>
  <c r="R146" i="4"/>
  <c r="O146" i="4"/>
  <c r="N146" i="4"/>
  <c r="L146" i="4"/>
  <c r="H146" i="4"/>
  <c r="I146" i="4" s="1"/>
  <c r="F146" i="4"/>
  <c r="C146" i="4"/>
  <c r="AD145" i="4"/>
  <c r="AC145" i="4"/>
  <c r="AA145" i="4"/>
  <c r="X145" i="4"/>
  <c r="W145" i="4"/>
  <c r="U145" i="4"/>
  <c r="R145" i="4"/>
  <c r="N145" i="4"/>
  <c r="O145" i="4" s="1"/>
  <c r="L145" i="4"/>
  <c r="H145" i="4"/>
  <c r="I145" i="4" s="1"/>
  <c r="F145" i="4"/>
  <c r="C145" i="4"/>
  <c r="AC144" i="4"/>
  <c r="AD144" i="4" s="1"/>
  <c r="AA144" i="4"/>
  <c r="X144" i="4"/>
  <c r="W144" i="4"/>
  <c r="U144" i="4"/>
  <c r="R144" i="4"/>
  <c r="O144" i="4"/>
  <c r="N144" i="4"/>
  <c r="L144" i="4"/>
  <c r="H144" i="4"/>
  <c r="I144" i="4" s="1"/>
  <c r="F144" i="4"/>
  <c r="C144" i="4"/>
  <c r="AC143" i="4"/>
  <c r="AD143" i="4" s="1"/>
  <c r="AA143" i="4"/>
  <c r="W143" i="4"/>
  <c r="X143" i="4" s="1"/>
  <c r="U143" i="4"/>
  <c r="R143" i="4"/>
  <c r="O143" i="4"/>
  <c r="N143" i="4"/>
  <c r="L143" i="4"/>
  <c r="H143" i="4"/>
  <c r="I143" i="4" s="1"/>
  <c r="F143" i="4"/>
  <c r="C143" i="4"/>
  <c r="AC141" i="4"/>
  <c r="AD141" i="4" s="1"/>
  <c r="Z141" i="4"/>
  <c r="AA141" i="4" s="1"/>
  <c r="T141" i="4"/>
  <c r="W141" i="4" s="1"/>
  <c r="X141" i="4" s="1"/>
  <c r="Q141" i="4"/>
  <c r="R141" i="4" s="1"/>
  <c r="K141" i="4"/>
  <c r="L141" i="4" s="1"/>
  <c r="E141" i="4"/>
  <c r="F141" i="4" s="1"/>
  <c r="B141" i="4"/>
  <c r="C141" i="4" s="1"/>
  <c r="AC140" i="4"/>
  <c r="AD140" i="4" s="1"/>
  <c r="AA140" i="4"/>
  <c r="X140" i="4"/>
  <c r="W140" i="4"/>
  <c r="U140" i="4"/>
  <c r="R140" i="4"/>
  <c r="O140" i="4"/>
  <c r="N140" i="4"/>
  <c r="L140" i="4"/>
  <c r="I140" i="4"/>
  <c r="H140" i="4"/>
  <c r="F140" i="4"/>
  <c r="C140" i="4"/>
  <c r="AC139" i="4"/>
  <c r="AD139" i="4" s="1"/>
  <c r="AA139" i="4"/>
  <c r="X139" i="4"/>
  <c r="W139" i="4"/>
  <c r="U139" i="4"/>
  <c r="R139" i="4"/>
  <c r="O139" i="4"/>
  <c r="N139" i="4"/>
  <c r="L139" i="4"/>
  <c r="H139" i="4"/>
  <c r="I139" i="4" s="1"/>
  <c r="F139" i="4"/>
  <c r="C139" i="4"/>
  <c r="AC138" i="4"/>
  <c r="AD138" i="4" s="1"/>
  <c r="AA138" i="4"/>
  <c r="X138" i="4"/>
  <c r="W138" i="4"/>
  <c r="U138" i="4"/>
  <c r="R138" i="4"/>
  <c r="O138" i="4"/>
  <c r="N138" i="4"/>
  <c r="L138" i="4"/>
  <c r="H138" i="4"/>
  <c r="I138" i="4" s="1"/>
  <c r="F138" i="4"/>
  <c r="C138" i="4"/>
  <c r="AC137" i="4"/>
  <c r="AD137" i="4" s="1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C135" i="4"/>
  <c r="AD135" i="4" s="1"/>
  <c r="AA135" i="4"/>
  <c r="X135" i="4"/>
  <c r="W135" i="4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O134" i="4"/>
  <c r="N134" i="4"/>
  <c r="L134" i="4"/>
  <c r="H134" i="4"/>
  <c r="I134" i="4" s="1"/>
  <c r="F134" i="4"/>
  <c r="C134" i="4"/>
  <c r="AD133" i="4"/>
  <c r="AC133" i="4"/>
  <c r="AA133" i="4"/>
  <c r="X133" i="4"/>
  <c r="W133" i="4"/>
  <c r="U133" i="4"/>
  <c r="R133" i="4"/>
  <c r="N133" i="4"/>
  <c r="O133" i="4" s="1"/>
  <c r="L133" i="4"/>
  <c r="H133" i="4"/>
  <c r="I133" i="4" s="1"/>
  <c r="F133" i="4"/>
  <c r="C133" i="4"/>
  <c r="AC132" i="4"/>
  <c r="AD132" i="4" s="1"/>
  <c r="AA132" i="4"/>
  <c r="X132" i="4"/>
  <c r="W132" i="4"/>
  <c r="U132" i="4"/>
  <c r="R132" i="4"/>
  <c r="O132" i="4"/>
  <c r="N132" i="4"/>
  <c r="L132" i="4"/>
  <c r="H132" i="4"/>
  <c r="I132" i="4" s="1"/>
  <c r="F132" i="4"/>
  <c r="C132" i="4"/>
  <c r="AC131" i="4"/>
  <c r="AD131" i="4" s="1"/>
  <c r="AA131" i="4"/>
  <c r="W131" i="4"/>
  <c r="X131" i="4" s="1"/>
  <c r="U131" i="4"/>
  <c r="R131" i="4"/>
  <c r="O131" i="4"/>
  <c r="N131" i="4"/>
  <c r="L131" i="4"/>
  <c r="H131" i="4"/>
  <c r="I131" i="4" s="1"/>
  <c r="F131" i="4"/>
  <c r="C131" i="4"/>
  <c r="AC130" i="4"/>
  <c r="AD130" i="4" s="1"/>
  <c r="AA130" i="4"/>
  <c r="X130" i="4"/>
  <c r="W130" i="4"/>
  <c r="U130" i="4"/>
  <c r="R130" i="4"/>
  <c r="O130" i="4"/>
  <c r="N130" i="4"/>
  <c r="L130" i="4"/>
  <c r="H130" i="4"/>
  <c r="I130" i="4" s="1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H129" i="4"/>
  <c r="I129" i="4" s="1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I127" i="4"/>
  <c r="H127" i="4"/>
  <c r="F127" i="4"/>
  <c r="C127" i="4"/>
  <c r="Z124" i="4"/>
  <c r="AA124" i="4" s="1"/>
  <c r="T124" i="4"/>
  <c r="Q124" i="4"/>
  <c r="R124" i="4" s="1"/>
  <c r="L124" i="4"/>
  <c r="K124" i="4"/>
  <c r="E124" i="4"/>
  <c r="F124" i="4" s="1"/>
  <c r="B124" i="4"/>
  <c r="C124" i="4" s="1"/>
  <c r="AD123" i="4"/>
  <c r="AC123" i="4"/>
  <c r="AA123" i="4"/>
  <c r="X123" i="4"/>
  <c r="W123" i="4"/>
  <c r="U123" i="4"/>
  <c r="R123" i="4"/>
  <c r="N123" i="4"/>
  <c r="O123" i="4" s="1"/>
  <c r="L123" i="4"/>
  <c r="H123" i="4"/>
  <c r="I123" i="4" s="1"/>
  <c r="F123" i="4"/>
  <c r="C123" i="4"/>
  <c r="Z122" i="4"/>
  <c r="AC122" i="4" s="1"/>
  <c r="AD122" i="4" s="1"/>
  <c r="W122" i="4"/>
  <c r="X122" i="4" s="1"/>
  <c r="T122" i="4"/>
  <c r="U122" i="4" s="1"/>
  <c r="Q122" i="4"/>
  <c r="R122" i="4" s="1"/>
  <c r="K122" i="4"/>
  <c r="L122" i="4" s="1"/>
  <c r="E122" i="4"/>
  <c r="F122" i="4" s="1"/>
  <c r="C122" i="4"/>
  <c r="B122" i="4"/>
  <c r="H122" i="4" s="1"/>
  <c r="I122" i="4" s="1"/>
  <c r="AC121" i="4"/>
  <c r="AD121" i="4" s="1"/>
  <c r="AA121" i="4"/>
  <c r="X121" i="4"/>
  <c r="W121" i="4"/>
  <c r="U121" i="4"/>
  <c r="R121" i="4"/>
  <c r="O121" i="4"/>
  <c r="N121" i="4"/>
  <c r="L121" i="4"/>
  <c r="H121" i="4"/>
  <c r="I121" i="4" s="1"/>
  <c r="F121" i="4"/>
  <c r="C121" i="4"/>
  <c r="AC120" i="4"/>
  <c r="AD120" i="4" s="1"/>
  <c r="AA120" i="4"/>
  <c r="X120" i="4"/>
  <c r="W120" i="4"/>
  <c r="U120" i="4"/>
  <c r="R120" i="4"/>
  <c r="O120" i="4"/>
  <c r="N120" i="4"/>
  <c r="L120" i="4"/>
  <c r="H120" i="4"/>
  <c r="I120" i="4" s="1"/>
  <c r="F120" i="4"/>
  <c r="C120" i="4"/>
  <c r="AC119" i="4"/>
  <c r="AD119" i="4" s="1"/>
  <c r="AA119" i="4"/>
  <c r="X119" i="4"/>
  <c r="W119" i="4"/>
  <c r="U119" i="4"/>
  <c r="R119" i="4"/>
  <c r="O119" i="4"/>
  <c r="N119" i="4"/>
  <c r="L119" i="4"/>
  <c r="I119" i="4"/>
  <c r="H119" i="4"/>
  <c r="F119" i="4"/>
  <c r="C119" i="4"/>
  <c r="Z118" i="4"/>
  <c r="AA118" i="4" s="1"/>
  <c r="X118" i="4"/>
  <c r="W118" i="4"/>
  <c r="T118" i="4"/>
  <c r="U118" i="4" s="1"/>
  <c r="Q118" i="4"/>
  <c r="R118" i="4" s="1"/>
  <c r="K118" i="4"/>
  <c r="L118" i="4" s="1"/>
  <c r="H118" i="4"/>
  <c r="I118" i="4" s="1"/>
  <c r="E118" i="4"/>
  <c r="F118" i="4" s="1"/>
  <c r="B118" i="4"/>
  <c r="C118" i="4" s="1"/>
  <c r="AC117" i="4"/>
  <c r="AD117" i="4" s="1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C116" i="4"/>
  <c r="AD116" i="4" s="1"/>
  <c r="AA116" i="4"/>
  <c r="X116" i="4"/>
  <c r="W116" i="4"/>
  <c r="U116" i="4"/>
  <c r="R116" i="4"/>
  <c r="O116" i="4"/>
  <c r="N116" i="4"/>
  <c r="L116" i="4"/>
  <c r="I116" i="4"/>
  <c r="H116" i="4"/>
  <c r="F116" i="4"/>
  <c r="C116" i="4"/>
  <c r="AC115" i="4"/>
  <c r="AD115" i="4" s="1"/>
  <c r="AA115" i="4"/>
  <c r="W115" i="4"/>
  <c r="X115" i="4" s="1"/>
  <c r="U115" i="4"/>
  <c r="R115" i="4"/>
  <c r="O115" i="4"/>
  <c r="N115" i="4"/>
  <c r="L115" i="4"/>
  <c r="H115" i="4"/>
  <c r="I115" i="4" s="1"/>
  <c r="F115" i="4"/>
  <c r="C115" i="4"/>
  <c r="AC114" i="4"/>
  <c r="AD114" i="4" s="1"/>
  <c r="AA114" i="4"/>
  <c r="X114" i="4"/>
  <c r="W114" i="4"/>
  <c r="U114" i="4"/>
  <c r="R114" i="4"/>
  <c r="O114" i="4"/>
  <c r="N114" i="4"/>
  <c r="L114" i="4"/>
  <c r="H114" i="4"/>
  <c r="I114" i="4" s="1"/>
  <c r="F114" i="4"/>
  <c r="C114" i="4"/>
  <c r="AD113" i="4"/>
  <c r="AC113" i="4"/>
  <c r="AA113" i="4"/>
  <c r="X113" i="4"/>
  <c r="W113" i="4"/>
  <c r="U113" i="4"/>
  <c r="R113" i="4"/>
  <c r="O113" i="4"/>
  <c r="N113" i="4"/>
  <c r="L113" i="4"/>
  <c r="H113" i="4"/>
  <c r="I113" i="4" s="1"/>
  <c r="F113" i="4"/>
  <c r="C113" i="4"/>
  <c r="AC112" i="4"/>
  <c r="AD112" i="4" s="1"/>
  <c r="AA112" i="4"/>
  <c r="X112" i="4"/>
  <c r="W112" i="4"/>
  <c r="U112" i="4"/>
  <c r="R112" i="4"/>
  <c r="O112" i="4"/>
  <c r="N112" i="4"/>
  <c r="L112" i="4"/>
  <c r="H112" i="4"/>
  <c r="I112" i="4" s="1"/>
  <c r="F112" i="4"/>
  <c r="C112" i="4"/>
  <c r="AC111" i="4"/>
  <c r="AD111" i="4" s="1"/>
  <c r="AA111" i="4"/>
  <c r="X111" i="4"/>
  <c r="W111" i="4"/>
  <c r="U111" i="4"/>
  <c r="R111" i="4"/>
  <c r="O111" i="4"/>
  <c r="N111" i="4"/>
  <c r="L111" i="4"/>
  <c r="H111" i="4"/>
  <c r="I111" i="4" s="1"/>
  <c r="F111" i="4"/>
  <c r="C111" i="4"/>
  <c r="AC110" i="4"/>
  <c r="AD110" i="4" s="1"/>
  <c r="AA110" i="4"/>
  <c r="X110" i="4"/>
  <c r="W110" i="4"/>
  <c r="U110" i="4"/>
  <c r="R110" i="4"/>
  <c r="O110" i="4"/>
  <c r="N110" i="4"/>
  <c r="L110" i="4"/>
  <c r="H110" i="4"/>
  <c r="I110" i="4" s="1"/>
  <c r="F110" i="4"/>
  <c r="C110" i="4"/>
  <c r="AC109" i="4"/>
  <c r="AD109" i="4" s="1"/>
  <c r="AA109" i="4"/>
  <c r="X109" i="4"/>
  <c r="W109" i="4"/>
  <c r="U109" i="4"/>
  <c r="R109" i="4"/>
  <c r="N109" i="4"/>
  <c r="O109" i="4" s="1"/>
  <c r="L109" i="4"/>
  <c r="H109" i="4"/>
  <c r="I109" i="4" s="1"/>
  <c r="F109" i="4"/>
  <c r="C109" i="4"/>
  <c r="AC108" i="4"/>
  <c r="AD108" i="4" s="1"/>
  <c r="AA108" i="4"/>
  <c r="X108" i="4"/>
  <c r="W108" i="4"/>
  <c r="U108" i="4"/>
  <c r="R108" i="4"/>
  <c r="O108" i="4"/>
  <c r="N108" i="4"/>
  <c r="L108" i="4"/>
  <c r="I108" i="4"/>
  <c r="H108" i="4"/>
  <c r="F108" i="4"/>
  <c r="C108" i="4"/>
  <c r="AC107" i="4"/>
  <c r="AD107" i="4" s="1"/>
  <c r="AA107" i="4"/>
  <c r="W107" i="4"/>
  <c r="X107" i="4" s="1"/>
  <c r="U107" i="4"/>
  <c r="R107" i="4"/>
  <c r="O107" i="4"/>
  <c r="N107" i="4"/>
  <c r="L107" i="4"/>
  <c r="H107" i="4"/>
  <c r="I107" i="4" s="1"/>
  <c r="F107" i="4"/>
  <c r="C107" i="4"/>
  <c r="AC106" i="4"/>
  <c r="AD106" i="4" s="1"/>
  <c r="AA106" i="4"/>
  <c r="X106" i="4"/>
  <c r="W106" i="4"/>
  <c r="U106" i="4"/>
  <c r="R106" i="4"/>
  <c r="O106" i="4"/>
  <c r="N106" i="4"/>
  <c r="L106" i="4"/>
  <c r="H106" i="4"/>
  <c r="I106" i="4" s="1"/>
  <c r="F106" i="4"/>
  <c r="C106" i="4"/>
  <c r="AD105" i="4"/>
  <c r="AC105" i="4"/>
  <c r="AA105" i="4"/>
  <c r="X105" i="4"/>
  <c r="W105" i="4"/>
  <c r="U105" i="4"/>
  <c r="R105" i="4"/>
  <c r="N105" i="4"/>
  <c r="O105" i="4" s="1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O104" i="4"/>
  <c r="N104" i="4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O103" i="4"/>
  <c r="N103" i="4"/>
  <c r="L103" i="4"/>
  <c r="H103" i="4"/>
  <c r="I103" i="4" s="1"/>
  <c r="F103" i="4"/>
  <c r="C103" i="4"/>
  <c r="AC102" i="4"/>
  <c r="AD102" i="4" s="1"/>
  <c r="AA102" i="4"/>
  <c r="X102" i="4"/>
  <c r="W102" i="4"/>
  <c r="U102" i="4"/>
  <c r="R102" i="4"/>
  <c r="O102" i="4"/>
  <c r="N102" i="4"/>
  <c r="L102" i="4"/>
  <c r="H102" i="4"/>
  <c r="I102" i="4" s="1"/>
  <c r="F102" i="4"/>
  <c r="C102" i="4"/>
  <c r="AC101" i="4"/>
  <c r="AD101" i="4" s="1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C100" i="4"/>
  <c r="AD100" i="4" s="1"/>
  <c r="AA100" i="4"/>
  <c r="X100" i="4"/>
  <c r="W100" i="4"/>
  <c r="U100" i="4"/>
  <c r="R100" i="4"/>
  <c r="O100" i="4"/>
  <c r="N100" i="4"/>
  <c r="L100" i="4"/>
  <c r="I100" i="4"/>
  <c r="H100" i="4"/>
  <c r="F100" i="4"/>
  <c r="C100" i="4"/>
  <c r="AC99" i="4"/>
  <c r="AD99" i="4" s="1"/>
  <c r="AA99" i="4"/>
  <c r="W99" i="4"/>
  <c r="X99" i="4" s="1"/>
  <c r="U99" i="4"/>
  <c r="R99" i="4"/>
  <c r="O99" i="4"/>
  <c r="N99" i="4"/>
  <c r="L99" i="4"/>
  <c r="H99" i="4"/>
  <c r="I99" i="4" s="1"/>
  <c r="F99" i="4"/>
  <c r="C99" i="4"/>
  <c r="AC98" i="4"/>
  <c r="AD98" i="4" s="1"/>
  <c r="AA98" i="4"/>
  <c r="X98" i="4"/>
  <c r="W98" i="4"/>
  <c r="U98" i="4"/>
  <c r="R98" i="4"/>
  <c r="O98" i="4"/>
  <c r="N98" i="4"/>
  <c r="L98" i="4"/>
  <c r="H98" i="4"/>
  <c r="I98" i="4" s="1"/>
  <c r="F98" i="4"/>
  <c r="C98" i="4"/>
  <c r="AD97" i="4"/>
  <c r="AC97" i="4"/>
  <c r="AA97" i="4"/>
  <c r="X97" i="4"/>
  <c r="W97" i="4"/>
  <c r="U97" i="4"/>
  <c r="R97" i="4"/>
  <c r="O97" i="4"/>
  <c r="N97" i="4"/>
  <c r="L97" i="4"/>
  <c r="H97" i="4"/>
  <c r="I97" i="4" s="1"/>
  <c r="F97" i="4"/>
  <c r="C97" i="4"/>
  <c r="AC96" i="4"/>
  <c r="AD96" i="4" s="1"/>
  <c r="AA96" i="4"/>
  <c r="X96" i="4"/>
  <c r="W96" i="4"/>
  <c r="U96" i="4"/>
  <c r="R96" i="4"/>
  <c r="O96" i="4"/>
  <c r="N96" i="4"/>
  <c r="L96" i="4"/>
  <c r="H96" i="4"/>
  <c r="I96" i="4" s="1"/>
  <c r="F96" i="4"/>
  <c r="C96" i="4"/>
  <c r="AC95" i="4"/>
  <c r="AD95" i="4" s="1"/>
  <c r="AA95" i="4"/>
  <c r="X95" i="4"/>
  <c r="W95" i="4"/>
  <c r="U95" i="4"/>
  <c r="R95" i="4"/>
  <c r="O95" i="4"/>
  <c r="N95" i="4"/>
  <c r="L95" i="4"/>
  <c r="H95" i="4"/>
  <c r="I95" i="4" s="1"/>
  <c r="F95" i="4"/>
  <c r="C95" i="4"/>
  <c r="AC94" i="4"/>
  <c r="AD94" i="4" s="1"/>
  <c r="AA94" i="4"/>
  <c r="X94" i="4"/>
  <c r="W94" i="4"/>
  <c r="U94" i="4"/>
  <c r="R94" i="4"/>
  <c r="O94" i="4"/>
  <c r="N94" i="4"/>
  <c r="L94" i="4"/>
  <c r="H94" i="4"/>
  <c r="I94" i="4" s="1"/>
  <c r="F94" i="4"/>
  <c r="C94" i="4"/>
  <c r="AC92" i="4"/>
  <c r="AD92" i="4" s="1"/>
  <c r="AA92" i="4"/>
  <c r="X92" i="4"/>
  <c r="W92" i="4"/>
  <c r="U92" i="4"/>
  <c r="R92" i="4"/>
  <c r="N92" i="4"/>
  <c r="O92" i="4" s="1"/>
  <c r="L92" i="4"/>
  <c r="H92" i="4"/>
  <c r="I92" i="4" s="1"/>
  <c r="F92" i="4"/>
  <c r="C92" i="4"/>
  <c r="AC91" i="4"/>
  <c r="AD91" i="4" s="1"/>
  <c r="AA91" i="4"/>
  <c r="X91" i="4"/>
  <c r="W91" i="4"/>
  <c r="U91" i="4"/>
  <c r="R91" i="4"/>
  <c r="O91" i="4"/>
  <c r="N91" i="4"/>
  <c r="L91" i="4"/>
  <c r="I91" i="4"/>
  <c r="H91" i="4"/>
  <c r="F91" i="4"/>
  <c r="C91" i="4"/>
  <c r="AC90" i="4"/>
  <c r="AD90" i="4" s="1"/>
  <c r="AA90" i="4"/>
  <c r="W90" i="4"/>
  <c r="X90" i="4" s="1"/>
  <c r="U90" i="4"/>
  <c r="R90" i="4"/>
  <c r="O90" i="4"/>
  <c r="N90" i="4"/>
  <c r="L90" i="4"/>
  <c r="H90" i="4"/>
  <c r="I90" i="4" s="1"/>
  <c r="F90" i="4"/>
  <c r="C90" i="4"/>
  <c r="AC89" i="4"/>
  <c r="AD89" i="4" s="1"/>
  <c r="AA89" i="4"/>
  <c r="X89" i="4"/>
  <c r="W89" i="4"/>
  <c r="U89" i="4"/>
  <c r="R89" i="4"/>
  <c r="O89" i="4"/>
  <c r="N89" i="4"/>
  <c r="L89" i="4"/>
  <c r="H89" i="4"/>
  <c r="I89" i="4" s="1"/>
  <c r="F89" i="4"/>
  <c r="C89" i="4"/>
  <c r="AD88" i="4"/>
  <c r="AC88" i="4"/>
  <c r="Z88" i="4"/>
  <c r="AA88" i="4" s="1"/>
  <c r="T88" i="4"/>
  <c r="U88" i="4" s="1"/>
  <c r="R88" i="4"/>
  <c r="Q88" i="4"/>
  <c r="K88" i="4"/>
  <c r="L88" i="4" s="1"/>
  <c r="F88" i="4"/>
  <c r="E88" i="4"/>
  <c r="B88" i="4"/>
  <c r="C88" i="4" s="1"/>
  <c r="AC87" i="4"/>
  <c r="AD87" i="4" s="1"/>
  <c r="AA87" i="4"/>
  <c r="W87" i="4"/>
  <c r="X87" i="4" s="1"/>
  <c r="U87" i="4"/>
  <c r="R87" i="4"/>
  <c r="O87" i="4"/>
  <c r="N87" i="4"/>
  <c r="L87" i="4"/>
  <c r="H87" i="4"/>
  <c r="I87" i="4" s="1"/>
  <c r="F87" i="4"/>
  <c r="C87" i="4"/>
  <c r="AC86" i="4"/>
  <c r="AD86" i="4" s="1"/>
  <c r="AA86" i="4"/>
  <c r="X86" i="4"/>
  <c r="W86" i="4"/>
  <c r="U86" i="4"/>
  <c r="R86" i="4"/>
  <c r="O86" i="4"/>
  <c r="N86" i="4"/>
  <c r="L86" i="4"/>
  <c r="H86" i="4"/>
  <c r="I86" i="4" s="1"/>
  <c r="F86" i="4"/>
  <c r="C86" i="4"/>
  <c r="AD85" i="4"/>
  <c r="AC85" i="4"/>
  <c r="AA85" i="4"/>
  <c r="X85" i="4"/>
  <c r="W85" i="4"/>
  <c r="U85" i="4"/>
  <c r="R85" i="4"/>
  <c r="O85" i="4"/>
  <c r="N85" i="4"/>
  <c r="L85" i="4"/>
  <c r="H85" i="4"/>
  <c r="I85" i="4" s="1"/>
  <c r="F85" i="4"/>
  <c r="C85" i="4"/>
  <c r="AC84" i="4"/>
  <c r="AD84" i="4" s="1"/>
  <c r="AA84" i="4"/>
  <c r="X84" i="4"/>
  <c r="W84" i="4"/>
  <c r="U84" i="4"/>
  <c r="R84" i="4"/>
  <c r="O84" i="4"/>
  <c r="N84" i="4"/>
  <c r="L84" i="4"/>
  <c r="H84" i="4"/>
  <c r="I84" i="4" s="1"/>
  <c r="F84" i="4"/>
  <c r="C84" i="4"/>
  <c r="AC83" i="4"/>
  <c r="AD83" i="4" s="1"/>
  <c r="AA83" i="4"/>
  <c r="X83" i="4"/>
  <c r="W83" i="4"/>
  <c r="U83" i="4"/>
  <c r="R83" i="4"/>
  <c r="O83" i="4"/>
  <c r="N83" i="4"/>
  <c r="L83" i="4"/>
  <c r="H83" i="4"/>
  <c r="I83" i="4" s="1"/>
  <c r="F83" i="4"/>
  <c r="C83" i="4"/>
  <c r="AC82" i="4"/>
  <c r="AD82" i="4" s="1"/>
  <c r="AA82" i="4"/>
  <c r="X82" i="4"/>
  <c r="W82" i="4"/>
  <c r="U82" i="4"/>
  <c r="R82" i="4"/>
  <c r="O82" i="4"/>
  <c r="N82" i="4"/>
  <c r="L82" i="4"/>
  <c r="H82" i="4"/>
  <c r="I82" i="4" s="1"/>
  <c r="F82" i="4"/>
  <c r="C82" i="4"/>
  <c r="AC81" i="4"/>
  <c r="AD81" i="4" s="1"/>
  <c r="AA81" i="4"/>
  <c r="X81" i="4"/>
  <c r="W81" i="4"/>
  <c r="U81" i="4"/>
  <c r="R81" i="4"/>
  <c r="N81" i="4"/>
  <c r="O81" i="4" s="1"/>
  <c r="L81" i="4"/>
  <c r="H81" i="4"/>
  <c r="I81" i="4" s="1"/>
  <c r="F81" i="4"/>
  <c r="C81" i="4"/>
  <c r="AC80" i="4"/>
  <c r="AD80" i="4" s="1"/>
  <c r="AA80" i="4"/>
  <c r="X80" i="4"/>
  <c r="W80" i="4"/>
  <c r="U80" i="4"/>
  <c r="R80" i="4"/>
  <c r="O80" i="4"/>
  <c r="N80" i="4"/>
  <c r="L80" i="4"/>
  <c r="I80" i="4"/>
  <c r="H80" i="4"/>
  <c r="F80" i="4"/>
  <c r="C80" i="4"/>
  <c r="AC79" i="4"/>
  <c r="AD79" i="4" s="1"/>
  <c r="AA79" i="4"/>
  <c r="W79" i="4"/>
  <c r="X79" i="4" s="1"/>
  <c r="U79" i="4"/>
  <c r="R79" i="4"/>
  <c r="O79" i="4"/>
  <c r="N79" i="4"/>
  <c r="L79" i="4"/>
  <c r="H79" i="4"/>
  <c r="I79" i="4" s="1"/>
  <c r="F79" i="4"/>
  <c r="C79" i="4"/>
  <c r="AC78" i="4"/>
  <c r="AD78" i="4" s="1"/>
  <c r="AA78" i="4"/>
  <c r="X78" i="4"/>
  <c r="W78" i="4"/>
  <c r="U78" i="4"/>
  <c r="R78" i="4"/>
  <c r="O78" i="4"/>
  <c r="N78" i="4"/>
  <c r="L78" i="4"/>
  <c r="H78" i="4"/>
  <c r="I78" i="4" s="1"/>
  <c r="F78" i="4"/>
  <c r="C78" i="4"/>
  <c r="AD77" i="4"/>
  <c r="AC77" i="4"/>
  <c r="AA77" i="4"/>
  <c r="X77" i="4"/>
  <c r="W77" i="4"/>
  <c r="U77" i="4"/>
  <c r="R77" i="4"/>
  <c r="N77" i="4"/>
  <c r="O77" i="4" s="1"/>
  <c r="L77" i="4"/>
  <c r="H77" i="4"/>
  <c r="I77" i="4" s="1"/>
  <c r="F77" i="4"/>
  <c r="C77" i="4"/>
  <c r="AC76" i="4"/>
  <c r="AD76" i="4" s="1"/>
  <c r="AA76" i="4"/>
  <c r="X76" i="4"/>
  <c r="W76" i="4"/>
  <c r="U76" i="4"/>
  <c r="R76" i="4"/>
  <c r="O76" i="4"/>
  <c r="N76" i="4"/>
  <c r="L76" i="4"/>
  <c r="H76" i="4"/>
  <c r="I76" i="4" s="1"/>
  <c r="F76" i="4"/>
  <c r="C76" i="4"/>
  <c r="AC75" i="4"/>
  <c r="AD75" i="4" s="1"/>
  <c r="AA75" i="4"/>
  <c r="X75" i="4"/>
  <c r="W75" i="4"/>
  <c r="U75" i="4"/>
  <c r="R75" i="4"/>
  <c r="O75" i="4"/>
  <c r="N75" i="4"/>
  <c r="L75" i="4"/>
  <c r="H75" i="4"/>
  <c r="I75" i="4" s="1"/>
  <c r="F75" i="4"/>
  <c r="C75" i="4"/>
  <c r="Z73" i="4"/>
  <c r="AA73" i="4" s="1"/>
  <c r="U73" i="4"/>
  <c r="T73" i="4"/>
  <c r="Q73" i="4"/>
  <c r="R73" i="4" s="1"/>
  <c r="K73" i="4"/>
  <c r="L73" i="4" s="1"/>
  <c r="E73" i="4"/>
  <c r="F73" i="4" s="1"/>
  <c r="B73" i="4"/>
  <c r="C73" i="4" s="1"/>
  <c r="AC72" i="4"/>
  <c r="AD72" i="4" s="1"/>
  <c r="AA72" i="4"/>
  <c r="X72" i="4"/>
  <c r="W72" i="4"/>
  <c r="U72" i="4"/>
  <c r="R72" i="4"/>
  <c r="O72" i="4"/>
  <c r="N72" i="4"/>
  <c r="L72" i="4"/>
  <c r="H72" i="4"/>
  <c r="I72" i="4" s="1"/>
  <c r="F72" i="4"/>
  <c r="C72" i="4"/>
  <c r="AC71" i="4"/>
  <c r="AD71" i="4" s="1"/>
  <c r="AA71" i="4"/>
  <c r="W71" i="4"/>
  <c r="X71" i="4" s="1"/>
  <c r="U71" i="4"/>
  <c r="R71" i="4"/>
  <c r="O71" i="4"/>
  <c r="N71" i="4"/>
  <c r="L71" i="4"/>
  <c r="H71" i="4"/>
  <c r="I71" i="4" s="1"/>
  <c r="F71" i="4"/>
  <c r="C71" i="4"/>
  <c r="AC70" i="4"/>
  <c r="AD70" i="4" s="1"/>
  <c r="AA70" i="4"/>
  <c r="X70" i="4"/>
  <c r="W70" i="4"/>
  <c r="U70" i="4"/>
  <c r="R70" i="4"/>
  <c r="O70" i="4"/>
  <c r="N70" i="4"/>
  <c r="L70" i="4"/>
  <c r="H70" i="4"/>
  <c r="I70" i="4" s="1"/>
  <c r="F70" i="4"/>
  <c r="C70" i="4"/>
  <c r="AC69" i="4"/>
  <c r="AD69" i="4" s="1"/>
  <c r="AA69" i="4"/>
  <c r="X69" i="4"/>
  <c r="W69" i="4"/>
  <c r="U69" i="4"/>
  <c r="R69" i="4"/>
  <c r="N69" i="4"/>
  <c r="O69" i="4" s="1"/>
  <c r="L69" i="4"/>
  <c r="H69" i="4"/>
  <c r="I69" i="4" s="1"/>
  <c r="F69" i="4"/>
  <c r="C69" i="4"/>
  <c r="AC68" i="4"/>
  <c r="AD68" i="4" s="1"/>
  <c r="AA68" i="4"/>
  <c r="X68" i="4"/>
  <c r="W68" i="4"/>
  <c r="U68" i="4"/>
  <c r="R68" i="4"/>
  <c r="O68" i="4"/>
  <c r="N68" i="4"/>
  <c r="L68" i="4"/>
  <c r="I68" i="4"/>
  <c r="H68" i="4"/>
  <c r="F68" i="4"/>
  <c r="C68" i="4"/>
  <c r="AC67" i="4"/>
  <c r="AD67" i="4" s="1"/>
  <c r="AA67" i="4"/>
  <c r="W67" i="4"/>
  <c r="X67" i="4" s="1"/>
  <c r="U67" i="4"/>
  <c r="R67" i="4"/>
  <c r="O67" i="4"/>
  <c r="N67" i="4"/>
  <c r="L67" i="4"/>
  <c r="H67" i="4"/>
  <c r="I67" i="4" s="1"/>
  <c r="F67" i="4"/>
  <c r="C67" i="4"/>
  <c r="AC66" i="4"/>
  <c r="AD66" i="4" s="1"/>
  <c r="AA66" i="4"/>
  <c r="X66" i="4"/>
  <c r="W66" i="4"/>
  <c r="U66" i="4"/>
  <c r="R66" i="4"/>
  <c r="O66" i="4"/>
  <c r="N66" i="4"/>
  <c r="L66" i="4"/>
  <c r="H66" i="4"/>
  <c r="I66" i="4" s="1"/>
  <c r="F66" i="4"/>
  <c r="C66" i="4"/>
  <c r="AC65" i="4"/>
  <c r="AD65" i="4" s="1"/>
  <c r="AA65" i="4"/>
  <c r="X65" i="4"/>
  <c r="W65" i="4"/>
  <c r="U65" i="4"/>
  <c r="R65" i="4"/>
  <c r="O65" i="4"/>
  <c r="N65" i="4"/>
  <c r="L65" i="4"/>
  <c r="H65" i="4"/>
  <c r="I65" i="4" s="1"/>
  <c r="F65" i="4"/>
  <c r="C65" i="4"/>
  <c r="AC64" i="4"/>
  <c r="AD64" i="4" s="1"/>
  <c r="AA64" i="4"/>
  <c r="X64" i="4"/>
  <c r="W64" i="4"/>
  <c r="U64" i="4"/>
  <c r="R64" i="4"/>
  <c r="O64" i="4"/>
  <c r="N64" i="4"/>
  <c r="L64" i="4"/>
  <c r="H64" i="4"/>
  <c r="I64" i="4" s="1"/>
  <c r="F64" i="4"/>
  <c r="C64" i="4"/>
  <c r="Z62" i="4"/>
  <c r="AA62" i="4" s="1"/>
  <c r="X62" i="4"/>
  <c r="W62" i="4"/>
  <c r="T62" i="4"/>
  <c r="U62" i="4" s="1"/>
  <c r="Q62" i="4"/>
  <c r="R62" i="4" s="1"/>
  <c r="K62" i="4"/>
  <c r="N62" i="4" s="1"/>
  <c r="O62" i="4" s="1"/>
  <c r="E62" i="4"/>
  <c r="F62" i="4" s="1"/>
  <c r="B62" i="4"/>
  <c r="C62" i="4" s="1"/>
  <c r="Z61" i="4"/>
  <c r="AA61" i="4" s="1"/>
  <c r="T61" i="4"/>
  <c r="U61" i="4" s="1"/>
  <c r="Q61" i="4"/>
  <c r="AC61" i="4" s="1"/>
  <c r="AD61" i="4" s="1"/>
  <c r="K61" i="4"/>
  <c r="L61" i="4" s="1"/>
  <c r="F61" i="4"/>
  <c r="E61" i="4"/>
  <c r="B61" i="4"/>
  <c r="C61" i="4" s="1"/>
  <c r="AC60" i="4"/>
  <c r="AD60" i="4" s="1"/>
  <c r="AA60" i="4"/>
  <c r="W60" i="4"/>
  <c r="X60" i="4" s="1"/>
  <c r="U60" i="4"/>
  <c r="R60" i="4"/>
  <c r="O60" i="4"/>
  <c r="N60" i="4"/>
  <c r="L60" i="4"/>
  <c r="H60" i="4"/>
  <c r="I60" i="4" s="1"/>
  <c r="F60" i="4"/>
  <c r="C60" i="4"/>
  <c r="AC59" i="4"/>
  <c r="AD59" i="4" s="1"/>
  <c r="AA59" i="4"/>
  <c r="X59" i="4"/>
  <c r="W59" i="4"/>
  <c r="U59" i="4"/>
  <c r="R59" i="4"/>
  <c r="O59" i="4"/>
  <c r="N59" i="4"/>
  <c r="L59" i="4"/>
  <c r="H59" i="4"/>
  <c r="I59" i="4" s="1"/>
  <c r="F59" i="4"/>
  <c r="C59" i="4"/>
  <c r="AC58" i="4"/>
  <c r="AD58" i="4" s="1"/>
  <c r="AA58" i="4"/>
  <c r="X58" i="4"/>
  <c r="W58" i="4"/>
  <c r="U58" i="4"/>
  <c r="R58" i="4"/>
  <c r="O58" i="4"/>
  <c r="N58" i="4"/>
  <c r="L58" i="4"/>
  <c r="H58" i="4"/>
  <c r="I58" i="4" s="1"/>
  <c r="F58" i="4"/>
  <c r="C58" i="4"/>
  <c r="AC57" i="4"/>
  <c r="AD57" i="4" s="1"/>
  <c r="AA57" i="4"/>
  <c r="X57" i="4"/>
  <c r="W57" i="4"/>
  <c r="U57" i="4"/>
  <c r="R57" i="4"/>
  <c r="O57" i="4"/>
  <c r="N57" i="4"/>
  <c r="L57" i="4"/>
  <c r="H57" i="4"/>
  <c r="I57" i="4" s="1"/>
  <c r="F57" i="4"/>
  <c r="C57" i="4"/>
  <c r="AC56" i="4"/>
  <c r="AD56" i="4" s="1"/>
  <c r="AA56" i="4"/>
  <c r="W56" i="4"/>
  <c r="X56" i="4" s="1"/>
  <c r="U56" i="4"/>
  <c r="R56" i="4"/>
  <c r="O56" i="4"/>
  <c r="N56" i="4"/>
  <c r="L56" i="4"/>
  <c r="H56" i="4"/>
  <c r="I56" i="4" s="1"/>
  <c r="F56" i="4"/>
  <c r="C56" i="4"/>
  <c r="AC55" i="4"/>
  <c r="AD55" i="4" s="1"/>
  <c r="AA55" i="4"/>
  <c r="X55" i="4"/>
  <c r="W55" i="4"/>
  <c r="U55" i="4"/>
  <c r="R55" i="4"/>
  <c r="O55" i="4"/>
  <c r="N55" i="4"/>
  <c r="L55" i="4"/>
  <c r="H55" i="4"/>
  <c r="I55" i="4" s="1"/>
  <c r="F55" i="4"/>
  <c r="C55" i="4"/>
  <c r="AC54" i="4"/>
  <c r="AD54" i="4" s="1"/>
  <c r="AA54" i="4"/>
  <c r="X54" i="4"/>
  <c r="W54" i="4"/>
  <c r="U54" i="4"/>
  <c r="R54" i="4"/>
  <c r="O54" i="4"/>
  <c r="N54" i="4"/>
  <c r="L54" i="4"/>
  <c r="H54" i="4"/>
  <c r="I54" i="4" s="1"/>
  <c r="F54" i="4"/>
  <c r="C54" i="4"/>
  <c r="AC53" i="4"/>
  <c r="AD53" i="4" s="1"/>
  <c r="AA53" i="4"/>
  <c r="X53" i="4"/>
  <c r="W53" i="4"/>
  <c r="U53" i="4"/>
  <c r="R53" i="4"/>
  <c r="O53" i="4"/>
  <c r="N53" i="4"/>
  <c r="L53" i="4"/>
  <c r="H53" i="4"/>
  <c r="I53" i="4" s="1"/>
  <c r="F53" i="4"/>
  <c r="C53" i="4"/>
  <c r="AC52" i="4"/>
  <c r="AD52" i="4" s="1"/>
  <c r="AA52" i="4"/>
  <c r="W52" i="4"/>
  <c r="X52" i="4" s="1"/>
  <c r="U52" i="4"/>
  <c r="R52" i="4"/>
  <c r="O52" i="4"/>
  <c r="N52" i="4"/>
  <c r="L52" i="4"/>
  <c r="H52" i="4"/>
  <c r="I52" i="4" s="1"/>
  <c r="F52" i="4"/>
  <c r="C52" i="4"/>
  <c r="AC51" i="4"/>
  <c r="AD51" i="4" s="1"/>
  <c r="AA51" i="4"/>
  <c r="X51" i="4"/>
  <c r="W51" i="4"/>
  <c r="U51" i="4"/>
  <c r="R51" i="4"/>
  <c r="O51" i="4"/>
  <c r="N51" i="4"/>
  <c r="L51" i="4"/>
  <c r="H51" i="4"/>
  <c r="I51" i="4" s="1"/>
  <c r="F51" i="4"/>
  <c r="C51" i="4"/>
  <c r="AC50" i="4"/>
  <c r="AD50" i="4" s="1"/>
  <c r="AA50" i="4"/>
  <c r="X50" i="4"/>
  <c r="W50" i="4"/>
  <c r="U50" i="4"/>
  <c r="R50" i="4"/>
  <c r="N50" i="4"/>
  <c r="O50" i="4" s="1"/>
  <c r="L50" i="4"/>
  <c r="H50" i="4"/>
  <c r="I50" i="4" s="1"/>
  <c r="F50" i="4"/>
  <c r="C50" i="4"/>
  <c r="AC49" i="4"/>
  <c r="AD49" i="4" s="1"/>
  <c r="AA49" i="4"/>
  <c r="X49" i="4"/>
  <c r="W49" i="4"/>
  <c r="U49" i="4"/>
  <c r="R49" i="4"/>
  <c r="O49" i="4"/>
  <c r="N49" i="4"/>
  <c r="L49" i="4"/>
  <c r="H49" i="4"/>
  <c r="I49" i="4" s="1"/>
  <c r="F49" i="4"/>
  <c r="C49" i="4"/>
  <c r="AC48" i="4"/>
  <c r="AD48" i="4" s="1"/>
  <c r="AA48" i="4"/>
  <c r="W48" i="4"/>
  <c r="X48" i="4" s="1"/>
  <c r="U48" i="4"/>
  <c r="R48" i="4"/>
  <c r="O48" i="4"/>
  <c r="N48" i="4"/>
  <c r="L48" i="4"/>
  <c r="H48" i="4"/>
  <c r="I48" i="4" s="1"/>
  <c r="F48" i="4"/>
  <c r="C48" i="4"/>
  <c r="AC47" i="4"/>
  <c r="AD47" i="4" s="1"/>
  <c r="AA47" i="4"/>
  <c r="X47" i="4"/>
  <c r="W47" i="4"/>
  <c r="U47" i="4"/>
  <c r="R47" i="4"/>
  <c r="O47" i="4"/>
  <c r="N47" i="4"/>
  <c r="L47" i="4"/>
  <c r="H47" i="4"/>
  <c r="I47" i="4" s="1"/>
  <c r="F47" i="4"/>
  <c r="C47" i="4"/>
  <c r="AC46" i="4"/>
  <c r="AD46" i="4" s="1"/>
  <c r="AA46" i="4"/>
  <c r="X46" i="4"/>
  <c r="W46" i="4"/>
  <c r="U46" i="4"/>
  <c r="R46" i="4"/>
  <c r="N46" i="4"/>
  <c r="O46" i="4" s="1"/>
  <c r="L46" i="4"/>
  <c r="H46" i="4"/>
  <c r="I46" i="4" s="1"/>
  <c r="F46" i="4"/>
  <c r="C46" i="4"/>
  <c r="AC44" i="4"/>
  <c r="AD44" i="4" s="1"/>
  <c r="AA44" i="4"/>
  <c r="X44" i="4"/>
  <c r="W44" i="4"/>
  <c r="U44" i="4"/>
  <c r="R44" i="4"/>
  <c r="O44" i="4"/>
  <c r="N44" i="4"/>
  <c r="L44" i="4"/>
  <c r="H44" i="4"/>
  <c r="I44" i="4" s="1"/>
  <c r="F44" i="4"/>
  <c r="C44" i="4"/>
  <c r="AC43" i="4"/>
  <c r="AD43" i="4" s="1"/>
  <c r="AA43" i="4"/>
  <c r="W43" i="4"/>
  <c r="X43" i="4" s="1"/>
  <c r="U43" i="4"/>
  <c r="R43" i="4"/>
  <c r="O43" i="4"/>
  <c r="N43" i="4"/>
  <c r="L43" i="4"/>
  <c r="H43" i="4"/>
  <c r="I43" i="4" s="1"/>
  <c r="F43" i="4"/>
  <c r="C43" i="4"/>
  <c r="AC42" i="4"/>
  <c r="AD42" i="4" s="1"/>
  <c r="AA42" i="4"/>
  <c r="X42" i="4"/>
  <c r="W42" i="4"/>
  <c r="U42" i="4"/>
  <c r="R42" i="4"/>
  <c r="O42" i="4"/>
  <c r="N42" i="4"/>
  <c r="L42" i="4"/>
  <c r="H42" i="4"/>
  <c r="I42" i="4" s="1"/>
  <c r="F42" i="4"/>
  <c r="C42" i="4"/>
  <c r="AC40" i="4"/>
  <c r="AD40" i="4" s="1"/>
  <c r="Z40" i="4"/>
  <c r="AA40" i="4" s="1"/>
  <c r="T40" i="4"/>
  <c r="U40" i="4" s="1"/>
  <c r="Q40" i="4"/>
  <c r="W40" i="4" s="1"/>
  <c r="X40" i="4" s="1"/>
  <c r="N40" i="4"/>
  <c r="O40" i="4" s="1"/>
  <c r="K40" i="4"/>
  <c r="L40" i="4" s="1"/>
  <c r="H40" i="4"/>
  <c r="I40" i="4" s="1"/>
  <c r="E40" i="4"/>
  <c r="F40" i="4" s="1"/>
  <c r="B40" i="4"/>
  <c r="C40" i="4" s="1"/>
  <c r="AC39" i="4"/>
  <c r="AD39" i="4" s="1"/>
  <c r="AA39" i="4"/>
  <c r="X39" i="4"/>
  <c r="W39" i="4"/>
  <c r="U39" i="4"/>
  <c r="R39" i="4"/>
  <c r="O39" i="4"/>
  <c r="N39" i="4"/>
  <c r="L39" i="4"/>
  <c r="H39" i="4"/>
  <c r="I39" i="4" s="1"/>
  <c r="F39" i="4"/>
  <c r="C39" i="4"/>
  <c r="AC38" i="4"/>
  <c r="AD38" i="4" s="1"/>
  <c r="AA38" i="4"/>
  <c r="X38" i="4"/>
  <c r="W38" i="4"/>
  <c r="U38" i="4"/>
  <c r="R38" i="4"/>
  <c r="O38" i="4"/>
  <c r="N38" i="4"/>
  <c r="L38" i="4"/>
  <c r="H38" i="4"/>
  <c r="I38" i="4" s="1"/>
  <c r="F38" i="4"/>
  <c r="C38" i="4"/>
  <c r="AD37" i="4"/>
  <c r="AC37" i="4"/>
  <c r="AA37" i="4"/>
  <c r="X37" i="4"/>
  <c r="W37" i="4"/>
  <c r="U37" i="4"/>
  <c r="R37" i="4"/>
  <c r="N37" i="4"/>
  <c r="O37" i="4" s="1"/>
  <c r="L37" i="4"/>
  <c r="H37" i="4"/>
  <c r="I37" i="4" s="1"/>
  <c r="F37" i="4"/>
  <c r="C37" i="4"/>
  <c r="AC36" i="4"/>
  <c r="AD36" i="4" s="1"/>
  <c r="AA36" i="4"/>
  <c r="X36" i="4"/>
  <c r="W36" i="4"/>
  <c r="U36" i="4"/>
  <c r="R36" i="4"/>
  <c r="O36" i="4"/>
  <c r="N36" i="4"/>
  <c r="L36" i="4"/>
  <c r="H36" i="4"/>
  <c r="I36" i="4" s="1"/>
  <c r="F36" i="4"/>
  <c r="C36" i="4"/>
  <c r="AC35" i="4"/>
  <c r="AD35" i="4" s="1"/>
  <c r="AA35" i="4"/>
  <c r="X35" i="4"/>
  <c r="W35" i="4"/>
  <c r="U35" i="4"/>
  <c r="R35" i="4"/>
  <c r="O35" i="4"/>
  <c r="N35" i="4"/>
  <c r="L35" i="4"/>
  <c r="H35" i="4"/>
  <c r="I35" i="4" s="1"/>
  <c r="F35" i="4"/>
  <c r="C35" i="4"/>
  <c r="AC34" i="4"/>
  <c r="AD34" i="4" s="1"/>
  <c r="AA34" i="4"/>
  <c r="X34" i="4"/>
  <c r="W34" i="4"/>
  <c r="U34" i="4"/>
  <c r="R34" i="4"/>
  <c r="O34" i="4"/>
  <c r="N34" i="4"/>
  <c r="L34" i="4"/>
  <c r="H34" i="4"/>
  <c r="I34" i="4" s="1"/>
  <c r="F34" i="4"/>
  <c r="C34" i="4"/>
  <c r="AD33" i="4"/>
  <c r="AC33" i="4"/>
  <c r="AA33" i="4"/>
  <c r="X33" i="4"/>
  <c r="W33" i="4"/>
  <c r="U33" i="4"/>
  <c r="R33" i="4"/>
  <c r="N33" i="4"/>
  <c r="O33" i="4" s="1"/>
  <c r="L33" i="4"/>
  <c r="H33" i="4"/>
  <c r="I33" i="4" s="1"/>
  <c r="F33" i="4"/>
  <c r="C33" i="4"/>
  <c r="AC32" i="4"/>
  <c r="AD32" i="4" s="1"/>
  <c r="AA32" i="4"/>
  <c r="X32" i="4"/>
  <c r="W32" i="4"/>
  <c r="U32" i="4"/>
  <c r="R32" i="4"/>
  <c r="O32" i="4"/>
  <c r="N32" i="4"/>
  <c r="L32" i="4"/>
  <c r="H32" i="4"/>
  <c r="I32" i="4" s="1"/>
  <c r="F32" i="4"/>
  <c r="C32" i="4"/>
  <c r="AC31" i="4"/>
  <c r="AD31" i="4" s="1"/>
  <c r="AA31" i="4"/>
  <c r="W31" i="4"/>
  <c r="X31" i="4" s="1"/>
  <c r="U31" i="4"/>
  <c r="R31" i="4"/>
  <c r="O31" i="4"/>
  <c r="N31" i="4"/>
  <c r="L31" i="4"/>
  <c r="H31" i="4"/>
  <c r="I31" i="4" s="1"/>
  <c r="F31" i="4"/>
  <c r="C31" i="4"/>
  <c r="Z29" i="4"/>
  <c r="AA29" i="4" s="1"/>
  <c r="T29" i="4"/>
  <c r="W29" i="4" s="1"/>
  <c r="X29" i="4" s="1"/>
  <c r="Q29" i="4"/>
  <c r="R29" i="4" s="1"/>
  <c r="K29" i="4"/>
  <c r="L29" i="4" s="1"/>
  <c r="E29" i="4"/>
  <c r="F29" i="4" s="1"/>
  <c r="B29" i="4"/>
  <c r="C29" i="4" s="1"/>
  <c r="AC28" i="4"/>
  <c r="AD28" i="4" s="1"/>
  <c r="AA28" i="4"/>
  <c r="X28" i="4"/>
  <c r="W28" i="4"/>
  <c r="U28" i="4"/>
  <c r="R28" i="4"/>
  <c r="O28" i="4"/>
  <c r="N28" i="4"/>
  <c r="L28" i="4"/>
  <c r="H28" i="4"/>
  <c r="I28" i="4" s="1"/>
  <c r="F28" i="4"/>
  <c r="C28" i="4"/>
  <c r="AC27" i="4"/>
  <c r="AD27" i="4" s="1"/>
  <c r="AA27" i="4"/>
  <c r="W27" i="4"/>
  <c r="X27" i="4" s="1"/>
  <c r="U27" i="4"/>
  <c r="R27" i="4"/>
  <c r="O27" i="4"/>
  <c r="N27" i="4"/>
  <c r="L27" i="4"/>
  <c r="H27" i="4"/>
  <c r="I27" i="4" s="1"/>
  <c r="F27" i="4"/>
  <c r="C27" i="4"/>
  <c r="AC26" i="4"/>
  <c r="AD26" i="4" s="1"/>
  <c r="AA26" i="4"/>
  <c r="X26" i="4"/>
  <c r="W26" i="4"/>
  <c r="U26" i="4"/>
  <c r="R26" i="4"/>
  <c r="O26" i="4"/>
  <c r="N26" i="4"/>
  <c r="L26" i="4"/>
  <c r="H26" i="4"/>
  <c r="I26" i="4" s="1"/>
  <c r="F26" i="4"/>
  <c r="C26" i="4"/>
  <c r="AC25" i="4"/>
  <c r="AD25" i="4" s="1"/>
  <c r="AA25" i="4"/>
  <c r="X25" i="4"/>
  <c r="W25" i="4"/>
  <c r="U25" i="4"/>
  <c r="R25" i="4"/>
  <c r="N25" i="4"/>
  <c r="O25" i="4" s="1"/>
  <c r="L25" i="4"/>
  <c r="H25" i="4"/>
  <c r="I25" i="4" s="1"/>
  <c r="F25" i="4"/>
  <c r="C25" i="4"/>
  <c r="AC24" i="4"/>
  <c r="AD24" i="4" s="1"/>
  <c r="AA24" i="4"/>
  <c r="X24" i="4"/>
  <c r="W24" i="4"/>
  <c r="U24" i="4"/>
  <c r="R24" i="4"/>
  <c r="O24" i="4"/>
  <c r="N24" i="4"/>
  <c r="L24" i="4"/>
  <c r="H24" i="4"/>
  <c r="I24" i="4" s="1"/>
  <c r="F24" i="4"/>
  <c r="C24" i="4"/>
  <c r="AC23" i="4"/>
  <c r="AD23" i="4" s="1"/>
  <c r="AA23" i="4"/>
  <c r="W23" i="4"/>
  <c r="X23" i="4" s="1"/>
  <c r="U23" i="4"/>
  <c r="R23" i="4"/>
  <c r="O23" i="4"/>
  <c r="N23" i="4"/>
  <c r="L23" i="4"/>
  <c r="H23" i="4"/>
  <c r="I23" i="4" s="1"/>
  <c r="F23" i="4"/>
  <c r="C23" i="4"/>
  <c r="AC22" i="4"/>
  <c r="AD22" i="4" s="1"/>
  <c r="AA22" i="4"/>
  <c r="X22" i="4"/>
  <c r="W22" i="4"/>
  <c r="U22" i="4"/>
  <c r="R22" i="4"/>
  <c r="O22" i="4"/>
  <c r="N22" i="4"/>
  <c r="L22" i="4"/>
  <c r="H22" i="4"/>
  <c r="I22" i="4" s="1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X19" i="4"/>
  <c r="W19" i="4"/>
  <c r="U19" i="4"/>
  <c r="R19" i="4"/>
  <c r="O19" i="4"/>
  <c r="N19" i="4"/>
  <c r="L19" i="4"/>
  <c r="H19" i="4"/>
  <c r="I19" i="4" s="1"/>
  <c r="F19" i="4"/>
  <c r="C19" i="4"/>
  <c r="Z18" i="4"/>
  <c r="AA18" i="4" s="1"/>
  <c r="T18" i="4"/>
  <c r="U18" i="4" s="1"/>
  <c r="Q18" i="4"/>
  <c r="R18" i="4" s="1"/>
  <c r="L18" i="4"/>
  <c r="K18" i="4"/>
  <c r="E18" i="4"/>
  <c r="F18" i="4" s="1"/>
  <c r="B18" i="4"/>
  <c r="C18" i="4" s="1"/>
  <c r="AC17" i="4"/>
  <c r="AD17" i="4" s="1"/>
  <c r="AA17" i="4"/>
  <c r="X17" i="4"/>
  <c r="W17" i="4"/>
  <c r="U17" i="4"/>
  <c r="R17" i="4"/>
  <c r="O17" i="4"/>
  <c r="N17" i="4"/>
  <c r="L17" i="4"/>
  <c r="H17" i="4"/>
  <c r="I17" i="4" s="1"/>
  <c r="F17" i="4"/>
  <c r="C17" i="4"/>
  <c r="AC16" i="4"/>
  <c r="AD16" i="4" s="1"/>
  <c r="AA16" i="4"/>
  <c r="X16" i="4"/>
  <c r="W16" i="4"/>
  <c r="U16" i="4"/>
  <c r="R16" i="4"/>
  <c r="O16" i="4"/>
  <c r="N16" i="4"/>
  <c r="L16" i="4"/>
  <c r="H16" i="4"/>
  <c r="I16" i="4" s="1"/>
  <c r="F16" i="4"/>
  <c r="C16" i="4"/>
  <c r="AC15" i="4"/>
  <c r="AD15" i="4" s="1"/>
  <c r="AA15" i="4"/>
  <c r="W15" i="4"/>
  <c r="X15" i="4" s="1"/>
  <c r="U15" i="4"/>
  <c r="R15" i="4"/>
  <c r="O15" i="4"/>
  <c r="N15" i="4"/>
  <c r="L15" i="4"/>
  <c r="H15" i="4"/>
  <c r="I15" i="4" s="1"/>
  <c r="F15" i="4"/>
  <c r="C15" i="4"/>
  <c r="AC14" i="4"/>
  <c r="AD14" i="4" s="1"/>
  <c r="AA14" i="4"/>
  <c r="X14" i="4"/>
  <c r="W14" i="4"/>
  <c r="U14" i="4"/>
  <c r="R14" i="4"/>
  <c r="O14" i="4"/>
  <c r="N14" i="4"/>
  <c r="L14" i="4"/>
  <c r="H14" i="4"/>
  <c r="I14" i="4" s="1"/>
  <c r="F14" i="4"/>
  <c r="C14" i="4"/>
  <c r="AC13" i="4"/>
  <c r="AD13" i="4" s="1"/>
  <c r="AA13" i="4"/>
  <c r="X13" i="4"/>
  <c r="W13" i="4"/>
  <c r="U13" i="4"/>
  <c r="R13" i="4"/>
  <c r="O13" i="4"/>
  <c r="N13" i="4"/>
  <c r="L13" i="4"/>
  <c r="H13" i="4"/>
  <c r="I13" i="4" s="1"/>
  <c r="F13" i="4"/>
  <c r="C13" i="4"/>
  <c r="AC12" i="4"/>
  <c r="AD12" i="4" s="1"/>
  <c r="AA12" i="4"/>
  <c r="W12" i="4"/>
  <c r="X12" i="4" s="1"/>
  <c r="U12" i="4"/>
  <c r="R12" i="4"/>
  <c r="O12" i="4"/>
  <c r="N12" i="4"/>
  <c r="L12" i="4"/>
  <c r="I12" i="4"/>
  <c r="H12" i="4"/>
  <c r="F12" i="4"/>
  <c r="C12" i="4"/>
  <c r="AC11" i="4"/>
  <c r="AD11" i="4" s="1"/>
  <c r="AA11" i="4"/>
  <c r="W11" i="4"/>
  <c r="X11" i="4" s="1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X10" i="4"/>
  <c r="W10" i="4"/>
  <c r="U10" i="4"/>
  <c r="R10" i="4"/>
  <c r="O10" i="4"/>
  <c r="N10" i="4"/>
  <c r="L10" i="4"/>
  <c r="H10" i="4"/>
  <c r="I10" i="4" s="1"/>
  <c r="F10" i="4"/>
  <c r="C10" i="4"/>
  <c r="AC8" i="4"/>
  <c r="AD8" i="4" s="1"/>
  <c r="AA8" i="4"/>
  <c r="X8" i="4"/>
  <c r="W8" i="4"/>
  <c r="U8" i="4"/>
  <c r="R8" i="4"/>
  <c r="N8" i="4"/>
  <c r="O8" i="4" s="1"/>
  <c r="L8" i="4"/>
  <c r="H8" i="4"/>
  <c r="I8" i="4" s="1"/>
  <c r="F8" i="4"/>
  <c r="C8" i="4"/>
  <c r="AC444" i="3"/>
  <c r="W444" i="3"/>
  <c r="X438" i="3" s="1"/>
  <c r="N444" i="3"/>
  <c r="O424" i="3" s="1"/>
  <c r="H444" i="3"/>
  <c r="I415" i="3" s="1"/>
  <c r="AA442" i="3"/>
  <c r="Z442" i="3"/>
  <c r="U442" i="3"/>
  <c r="T442" i="3"/>
  <c r="Q442" i="3"/>
  <c r="R442" i="3" s="1"/>
  <c r="K442" i="3"/>
  <c r="N442" i="3" s="1"/>
  <c r="O442" i="3" s="1"/>
  <c r="H442" i="3"/>
  <c r="I442" i="3" s="1"/>
  <c r="E442" i="3"/>
  <c r="F442" i="3" s="1"/>
  <c r="C442" i="3"/>
  <c r="B442" i="3"/>
  <c r="Z441" i="3"/>
  <c r="AA441" i="3" s="1"/>
  <c r="T441" i="3"/>
  <c r="W441" i="3" s="1"/>
  <c r="X441" i="3" s="1"/>
  <c r="Q441" i="3"/>
  <c r="R441" i="3" s="1"/>
  <c r="K441" i="3"/>
  <c r="L441" i="3" s="1"/>
  <c r="F441" i="3"/>
  <c r="E441" i="3"/>
  <c r="C441" i="3"/>
  <c r="B441" i="3"/>
  <c r="H441" i="3" s="1"/>
  <c r="I441" i="3" s="1"/>
  <c r="AC440" i="3"/>
  <c r="AD440" i="3" s="1"/>
  <c r="AA440" i="3"/>
  <c r="X440" i="3"/>
  <c r="W440" i="3"/>
  <c r="U440" i="3"/>
  <c r="R440" i="3"/>
  <c r="N440" i="3"/>
  <c r="L440" i="3"/>
  <c r="I440" i="3"/>
  <c r="H440" i="3"/>
  <c r="F440" i="3"/>
  <c r="C440" i="3"/>
  <c r="AC439" i="3"/>
  <c r="AD439" i="3" s="1"/>
  <c r="AA439" i="3"/>
  <c r="W439" i="3"/>
  <c r="X439" i="3" s="1"/>
  <c r="U439" i="3"/>
  <c r="R439" i="3"/>
  <c r="O439" i="3"/>
  <c r="N439" i="3"/>
  <c r="L439" i="3"/>
  <c r="H439" i="3"/>
  <c r="F439" i="3"/>
  <c r="C439" i="3"/>
  <c r="AD438" i="3"/>
  <c r="AC438" i="3"/>
  <c r="AA438" i="3"/>
  <c r="W438" i="3"/>
  <c r="U438" i="3"/>
  <c r="R438" i="3"/>
  <c r="O438" i="3"/>
  <c r="N438" i="3"/>
  <c r="L438" i="3"/>
  <c r="I438" i="3"/>
  <c r="H438" i="3"/>
  <c r="F438" i="3"/>
  <c r="C438" i="3"/>
  <c r="AC437" i="3"/>
  <c r="AD437" i="3" s="1"/>
  <c r="AA437" i="3"/>
  <c r="W437" i="3"/>
  <c r="X437" i="3" s="1"/>
  <c r="U437" i="3"/>
  <c r="R437" i="3"/>
  <c r="N437" i="3"/>
  <c r="O437" i="3" s="1"/>
  <c r="L437" i="3"/>
  <c r="I437" i="3"/>
  <c r="H437" i="3"/>
  <c r="F437" i="3"/>
  <c r="C437" i="3"/>
  <c r="AC436" i="3"/>
  <c r="AD436" i="3" s="1"/>
  <c r="AA436" i="3"/>
  <c r="X436" i="3"/>
  <c r="W436" i="3"/>
  <c r="U436" i="3"/>
  <c r="R436" i="3"/>
  <c r="N436" i="3"/>
  <c r="O436" i="3" s="1"/>
  <c r="L436" i="3"/>
  <c r="H436" i="3"/>
  <c r="I436" i="3" s="1"/>
  <c r="F436" i="3"/>
  <c r="C436" i="3"/>
  <c r="AD435" i="3"/>
  <c r="AC435" i="3"/>
  <c r="AA435" i="3"/>
  <c r="W435" i="3"/>
  <c r="X435" i="3" s="1"/>
  <c r="U435" i="3"/>
  <c r="R435" i="3"/>
  <c r="N435" i="3"/>
  <c r="O435" i="3" s="1"/>
  <c r="L435" i="3"/>
  <c r="H435" i="3"/>
  <c r="I435" i="3" s="1"/>
  <c r="F435" i="3"/>
  <c r="C435" i="3"/>
  <c r="AD434" i="3"/>
  <c r="AC434" i="3"/>
  <c r="AA434" i="3"/>
  <c r="W434" i="3"/>
  <c r="X434" i="3" s="1"/>
  <c r="U434" i="3"/>
  <c r="R434" i="3"/>
  <c r="N434" i="3"/>
  <c r="O434" i="3" s="1"/>
  <c r="L434" i="3"/>
  <c r="I434" i="3"/>
  <c r="H434" i="3"/>
  <c r="F434" i="3"/>
  <c r="C434" i="3"/>
  <c r="AC433" i="3"/>
  <c r="AD433" i="3" s="1"/>
  <c r="AA433" i="3"/>
  <c r="W433" i="3"/>
  <c r="X433" i="3" s="1"/>
  <c r="U433" i="3"/>
  <c r="R433" i="3"/>
  <c r="N433" i="3"/>
  <c r="O433" i="3" s="1"/>
  <c r="L433" i="3"/>
  <c r="I433" i="3"/>
  <c r="H433" i="3"/>
  <c r="F433" i="3"/>
  <c r="C433" i="3"/>
  <c r="AD432" i="3"/>
  <c r="AC432" i="3"/>
  <c r="AA432" i="3"/>
  <c r="W432" i="3"/>
  <c r="X432" i="3" s="1"/>
  <c r="U432" i="3"/>
  <c r="R432" i="3"/>
  <c r="N432" i="3"/>
  <c r="O432" i="3" s="1"/>
  <c r="L432" i="3"/>
  <c r="H432" i="3"/>
  <c r="I432" i="3" s="1"/>
  <c r="F432" i="3"/>
  <c r="C432" i="3"/>
  <c r="AA429" i="3"/>
  <c r="Z429" i="3"/>
  <c r="W429" i="3"/>
  <c r="X429" i="3" s="1"/>
  <c r="U429" i="3"/>
  <c r="T429" i="3"/>
  <c r="R429" i="3"/>
  <c r="Q429" i="3"/>
  <c r="AC429" i="3" s="1"/>
  <c r="AD429" i="3" s="1"/>
  <c r="K429" i="3"/>
  <c r="L429" i="3" s="1"/>
  <c r="F429" i="3"/>
  <c r="E429" i="3"/>
  <c r="B429" i="3"/>
  <c r="C429" i="3" s="1"/>
  <c r="AA428" i="3"/>
  <c r="Z428" i="3"/>
  <c r="T428" i="3"/>
  <c r="U428" i="3" s="1"/>
  <c r="Q428" i="3"/>
  <c r="W428" i="3" s="1"/>
  <c r="X428" i="3" s="1"/>
  <c r="L428" i="3"/>
  <c r="K428" i="3"/>
  <c r="E428" i="3"/>
  <c r="H428" i="3" s="1"/>
  <c r="I428" i="3" s="1"/>
  <c r="C428" i="3"/>
  <c r="B428" i="3"/>
  <c r="N428" i="3" s="1"/>
  <c r="O428" i="3" s="1"/>
  <c r="AD427" i="3"/>
  <c r="AC427" i="3"/>
  <c r="AA427" i="3"/>
  <c r="W427" i="3"/>
  <c r="X427" i="3" s="1"/>
  <c r="U427" i="3"/>
  <c r="R427" i="3"/>
  <c r="N427" i="3"/>
  <c r="O427" i="3" s="1"/>
  <c r="L427" i="3"/>
  <c r="H427" i="3"/>
  <c r="I427" i="3" s="1"/>
  <c r="F427" i="3"/>
  <c r="C427" i="3"/>
  <c r="AD426" i="3"/>
  <c r="AC426" i="3"/>
  <c r="AA426" i="3"/>
  <c r="W426" i="3"/>
  <c r="U426" i="3"/>
  <c r="R426" i="3"/>
  <c r="O426" i="3"/>
  <c r="N426" i="3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N425" i="3"/>
  <c r="O425" i="3" s="1"/>
  <c r="L425" i="3"/>
  <c r="I425" i="3"/>
  <c r="H425" i="3"/>
  <c r="F425" i="3"/>
  <c r="C425" i="3"/>
  <c r="AC424" i="3"/>
  <c r="AD424" i="3" s="1"/>
  <c r="AA424" i="3"/>
  <c r="X424" i="3"/>
  <c r="W424" i="3"/>
  <c r="U424" i="3"/>
  <c r="R424" i="3"/>
  <c r="N424" i="3"/>
  <c r="L424" i="3"/>
  <c r="H424" i="3"/>
  <c r="I424" i="3" s="1"/>
  <c r="F424" i="3"/>
  <c r="C424" i="3"/>
  <c r="AD423" i="3"/>
  <c r="AC423" i="3"/>
  <c r="AA423" i="3"/>
  <c r="W423" i="3"/>
  <c r="X423" i="3" s="1"/>
  <c r="U423" i="3"/>
  <c r="R423" i="3"/>
  <c r="N423" i="3"/>
  <c r="O423" i="3" s="1"/>
  <c r="L423" i="3"/>
  <c r="H423" i="3"/>
  <c r="I423" i="3" s="1"/>
  <c r="F423" i="3"/>
  <c r="C423" i="3"/>
  <c r="AD422" i="3"/>
  <c r="AC422" i="3"/>
  <c r="AA422" i="3"/>
  <c r="W422" i="3"/>
  <c r="U422" i="3"/>
  <c r="R422" i="3"/>
  <c r="O422" i="3"/>
  <c r="N422" i="3"/>
  <c r="L422" i="3"/>
  <c r="I422" i="3"/>
  <c r="H422" i="3"/>
  <c r="F422" i="3"/>
  <c r="C422" i="3"/>
  <c r="AC421" i="3"/>
  <c r="AD421" i="3" s="1"/>
  <c r="AA421" i="3"/>
  <c r="W421" i="3"/>
  <c r="X421" i="3" s="1"/>
  <c r="U421" i="3"/>
  <c r="R421" i="3"/>
  <c r="N421" i="3"/>
  <c r="O421" i="3" s="1"/>
  <c r="L421" i="3"/>
  <c r="I421" i="3"/>
  <c r="H421" i="3"/>
  <c r="F421" i="3"/>
  <c r="C421" i="3"/>
  <c r="AC420" i="3"/>
  <c r="AD420" i="3" s="1"/>
  <c r="AA420" i="3"/>
  <c r="X420" i="3"/>
  <c r="W420" i="3"/>
  <c r="U420" i="3"/>
  <c r="R420" i="3"/>
  <c r="N420" i="3"/>
  <c r="O420" i="3" s="1"/>
  <c r="L420" i="3"/>
  <c r="H420" i="3"/>
  <c r="I420" i="3" s="1"/>
  <c r="F420" i="3"/>
  <c r="C420" i="3"/>
  <c r="AD419" i="3"/>
  <c r="AC419" i="3"/>
  <c r="AA419" i="3"/>
  <c r="W419" i="3"/>
  <c r="X419" i="3" s="1"/>
  <c r="U419" i="3"/>
  <c r="R419" i="3"/>
  <c r="N419" i="3"/>
  <c r="O419" i="3" s="1"/>
  <c r="L419" i="3"/>
  <c r="H419" i="3"/>
  <c r="I419" i="3" s="1"/>
  <c r="F419" i="3"/>
  <c r="C419" i="3"/>
  <c r="AD418" i="3"/>
  <c r="AC418" i="3"/>
  <c r="AA418" i="3"/>
  <c r="W418" i="3"/>
  <c r="U418" i="3"/>
  <c r="R418" i="3"/>
  <c r="O418" i="3"/>
  <c r="N418" i="3"/>
  <c r="L418" i="3"/>
  <c r="I418" i="3"/>
  <c r="H418" i="3"/>
  <c r="F418" i="3"/>
  <c r="C418" i="3"/>
  <c r="AC417" i="3"/>
  <c r="AD417" i="3" s="1"/>
  <c r="AA417" i="3"/>
  <c r="W417" i="3"/>
  <c r="X417" i="3" s="1"/>
  <c r="U417" i="3"/>
  <c r="R417" i="3"/>
  <c r="N417" i="3"/>
  <c r="O417" i="3" s="1"/>
  <c r="L417" i="3"/>
  <c r="I417" i="3"/>
  <c r="H417" i="3"/>
  <c r="F417" i="3"/>
  <c r="C417" i="3"/>
  <c r="AD416" i="3"/>
  <c r="AC416" i="3"/>
  <c r="AA416" i="3"/>
  <c r="X416" i="3"/>
  <c r="W416" i="3"/>
  <c r="U416" i="3"/>
  <c r="R416" i="3"/>
  <c r="N416" i="3"/>
  <c r="O416" i="3" s="1"/>
  <c r="L416" i="3"/>
  <c r="H416" i="3"/>
  <c r="I416" i="3" s="1"/>
  <c r="F416" i="3"/>
  <c r="C416" i="3"/>
  <c r="AD415" i="3"/>
  <c r="AC415" i="3"/>
  <c r="AA415" i="3"/>
  <c r="W415" i="3"/>
  <c r="X415" i="3" s="1"/>
  <c r="U415" i="3"/>
  <c r="R415" i="3"/>
  <c r="N415" i="3"/>
  <c r="O415" i="3" s="1"/>
  <c r="L415" i="3"/>
  <c r="H415" i="3"/>
  <c r="F415" i="3"/>
  <c r="C415" i="3"/>
  <c r="AD414" i="3"/>
  <c r="AC414" i="3"/>
  <c r="AA414" i="3"/>
  <c r="W414" i="3"/>
  <c r="X414" i="3" s="1"/>
  <c r="U414" i="3"/>
  <c r="R414" i="3"/>
  <c r="O414" i="3"/>
  <c r="N414" i="3"/>
  <c r="L414" i="3"/>
  <c r="I414" i="3"/>
  <c r="H414" i="3"/>
  <c r="F414" i="3"/>
  <c r="C414" i="3"/>
  <c r="AC413" i="3"/>
  <c r="AD413" i="3" s="1"/>
  <c r="AA413" i="3"/>
  <c r="W413" i="3"/>
  <c r="X413" i="3" s="1"/>
  <c r="U413" i="3"/>
  <c r="R413" i="3"/>
  <c r="N413" i="3"/>
  <c r="O413" i="3" s="1"/>
  <c r="L413" i="3"/>
  <c r="I413" i="3"/>
  <c r="H413" i="3"/>
  <c r="F413" i="3"/>
  <c r="C413" i="3"/>
  <c r="AD412" i="3"/>
  <c r="AC412" i="3"/>
  <c r="AA412" i="3"/>
  <c r="X412" i="3"/>
  <c r="W412" i="3"/>
  <c r="U412" i="3"/>
  <c r="R412" i="3"/>
  <c r="N412" i="3"/>
  <c r="O412" i="3" s="1"/>
  <c r="L412" i="3"/>
  <c r="H412" i="3"/>
  <c r="I412" i="3" s="1"/>
  <c r="F412" i="3"/>
  <c r="C412" i="3"/>
  <c r="AD411" i="3"/>
  <c r="AC411" i="3"/>
  <c r="AA411" i="3"/>
  <c r="W411" i="3"/>
  <c r="X411" i="3" s="1"/>
  <c r="U411" i="3"/>
  <c r="R411" i="3"/>
  <c r="N411" i="3"/>
  <c r="O411" i="3" s="1"/>
  <c r="L411" i="3"/>
  <c r="H411" i="3"/>
  <c r="F411" i="3"/>
  <c r="C411" i="3"/>
  <c r="AD410" i="3"/>
  <c r="AC410" i="3"/>
  <c r="AA410" i="3"/>
  <c r="W410" i="3"/>
  <c r="U410" i="3"/>
  <c r="R410" i="3"/>
  <c r="O410" i="3"/>
  <c r="N410" i="3"/>
  <c r="L410" i="3"/>
  <c r="I410" i="3"/>
  <c r="H410" i="3"/>
  <c r="F410" i="3"/>
  <c r="C410" i="3"/>
  <c r="AC409" i="3"/>
  <c r="AD409" i="3" s="1"/>
  <c r="AA409" i="3"/>
  <c r="W409" i="3"/>
  <c r="X409" i="3" s="1"/>
  <c r="U409" i="3"/>
  <c r="R409" i="3"/>
  <c r="N409" i="3"/>
  <c r="O409" i="3" s="1"/>
  <c r="L409" i="3"/>
  <c r="I409" i="3"/>
  <c r="H409" i="3"/>
  <c r="F409" i="3"/>
  <c r="C409" i="3"/>
  <c r="AC408" i="3"/>
  <c r="AD408" i="3" s="1"/>
  <c r="AA408" i="3"/>
  <c r="X408" i="3"/>
  <c r="W408" i="3"/>
  <c r="U408" i="3"/>
  <c r="R408" i="3"/>
  <c r="N408" i="3"/>
  <c r="O408" i="3" s="1"/>
  <c r="L408" i="3"/>
  <c r="H408" i="3"/>
  <c r="I408" i="3" s="1"/>
  <c r="F408" i="3"/>
  <c r="C408" i="3"/>
  <c r="AD407" i="3"/>
  <c r="AC407" i="3"/>
  <c r="AA407" i="3"/>
  <c r="W407" i="3"/>
  <c r="X407" i="3" s="1"/>
  <c r="U407" i="3"/>
  <c r="R407" i="3"/>
  <c r="N407" i="3"/>
  <c r="O407" i="3" s="1"/>
  <c r="L407" i="3"/>
  <c r="H407" i="3"/>
  <c r="F407" i="3"/>
  <c r="C407" i="3"/>
  <c r="Z403" i="3"/>
  <c r="AA403" i="3" s="1"/>
  <c r="U403" i="3"/>
  <c r="T403" i="3"/>
  <c r="Q403" i="3"/>
  <c r="R403" i="3" s="1"/>
  <c r="L403" i="3"/>
  <c r="K403" i="3"/>
  <c r="E403" i="3"/>
  <c r="F403" i="3" s="1"/>
  <c r="B403" i="3"/>
  <c r="H403" i="3" s="1"/>
  <c r="I403" i="3" s="1"/>
  <c r="AD402" i="3"/>
  <c r="AC402" i="3"/>
  <c r="AA402" i="3"/>
  <c r="W402" i="3"/>
  <c r="U402" i="3"/>
  <c r="R402" i="3"/>
  <c r="O402" i="3"/>
  <c r="N402" i="3"/>
  <c r="L402" i="3"/>
  <c r="I402" i="3"/>
  <c r="H402" i="3"/>
  <c r="F402" i="3"/>
  <c r="C402" i="3"/>
  <c r="AC401" i="3"/>
  <c r="AD401" i="3" s="1"/>
  <c r="AA401" i="3"/>
  <c r="W401" i="3"/>
  <c r="X401" i="3" s="1"/>
  <c r="U401" i="3"/>
  <c r="R401" i="3"/>
  <c r="N401" i="3"/>
  <c r="O401" i="3" s="1"/>
  <c r="L401" i="3"/>
  <c r="I401" i="3"/>
  <c r="H401" i="3"/>
  <c r="F401" i="3"/>
  <c r="C401" i="3"/>
  <c r="AC400" i="3"/>
  <c r="AD400" i="3" s="1"/>
  <c r="AA400" i="3"/>
  <c r="X400" i="3"/>
  <c r="W400" i="3"/>
  <c r="U400" i="3"/>
  <c r="R400" i="3"/>
  <c r="N400" i="3"/>
  <c r="L400" i="3"/>
  <c r="H400" i="3"/>
  <c r="I400" i="3" s="1"/>
  <c r="F400" i="3"/>
  <c r="C400" i="3"/>
  <c r="AD399" i="3"/>
  <c r="AC399" i="3"/>
  <c r="AA399" i="3"/>
  <c r="W399" i="3"/>
  <c r="X399" i="3" s="1"/>
  <c r="U399" i="3"/>
  <c r="R399" i="3"/>
  <c r="N399" i="3"/>
  <c r="O399" i="3" s="1"/>
  <c r="L399" i="3"/>
  <c r="H399" i="3"/>
  <c r="I399" i="3" s="1"/>
  <c r="F399" i="3"/>
  <c r="C399" i="3"/>
  <c r="AD398" i="3"/>
  <c r="AC398" i="3"/>
  <c r="AA398" i="3"/>
  <c r="W398" i="3"/>
  <c r="U398" i="3"/>
  <c r="R398" i="3"/>
  <c r="O398" i="3"/>
  <c r="N398" i="3"/>
  <c r="L398" i="3"/>
  <c r="I398" i="3"/>
  <c r="H398" i="3"/>
  <c r="F398" i="3"/>
  <c r="C398" i="3"/>
  <c r="AC397" i="3"/>
  <c r="AD397" i="3" s="1"/>
  <c r="AA397" i="3"/>
  <c r="W397" i="3"/>
  <c r="X397" i="3" s="1"/>
  <c r="U397" i="3"/>
  <c r="R397" i="3"/>
  <c r="N397" i="3"/>
  <c r="O397" i="3" s="1"/>
  <c r="L397" i="3"/>
  <c r="I397" i="3"/>
  <c r="H397" i="3"/>
  <c r="F397" i="3"/>
  <c r="C397" i="3"/>
  <c r="Z396" i="3"/>
  <c r="AA396" i="3" s="1"/>
  <c r="U396" i="3"/>
  <c r="T396" i="3"/>
  <c r="Q396" i="3"/>
  <c r="R396" i="3" s="1"/>
  <c r="L396" i="3"/>
  <c r="K396" i="3"/>
  <c r="E396" i="3"/>
  <c r="F396" i="3" s="1"/>
  <c r="B396" i="3"/>
  <c r="H396" i="3" s="1"/>
  <c r="I396" i="3" s="1"/>
  <c r="AD395" i="3"/>
  <c r="AC395" i="3"/>
  <c r="AA395" i="3"/>
  <c r="W395" i="3"/>
  <c r="U395" i="3"/>
  <c r="R395" i="3"/>
  <c r="O395" i="3"/>
  <c r="N395" i="3"/>
  <c r="L395" i="3"/>
  <c r="I395" i="3"/>
  <c r="H395" i="3"/>
  <c r="F395" i="3"/>
  <c r="C395" i="3"/>
  <c r="AC394" i="3"/>
  <c r="AD394" i="3" s="1"/>
  <c r="AA394" i="3"/>
  <c r="W394" i="3"/>
  <c r="X394" i="3" s="1"/>
  <c r="U394" i="3"/>
  <c r="R394" i="3"/>
  <c r="N394" i="3"/>
  <c r="O394" i="3" s="1"/>
  <c r="L394" i="3"/>
  <c r="I394" i="3"/>
  <c r="H394" i="3"/>
  <c r="F394" i="3"/>
  <c r="C394" i="3"/>
  <c r="Z393" i="3"/>
  <c r="AA393" i="3" s="1"/>
  <c r="U393" i="3"/>
  <c r="T393" i="3"/>
  <c r="Q393" i="3"/>
  <c r="R393" i="3" s="1"/>
  <c r="L393" i="3"/>
  <c r="K393" i="3"/>
  <c r="E393" i="3"/>
  <c r="F393" i="3" s="1"/>
  <c r="B393" i="3"/>
  <c r="H393" i="3" s="1"/>
  <c r="I393" i="3" s="1"/>
  <c r="AD392" i="3"/>
  <c r="AC392" i="3"/>
  <c r="AA392" i="3"/>
  <c r="W392" i="3"/>
  <c r="U392" i="3"/>
  <c r="R392" i="3"/>
  <c r="O392" i="3"/>
  <c r="N392" i="3"/>
  <c r="L392" i="3"/>
  <c r="I392" i="3"/>
  <c r="H392" i="3"/>
  <c r="F392" i="3"/>
  <c r="C392" i="3"/>
  <c r="AC391" i="3"/>
  <c r="AD391" i="3" s="1"/>
  <c r="AA391" i="3"/>
  <c r="W391" i="3"/>
  <c r="X391" i="3" s="1"/>
  <c r="U391" i="3"/>
  <c r="R391" i="3"/>
  <c r="N391" i="3"/>
  <c r="O391" i="3" s="1"/>
  <c r="L391" i="3"/>
  <c r="I391" i="3"/>
  <c r="H391" i="3"/>
  <c r="F391" i="3"/>
  <c r="C391" i="3"/>
  <c r="AC390" i="3"/>
  <c r="AD390" i="3" s="1"/>
  <c r="AA390" i="3"/>
  <c r="X390" i="3"/>
  <c r="W390" i="3"/>
  <c r="U390" i="3"/>
  <c r="R390" i="3"/>
  <c r="N390" i="3"/>
  <c r="L390" i="3"/>
  <c r="H390" i="3"/>
  <c r="I390" i="3" s="1"/>
  <c r="F390" i="3"/>
  <c r="C390" i="3"/>
  <c r="AD389" i="3"/>
  <c r="AC389" i="3"/>
  <c r="AA389" i="3"/>
  <c r="W389" i="3"/>
  <c r="X389" i="3" s="1"/>
  <c r="U389" i="3"/>
  <c r="R389" i="3"/>
  <c r="N389" i="3"/>
  <c r="O389" i="3" s="1"/>
  <c r="L389" i="3"/>
  <c r="H389" i="3"/>
  <c r="I389" i="3" s="1"/>
  <c r="F389" i="3"/>
  <c r="C389" i="3"/>
  <c r="AD388" i="3"/>
  <c r="AC388" i="3"/>
  <c r="AA388" i="3"/>
  <c r="W388" i="3"/>
  <c r="U388" i="3"/>
  <c r="R388" i="3"/>
  <c r="O388" i="3"/>
  <c r="N388" i="3"/>
  <c r="L388" i="3"/>
  <c r="I388" i="3"/>
  <c r="H388" i="3"/>
  <c r="F388" i="3"/>
  <c r="C388" i="3"/>
  <c r="AC386" i="3"/>
  <c r="AD386" i="3" s="1"/>
  <c r="AA386" i="3"/>
  <c r="W386" i="3"/>
  <c r="X386" i="3" s="1"/>
  <c r="U386" i="3"/>
  <c r="R386" i="3"/>
  <c r="N386" i="3"/>
  <c r="O386" i="3" s="1"/>
  <c r="L386" i="3"/>
  <c r="I386" i="3"/>
  <c r="H386" i="3"/>
  <c r="F386" i="3"/>
  <c r="C386" i="3"/>
  <c r="AC385" i="3"/>
  <c r="AD385" i="3" s="1"/>
  <c r="AA385" i="3"/>
  <c r="X385" i="3"/>
  <c r="W385" i="3"/>
  <c r="U385" i="3"/>
  <c r="R385" i="3"/>
  <c r="N385" i="3"/>
  <c r="L385" i="3"/>
  <c r="H385" i="3"/>
  <c r="I385" i="3" s="1"/>
  <c r="F385" i="3"/>
  <c r="C385" i="3"/>
  <c r="AD383" i="3"/>
  <c r="AC383" i="3"/>
  <c r="AA383" i="3"/>
  <c r="W383" i="3"/>
  <c r="X383" i="3" s="1"/>
  <c r="U383" i="3"/>
  <c r="R383" i="3"/>
  <c r="N383" i="3"/>
  <c r="O383" i="3" s="1"/>
  <c r="L383" i="3"/>
  <c r="H383" i="3"/>
  <c r="I383" i="3" s="1"/>
  <c r="F383" i="3"/>
  <c r="C383" i="3"/>
  <c r="AD382" i="3"/>
  <c r="AC382" i="3"/>
  <c r="AA382" i="3"/>
  <c r="W382" i="3"/>
  <c r="U382" i="3"/>
  <c r="R382" i="3"/>
  <c r="O382" i="3"/>
  <c r="N382" i="3"/>
  <c r="L382" i="3"/>
  <c r="I382" i="3"/>
  <c r="H382" i="3"/>
  <c r="F382" i="3"/>
  <c r="C382" i="3"/>
  <c r="AC381" i="3"/>
  <c r="AD381" i="3" s="1"/>
  <c r="AA381" i="3"/>
  <c r="W381" i="3"/>
  <c r="X381" i="3" s="1"/>
  <c r="U381" i="3"/>
  <c r="R381" i="3"/>
  <c r="N381" i="3"/>
  <c r="O381" i="3" s="1"/>
  <c r="L381" i="3"/>
  <c r="I381" i="3"/>
  <c r="H381" i="3"/>
  <c r="F381" i="3"/>
  <c r="C381" i="3"/>
  <c r="AC380" i="3"/>
  <c r="AD380" i="3" s="1"/>
  <c r="AA380" i="3"/>
  <c r="X380" i="3"/>
  <c r="W380" i="3"/>
  <c r="U380" i="3"/>
  <c r="R380" i="3"/>
  <c r="N380" i="3"/>
  <c r="L380" i="3"/>
  <c r="H380" i="3"/>
  <c r="I380" i="3" s="1"/>
  <c r="F380" i="3"/>
  <c r="C380" i="3"/>
  <c r="AD379" i="3"/>
  <c r="AC379" i="3"/>
  <c r="AA379" i="3"/>
  <c r="W379" i="3"/>
  <c r="X379" i="3" s="1"/>
  <c r="U379" i="3"/>
  <c r="R379" i="3"/>
  <c r="N379" i="3"/>
  <c r="O379" i="3" s="1"/>
  <c r="L379" i="3"/>
  <c r="H379" i="3"/>
  <c r="I379" i="3" s="1"/>
  <c r="F379" i="3"/>
  <c r="C379" i="3"/>
  <c r="AD378" i="3"/>
  <c r="AC378" i="3"/>
  <c r="AA378" i="3"/>
  <c r="W378" i="3"/>
  <c r="U378" i="3"/>
  <c r="R378" i="3"/>
  <c r="O378" i="3"/>
  <c r="N378" i="3"/>
  <c r="L378" i="3"/>
  <c r="I378" i="3"/>
  <c r="H378" i="3"/>
  <c r="F378" i="3"/>
  <c r="C378" i="3"/>
  <c r="AC377" i="3"/>
  <c r="AD377" i="3" s="1"/>
  <c r="AA377" i="3"/>
  <c r="W377" i="3"/>
  <c r="X377" i="3" s="1"/>
  <c r="U377" i="3"/>
  <c r="R377" i="3"/>
  <c r="N377" i="3"/>
  <c r="O377" i="3" s="1"/>
  <c r="L377" i="3"/>
  <c r="I377" i="3"/>
  <c r="H377" i="3"/>
  <c r="F377" i="3"/>
  <c r="C377" i="3"/>
  <c r="AC376" i="3"/>
  <c r="AD376" i="3" s="1"/>
  <c r="AA376" i="3"/>
  <c r="X376" i="3"/>
  <c r="W376" i="3"/>
  <c r="U376" i="3"/>
  <c r="R376" i="3"/>
  <c r="N376" i="3"/>
  <c r="L376" i="3"/>
  <c r="H376" i="3"/>
  <c r="I376" i="3" s="1"/>
  <c r="F376" i="3"/>
  <c r="C376" i="3"/>
  <c r="AD375" i="3"/>
  <c r="AC375" i="3"/>
  <c r="AA375" i="3"/>
  <c r="W375" i="3"/>
  <c r="X375" i="3" s="1"/>
  <c r="U375" i="3"/>
  <c r="R375" i="3"/>
  <c r="N375" i="3"/>
  <c r="O375" i="3" s="1"/>
  <c r="L375" i="3"/>
  <c r="H375" i="3"/>
  <c r="I375" i="3" s="1"/>
  <c r="F375" i="3"/>
  <c r="C375" i="3"/>
  <c r="AD374" i="3"/>
  <c r="AC374" i="3"/>
  <c r="AA374" i="3"/>
  <c r="W374" i="3"/>
  <c r="U374" i="3"/>
  <c r="R374" i="3"/>
  <c r="O374" i="3"/>
  <c r="N374" i="3"/>
  <c r="L374" i="3"/>
  <c r="I374" i="3"/>
  <c r="H374" i="3"/>
  <c r="F374" i="3"/>
  <c r="C374" i="3"/>
  <c r="AC373" i="3"/>
  <c r="AD373" i="3" s="1"/>
  <c r="AA373" i="3"/>
  <c r="W373" i="3"/>
  <c r="X373" i="3" s="1"/>
  <c r="U373" i="3"/>
  <c r="R373" i="3"/>
  <c r="N373" i="3"/>
  <c r="O373" i="3" s="1"/>
  <c r="L373" i="3"/>
  <c r="I373" i="3"/>
  <c r="H373" i="3"/>
  <c r="F373" i="3"/>
  <c r="C373" i="3"/>
  <c r="AC372" i="3"/>
  <c r="AD372" i="3" s="1"/>
  <c r="AA372" i="3"/>
  <c r="X372" i="3"/>
  <c r="W372" i="3"/>
  <c r="U372" i="3"/>
  <c r="R372" i="3"/>
  <c r="N372" i="3"/>
  <c r="L372" i="3"/>
  <c r="H372" i="3"/>
  <c r="I372" i="3" s="1"/>
  <c r="F372" i="3"/>
  <c r="C372" i="3"/>
  <c r="AD371" i="3"/>
  <c r="AC371" i="3"/>
  <c r="AA371" i="3"/>
  <c r="W371" i="3"/>
  <c r="X371" i="3" s="1"/>
  <c r="U371" i="3"/>
  <c r="R371" i="3"/>
  <c r="N371" i="3"/>
  <c r="O371" i="3" s="1"/>
  <c r="L371" i="3"/>
  <c r="H371" i="3"/>
  <c r="I371" i="3" s="1"/>
  <c r="F371" i="3"/>
  <c r="C371" i="3"/>
  <c r="AD370" i="3"/>
  <c r="AC370" i="3"/>
  <c r="AA370" i="3"/>
  <c r="W370" i="3"/>
  <c r="U370" i="3"/>
  <c r="R370" i="3"/>
  <c r="O370" i="3"/>
  <c r="N370" i="3"/>
  <c r="L370" i="3"/>
  <c r="I370" i="3"/>
  <c r="H370" i="3"/>
  <c r="F370" i="3"/>
  <c r="C370" i="3"/>
  <c r="AC369" i="3"/>
  <c r="AD369" i="3" s="1"/>
  <c r="AA369" i="3"/>
  <c r="W369" i="3"/>
  <c r="X369" i="3" s="1"/>
  <c r="U369" i="3"/>
  <c r="R369" i="3"/>
  <c r="N369" i="3"/>
  <c r="O369" i="3" s="1"/>
  <c r="L369" i="3"/>
  <c r="I369" i="3"/>
  <c r="H369" i="3"/>
  <c r="F369" i="3"/>
  <c r="C369" i="3"/>
  <c r="Z368" i="3"/>
  <c r="AA368" i="3" s="1"/>
  <c r="U368" i="3"/>
  <c r="T368" i="3"/>
  <c r="Q368" i="3"/>
  <c r="R368" i="3" s="1"/>
  <c r="N368" i="3"/>
  <c r="O368" i="3" s="1"/>
  <c r="L368" i="3"/>
  <c r="K368" i="3"/>
  <c r="E368" i="3"/>
  <c r="F368" i="3" s="1"/>
  <c r="B368" i="3"/>
  <c r="AD367" i="3"/>
  <c r="AC367" i="3"/>
  <c r="AA367" i="3"/>
  <c r="W367" i="3"/>
  <c r="U367" i="3"/>
  <c r="R367" i="3"/>
  <c r="O367" i="3"/>
  <c r="N367" i="3"/>
  <c r="L367" i="3"/>
  <c r="I367" i="3"/>
  <c r="H367" i="3"/>
  <c r="F367" i="3"/>
  <c r="C367" i="3"/>
  <c r="AC366" i="3"/>
  <c r="AD366" i="3" s="1"/>
  <c r="AA366" i="3"/>
  <c r="W366" i="3"/>
  <c r="X366" i="3" s="1"/>
  <c r="U366" i="3"/>
  <c r="R366" i="3"/>
  <c r="N366" i="3"/>
  <c r="O366" i="3" s="1"/>
  <c r="L366" i="3"/>
  <c r="I366" i="3"/>
  <c r="H366" i="3"/>
  <c r="F366" i="3"/>
  <c r="C366" i="3"/>
  <c r="AC365" i="3"/>
  <c r="AD365" i="3" s="1"/>
  <c r="AA365" i="3"/>
  <c r="X365" i="3"/>
  <c r="W365" i="3"/>
  <c r="U365" i="3"/>
  <c r="R365" i="3"/>
  <c r="N365" i="3"/>
  <c r="L365" i="3"/>
  <c r="H365" i="3"/>
  <c r="I365" i="3" s="1"/>
  <c r="F365" i="3"/>
  <c r="C365" i="3"/>
  <c r="AD364" i="3"/>
  <c r="AC364" i="3"/>
  <c r="AA364" i="3"/>
  <c r="W364" i="3"/>
  <c r="X364" i="3" s="1"/>
  <c r="U364" i="3"/>
  <c r="R364" i="3"/>
  <c r="N364" i="3"/>
  <c r="O364" i="3" s="1"/>
  <c r="L364" i="3"/>
  <c r="H364" i="3"/>
  <c r="I364" i="3" s="1"/>
  <c r="F364" i="3"/>
  <c r="C364" i="3"/>
  <c r="AD363" i="3"/>
  <c r="AC363" i="3"/>
  <c r="AA363" i="3"/>
  <c r="W363" i="3"/>
  <c r="U363" i="3"/>
  <c r="R363" i="3"/>
  <c r="O363" i="3"/>
  <c r="N363" i="3"/>
  <c r="L363" i="3"/>
  <c r="I363" i="3"/>
  <c r="H363" i="3"/>
  <c r="F363" i="3"/>
  <c r="C363" i="3"/>
  <c r="AC362" i="3"/>
  <c r="AD362" i="3" s="1"/>
  <c r="AA362" i="3"/>
  <c r="W362" i="3"/>
  <c r="X362" i="3" s="1"/>
  <c r="U362" i="3"/>
  <c r="R362" i="3"/>
  <c r="N362" i="3"/>
  <c r="O362" i="3" s="1"/>
  <c r="L362" i="3"/>
  <c r="I362" i="3"/>
  <c r="H362" i="3"/>
  <c r="F362" i="3"/>
  <c r="C362" i="3"/>
  <c r="AC361" i="3"/>
  <c r="AD361" i="3" s="1"/>
  <c r="AA361" i="3"/>
  <c r="W361" i="3"/>
  <c r="X361" i="3" s="1"/>
  <c r="U361" i="3"/>
  <c r="R361" i="3"/>
  <c r="N361" i="3"/>
  <c r="L361" i="3"/>
  <c r="H361" i="3"/>
  <c r="I361" i="3" s="1"/>
  <c r="F361" i="3"/>
  <c r="C361" i="3"/>
  <c r="AD360" i="3"/>
  <c r="AC360" i="3"/>
  <c r="AA360" i="3"/>
  <c r="W360" i="3"/>
  <c r="X360" i="3" s="1"/>
  <c r="U360" i="3"/>
  <c r="R360" i="3"/>
  <c r="N360" i="3"/>
  <c r="O360" i="3" s="1"/>
  <c r="L360" i="3"/>
  <c r="H360" i="3"/>
  <c r="I360" i="3" s="1"/>
  <c r="F360" i="3"/>
  <c r="C360" i="3"/>
  <c r="AA358" i="3"/>
  <c r="Z358" i="3"/>
  <c r="U358" i="3"/>
  <c r="T358" i="3"/>
  <c r="W358" i="3" s="1"/>
  <c r="X358" i="3" s="1"/>
  <c r="R358" i="3"/>
  <c r="Q358" i="3"/>
  <c r="AC358" i="3" s="1"/>
  <c r="AD358" i="3" s="1"/>
  <c r="K358" i="3"/>
  <c r="L358" i="3" s="1"/>
  <c r="H358" i="3"/>
  <c r="I358" i="3" s="1"/>
  <c r="F358" i="3"/>
  <c r="E358" i="3"/>
  <c r="C358" i="3"/>
  <c r="B358" i="3"/>
  <c r="N358" i="3" s="1"/>
  <c r="O358" i="3" s="1"/>
  <c r="AC357" i="3"/>
  <c r="AD357" i="3" s="1"/>
  <c r="AA357" i="3"/>
  <c r="W357" i="3"/>
  <c r="X357" i="3" s="1"/>
  <c r="U357" i="3"/>
  <c r="R357" i="3"/>
  <c r="N357" i="3"/>
  <c r="L357" i="3"/>
  <c r="H357" i="3"/>
  <c r="I357" i="3" s="1"/>
  <c r="F357" i="3"/>
  <c r="C357" i="3"/>
  <c r="AD356" i="3"/>
  <c r="AC356" i="3"/>
  <c r="AA356" i="3"/>
  <c r="W356" i="3"/>
  <c r="X356" i="3" s="1"/>
  <c r="U356" i="3"/>
  <c r="R356" i="3"/>
  <c r="N356" i="3"/>
  <c r="O356" i="3" s="1"/>
  <c r="L356" i="3"/>
  <c r="H356" i="3"/>
  <c r="I356" i="3" s="1"/>
  <c r="F356" i="3"/>
  <c r="C356" i="3"/>
  <c r="AD355" i="3"/>
  <c r="AC355" i="3"/>
  <c r="AA355" i="3"/>
  <c r="W355" i="3"/>
  <c r="U355" i="3"/>
  <c r="R355" i="3"/>
  <c r="O355" i="3"/>
  <c r="N355" i="3"/>
  <c r="L355" i="3"/>
  <c r="I355" i="3"/>
  <c r="H355" i="3"/>
  <c r="F355" i="3"/>
  <c r="C355" i="3"/>
  <c r="AC354" i="3"/>
  <c r="AD354" i="3" s="1"/>
  <c r="AA354" i="3"/>
  <c r="W354" i="3"/>
  <c r="X354" i="3" s="1"/>
  <c r="U354" i="3"/>
  <c r="R354" i="3"/>
  <c r="N354" i="3"/>
  <c r="O354" i="3" s="1"/>
  <c r="L354" i="3"/>
  <c r="I354" i="3"/>
  <c r="H354" i="3"/>
  <c r="F354" i="3"/>
  <c r="C354" i="3"/>
  <c r="AC353" i="3"/>
  <c r="AD353" i="3" s="1"/>
  <c r="AA353" i="3"/>
  <c r="W353" i="3"/>
  <c r="X353" i="3" s="1"/>
  <c r="U353" i="3"/>
  <c r="R353" i="3"/>
  <c r="N353" i="3"/>
  <c r="L353" i="3"/>
  <c r="H353" i="3"/>
  <c r="I353" i="3" s="1"/>
  <c r="F353" i="3"/>
  <c r="C353" i="3"/>
  <c r="AD352" i="3"/>
  <c r="AC352" i="3"/>
  <c r="AA352" i="3"/>
  <c r="W352" i="3"/>
  <c r="X352" i="3" s="1"/>
  <c r="U352" i="3"/>
  <c r="R352" i="3"/>
  <c r="N352" i="3"/>
  <c r="O352" i="3" s="1"/>
  <c r="L352" i="3"/>
  <c r="H352" i="3"/>
  <c r="I352" i="3" s="1"/>
  <c r="F352" i="3"/>
  <c r="C352" i="3"/>
  <c r="AD351" i="3"/>
  <c r="AC351" i="3"/>
  <c r="AA351" i="3"/>
  <c r="W351" i="3"/>
  <c r="U351" i="3"/>
  <c r="R351" i="3"/>
  <c r="O351" i="3"/>
  <c r="N351" i="3"/>
  <c r="L351" i="3"/>
  <c r="I351" i="3"/>
  <c r="H351" i="3"/>
  <c r="F351" i="3"/>
  <c r="C351" i="3"/>
  <c r="AD350" i="3"/>
  <c r="AC350" i="3"/>
  <c r="AA350" i="3"/>
  <c r="W350" i="3"/>
  <c r="X350" i="3" s="1"/>
  <c r="U350" i="3"/>
  <c r="R350" i="3"/>
  <c r="N350" i="3"/>
  <c r="O350" i="3" s="1"/>
  <c r="L350" i="3"/>
  <c r="I350" i="3"/>
  <c r="H350" i="3"/>
  <c r="F350" i="3"/>
  <c r="C350" i="3"/>
  <c r="AC349" i="3"/>
  <c r="AD349" i="3" s="1"/>
  <c r="AA349" i="3"/>
  <c r="W349" i="3"/>
  <c r="X349" i="3" s="1"/>
  <c r="U349" i="3"/>
  <c r="R349" i="3"/>
  <c r="N349" i="3"/>
  <c r="L349" i="3"/>
  <c r="H349" i="3"/>
  <c r="I349" i="3" s="1"/>
  <c r="F349" i="3"/>
  <c r="C349" i="3"/>
  <c r="AD347" i="3"/>
  <c r="AC347" i="3"/>
  <c r="AA347" i="3"/>
  <c r="W347" i="3"/>
  <c r="X347" i="3" s="1"/>
  <c r="U347" i="3"/>
  <c r="R347" i="3"/>
  <c r="N347" i="3"/>
  <c r="O347" i="3" s="1"/>
  <c r="L347" i="3"/>
  <c r="H347" i="3"/>
  <c r="I347" i="3" s="1"/>
  <c r="F347" i="3"/>
  <c r="C347" i="3"/>
  <c r="F345" i="3"/>
  <c r="AA344" i="3"/>
  <c r="Z344" i="3"/>
  <c r="U344" i="3"/>
  <c r="T344" i="3"/>
  <c r="Q344" i="3"/>
  <c r="R344" i="3" s="1"/>
  <c r="L344" i="3"/>
  <c r="K344" i="3"/>
  <c r="I344" i="3"/>
  <c r="E344" i="3"/>
  <c r="F344" i="3" s="1"/>
  <c r="C344" i="3"/>
  <c r="B344" i="3"/>
  <c r="H344" i="3" s="1"/>
  <c r="AD343" i="3"/>
  <c r="AA343" i="3"/>
  <c r="Z343" i="3"/>
  <c r="T343" i="3"/>
  <c r="W343" i="3" s="1"/>
  <c r="X343" i="3" s="1"/>
  <c r="R343" i="3"/>
  <c r="Q343" i="3"/>
  <c r="AC343" i="3" s="1"/>
  <c r="K343" i="3"/>
  <c r="L343" i="3" s="1"/>
  <c r="H343" i="3"/>
  <c r="I343" i="3" s="1"/>
  <c r="F343" i="3"/>
  <c r="E343" i="3"/>
  <c r="C343" i="3"/>
  <c r="B343" i="3"/>
  <c r="N343" i="3" s="1"/>
  <c r="O343" i="3" s="1"/>
  <c r="Z342" i="3"/>
  <c r="AA342" i="3" s="1"/>
  <c r="U342" i="3"/>
  <c r="T342" i="3"/>
  <c r="Q342" i="3"/>
  <c r="R342" i="3" s="1"/>
  <c r="L342" i="3"/>
  <c r="K342" i="3"/>
  <c r="E342" i="3"/>
  <c r="F342" i="3" s="1"/>
  <c r="B342" i="3"/>
  <c r="H342" i="3" s="1"/>
  <c r="I342" i="3" s="1"/>
  <c r="AD341" i="3"/>
  <c r="AC341" i="3"/>
  <c r="AA341" i="3"/>
  <c r="W341" i="3"/>
  <c r="U341" i="3"/>
  <c r="R341" i="3"/>
  <c r="N341" i="3"/>
  <c r="O341" i="3" s="1"/>
  <c r="L341" i="3"/>
  <c r="I341" i="3"/>
  <c r="H341" i="3"/>
  <c r="F341" i="3"/>
  <c r="C341" i="3"/>
  <c r="AD340" i="3"/>
  <c r="AC340" i="3"/>
  <c r="AA340" i="3"/>
  <c r="W340" i="3"/>
  <c r="X340" i="3" s="1"/>
  <c r="U340" i="3"/>
  <c r="R340" i="3"/>
  <c r="N340" i="3"/>
  <c r="O340" i="3" s="1"/>
  <c r="L340" i="3"/>
  <c r="I340" i="3"/>
  <c r="H340" i="3"/>
  <c r="F340" i="3"/>
  <c r="C340" i="3"/>
  <c r="AC339" i="3"/>
  <c r="AD339" i="3" s="1"/>
  <c r="AA339" i="3"/>
  <c r="X339" i="3"/>
  <c r="W339" i="3"/>
  <c r="U339" i="3"/>
  <c r="R339" i="3"/>
  <c r="N339" i="3"/>
  <c r="L339" i="3"/>
  <c r="I339" i="3"/>
  <c r="H339" i="3"/>
  <c r="F339" i="3"/>
  <c r="C339" i="3"/>
  <c r="AD338" i="3"/>
  <c r="AC338" i="3"/>
  <c r="AA338" i="3"/>
  <c r="W338" i="3"/>
  <c r="X338" i="3" s="1"/>
  <c r="U338" i="3"/>
  <c r="R338" i="3"/>
  <c r="N338" i="3"/>
  <c r="O338" i="3" s="1"/>
  <c r="L338" i="3"/>
  <c r="H338" i="3"/>
  <c r="I338" i="3" s="1"/>
  <c r="F338" i="3"/>
  <c r="C338" i="3"/>
  <c r="AD337" i="3"/>
  <c r="AC337" i="3"/>
  <c r="AA337" i="3"/>
  <c r="W337" i="3"/>
  <c r="U337" i="3"/>
  <c r="R337" i="3"/>
  <c r="N337" i="3"/>
  <c r="O337" i="3" s="1"/>
  <c r="L337" i="3"/>
  <c r="I337" i="3"/>
  <c r="H337" i="3"/>
  <c r="F337" i="3"/>
  <c r="C337" i="3"/>
  <c r="AD335" i="3"/>
  <c r="AC335" i="3"/>
  <c r="AA335" i="3"/>
  <c r="W335" i="3"/>
  <c r="X335" i="3" s="1"/>
  <c r="U335" i="3"/>
  <c r="R335" i="3"/>
  <c r="N335" i="3"/>
  <c r="O335" i="3" s="1"/>
  <c r="L335" i="3"/>
  <c r="I335" i="3"/>
  <c r="H335" i="3"/>
  <c r="F335" i="3"/>
  <c r="C335" i="3"/>
  <c r="AC334" i="3"/>
  <c r="AD334" i="3" s="1"/>
  <c r="AA334" i="3"/>
  <c r="X334" i="3"/>
  <c r="W334" i="3"/>
  <c r="U334" i="3"/>
  <c r="R334" i="3"/>
  <c r="N334" i="3"/>
  <c r="L334" i="3"/>
  <c r="I334" i="3"/>
  <c r="H334" i="3"/>
  <c r="F334" i="3"/>
  <c r="C334" i="3"/>
  <c r="AD333" i="3"/>
  <c r="AC333" i="3"/>
  <c r="AA333" i="3"/>
  <c r="W333" i="3"/>
  <c r="X333" i="3" s="1"/>
  <c r="U333" i="3"/>
  <c r="R333" i="3"/>
  <c r="N333" i="3"/>
  <c r="O333" i="3" s="1"/>
  <c r="L333" i="3"/>
  <c r="H333" i="3"/>
  <c r="I333" i="3" s="1"/>
  <c r="F333" i="3"/>
  <c r="C333" i="3"/>
  <c r="AD332" i="3"/>
  <c r="AC332" i="3"/>
  <c r="AA332" i="3"/>
  <c r="W332" i="3"/>
  <c r="U332" i="3"/>
  <c r="R332" i="3"/>
  <c r="N332" i="3"/>
  <c r="O332" i="3" s="1"/>
  <c r="L332" i="3"/>
  <c r="I332" i="3"/>
  <c r="H332" i="3"/>
  <c r="F332" i="3"/>
  <c r="C332" i="3"/>
  <c r="AD331" i="3"/>
  <c r="AC331" i="3"/>
  <c r="AA331" i="3"/>
  <c r="W331" i="3"/>
  <c r="X331" i="3" s="1"/>
  <c r="U331" i="3"/>
  <c r="R331" i="3"/>
  <c r="N331" i="3"/>
  <c r="O331" i="3" s="1"/>
  <c r="L331" i="3"/>
  <c r="I331" i="3"/>
  <c r="H331" i="3"/>
  <c r="F331" i="3"/>
  <c r="C331" i="3"/>
  <c r="AC330" i="3"/>
  <c r="AD330" i="3" s="1"/>
  <c r="AA330" i="3"/>
  <c r="X330" i="3"/>
  <c r="W330" i="3"/>
  <c r="U330" i="3"/>
  <c r="R330" i="3"/>
  <c r="N330" i="3"/>
  <c r="L330" i="3"/>
  <c r="I330" i="3"/>
  <c r="H330" i="3"/>
  <c r="F330" i="3"/>
  <c r="C330" i="3"/>
  <c r="AD329" i="3"/>
  <c r="AC329" i="3"/>
  <c r="AA329" i="3"/>
  <c r="W329" i="3"/>
  <c r="X329" i="3" s="1"/>
  <c r="U329" i="3"/>
  <c r="R329" i="3"/>
  <c r="N329" i="3"/>
  <c r="O329" i="3" s="1"/>
  <c r="L329" i="3"/>
  <c r="H329" i="3"/>
  <c r="I329" i="3" s="1"/>
  <c r="F329" i="3"/>
  <c r="C329" i="3"/>
  <c r="AD328" i="3"/>
  <c r="AC328" i="3"/>
  <c r="AA328" i="3"/>
  <c r="W328" i="3"/>
  <c r="U328" i="3"/>
  <c r="R328" i="3"/>
  <c r="N328" i="3"/>
  <c r="O328" i="3" s="1"/>
  <c r="L328" i="3"/>
  <c r="I328" i="3"/>
  <c r="H328" i="3"/>
  <c r="F328" i="3"/>
  <c r="C328" i="3"/>
  <c r="AD325" i="3"/>
  <c r="AC325" i="3"/>
  <c r="AA325" i="3"/>
  <c r="Z325" i="3"/>
  <c r="X325" i="3"/>
  <c r="T325" i="3"/>
  <c r="U325" i="3" s="1"/>
  <c r="R325" i="3"/>
  <c r="Q325" i="3"/>
  <c r="W325" i="3" s="1"/>
  <c r="L325" i="3"/>
  <c r="K325" i="3"/>
  <c r="E325" i="3"/>
  <c r="H325" i="3" s="1"/>
  <c r="I325" i="3" s="1"/>
  <c r="C325" i="3"/>
  <c r="B325" i="3"/>
  <c r="N325" i="3" s="1"/>
  <c r="O325" i="3" s="1"/>
  <c r="Z324" i="3"/>
  <c r="AA324" i="3" s="1"/>
  <c r="W324" i="3"/>
  <c r="X324" i="3" s="1"/>
  <c r="U324" i="3"/>
  <c r="T324" i="3"/>
  <c r="R324" i="3"/>
  <c r="Q324" i="3"/>
  <c r="AC324" i="3" s="1"/>
  <c r="AD324" i="3" s="1"/>
  <c r="K324" i="3"/>
  <c r="L324" i="3" s="1"/>
  <c r="F324" i="3"/>
  <c r="E324" i="3"/>
  <c r="B324" i="3"/>
  <c r="C324" i="3" s="1"/>
  <c r="AC323" i="3"/>
  <c r="AD323" i="3" s="1"/>
  <c r="AA323" i="3"/>
  <c r="W323" i="3"/>
  <c r="X323" i="3" s="1"/>
  <c r="U323" i="3"/>
  <c r="R323" i="3"/>
  <c r="N323" i="3"/>
  <c r="O323" i="3" s="1"/>
  <c r="L323" i="3"/>
  <c r="I323" i="3"/>
  <c r="H323" i="3"/>
  <c r="F323" i="3"/>
  <c r="C323" i="3"/>
  <c r="AC322" i="3"/>
  <c r="AD322" i="3" s="1"/>
  <c r="AA322" i="3"/>
  <c r="W322" i="3"/>
  <c r="X322" i="3" s="1"/>
  <c r="U322" i="3"/>
  <c r="R322" i="3"/>
  <c r="N322" i="3"/>
  <c r="L322" i="3"/>
  <c r="H322" i="3"/>
  <c r="I322" i="3" s="1"/>
  <c r="F322" i="3"/>
  <c r="C322" i="3"/>
  <c r="AD321" i="3"/>
  <c r="AC321" i="3"/>
  <c r="AA321" i="3"/>
  <c r="W321" i="3"/>
  <c r="X321" i="3" s="1"/>
  <c r="U321" i="3"/>
  <c r="R321" i="3"/>
  <c r="N321" i="3"/>
  <c r="O321" i="3" s="1"/>
  <c r="L321" i="3"/>
  <c r="H321" i="3"/>
  <c r="I321" i="3" s="1"/>
  <c r="F321" i="3"/>
  <c r="C321" i="3"/>
  <c r="AD320" i="3"/>
  <c r="AC320" i="3"/>
  <c r="AA320" i="3"/>
  <c r="W320" i="3"/>
  <c r="U320" i="3"/>
  <c r="R320" i="3"/>
  <c r="O320" i="3"/>
  <c r="N320" i="3"/>
  <c r="L320" i="3"/>
  <c r="I320" i="3"/>
  <c r="H320" i="3"/>
  <c r="F320" i="3"/>
  <c r="C320" i="3"/>
  <c r="AC319" i="3"/>
  <c r="AD319" i="3" s="1"/>
  <c r="AA319" i="3"/>
  <c r="W319" i="3"/>
  <c r="X319" i="3" s="1"/>
  <c r="U319" i="3"/>
  <c r="R319" i="3"/>
  <c r="N319" i="3"/>
  <c r="O319" i="3" s="1"/>
  <c r="L319" i="3"/>
  <c r="I319" i="3"/>
  <c r="H319" i="3"/>
  <c r="F319" i="3"/>
  <c r="C319" i="3"/>
  <c r="AC318" i="3"/>
  <c r="AD318" i="3" s="1"/>
  <c r="AA318" i="3"/>
  <c r="W318" i="3"/>
  <c r="X318" i="3" s="1"/>
  <c r="U318" i="3"/>
  <c r="R318" i="3"/>
  <c r="N318" i="3"/>
  <c r="L318" i="3"/>
  <c r="H318" i="3"/>
  <c r="I318" i="3" s="1"/>
  <c r="F318" i="3"/>
  <c r="C318" i="3"/>
  <c r="AD317" i="3"/>
  <c r="AC317" i="3"/>
  <c r="AA317" i="3"/>
  <c r="W317" i="3"/>
  <c r="X317" i="3" s="1"/>
  <c r="U317" i="3"/>
  <c r="R317" i="3"/>
  <c r="N317" i="3"/>
  <c r="O317" i="3" s="1"/>
  <c r="L317" i="3"/>
  <c r="H317" i="3"/>
  <c r="I317" i="3" s="1"/>
  <c r="F317" i="3"/>
  <c r="C317" i="3"/>
  <c r="AD316" i="3"/>
  <c r="AC316" i="3"/>
  <c r="AA316" i="3"/>
  <c r="W316" i="3"/>
  <c r="U316" i="3"/>
  <c r="R316" i="3"/>
  <c r="O316" i="3"/>
  <c r="N316" i="3"/>
  <c r="L316" i="3"/>
  <c r="I316" i="3"/>
  <c r="H316" i="3"/>
  <c r="F316" i="3"/>
  <c r="C316" i="3"/>
  <c r="AC315" i="3"/>
  <c r="AD315" i="3" s="1"/>
  <c r="AA315" i="3"/>
  <c r="W315" i="3"/>
  <c r="X315" i="3" s="1"/>
  <c r="U315" i="3"/>
  <c r="R315" i="3"/>
  <c r="N315" i="3"/>
  <c r="O315" i="3" s="1"/>
  <c r="L315" i="3"/>
  <c r="I315" i="3"/>
  <c r="H315" i="3"/>
  <c r="F315" i="3"/>
  <c r="C315" i="3"/>
  <c r="AC314" i="3"/>
  <c r="AD314" i="3" s="1"/>
  <c r="AA314" i="3"/>
  <c r="W314" i="3"/>
  <c r="X314" i="3" s="1"/>
  <c r="U314" i="3"/>
  <c r="R314" i="3"/>
  <c r="N314" i="3"/>
  <c r="L314" i="3"/>
  <c r="H314" i="3"/>
  <c r="I314" i="3" s="1"/>
  <c r="F314" i="3"/>
  <c r="C314" i="3"/>
  <c r="AD313" i="3"/>
  <c r="AC313" i="3"/>
  <c r="AA313" i="3"/>
  <c r="W313" i="3"/>
  <c r="X313" i="3" s="1"/>
  <c r="U313" i="3"/>
  <c r="R313" i="3"/>
  <c r="N313" i="3"/>
  <c r="O313" i="3" s="1"/>
  <c r="L313" i="3"/>
  <c r="H313" i="3"/>
  <c r="I313" i="3" s="1"/>
  <c r="F313" i="3"/>
  <c r="C313" i="3"/>
  <c r="AD312" i="3"/>
  <c r="AC312" i="3"/>
  <c r="AA312" i="3"/>
  <c r="W312" i="3"/>
  <c r="U312" i="3"/>
  <c r="R312" i="3"/>
  <c r="O312" i="3"/>
  <c r="N312" i="3"/>
  <c r="L312" i="3"/>
  <c r="I312" i="3"/>
  <c r="H312" i="3"/>
  <c r="F312" i="3"/>
  <c r="C312" i="3"/>
  <c r="AC311" i="3"/>
  <c r="AD311" i="3" s="1"/>
  <c r="AA311" i="3"/>
  <c r="W311" i="3"/>
  <c r="X311" i="3" s="1"/>
  <c r="U311" i="3"/>
  <c r="R311" i="3"/>
  <c r="N311" i="3"/>
  <c r="O311" i="3" s="1"/>
  <c r="L311" i="3"/>
  <c r="I311" i="3"/>
  <c r="H311" i="3"/>
  <c r="F311" i="3"/>
  <c r="C311" i="3"/>
  <c r="AC310" i="3"/>
  <c r="AD310" i="3" s="1"/>
  <c r="AA310" i="3"/>
  <c r="W310" i="3"/>
  <c r="X310" i="3" s="1"/>
  <c r="U310" i="3"/>
  <c r="R310" i="3"/>
  <c r="N310" i="3"/>
  <c r="L310" i="3"/>
  <c r="H310" i="3"/>
  <c r="I310" i="3" s="1"/>
  <c r="F310" i="3"/>
  <c r="C310" i="3"/>
  <c r="AD309" i="3"/>
  <c r="AC309" i="3"/>
  <c r="AA309" i="3"/>
  <c r="W309" i="3"/>
  <c r="X309" i="3" s="1"/>
  <c r="U309" i="3"/>
  <c r="R309" i="3"/>
  <c r="N309" i="3"/>
  <c r="O309" i="3" s="1"/>
  <c r="L309" i="3"/>
  <c r="H309" i="3"/>
  <c r="I309" i="3" s="1"/>
  <c r="F309" i="3"/>
  <c r="C309" i="3"/>
  <c r="AD308" i="3"/>
  <c r="AC308" i="3"/>
  <c r="AA308" i="3"/>
  <c r="W308" i="3"/>
  <c r="U308" i="3"/>
  <c r="R308" i="3"/>
  <c r="O308" i="3"/>
  <c r="N308" i="3"/>
  <c r="L308" i="3"/>
  <c r="I308" i="3"/>
  <c r="H308" i="3"/>
  <c r="F308" i="3"/>
  <c r="C308" i="3"/>
  <c r="AC307" i="3"/>
  <c r="AD307" i="3" s="1"/>
  <c r="AA307" i="3"/>
  <c r="W307" i="3"/>
  <c r="X307" i="3" s="1"/>
  <c r="U307" i="3"/>
  <c r="R307" i="3"/>
  <c r="N307" i="3"/>
  <c r="O307" i="3" s="1"/>
  <c r="L307" i="3"/>
  <c r="I307" i="3"/>
  <c r="H307" i="3"/>
  <c r="F307" i="3"/>
  <c r="C307" i="3"/>
  <c r="AC306" i="3"/>
  <c r="AD306" i="3" s="1"/>
  <c r="AA306" i="3"/>
  <c r="W306" i="3"/>
  <c r="X306" i="3" s="1"/>
  <c r="U306" i="3"/>
  <c r="R306" i="3"/>
  <c r="N306" i="3"/>
  <c r="L306" i="3"/>
  <c r="H306" i="3"/>
  <c r="I306" i="3" s="1"/>
  <c r="F306" i="3"/>
  <c r="C306" i="3"/>
  <c r="AD305" i="3"/>
  <c r="AC305" i="3"/>
  <c r="AA305" i="3"/>
  <c r="W305" i="3"/>
  <c r="X305" i="3" s="1"/>
  <c r="U305" i="3"/>
  <c r="R305" i="3"/>
  <c r="N305" i="3"/>
  <c r="O305" i="3" s="1"/>
  <c r="L305" i="3"/>
  <c r="H305" i="3"/>
  <c r="I305" i="3" s="1"/>
  <c r="F305" i="3"/>
  <c r="C305" i="3"/>
  <c r="AD304" i="3"/>
  <c r="AC304" i="3"/>
  <c r="AA304" i="3"/>
  <c r="W304" i="3"/>
  <c r="U304" i="3"/>
  <c r="R304" i="3"/>
  <c r="O304" i="3"/>
  <c r="N304" i="3"/>
  <c r="L304" i="3"/>
  <c r="I304" i="3"/>
  <c r="H304" i="3"/>
  <c r="F304" i="3"/>
  <c r="C304" i="3"/>
  <c r="AC303" i="3"/>
  <c r="AD303" i="3" s="1"/>
  <c r="AA303" i="3"/>
  <c r="W303" i="3"/>
  <c r="X303" i="3" s="1"/>
  <c r="U303" i="3"/>
  <c r="R303" i="3"/>
  <c r="N303" i="3"/>
  <c r="O303" i="3" s="1"/>
  <c r="L303" i="3"/>
  <c r="I303" i="3"/>
  <c r="H303" i="3"/>
  <c r="F303" i="3"/>
  <c r="C303" i="3"/>
  <c r="AC302" i="3"/>
  <c r="AD302" i="3" s="1"/>
  <c r="AA302" i="3"/>
  <c r="W302" i="3"/>
  <c r="X302" i="3" s="1"/>
  <c r="U302" i="3"/>
  <c r="R302" i="3"/>
  <c r="N302" i="3"/>
  <c r="L302" i="3"/>
  <c r="H302" i="3"/>
  <c r="I302" i="3" s="1"/>
  <c r="F302" i="3"/>
  <c r="C302" i="3"/>
  <c r="AD301" i="3"/>
  <c r="AC301" i="3"/>
  <c r="AA301" i="3"/>
  <c r="W301" i="3"/>
  <c r="X301" i="3" s="1"/>
  <c r="U301" i="3"/>
  <c r="R301" i="3"/>
  <c r="N301" i="3"/>
  <c r="O301" i="3" s="1"/>
  <c r="L301" i="3"/>
  <c r="H301" i="3"/>
  <c r="I301" i="3" s="1"/>
  <c r="F301" i="3"/>
  <c r="C301" i="3"/>
  <c r="AD300" i="3"/>
  <c r="AC300" i="3"/>
  <c r="AA300" i="3"/>
  <c r="W300" i="3"/>
  <c r="U300" i="3"/>
  <c r="R300" i="3"/>
  <c r="O300" i="3"/>
  <c r="N300" i="3"/>
  <c r="L300" i="3"/>
  <c r="I300" i="3"/>
  <c r="H300" i="3"/>
  <c r="F300" i="3"/>
  <c r="C300" i="3"/>
  <c r="AC299" i="3"/>
  <c r="AD299" i="3" s="1"/>
  <c r="AA299" i="3"/>
  <c r="W299" i="3"/>
  <c r="X299" i="3" s="1"/>
  <c r="U299" i="3"/>
  <c r="R299" i="3"/>
  <c r="N299" i="3"/>
  <c r="O299" i="3" s="1"/>
  <c r="L299" i="3"/>
  <c r="I299" i="3"/>
  <c r="H299" i="3"/>
  <c r="F299" i="3"/>
  <c r="C299" i="3"/>
  <c r="AC298" i="3"/>
  <c r="AD298" i="3" s="1"/>
  <c r="AA298" i="3"/>
  <c r="X298" i="3"/>
  <c r="W298" i="3"/>
  <c r="U298" i="3"/>
  <c r="R298" i="3"/>
  <c r="N298" i="3"/>
  <c r="L298" i="3"/>
  <c r="H298" i="3"/>
  <c r="I298" i="3" s="1"/>
  <c r="F298" i="3"/>
  <c r="C298" i="3"/>
  <c r="AD297" i="3"/>
  <c r="AC297" i="3"/>
  <c r="AA297" i="3"/>
  <c r="W297" i="3"/>
  <c r="X297" i="3" s="1"/>
  <c r="U297" i="3"/>
  <c r="R297" i="3"/>
  <c r="N297" i="3"/>
  <c r="O297" i="3" s="1"/>
  <c r="L297" i="3"/>
  <c r="H297" i="3"/>
  <c r="I297" i="3" s="1"/>
  <c r="F297" i="3"/>
  <c r="C297" i="3"/>
  <c r="AA295" i="3"/>
  <c r="Z295" i="3"/>
  <c r="U295" i="3"/>
  <c r="T295" i="3"/>
  <c r="W295" i="3" s="1"/>
  <c r="X295" i="3" s="1"/>
  <c r="R295" i="3"/>
  <c r="Q295" i="3"/>
  <c r="AC295" i="3" s="1"/>
  <c r="AD295" i="3" s="1"/>
  <c r="K295" i="3"/>
  <c r="L295" i="3" s="1"/>
  <c r="H295" i="3"/>
  <c r="I295" i="3" s="1"/>
  <c r="F295" i="3"/>
  <c r="E295" i="3"/>
  <c r="C295" i="3"/>
  <c r="B295" i="3"/>
  <c r="N295" i="3" s="1"/>
  <c r="O295" i="3" s="1"/>
  <c r="AC294" i="3"/>
  <c r="AD294" i="3" s="1"/>
  <c r="AA294" i="3"/>
  <c r="W294" i="3"/>
  <c r="X294" i="3" s="1"/>
  <c r="U294" i="3"/>
  <c r="R294" i="3"/>
  <c r="N294" i="3"/>
  <c r="L294" i="3"/>
  <c r="H294" i="3"/>
  <c r="I294" i="3" s="1"/>
  <c r="F294" i="3"/>
  <c r="C294" i="3"/>
  <c r="AD293" i="3"/>
  <c r="AC293" i="3"/>
  <c r="AA293" i="3"/>
  <c r="W293" i="3"/>
  <c r="X293" i="3" s="1"/>
  <c r="U293" i="3"/>
  <c r="R293" i="3"/>
  <c r="N293" i="3"/>
  <c r="O293" i="3" s="1"/>
  <c r="L293" i="3"/>
  <c r="H293" i="3"/>
  <c r="I293" i="3" s="1"/>
  <c r="F293" i="3"/>
  <c r="C293" i="3"/>
  <c r="AD292" i="3"/>
  <c r="AC292" i="3"/>
  <c r="AA292" i="3"/>
  <c r="W292" i="3"/>
  <c r="U292" i="3"/>
  <c r="R292" i="3"/>
  <c r="O292" i="3"/>
  <c r="N292" i="3"/>
  <c r="L292" i="3"/>
  <c r="I292" i="3"/>
  <c r="H292" i="3"/>
  <c r="F292" i="3"/>
  <c r="C292" i="3"/>
  <c r="AC291" i="3"/>
  <c r="AD291" i="3" s="1"/>
  <c r="AA291" i="3"/>
  <c r="W291" i="3"/>
  <c r="X291" i="3" s="1"/>
  <c r="U291" i="3"/>
  <c r="R291" i="3"/>
  <c r="N291" i="3"/>
  <c r="O291" i="3" s="1"/>
  <c r="L291" i="3"/>
  <c r="I291" i="3"/>
  <c r="H291" i="3"/>
  <c r="F291" i="3"/>
  <c r="C291" i="3"/>
  <c r="AC290" i="3"/>
  <c r="AD290" i="3" s="1"/>
  <c r="AA290" i="3"/>
  <c r="W290" i="3"/>
  <c r="X290" i="3" s="1"/>
  <c r="U290" i="3"/>
  <c r="R290" i="3"/>
  <c r="N290" i="3"/>
  <c r="L290" i="3"/>
  <c r="H290" i="3"/>
  <c r="I290" i="3" s="1"/>
  <c r="F290" i="3"/>
  <c r="C290" i="3"/>
  <c r="AD289" i="3"/>
  <c r="AC289" i="3"/>
  <c r="AA289" i="3"/>
  <c r="W289" i="3"/>
  <c r="X289" i="3" s="1"/>
  <c r="U289" i="3"/>
  <c r="R289" i="3"/>
  <c r="N289" i="3"/>
  <c r="O289" i="3" s="1"/>
  <c r="L289" i="3"/>
  <c r="H289" i="3"/>
  <c r="I289" i="3" s="1"/>
  <c r="F289" i="3"/>
  <c r="C289" i="3"/>
  <c r="AD288" i="3"/>
  <c r="AC288" i="3"/>
  <c r="AA288" i="3"/>
  <c r="W288" i="3"/>
  <c r="U288" i="3"/>
  <c r="R288" i="3"/>
  <c r="O288" i="3"/>
  <c r="N288" i="3"/>
  <c r="L288" i="3"/>
  <c r="I288" i="3"/>
  <c r="H288" i="3"/>
  <c r="F288" i="3"/>
  <c r="C288" i="3"/>
  <c r="AD287" i="3"/>
  <c r="AC287" i="3"/>
  <c r="AA287" i="3"/>
  <c r="W287" i="3"/>
  <c r="X287" i="3" s="1"/>
  <c r="U287" i="3"/>
  <c r="R287" i="3"/>
  <c r="N287" i="3"/>
  <c r="O287" i="3" s="1"/>
  <c r="L287" i="3"/>
  <c r="I287" i="3"/>
  <c r="H287" i="3"/>
  <c r="F287" i="3"/>
  <c r="C287" i="3"/>
  <c r="AC286" i="3"/>
  <c r="AD286" i="3" s="1"/>
  <c r="AA286" i="3"/>
  <c r="W286" i="3"/>
  <c r="X286" i="3" s="1"/>
  <c r="U286" i="3"/>
  <c r="R286" i="3"/>
  <c r="N286" i="3"/>
  <c r="L286" i="3"/>
  <c r="H286" i="3"/>
  <c r="I286" i="3" s="1"/>
  <c r="F286" i="3"/>
  <c r="C286" i="3"/>
  <c r="AD284" i="3"/>
  <c r="Z284" i="3"/>
  <c r="AA284" i="3" s="1"/>
  <c r="W284" i="3"/>
  <c r="X284" i="3" s="1"/>
  <c r="U284" i="3"/>
  <c r="T284" i="3"/>
  <c r="R284" i="3"/>
  <c r="Q284" i="3"/>
  <c r="AC284" i="3" s="1"/>
  <c r="K284" i="3"/>
  <c r="L284" i="3" s="1"/>
  <c r="F284" i="3"/>
  <c r="E284" i="3"/>
  <c r="B284" i="3"/>
  <c r="C284" i="3" s="1"/>
  <c r="AC283" i="3"/>
  <c r="AD283" i="3" s="1"/>
  <c r="AA283" i="3"/>
  <c r="W283" i="3"/>
  <c r="X283" i="3" s="1"/>
  <c r="U283" i="3"/>
  <c r="R283" i="3"/>
  <c r="N283" i="3"/>
  <c r="O283" i="3" s="1"/>
  <c r="L283" i="3"/>
  <c r="I283" i="3"/>
  <c r="H283" i="3"/>
  <c r="F283" i="3"/>
  <c r="C283" i="3"/>
  <c r="AC282" i="3"/>
  <c r="AD282" i="3" s="1"/>
  <c r="AA282" i="3"/>
  <c r="W282" i="3"/>
  <c r="X282" i="3" s="1"/>
  <c r="U282" i="3"/>
  <c r="R282" i="3"/>
  <c r="N282" i="3"/>
  <c r="L282" i="3"/>
  <c r="H282" i="3"/>
  <c r="I282" i="3" s="1"/>
  <c r="F282" i="3"/>
  <c r="C282" i="3"/>
  <c r="AD281" i="3"/>
  <c r="AC281" i="3"/>
  <c r="AA281" i="3"/>
  <c r="W281" i="3"/>
  <c r="X281" i="3" s="1"/>
  <c r="U281" i="3"/>
  <c r="R281" i="3"/>
  <c r="N281" i="3"/>
  <c r="O281" i="3" s="1"/>
  <c r="L281" i="3"/>
  <c r="H281" i="3"/>
  <c r="I281" i="3" s="1"/>
  <c r="F281" i="3"/>
  <c r="C281" i="3"/>
  <c r="AD280" i="3"/>
  <c r="AC280" i="3"/>
  <c r="AA280" i="3"/>
  <c r="W280" i="3"/>
  <c r="U280" i="3"/>
  <c r="R280" i="3"/>
  <c r="N280" i="3"/>
  <c r="O280" i="3" s="1"/>
  <c r="L280" i="3"/>
  <c r="I280" i="3"/>
  <c r="H280" i="3"/>
  <c r="F280" i="3"/>
  <c r="C280" i="3"/>
  <c r="AC279" i="3"/>
  <c r="AD279" i="3" s="1"/>
  <c r="AA279" i="3"/>
  <c r="W279" i="3"/>
  <c r="X279" i="3" s="1"/>
  <c r="U279" i="3"/>
  <c r="R279" i="3"/>
  <c r="N279" i="3"/>
  <c r="O279" i="3" s="1"/>
  <c r="L279" i="3"/>
  <c r="I279" i="3"/>
  <c r="H279" i="3"/>
  <c r="F279" i="3"/>
  <c r="C279" i="3"/>
  <c r="AC278" i="3"/>
  <c r="AD278" i="3" s="1"/>
  <c r="AA278" i="3"/>
  <c r="W278" i="3"/>
  <c r="X278" i="3" s="1"/>
  <c r="U278" i="3"/>
  <c r="R278" i="3"/>
  <c r="N278" i="3"/>
  <c r="L278" i="3"/>
  <c r="H278" i="3"/>
  <c r="I278" i="3" s="1"/>
  <c r="F278" i="3"/>
  <c r="C278" i="3"/>
  <c r="AD277" i="3"/>
  <c r="AC277" i="3"/>
  <c r="AA277" i="3"/>
  <c r="W277" i="3"/>
  <c r="X277" i="3" s="1"/>
  <c r="U277" i="3"/>
  <c r="R277" i="3"/>
  <c r="N277" i="3"/>
  <c r="O277" i="3" s="1"/>
  <c r="L277" i="3"/>
  <c r="H277" i="3"/>
  <c r="I277" i="3" s="1"/>
  <c r="F277" i="3"/>
  <c r="C277" i="3"/>
  <c r="AD276" i="3"/>
  <c r="AC276" i="3"/>
  <c r="AA276" i="3"/>
  <c r="W276" i="3"/>
  <c r="U276" i="3"/>
  <c r="R276" i="3"/>
  <c r="N276" i="3"/>
  <c r="O276" i="3" s="1"/>
  <c r="L276" i="3"/>
  <c r="I276" i="3"/>
  <c r="H276" i="3"/>
  <c r="F276" i="3"/>
  <c r="C276" i="3"/>
  <c r="AC275" i="3"/>
  <c r="AD275" i="3" s="1"/>
  <c r="AA275" i="3"/>
  <c r="W275" i="3"/>
  <c r="X275" i="3" s="1"/>
  <c r="U275" i="3"/>
  <c r="R275" i="3"/>
  <c r="N275" i="3"/>
  <c r="O275" i="3" s="1"/>
  <c r="L275" i="3"/>
  <c r="I275" i="3"/>
  <c r="H275" i="3"/>
  <c r="F275" i="3"/>
  <c r="C275" i="3"/>
  <c r="Z273" i="3"/>
  <c r="AA273" i="3" s="1"/>
  <c r="U273" i="3"/>
  <c r="T273" i="3"/>
  <c r="Q273" i="3"/>
  <c r="R273" i="3" s="1"/>
  <c r="N273" i="3"/>
  <c r="O273" i="3" s="1"/>
  <c r="L273" i="3"/>
  <c r="K273" i="3"/>
  <c r="E273" i="3"/>
  <c r="F273" i="3" s="1"/>
  <c r="B273" i="3"/>
  <c r="H273" i="3" s="1"/>
  <c r="I273" i="3" s="1"/>
  <c r="AD272" i="3"/>
  <c r="AC272" i="3"/>
  <c r="AA272" i="3"/>
  <c r="W272" i="3"/>
  <c r="U272" i="3"/>
  <c r="R272" i="3"/>
  <c r="N272" i="3"/>
  <c r="O272" i="3" s="1"/>
  <c r="L272" i="3"/>
  <c r="I272" i="3"/>
  <c r="H272" i="3"/>
  <c r="F272" i="3"/>
  <c r="C272" i="3"/>
  <c r="AD271" i="3"/>
  <c r="AC271" i="3"/>
  <c r="AA271" i="3"/>
  <c r="W271" i="3"/>
  <c r="X271" i="3" s="1"/>
  <c r="U271" i="3"/>
  <c r="R271" i="3"/>
  <c r="N271" i="3"/>
  <c r="O271" i="3" s="1"/>
  <c r="L271" i="3"/>
  <c r="I271" i="3"/>
  <c r="H271" i="3"/>
  <c r="F271" i="3"/>
  <c r="C271" i="3"/>
  <c r="AC270" i="3"/>
  <c r="AD270" i="3" s="1"/>
  <c r="AA270" i="3"/>
  <c r="X270" i="3"/>
  <c r="W270" i="3"/>
  <c r="U270" i="3"/>
  <c r="R270" i="3"/>
  <c r="N270" i="3"/>
  <c r="L270" i="3"/>
  <c r="I270" i="3"/>
  <c r="H270" i="3"/>
  <c r="F270" i="3"/>
  <c r="C270" i="3"/>
  <c r="AD269" i="3"/>
  <c r="AC269" i="3"/>
  <c r="AA269" i="3"/>
  <c r="W269" i="3"/>
  <c r="X269" i="3" s="1"/>
  <c r="U269" i="3"/>
  <c r="R269" i="3"/>
  <c r="N269" i="3"/>
  <c r="O269" i="3" s="1"/>
  <c r="L269" i="3"/>
  <c r="H269" i="3"/>
  <c r="I269" i="3" s="1"/>
  <c r="F269" i="3"/>
  <c r="C269" i="3"/>
  <c r="AD267" i="3"/>
  <c r="AA267" i="3"/>
  <c r="Z267" i="3"/>
  <c r="U267" i="3"/>
  <c r="T267" i="3"/>
  <c r="W267" i="3" s="1"/>
  <c r="X267" i="3" s="1"/>
  <c r="R267" i="3"/>
  <c r="Q267" i="3"/>
  <c r="AC267" i="3" s="1"/>
  <c r="O267" i="3"/>
  <c r="K267" i="3"/>
  <c r="L267" i="3" s="1"/>
  <c r="I267" i="3"/>
  <c r="H267" i="3"/>
  <c r="F267" i="3"/>
  <c r="E267" i="3"/>
  <c r="C267" i="3"/>
  <c r="B267" i="3"/>
  <c r="N267" i="3" s="1"/>
  <c r="AC266" i="3"/>
  <c r="AD266" i="3" s="1"/>
  <c r="AA266" i="3"/>
  <c r="X266" i="3"/>
  <c r="W266" i="3"/>
  <c r="U266" i="3"/>
  <c r="R266" i="3"/>
  <c r="N266" i="3"/>
  <c r="L266" i="3"/>
  <c r="H266" i="3"/>
  <c r="I266" i="3" s="1"/>
  <c r="F266" i="3"/>
  <c r="C266" i="3"/>
  <c r="AD265" i="3"/>
  <c r="AC265" i="3"/>
  <c r="AA265" i="3"/>
  <c r="W265" i="3"/>
  <c r="X265" i="3" s="1"/>
  <c r="U265" i="3"/>
  <c r="R265" i="3"/>
  <c r="N265" i="3"/>
  <c r="O265" i="3" s="1"/>
  <c r="L265" i="3"/>
  <c r="H265" i="3"/>
  <c r="I265" i="3" s="1"/>
  <c r="F265" i="3"/>
  <c r="C265" i="3"/>
  <c r="AA263" i="3"/>
  <c r="Z263" i="3"/>
  <c r="U263" i="3"/>
  <c r="T263" i="3"/>
  <c r="W263" i="3" s="1"/>
  <c r="X263" i="3" s="1"/>
  <c r="R263" i="3"/>
  <c r="Q263" i="3"/>
  <c r="AC263" i="3" s="1"/>
  <c r="AD263" i="3" s="1"/>
  <c r="O263" i="3"/>
  <c r="K263" i="3"/>
  <c r="L263" i="3" s="1"/>
  <c r="H263" i="3"/>
  <c r="I263" i="3" s="1"/>
  <c r="F263" i="3"/>
  <c r="E263" i="3"/>
  <c r="C263" i="3"/>
  <c r="B263" i="3"/>
  <c r="N263" i="3" s="1"/>
  <c r="AA262" i="3"/>
  <c r="Z262" i="3"/>
  <c r="U262" i="3"/>
  <c r="T262" i="3"/>
  <c r="Q262" i="3"/>
  <c r="R262" i="3" s="1"/>
  <c r="L262" i="3"/>
  <c r="K262" i="3"/>
  <c r="I262" i="3"/>
  <c r="E262" i="3"/>
  <c r="F262" i="3" s="1"/>
  <c r="C262" i="3"/>
  <c r="B262" i="3"/>
  <c r="H262" i="3" s="1"/>
  <c r="AD261" i="3"/>
  <c r="AC261" i="3"/>
  <c r="AA261" i="3"/>
  <c r="W261" i="3"/>
  <c r="U261" i="3"/>
  <c r="R261" i="3"/>
  <c r="O261" i="3"/>
  <c r="N261" i="3"/>
  <c r="L261" i="3"/>
  <c r="I261" i="3"/>
  <c r="H261" i="3"/>
  <c r="F261" i="3"/>
  <c r="C261" i="3"/>
  <c r="AC260" i="3"/>
  <c r="AD260" i="3" s="1"/>
  <c r="AA260" i="3"/>
  <c r="W260" i="3"/>
  <c r="X260" i="3" s="1"/>
  <c r="U260" i="3"/>
  <c r="R260" i="3"/>
  <c r="N260" i="3"/>
  <c r="O260" i="3" s="1"/>
  <c r="L260" i="3"/>
  <c r="I260" i="3"/>
  <c r="H260" i="3"/>
  <c r="F260" i="3"/>
  <c r="C260" i="3"/>
  <c r="AC259" i="3"/>
  <c r="AD259" i="3" s="1"/>
  <c r="AA259" i="3"/>
  <c r="W259" i="3"/>
  <c r="X259" i="3" s="1"/>
  <c r="U259" i="3"/>
  <c r="R259" i="3"/>
  <c r="N259" i="3"/>
  <c r="L259" i="3"/>
  <c r="H259" i="3"/>
  <c r="I259" i="3" s="1"/>
  <c r="F259" i="3"/>
  <c r="C259" i="3"/>
  <c r="AD258" i="3"/>
  <c r="AC258" i="3"/>
  <c r="AA258" i="3"/>
  <c r="W258" i="3"/>
  <c r="X258" i="3" s="1"/>
  <c r="U258" i="3"/>
  <c r="R258" i="3"/>
  <c r="N258" i="3"/>
  <c r="O258" i="3" s="1"/>
  <c r="L258" i="3"/>
  <c r="H258" i="3"/>
  <c r="I258" i="3" s="1"/>
  <c r="F258" i="3"/>
  <c r="C258" i="3"/>
  <c r="AD257" i="3"/>
  <c r="AC257" i="3"/>
  <c r="AA257" i="3"/>
  <c r="W257" i="3"/>
  <c r="U257" i="3"/>
  <c r="R257" i="3"/>
  <c r="O257" i="3"/>
  <c r="N257" i="3"/>
  <c r="L257" i="3"/>
  <c r="I257" i="3"/>
  <c r="H257" i="3"/>
  <c r="F257" i="3"/>
  <c r="C257" i="3"/>
  <c r="AC256" i="3"/>
  <c r="AD256" i="3" s="1"/>
  <c r="AA256" i="3"/>
  <c r="W256" i="3"/>
  <c r="X256" i="3" s="1"/>
  <c r="U256" i="3"/>
  <c r="R256" i="3"/>
  <c r="N256" i="3"/>
  <c r="O256" i="3" s="1"/>
  <c r="L256" i="3"/>
  <c r="I256" i="3"/>
  <c r="H256" i="3"/>
  <c r="F256" i="3"/>
  <c r="C256" i="3"/>
  <c r="AC255" i="3"/>
  <c r="AD255" i="3" s="1"/>
  <c r="AA255" i="3"/>
  <c r="W255" i="3"/>
  <c r="X255" i="3" s="1"/>
  <c r="U255" i="3"/>
  <c r="R255" i="3"/>
  <c r="N255" i="3"/>
  <c r="L255" i="3"/>
  <c r="H255" i="3"/>
  <c r="I255" i="3" s="1"/>
  <c r="F255" i="3"/>
  <c r="C255" i="3"/>
  <c r="AD254" i="3"/>
  <c r="AC254" i="3"/>
  <c r="AA254" i="3"/>
  <c r="W254" i="3"/>
  <c r="X254" i="3" s="1"/>
  <c r="U254" i="3"/>
  <c r="R254" i="3"/>
  <c r="N254" i="3"/>
  <c r="O254" i="3" s="1"/>
  <c r="L254" i="3"/>
  <c r="H254" i="3"/>
  <c r="I254" i="3" s="1"/>
  <c r="F254" i="3"/>
  <c r="C254" i="3"/>
  <c r="AD253" i="3"/>
  <c r="AC253" i="3"/>
  <c r="AA253" i="3"/>
  <c r="W253" i="3"/>
  <c r="U253" i="3"/>
  <c r="R253" i="3"/>
  <c r="O253" i="3"/>
  <c r="N253" i="3"/>
  <c r="L253" i="3"/>
  <c r="I253" i="3"/>
  <c r="H253" i="3"/>
  <c r="F253" i="3"/>
  <c r="C253" i="3"/>
  <c r="AD252" i="3"/>
  <c r="AC252" i="3"/>
  <c r="AA252" i="3"/>
  <c r="W252" i="3"/>
  <c r="X252" i="3" s="1"/>
  <c r="U252" i="3"/>
  <c r="R252" i="3"/>
  <c r="N252" i="3"/>
  <c r="O252" i="3" s="1"/>
  <c r="L252" i="3"/>
  <c r="I252" i="3"/>
  <c r="H252" i="3"/>
  <c r="F252" i="3"/>
  <c r="C252" i="3"/>
  <c r="AC251" i="3"/>
  <c r="AD251" i="3" s="1"/>
  <c r="AA251" i="3"/>
  <c r="W251" i="3"/>
  <c r="X251" i="3" s="1"/>
  <c r="U251" i="3"/>
  <c r="R251" i="3"/>
  <c r="N251" i="3"/>
  <c r="L251" i="3"/>
  <c r="H251" i="3"/>
  <c r="I251" i="3" s="1"/>
  <c r="F251" i="3"/>
  <c r="C251" i="3"/>
  <c r="AD250" i="3"/>
  <c r="AC250" i="3"/>
  <c r="AA250" i="3"/>
  <c r="W250" i="3"/>
  <c r="X250" i="3" s="1"/>
  <c r="U250" i="3"/>
  <c r="R250" i="3"/>
  <c r="N250" i="3"/>
  <c r="O250" i="3" s="1"/>
  <c r="L250" i="3"/>
  <c r="H250" i="3"/>
  <c r="I250" i="3" s="1"/>
  <c r="F250" i="3"/>
  <c r="C250" i="3"/>
  <c r="AD249" i="3"/>
  <c r="AC249" i="3"/>
  <c r="AA249" i="3"/>
  <c r="W249" i="3"/>
  <c r="U249" i="3"/>
  <c r="R249" i="3"/>
  <c r="O249" i="3"/>
  <c r="N249" i="3"/>
  <c r="L249" i="3"/>
  <c r="I249" i="3"/>
  <c r="H249" i="3"/>
  <c r="F249" i="3"/>
  <c r="C249" i="3"/>
  <c r="AD248" i="3"/>
  <c r="AC248" i="3"/>
  <c r="AA248" i="3"/>
  <c r="W248" i="3"/>
  <c r="X248" i="3" s="1"/>
  <c r="U248" i="3"/>
  <c r="R248" i="3"/>
  <c r="N248" i="3"/>
  <c r="O248" i="3" s="1"/>
  <c r="L248" i="3"/>
  <c r="I248" i="3"/>
  <c r="H248" i="3"/>
  <c r="F248" i="3"/>
  <c r="C248" i="3"/>
  <c r="AC247" i="3"/>
  <c r="AD247" i="3" s="1"/>
  <c r="AA247" i="3"/>
  <c r="W247" i="3"/>
  <c r="X247" i="3" s="1"/>
  <c r="U247" i="3"/>
  <c r="R247" i="3"/>
  <c r="N247" i="3"/>
  <c r="L247" i="3"/>
  <c r="H247" i="3"/>
  <c r="I247" i="3" s="1"/>
  <c r="F247" i="3"/>
  <c r="C247" i="3"/>
  <c r="AD246" i="3"/>
  <c r="AC246" i="3"/>
  <c r="AA246" i="3"/>
  <c r="W246" i="3"/>
  <c r="X246" i="3" s="1"/>
  <c r="U246" i="3"/>
  <c r="R246" i="3"/>
  <c r="N246" i="3"/>
  <c r="O246" i="3" s="1"/>
  <c r="L246" i="3"/>
  <c r="H246" i="3"/>
  <c r="I246" i="3" s="1"/>
  <c r="F246" i="3"/>
  <c r="C246" i="3"/>
  <c r="AD245" i="3"/>
  <c r="AC245" i="3"/>
  <c r="AA245" i="3"/>
  <c r="W245" i="3"/>
  <c r="U245" i="3"/>
  <c r="R245" i="3"/>
  <c r="O245" i="3"/>
  <c r="N245" i="3"/>
  <c r="L245" i="3"/>
  <c r="I245" i="3"/>
  <c r="H245" i="3"/>
  <c r="F245" i="3"/>
  <c r="C245" i="3"/>
  <c r="AD244" i="3"/>
  <c r="AC244" i="3"/>
  <c r="AA244" i="3"/>
  <c r="W244" i="3"/>
  <c r="X244" i="3" s="1"/>
  <c r="U244" i="3"/>
  <c r="R244" i="3"/>
  <c r="N244" i="3"/>
  <c r="O244" i="3" s="1"/>
  <c r="L244" i="3"/>
  <c r="I244" i="3"/>
  <c r="H244" i="3"/>
  <c r="F244" i="3"/>
  <c r="C244" i="3"/>
  <c r="AC243" i="3"/>
  <c r="AD243" i="3" s="1"/>
  <c r="AA243" i="3"/>
  <c r="W243" i="3"/>
  <c r="X243" i="3" s="1"/>
  <c r="U243" i="3"/>
  <c r="R243" i="3"/>
  <c r="N243" i="3"/>
  <c r="L243" i="3"/>
  <c r="H243" i="3"/>
  <c r="I243" i="3" s="1"/>
  <c r="F243" i="3"/>
  <c r="C243" i="3"/>
  <c r="AD242" i="3"/>
  <c r="AC242" i="3"/>
  <c r="AA242" i="3"/>
  <c r="W242" i="3"/>
  <c r="X242" i="3" s="1"/>
  <c r="U242" i="3"/>
  <c r="R242" i="3"/>
  <c r="N242" i="3"/>
  <c r="O242" i="3" s="1"/>
  <c r="L242" i="3"/>
  <c r="H242" i="3"/>
  <c r="I242" i="3" s="1"/>
  <c r="F242" i="3"/>
  <c r="C242" i="3"/>
  <c r="AD241" i="3"/>
  <c r="AC241" i="3"/>
  <c r="AA241" i="3"/>
  <c r="W241" i="3"/>
  <c r="U241" i="3"/>
  <c r="R241" i="3"/>
  <c r="O241" i="3"/>
  <c r="N241" i="3"/>
  <c r="L241" i="3"/>
  <c r="I241" i="3"/>
  <c r="H241" i="3"/>
  <c r="F241" i="3"/>
  <c r="C241" i="3"/>
  <c r="AD240" i="3"/>
  <c r="AC240" i="3"/>
  <c r="AA240" i="3"/>
  <c r="W240" i="3"/>
  <c r="X240" i="3" s="1"/>
  <c r="U240" i="3"/>
  <c r="R240" i="3"/>
  <c r="N240" i="3"/>
  <c r="O240" i="3" s="1"/>
  <c r="L240" i="3"/>
  <c r="I240" i="3"/>
  <c r="H240" i="3"/>
  <c r="F240" i="3"/>
  <c r="C240" i="3"/>
  <c r="AC238" i="3"/>
  <c r="AD238" i="3" s="1"/>
  <c r="AA238" i="3"/>
  <c r="W238" i="3"/>
  <c r="X238" i="3" s="1"/>
  <c r="U238" i="3"/>
  <c r="R238" i="3"/>
  <c r="N238" i="3"/>
  <c r="L238" i="3"/>
  <c r="H238" i="3"/>
  <c r="I238" i="3" s="1"/>
  <c r="F238" i="3"/>
  <c r="C238" i="3"/>
  <c r="AD236" i="3"/>
  <c r="Z236" i="3"/>
  <c r="AA236" i="3" s="1"/>
  <c r="W236" i="3"/>
  <c r="X236" i="3" s="1"/>
  <c r="U236" i="3"/>
  <c r="T236" i="3"/>
  <c r="R236" i="3"/>
  <c r="Q236" i="3"/>
  <c r="AC236" i="3" s="1"/>
  <c r="L236" i="3"/>
  <c r="K236" i="3"/>
  <c r="F236" i="3"/>
  <c r="E236" i="3"/>
  <c r="B236" i="3"/>
  <c r="C236" i="3" s="1"/>
  <c r="AC235" i="3"/>
  <c r="AD235" i="3" s="1"/>
  <c r="AA235" i="3"/>
  <c r="W235" i="3"/>
  <c r="X235" i="3" s="1"/>
  <c r="U235" i="3"/>
  <c r="R235" i="3"/>
  <c r="N235" i="3"/>
  <c r="O235" i="3" s="1"/>
  <c r="L235" i="3"/>
  <c r="I235" i="3"/>
  <c r="H235" i="3"/>
  <c r="F235" i="3"/>
  <c r="C235" i="3"/>
  <c r="AC234" i="3"/>
  <c r="AD234" i="3" s="1"/>
  <c r="AA234" i="3"/>
  <c r="W234" i="3"/>
  <c r="X234" i="3" s="1"/>
  <c r="U234" i="3"/>
  <c r="R234" i="3"/>
  <c r="N234" i="3"/>
  <c r="L234" i="3"/>
  <c r="H234" i="3"/>
  <c r="I234" i="3" s="1"/>
  <c r="F234" i="3"/>
  <c r="C234" i="3"/>
  <c r="AD233" i="3"/>
  <c r="AC233" i="3"/>
  <c r="AA233" i="3"/>
  <c r="W233" i="3"/>
  <c r="X233" i="3" s="1"/>
  <c r="U233" i="3"/>
  <c r="R233" i="3"/>
  <c r="N233" i="3"/>
  <c r="O233" i="3" s="1"/>
  <c r="L233" i="3"/>
  <c r="H233" i="3"/>
  <c r="I233" i="3" s="1"/>
  <c r="F233" i="3"/>
  <c r="C233" i="3"/>
  <c r="AD232" i="3"/>
  <c r="AC232" i="3"/>
  <c r="AA232" i="3"/>
  <c r="W232" i="3"/>
  <c r="U232" i="3"/>
  <c r="R232" i="3"/>
  <c r="N232" i="3"/>
  <c r="O232" i="3" s="1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N231" i="3"/>
  <c r="O231" i="3" s="1"/>
  <c r="L231" i="3"/>
  <c r="I231" i="3"/>
  <c r="H231" i="3"/>
  <c r="F231" i="3"/>
  <c r="C231" i="3"/>
  <c r="AC230" i="3"/>
  <c r="AD230" i="3" s="1"/>
  <c r="AA230" i="3"/>
  <c r="W230" i="3"/>
  <c r="X230" i="3" s="1"/>
  <c r="U230" i="3"/>
  <c r="R230" i="3"/>
  <c r="N230" i="3"/>
  <c r="L230" i="3"/>
  <c r="H230" i="3"/>
  <c r="I230" i="3" s="1"/>
  <c r="F230" i="3"/>
  <c r="C230" i="3"/>
  <c r="AD229" i="3"/>
  <c r="AC229" i="3"/>
  <c r="AA229" i="3"/>
  <c r="W229" i="3"/>
  <c r="X229" i="3" s="1"/>
  <c r="U229" i="3"/>
  <c r="R229" i="3"/>
  <c r="N229" i="3"/>
  <c r="O229" i="3" s="1"/>
  <c r="L229" i="3"/>
  <c r="H229" i="3"/>
  <c r="I229" i="3" s="1"/>
  <c r="F229" i="3"/>
  <c r="C229" i="3"/>
  <c r="AD227" i="3"/>
  <c r="AA227" i="3"/>
  <c r="Z227" i="3"/>
  <c r="T227" i="3"/>
  <c r="W227" i="3" s="1"/>
  <c r="X227" i="3" s="1"/>
  <c r="R227" i="3"/>
  <c r="Q227" i="3"/>
  <c r="AC227" i="3" s="1"/>
  <c r="O227" i="3"/>
  <c r="K227" i="3"/>
  <c r="L227" i="3" s="1"/>
  <c r="H227" i="3"/>
  <c r="I227" i="3" s="1"/>
  <c r="F227" i="3"/>
  <c r="E227" i="3"/>
  <c r="C227" i="3"/>
  <c r="B227" i="3"/>
  <c r="N227" i="3" s="1"/>
  <c r="AC226" i="3"/>
  <c r="AD226" i="3" s="1"/>
  <c r="AA226" i="3"/>
  <c r="W226" i="3"/>
  <c r="X226" i="3" s="1"/>
  <c r="U226" i="3"/>
  <c r="R226" i="3"/>
  <c r="N226" i="3"/>
  <c r="L226" i="3"/>
  <c r="H226" i="3"/>
  <c r="I226" i="3" s="1"/>
  <c r="F226" i="3"/>
  <c r="C226" i="3"/>
  <c r="AD225" i="3"/>
  <c r="AC225" i="3"/>
  <c r="AA225" i="3"/>
  <c r="W225" i="3"/>
  <c r="X225" i="3" s="1"/>
  <c r="U225" i="3"/>
  <c r="R225" i="3"/>
  <c r="N225" i="3"/>
  <c r="O225" i="3" s="1"/>
  <c r="L225" i="3"/>
  <c r="H225" i="3"/>
  <c r="I225" i="3" s="1"/>
  <c r="F225" i="3"/>
  <c r="C225" i="3"/>
  <c r="AD224" i="3"/>
  <c r="AC224" i="3"/>
  <c r="AA224" i="3"/>
  <c r="W224" i="3"/>
  <c r="U224" i="3"/>
  <c r="R224" i="3"/>
  <c r="O224" i="3"/>
  <c r="N224" i="3"/>
  <c r="L224" i="3"/>
  <c r="I224" i="3"/>
  <c r="H224" i="3"/>
  <c r="F224" i="3"/>
  <c r="C224" i="3"/>
  <c r="AC223" i="3"/>
  <c r="AD223" i="3" s="1"/>
  <c r="AA223" i="3"/>
  <c r="W223" i="3"/>
  <c r="X223" i="3" s="1"/>
  <c r="U223" i="3"/>
  <c r="R223" i="3"/>
  <c r="N223" i="3"/>
  <c r="O223" i="3" s="1"/>
  <c r="L223" i="3"/>
  <c r="I223" i="3"/>
  <c r="H223" i="3"/>
  <c r="F223" i="3"/>
  <c r="C223" i="3"/>
  <c r="AC222" i="3"/>
  <c r="AD222" i="3" s="1"/>
  <c r="AA222" i="3"/>
  <c r="W222" i="3"/>
  <c r="X222" i="3" s="1"/>
  <c r="U222" i="3"/>
  <c r="R222" i="3"/>
  <c r="N222" i="3"/>
  <c r="L222" i="3"/>
  <c r="H222" i="3"/>
  <c r="I222" i="3" s="1"/>
  <c r="F222" i="3"/>
  <c r="C222" i="3"/>
  <c r="AD221" i="3"/>
  <c r="AC221" i="3"/>
  <c r="AA221" i="3"/>
  <c r="W221" i="3"/>
  <c r="X221" i="3" s="1"/>
  <c r="U221" i="3"/>
  <c r="R221" i="3"/>
  <c r="N221" i="3"/>
  <c r="O221" i="3" s="1"/>
  <c r="L221" i="3"/>
  <c r="H221" i="3"/>
  <c r="I221" i="3" s="1"/>
  <c r="F221" i="3"/>
  <c r="C221" i="3"/>
  <c r="AD220" i="3"/>
  <c r="AC220" i="3"/>
  <c r="AA220" i="3"/>
  <c r="W220" i="3"/>
  <c r="U220" i="3"/>
  <c r="R220" i="3"/>
  <c r="N220" i="3"/>
  <c r="O220" i="3" s="1"/>
  <c r="L220" i="3"/>
  <c r="I220" i="3"/>
  <c r="H220" i="3"/>
  <c r="F220" i="3"/>
  <c r="C220" i="3"/>
  <c r="AC219" i="3"/>
  <c r="AD219" i="3" s="1"/>
  <c r="AA219" i="3"/>
  <c r="W219" i="3"/>
  <c r="X219" i="3" s="1"/>
  <c r="U219" i="3"/>
  <c r="R219" i="3"/>
  <c r="N219" i="3"/>
  <c r="O219" i="3" s="1"/>
  <c r="L219" i="3"/>
  <c r="I219" i="3"/>
  <c r="H219" i="3"/>
  <c r="F219" i="3"/>
  <c r="C219" i="3"/>
  <c r="Z218" i="3"/>
  <c r="AA218" i="3" s="1"/>
  <c r="U218" i="3"/>
  <c r="T218" i="3"/>
  <c r="Q218" i="3"/>
  <c r="R218" i="3" s="1"/>
  <c r="N218" i="3"/>
  <c r="O218" i="3" s="1"/>
  <c r="L218" i="3"/>
  <c r="K218" i="3"/>
  <c r="E218" i="3"/>
  <c r="F218" i="3" s="1"/>
  <c r="B218" i="3"/>
  <c r="H218" i="3" s="1"/>
  <c r="I218" i="3" s="1"/>
  <c r="AD217" i="3"/>
  <c r="AC217" i="3"/>
  <c r="AA217" i="3"/>
  <c r="W217" i="3"/>
  <c r="U217" i="3"/>
  <c r="R217" i="3"/>
  <c r="N217" i="3"/>
  <c r="O217" i="3" s="1"/>
  <c r="L217" i="3"/>
  <c r="I217" i="3"/>
  <c r="H217" i="3"/>
  <c r="F217" i="3"/>
  <c r="C217" i="3"/>
  <c r="AD216" i="3"/>
  <c r="AC216" i="3"/>
  <c r="AA216" i="3"/>
  <c r="W216" i="3"/>
  <c r="X216" i="3" s="1"/>
  <c r="U216" i="3"/>
  <c r="R216" i="3"/>
  <c r="N216" i="3"/>
  <c r="O216" i="3" s="1"/>
  <c r="L216" i="3"/>
  <c r="I216" i="3"/>
  <c r="H216" i="3"/>
  <c r="F216" i="3"/>
  <c r="C216" i="3"/>
  <c r="AC215" i="3"/>
  <c r="AD215" i="3" s="1"/>
  <c r="AA215" i="3"/>
  <c r="X215" i="3"/>
  <c r="W215" i="3"/>
  <c r="U215" i="3"/>
  <c r="R215" i="3"/>
  <c r="N215" i="3"/>
  <c r="L215" i="3"/>
  <c r="H215" i="3"/>
  <c r="I215" i="3" s="1"/>
  <c r="F215" i="3"/>
  <c r="C215" i="3"/>
  <c r="AD214" i="3"/>
  <c r="AC214" i="3"/>
  <c r="AA214" i="3"/>
  <c r="W214" i="3"/>
  <c r="X214" i="3" s="1"/>
  <c r="U214" i="3"/>
  <c r="R214" i="3"/>
  <c r="N214" i="3"/>
  <c r="O214" i="3" s="1"/>
  <c r="L214" i="3"/>
  <c r="H214" i="3"/>
  <c r="I214" i="3" s="1"/>
  <c r="F214" i="3"/>
  <c r="C214" i="3"/>
  <c r="AD213" i="3"/>
  <c r="AC213" i="3"/>
  <c r="AA213" i="3"/>
  <c r="W213" i="3"/>
  <c r="U213" i="3"/>
  <c r="R213" i="3"/>
  <c r="N213" i="3"/>
  <c r="O213" i="3" s="1"/>
  <c r="L213" i="3"/>
  <c r="I213" i="3"/>
  <c r="H213" i="3"/>
  <c r="F213" i="3"/>
  <c r="C213" i="3"/>
  <c r="AD211" i="3"/>
  <c r="AC211" i="3"/>
  <c r="AA211" i="3"/>
  <c r="W211" i="3"/>
  <c r="X211" i="3" s="1"/>
  <c r="U211" i="3"/>
  <c r="R211" i="3"/>
  <c r="N211" i="3"/>
  <c r="O211" i="3" s="1"/>
  <c r="L211" i="3"/>
  <c r="I211" i="3"/>
  <c r="H211" i="3"/>
  <c r="F211" i="3"/>
  <c r="C211" i="3"/>
  <c r="Z209" i="3"/>
  <c r="AA209" i="3" s="1"/>
  <c r="U209" i="3"/>
  <c r="T209" i="3"/>
  <c r="Q209" i="3"/>
  <c r="R209" i="3" s="1"/>
  <c r="L209" i="3"/>
  <c r="K209" i="3"/>
  <c r="I209" i="3"/>
  <c r="E209" i="3"/>
  <c r="F209" i="3" s="1"/>
  <c r="C209" i="3"/>
  <c r="B209" i="3"/>
  <c r="H209" i="3" s="1"/>
  <c r="AD208" i="3"/>
  <c r="AC208" i="3"/>
  <c r="AA208" i="3"/>
  <c r="W208" i="3"/>
  <c r="U208" i="3"/>
  <c r="R208" i="3"/>
  <c r="O208" i="3"/>
  <c r="N208" i="3"/>
  <c r="L208" i="3"/>
  <c r="I208" i="3"/>
  <c r="H208" i="3"/>
  <c r="F208" i="3"/>
  <c r="C208" i="3"/>
  <c r="AC207" i="3"/>
  <c r="AD207" i="3" s="1"/>
  <c r="AA207" i="3"/>
  <c r="W207" i="3"/>
  <c r="X207" i="3" s="1"/>
  <c r="U207" i="3"/>
  <c r="R207" i="3"/>
  <c r="N207" i="3"/>
  <c r="O207" i="3" s="1"/>
  <c r="L207" i="3"/>
  <c r="I207" i="3"/>
  <c r="H207" i="3"/>
  <c r="F207" i="3"/>
  <c r="C207" i="3"/>
  <c r="AC206" i="3"/>
  <c r="AD206" i="3" s="1"/>
  <c r="AA206" i="3"/>
  <c r="W206" i="3"/>
  <c r="X206" i="3" s="1"/>
  <c r="U206" i="3"/>
  <c r="R206" i="3"/>
  <c r="N206" i="3"/>
  <c r="L206" i="3"/>
  <c r="H206" i="3"/>
  <c r="I206" i="3" s="1"/>
  <c r="F206" i="3"/>
  <c r="C206" i="3"/>
  <c r="AD205" i="3"/>
  <c r="AC205" i="3"/>
  <c r="AA205" i="3"/>
  <c r="W205" i="3"/>
  <c r="X205" i="3" s="1"/>
  <c r="U205" i="3"/>
  <c r="R205" i="3"/>
  <c r="N205" i="3"/>
  <c r="O205" i="3" s="1"/>
  <c r="L205" i="3"/>
  <c r="H205" i="3"/>
  <c r="I205" i="3" s="1"/>
  <c r="F205" i="3"/>
  <c r="C205" i="3"/>
  <c r="AD204" i="3"/>
  <c r="AC204" i="3"/>
  <c r="AA204" i="3"/>
  <c r="W204" i="3"/>
  <c r="U204" i="3"/>
  <c r="R204" i="3"/>
  <c r="O204" i="3"/>
  <c r="N204" i="3"/>
  <c r="L204" i="3"/>
  <c r="I204" i="3"/>
  <c r="H204" i="3"/>
  <c r="F204" i="3"/>
  <c r="C204" i="3"/>
  <c r="AC203" i="3"/>
  <c r="AD203" i="3" s="1"/>
  <c r="AA203" i="3"/>
  <c r="W203" i="3"/>
  <c r="X203" i="3" s="1"/>
  <c r="U203" i="3"/>
  <c r="R203" i="3"/>
  <c r="N203" i="3"/>
  <c r="O203" i="3" s="1"/>
  <c r="L203" i="3"/>
  <c r="I203" i="3"/>
  <c r="H203" i="3"/>
  <c r="F203" i="3"/>
  <c r="C203" i="3"/>
  <c r="AC202" i="3"/>
  <c r="AD202" i="3" s="1"/>
  <c r="AA202" i="3"/>
  <c r="X202" i="3"/>
  <c r="W202" i="3"/>
  <c r="U202" i="3"/>
  <c r="R202" i="3"/>
  <c r="N202" i="3"/>
  <c r="L202" i="3"/>
  <c r="H202" i="3"/>
  <c r="I202" i="3" s="1"/>
  <c r="F202" i="3"/>
  <c r="C202" i="3"/>
  <c r="AD201" i="3"/>
  <c r="AC201" i="3"/>
  <c r="AA201" i="3"/>
  <c r="W201" i="3"/>
  <c r="X201" i="3" s="1"/>
  <c r="U201" i="3"/>
  <c r="R201" i="3"/>
  <c r="N201" i="3"/>
  <c r="O201" i="3" s="1"/>
  <c r="L201" i="3"/>
  <c r="H201" i="3"/>
  <c r="I201" i="3" s="1"/>
  <c r="F201" i="3"/>
  <c r="C201" i="3"/>
  <c r="Z197" i="3"/>
  <c r="AA197" i="3" s="1"/>
  <c r="U197" i="3"/>
  <c r="T197" i="3"/>
  <c r="Q197" i="3"/>
  <c r="R197" i="3" s="1"/>
  <c r="L197" i="3"/>
  <c r="K197" i="3"/>
  <c r="I197" i="3"/>
  <c r="E197" i="3"/>
  <c r="F197" i="3" s="1"/>
  <c r="C197" i="3"/>
  <c r="B197" i="3"/>
  <c r="H197" i="3" s="1"/>
  <c r="AA196" i="3"/>
  <c r="Z196" i="3"/>
  <c r="U196" i="3"/>
  <c r="T196" i="3"/>
  <c r="W196" i="3" s="1"/>
  <c r="X196" i="3" s="1"/>
  <c r="R196" i="3"/>
  <c r="Q196" i="3"/>
  <c r="AC196" i="3" s="1"/>
  <c r="AD196" i="3" s="1"/>
  <c r="K196" i="3"/>
  <c r="L196" i="3" s="1"/>
  <c r="H196" i="3"/>
  <c r="I196" i="3" s="1"/>
  <c r="F196" i="3"/>
  <c r="E196" i="3"/>
  <c r="C196" i="3"/>
  <c r="B196" i="3"/>
  <c r="N196" i="3" s="1"/>
  <c r="O196" i="3" s="1"/>
  <c r="AC195" i="3"/>
  <c r="AD195" i="3" s="1"/>
  <c r="AA195" i="3"/>
  <c r="W195" i="3"/>
  <c r="X195" i="3" s="1"/>
  <c r="U195" i="3"/>
  <c r="R195" i="3"/>
  <c r="N195" i="3"/>
  <c r="L195" i="3"/>
  <c r="I195" i="3"/>
  <c r="H195" i="3"/>
  <c r="F195" i="3"/>
  <c r="C195" i="3"/>
  <c r="AD194" i="3"/>
  <c r="AC194" i="3"/>
  <c r="AA194" i="3"/>
  <c r="W194" i="3"/>
  <c r="X194" i="3" s="1"/>
  <c r="U194" i="3"/>
  <c r="R194" i="3"/>
  <c r="N194" i="3"/>
  <c r="O194" i="3" s="1"/>
  <c r="L194" i="3"/>
  <c r="H194" i="3"/>
  <c r="I194" i="3" s="1"/>
  <c r="F194" i="3"/>
  <c r="C194" i="3"/>
  <c r="AD193" i="3"/>
  <c r="AA193" i="3"/>
  <c r="Z193" i="3"/>
  <c r="T193" i="3"/>
  <c r="W193" i="3" s="1"/>
  <c r="X193" i="3" s="1"/>
  <c r="R193" i="3"/>
  <c r="Q193" i="3"/>
  <c r="AC193" i="3" s="1"/>
  <c r="K193" i="3"/>
  <c r="L193" i="3" s="1"/>
  <c r="I193" i="3"/>
  <c r="H193" i="3"/>
  <c r="F193" i="3"/>
  <c r="E193" i="3"/>
  <c r="C193" i="3"/>
  <c r="B193" i="3"/>
  <c r="N193" i="3" s="1"/>
  <c r="O193" i="3" s="1"/>
  <c r="AC192" i="3"/>
  <c r="AD192" i="3" s="1"/>
  <c r="AA192" i="3"/>
  <c r="X192" i="3"/>
  <c r="W192" i="3"/>
  <c r="U192" i="3"/>
  <c r="R192" i="3"/>
  <c r="N192" i="3"/>
  <c r="L192" i="3"/>
  <c r="H192" i="3"/>
  <c r="I192" i="3" s="1"/>
  <c r="F192" i="3"/>
  <c r="C192" i="3"/>
  <c r="AD191" i="3"/>
  <c r="AC191" i="3"/>
  <c r="AA191" i="3"/>
  <c r="W191" i="3"/>
  <c r="X191" i="3" s="1"/>
  <c r="U191" i="3"/>
  <c r="R191" i="3"/>
  <c r="N191" i="3"/>
  <c r="O191" i="3" s="1"/>
  <c r="L191" i="3"/>
  <c r="H191" i="3"/>
  <c r="I191" i="3" s="1"/>
  <c r="F191" i="3"/>
  <c r="C191" i="3"/>
  <c r="AD190" i="3"/>
  <c r="AC190" i="3"/>
  <c r="AA190" i="3"/>
  <c r="W190" i="3"/>
  <c r="U190" i="3"/>
  <c r="R190" i="3"/>
  <c r="N190" i="3"/>
  <c r="O190" i="3" s="1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N189" i="3"/>
  <c r="O189" i="3" s="1"/>
  <c r="L189" i="3"/>
  <c r="I189" i="3"/>
  <c r="H189" i="3"/>
  <c r="F189" i="3"/>
  <c r="C189" i="3"/>
  <c r="AC188" i="3"/>
  <c r="AD188" i="3" s="1"/>
  <c r="AA188" i="3"/>
  <c r="X188" i="3"/>
  <c r="W188" i="3"/>
  <c r="U188" i="3"/>
  <c r="R188" i="3"/>
  <c r="N188" i="3"/>
  <c r="L188" i="3"/>
  <c r="H188" i="3"/>
  <c r="I188" i="3" s="1"/>
  <c r="F188" i="3"/>
  <c r="C188" i="3"/>
  <c r="AD187" i="3"/>
  <c r="AC187" i="3"/>
  <c r="AA187" i="3"/>
  <c r="W187" i="3"/>
  <c r="X187" i="3" s="1"/>
  <c r="U187" i="3"/>
  <c r="R187" i="3"/>
  <c r="N187" i="3"/>
  <c r="O187" i="3" s="1"/>
  <c r="L187" i="3"/>
  <c r="H187" i="3"/>
  <c r="I187" i="3" s="1"/>
  <c r="F187" i="3"/>
  <c r="C187" i="3"/>
  <c r="AD186" i="3"/>
  <c r="AC186" i="3"/>
  <c r="AA186" i="3"/>
  <c r="W186" i="3"/>
  <c r="U186" i="3"/>
  <c r="R186" i="3"/>
  <c r="N186" i="3"/>
  <c r="O186" i="3" s="1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N184" i="3"/>
  <c r="O184" i="3" s="1"/>
  <c r="L184" i="3"/>
  <c r="I184" i="3"/>
  <c r="H184" i="3"/>
  <c r="F184" i="3"/>
  <c r="C184" i="3"/>
  <c r="AC183" i="3"/>
  <c r="AD183" i="3" s="1"/>
  <c r="AA183" i="3"/>
  <c r="X183" i="3"/>
  <c r="W183" i="3"/>
  <c r="U183" i="3"/>
  <c r="R183" i="3"/>
  <c r="N183" i="3"/>
  <c r="L183" i="3"/>
  <c r="H183" i="3"/>
  <c r="I183" i="3" s="1"/>
  <c r="F183" i="3"/>
  <c r="C183" i="3"/>
  <c r="Z182" i="3"/>
  <c r="AA182" i="3" s="1"/>
  <c r="W182" i="3"/>
  <c r="X182" i="3" s="1"/>
  <c r="U182" i="3"/>
  <c r="T182" i="3"/>
  <c r="R182" i="3"/>
  <c r="Q182" i="3"/>
  <c r="AC182" i="3" s="1"/>
  <c r="AD182" i="3" s="1"/>
  <c r="K182" i="3"/>
  <c r="L182" i="3" s="1"/>
  <c r="F182" i="3"/>
  <c r="E182" i="3"/>
  <c r="B182" i="3"/>
  <c r="C182" i="3" s="1"/>
  <c r="AD181" i="3"/>
  <c r="AC181" i="3"/>
  <c r="AA181" i="3"/>
  <c r="W181" i="3"/>
  <c r="X181" i="3" s="1"/>
  <c r="U181" i="3"/>
  <c r="R181" i="3"/>
  <c r="N181" i="3"/>
  <c r="O181" i="3" s="1"/>
  <c r="L181" i="3"/>
  <c r="I181" i="3"/>
  <c r="H181" i="3"/>
  <c r="F181" i="3"/>
  <c r="C181" i="3"/>
  <c r="AC180" i="3"/>
  <c r="AD180" i="3" s="1"/>
  <c r="AA180" i="3"/>
  <c r="W180" i="3"/>
  <c r="X180" i="3" s="1"/>
  <c r="U180" i="3"/>
  <c r="R180" i="3"/>
  <c r="N180" i="3"/>
  <c r="L180" i="3"/>
  <c r="H180" i="3"/>
  <c r="I180" i="3" s="1"/>
  <c r="F180" i="3"/>
  <c r="C180" i="3"/>
  <c r="AD179" i="3"/>
  <c r="AC179" i="3"/>
  <c r="AA179" i="3"/>
  <c r="W179" i="3"/>
  <c r="X179" i="3" s="1"/>
  <c r="U179" i="3"/>
  <c r="R179" i="3"/>
  <c r="N179" i="3"/>
  <c r="O179" i="3" s="1"/>
  <c r="L179" i="3"/>
  <c r="H179" i="3"/>
  <c r="I179" i="3" s="1"/>
  <c r="F179" i="3"/>
  <c r="C179" i="3"/>
  <c r="AD178" i="3"/>
  <c r="AC178" i="3"/>
  <c r="AA178" i="3"/>
  <c r="W178" i="3"/>
  <c r="U178" i="3"/>
  <c r="R178" i="3"/>
  <c r="O178" i="3"/>
  <c r="N178" i="3"/>
  <c r="L178" i="3"/>
  <c r="I178" i="3"/>
  <c r="H178" i="3"/>
  <c r="F178" i="3"/>
  <c r="C178" i="3"/>
  <c r="AD177" i="3"/>
  <c r="AC177" i="3"/>
  <c r="AA177" i="3"/>
  <c r="W177" i="3"/>
  <c r="X177" i="3" s="1"/>
  <c r="U177" i="3"/>
  <c r="R177" i="3"/>
  <c r="N177" i="3"/>
  <c r="O177" i="3" s="1"/>
  <c r="L177" i="3"/>
  <c r="I177" i="3"/>
  <c r="H177" i="3"/>
  <c r="F177" i="3"/>
  <c r="C177" i="3"/>
  <c r="AC175" i="3"/>
  <c r="AD175" i="3" s="1"/>
  <c r="AA175" i="3"/>
  <c r="W175" i="3"/>
  <c r="X175" i="3" s="1"/>
  <c r="U175" i="3"/>
  <c r="R175" i="3"/>
  <c r="N175" i="3"/>
  <c r="L175" i="3"/>
  <c r="H175" i="3"/>
  <c r="I175" i="3" s="1"/>
  <c r="F175" i="3"/>
  <c r="C175" i="3"/>
  <c r="L172" i="3"/>
  <c r="K172" i="3"/>
  <c r="K198" i="3" s="1"/>
  <c r="AA171" i="3"/>
  <c r="Z171" i="3"/>
  <c r="X171" i="3"/>
  <c r="T171" i="3"/>
  <c r="U171" i="3" s="1"/>
  <c r="R171" i="3"/>
  <c r="Q171" i="3"/>
  <c r="W171" i="3" s="1"/>
  <c r="L171" i="3"/>
  <c r="K171" i="3"/>
  <c r="E171" i="3"/>
  <c r="H171" i="3" s="1"/>
  <c r="I171" i="3" s="1"/>
  <c r="C171" i="3"/>
  <c r="B171" i="3"/>
  <c r="N171" i="3" s="1"/>
  <c r="O171" i="3" s="1"/>
  <c r="Z170" i="3"/>
  <c r="AA170" i="3" s="1"/>
  <c r="W170" i="3"/>
  <c r="X170" i="3" s="1"/>
  <c r="U170" i="3"/>
  <c r="T170" i="3"/>
  <c r="R170" i="3"/>
  <c r="Q170" i="3"/>
  <c r="AC170" i="3" s="1"/>
  <c r="AD170" i="3" s="1"/>
  <c r="L170" i="3"/>
  <c r="K170" i="3"/>
  <c r="F170" i="3"/>
  <c r="E170" i="3"/>
  <c r="B170" i="3"/>
  <c r="C170" i="3" s="1"/>
  <c r="AC169" i="3"/>
  <c r="AD169" i="3" s="1"/>
  <c r="AA169" i="3"/>
  <c r="W169" i="3"/>
  <c r="X169" i="3" s="1"/>
  <c r="U169" i="3"/>
  <c r="R169" i="3"/>
  <c r="N169" i="3"/>
  <c r="O169" i="3" s="1"/>
  <c r="L169" i="3"/>
  <c r="I169" i="3"/>
  <c r="H169" i="3"/>
  <c r="F169" i="3"/>
  <c r="C169" i="3"/>
  <c r="AC168" i="3"/>
  <c r="AD168" i="3" s="1"/>
  <c r="AA168" i="3"/>
  <c r="W168" i="3"/>
  <c r="X168" i="3" s="1"/>
  <c r="U168" i="3"/>
  <c r="R168" i="3"/>
  <c r="N168" i="3"/>
  <c r="L168" i="3"/>
  <c r="H168" i="3"/>
  <c r="I168" i="3" s="1"/>
  <c r="F168" i="3"/>
  <c r="C168" i="3"/>
  <c r="AD167" i="3"/>
  <c r="AC167" i="3"/>
  <c r="AA167" i="3"/>
  <c r="W167" i="3"/>
  <c r="X167" i="3" s="1"/>
  <c r="U167" i="3"/>
  <c r="R167" i="3"/>
  <c r="N167" i="3"/>
  <c r="O167" i="3" s="1"/>
  <c r="L167" i="3"/>
  <c r="H167" i="3"/>
  <c r="I167" i="3" s="1"/>
  <c r="F167" i="3"/>
  <c r="C167" i="3"/>
  <c r="AA166" i="3"/>
  <c r="Z166" i="3"/>
  <c r="T166" i="3"/>
  <c r="W166" i="3" s="1"/>
  <c r="X166" i="3" s="1"/>
  <c r="R166" i="3"/>
  <c r="Q166" i="3"/>
  <c r="AC166" i="3" s="1"/>
  <c r="AD166" i="3" s="1"/>
  <c r="K166" i="3"/>
  <c r="L166" i="3" s="1"/>
  <c r="H166" i="3"/>
  <c r="I166" i="3" s="1"/>
  <c r="F166" i="3"/>
  <c r="E166" i="3"/>
  <c r="C166" i="3"/>
  <c r="B166" i="3"/>
  <c r="N166" i="3" s="1"/>
  <c r="O166" i="3" s="1"/>
  <c r="AC165" i="3"/>
  <c r="AD165" i="3" s="1"/>
  <c r="AA165" i="3"/>
  <c r="W165" i="3"/>
  <c r="X165" i="3" s="1"/>
  <c r="U165" i="3"/>
  <c r="R165" i="3"/>
  <c r="N165" i="3"/>
  <c r="L165" i="3"/>
  <c r="I165" i="3"/>
  <c r="H165" i="3"/>
  <c r="F165" i="3"/>
  <c r="C165" i="3"/>
  <c r="AD164" i="3"/>
  <c r="AC164" i="3"/>
  <c r="AA164" i="3"/>
  <c r="W164" i="3"/>
  <c r="X164" i="3" s="1"/>
  <c r="U164" i="3"/>
  <c r="R164" i="3"/>
  <c r="N164" i="3"/>
  <c r="O164" i="3" s="1"/>
  <c r="L164" i="3"/>
  <c r="H164" i="3"/>
  <c r="I164" i="3" s="1"/>
  <c r="F164" i="3"/>
  <c r="C164" i="3"/>
  <c r="AD163" i="3"/>
  <c r="AC163" i="3"/>
  <c r="AA163" i="3"/>
  <c r="W163" i="3"/>
  <c r="U163" i="3"/>
  <c r="R163" i="3"/>
  <c r="O163" i="3"/>
  <c r="N163" i="3"/>
  <c r="L163" i="3"/>
  <c r="I163" i="3"/>
  <c r="H163" i="3"/>
  <c r="F163" i="3"/>
  <c r="C163" i="3"/>
  <c r="AC162" i="3"/>
  <c r="AD162" i="3" s="1"/>
  <c r="AA162" i="3"/>
  <c r="W162" i="3"/>
  <c r="X162" i="3" s="1"/>
  <c r="U162" i="3"/>
  <c r="R162" i="3"/>
  <c r="N162" i="3"/>
  <c r="O162" i="3" s="1"/>
  <c r="L162" i="3"/>
  <c r="I162" i="3"/>
  <c r="H162" i="3"/>
  <c r="F162" i="3"/>
  <c r="C162" i="3"/>
  <c r="AC161" i="3"/>
  <c r="AD161" i="3" s="1"/>
  <c r="AA161" i="3"/>
  <c r="W161" i="3"/>
  <c r="X161" i="3" s="1"/>
  <c r="U161" i="3"/>
  <c r="R161" i="3"/>
  <c r="N161" i="3"/>
  <c r="L161" i="3"/>
  <c r="I161" i="3"/>
  <c r="H161" i="3"/>
  <c r="F161" i="3"/>
  <c r="C161" i="3"/>
  <c r="AD160" i="3"/>
  <c r="AC160" i="3"/>
  <c r="AA160" i="3"/>
  <c r="W160" i="3"/>
  <c r="X160" i="3" s="1"/>
  <c r="U160" i="3"/>
  <c r="R160" i="3"/>
  <c r="N160" i="3"/>
  <c r="O160" i="3" s="1"/>
  <c r="L160" i="3"/>
  <c r="H160" i="3"/>
  <c r="I160" i="3" s="1"/>
  <c r="F160" i="3"/>
  <c r="C160" i="3"/>
  <c r="AD158" i="3"/>
  <c r="AA158" i="3"/>
  <c r="Z158" i="3"/>
  <c r="T158" i="3"/>
  <c r="W158" i="3" s="1"/>
  <c r="X158" i="3" s="1"/>
  <c r="R158" i="3"/>
  <c r="Q158" i="3"/>
  <c r="AC158" i="3" s="1"/>
  <c r="K158" i="3"/>
  <c r="L158" i="3" s="1"/>
  <c r="I158" i="3"/>
  <c r="H158" i="3"/>
  <c r="F158" i="3"/>
  <c r="E158" i="3"/>
  <c r="C158" i="3"/>
  <c r="B158" i="3"/>
  <c r="N158" i="3" s="1"/>
  <c r="O158" i="3" s="1"/>
  <c r="AC157" i="3"/>
  <c r="AD157" i="3" s="1"/>
  <c r="AA157" i="3"/>
  <c r="X157" i="3"/>
  <c r="W157" i="3"/>
  <c r="U157" i="3"/>
  <c r="R157" i="3"/>
  <c r="N157" i="3"/>
  <c r="L157" i="3"/>
  <c r="H157" i="3"/>
  <c r="I157" i="3" s="1"/>
  <c r="F157" i="3"/>
  <c r="C157" i="3"/>
  <c r="AD156" i="3"/>
  <c r="AC156" i="3"/>
  <c r="AA156" i="3"/>
  <c r="W156" i="3"/>
  <c r="X156" i="3" s="1"/>
  <c r="U156" i="3"/>
  <c r="R156" i="3"/>
  <c r="N156" i="3"/>
  <c r="O156" i="3" s="1"/>
  <c r="L156" i="3"/>
  <c r="H156" i="3"/>
  <c r="I156" i="3" s="1"/>
  <c r="F156" i="3"/>
  <c r="C156" i="3"/>
  <c r="AD155" i="3"/>
  <c r="AC155" i="3"/>
  <c r="AA155" i="3"/>
  <c r="W155" i="3"/>
  <c r="U155" i="3"/>
  <c r="R155" i="3"/>
  <c r="N155" i="3"/>
  <c r="O155" i="3" s="1"/>
  <c r="L155" i="3"/>
  <c r="I155" i="3"/>
  <c r="H155" i="3"/>
  <c r="F155" i="3"/>
  <c r="C155" i="3"/>
  <c r="AC154" i="3"/>
  <c r="AD154" i="3" s="1"/>
  <c r="AA154" i="3"/>
  <c r="W154" i="3"/>
  <c r="X154" i="3" s="1"/>
  <c r="U154" i="3"/>
  <c r="R154" i="3"/>
  <c r="N154" i="3"/>
  <c r="O154" i="3" s="1"/>
  <c r="L154" i="3"/>
  <c r="I154" i="3"/>
  <c r="H154" i="3"/>
  <c r="F154" i="3"/>
  <c r="C154" i="3"/>
  <c r="AC153" i="3"/>
  <c r="AD153" i="3" s="1"/>
  <c r="AA153" i="3"/>
  <c r="X153" i="3"/>
  <c r="W153" i="3"/>
  <c r="U153" i="3"/>
  <c r="R153" i="3"/>
  <c r="N153" i="3"/>
  <c r="L153" i="3"/>
  <c r="H153" i="3"/>
  <c r="I153" i="3" s="1"/>
  <c r="F153" i="3"/>
  <c r="C153" i="3"/>
  <c r="AD151" i="3"/>
  <c r="AC151" i="3"/>
  <c r="AA151" i="3"/>
  <c r="W151" i="3"/>
  <c r="X151" i="3" s="1"/>
  <c r="U151" i="3"/>
  <c r="R151" i="3"/>
  <c r="N151" i="3"/>
  <c r="O151" i="3" s="1"/>
  <c r="L151" i="3"/>
  <c r="H151" i="3"/>
  <c r="I151" i="3" s="1"/>
  <c r="F151" i="3"/>
  <c r="C151" i="3"/>
  <c r="AD149" i="3"/>
  <c r="AA149" i="3"/>
  <c r="Z149" i="3"/>
  <c r="U149" i="3"/>
  <c r="T149" i="3"/>
  <c r="W149" i="3" s="1"/>
  <c r="X149" i="3" s="1"/>
  <c r="R149" i="3"/>
  <c r="Q149" i="3"/>
  <c r="AC149" i="3" s="1"/>
  <c r="K149" i="3"/>
  <c r="L149" i="3" s="1"/>
  <c r="H149" i="3"/>
  <c r="I149" i="3" s="1"/>
  <c r="F149" i="3"/>
  <c r="E149" i="3"/>
  <c r="C149" i="3"/>
  <c r="B149" i="3"/>
  <c r="N149" i="3" s="1"/>
  <c r="O149" i="3" s="1"/>
  <c r="Z148" i="3"/>
  <c r="AA148" i="3" s="1"/>
  <c r="U148" i="3"/>
  <c r="T148" i="3"/>
  <c r="Q148" i="3"/>
  <c r="R148" i="3" s="1"/>
  <c r="N148" i="3"/>
  <c r="O148" i="3" s="1"/>
  <c r="L148" i="3"/>
  <c r="K148" i="3"/>
  <c r="E148" i="3"/>
  <c r="F148" i="3" s="1"/>
  <c r="C148" i="3"/>
  <c r="B148" i="3"/>
  <c r="H148" i="3" s="1"/>
  <c r="I148" i="3" s="1"/>
  <c r="AD147" i="3"/>
  <c r="AC147" i="3"/>
  <c r="AA147" i="3"/>
  <c r="W147" i="3"/>
  <c r="U147" i="3"/>
  <c r="R147" i="3"/>
  <c r="O147" i="3"/>
  <c r="N147" i="3"/>
  <c r="L147" i="3"/>
  <c r="I147" i="3"/>
  <c r="H147" i="3"/>
  <c r="F147" i="3"/>
  <c r="C147" i="3"/>
  <c r="AD146" i="3"/>
  <c r="AC146" i="3"/>
  <c r="AA146" i="3"/>
  <c r="W146" i="3"/>
  <c r="X146" i="3" s="1"/>
  <c r="U146" i="3"/>
  <c r="R146" i="3"/>
  <c r="N146" i="3"/>
  <c r="O146" i="3" s="1"/>
  <c r="L146" i="3"/>
  <c r="I146" i="3"/>
  <c r="H146" i="3"/>
  <c r="F146" i="3"/>
  <c r="C146" i="3"/>
  <c r="AC145" i="3"/>
  <c r="AD145" i="3" s="1"/>
  <c r="AA145" i="3"/>
  <c r="X145" i="3"/>
  <c r="W145" i="3"/>
  <c r="U145" i="3"/>
  <c r="R145" i="3"/>
  <c r="N145" i="3"/>
  <c r="L145" i="3"/>
  <c r="H145" i="3"/>
  <c r="I145" i="3" s="1"/>
  <c r="F145" i="3"/>
  <c r="C145" i="3"/>
  <c r="AD144" i="3"/>
  <c r="AC144" i="3"/>
  <c r="AA144" i="3"/>
  <c r="W144" i="3"/>
  <c r="X144" i="3" s="1"/>
  <c r="U144" i="3"/>
  <c r="R144" i="3"/>
  <c r="N144" i="3"/>
  <c r="O144" i="3" s="1"/>
  <c r="L144" i="3"/>
  <c r="H144" i="3"/>
  <c r="I144" i="3" s="1"/>
  <c r="F144" i="3"/>
  <c r="C144" i="3"/>
  <c r="AD143" i="3"/>
  <c r="AC143" i="3"/>
  <c r="AA143" i="3"/>
  <c r="W143" i="3"/>
  <c r="U143" i="3"/>
  <c r="R143" i="3"/>
  <c r="O143" i="3"/>
  <c r="N143" i="3"/>
  <c r="L143" i="3"/>
  <c r="I143" i="3"/>
  <c r="H143" i="3"/>
  <c r="F143" i="3"/>
  <c r="C143" i="3"/>
  <c r="AD141" i="3"/>
  <c r="AC141" i="3"/>
  <c r="AA141" i="3"/>
  <c r="Z141" i="3"/>
  <c r="X141" i="3"/>
  <c r="T141" i="3"/>
  <c r="U141" i="3" s="1"/>
  <c r="R141" i="3"/>
  <c r="Q141" i="3"/>
  <c r="W141" i="3" s="1"/>
  <c r="O141" i="3"/>
  <c r="L141" i="3"/>
  <c r="K141" i="3"/>
  <c r="E141" i="3"/>
  <c r="H141" i="3" s="1"/>
  <c r="I141" i="3" s="1"/>
  <c r="C141" i="3"/>
  <c r="B141" i="3"/>
  <c r="N141" i="3" s="1"/>
  <c r="AD140" i="3"/>
  <c r="AC140" i="3"/>
  <c r="AA140" i="3"/>
  <c r="W140" i="3"/>
  <c r="X140" i="3" s="1"/>
  <c r="U140" i="3"/>
  <c r="R140" i="3"/>
  <c r="N140" i="3"/>
  <c r="O140" i="3" s="1"/>
  <c r="L140" i="3"/>
  <c r="H140" i="3"/>
  <c r="I140" i="3" s="1"/>
  <c r="F140" i="3"/>
  <c r="C140" i="3"/>
  <c r="AD139" i="3"/>
  <c r="AC139" i="3"/>
  <c r="AA139" i="3"/>
  <c r="X139" i="3"/>
  <c r="W139" i="3"/>
  <c r="U139" i="3"/>
  <c r="R139" i="3"/>
  <c r="O139" i="3"/>
  <c r="N139" i="3"/>
  <c r="L139" i="3"/>
  <c r="I139" i="3"/>
  <c r="H139" i="3"/>
  <c r="F139" i="3"/>
  <c r="C139" i="3"/>
  <c r="AD138" i="3"/>
  <c r="AC138" i="3"/>
  <c r="AA138" i="3"/>
  <c r="W138" i="3"/>
  <c r="X138" i="3" s="1"/>
  <c r="U138" i="3"/>
  <c r="R138" i="3"/>
  <c r="N138" i="3"/>
  <c r="O138" i="3" s="1"/>
  <c r="L138" i="3"/>
  <c r="I138" i="3"/>
  <c r="H138" i="3"/>
  <c r="F138" i="3"/>
  <c r="C138" i="3"/>
  <c r="AC137" i="3"/>
  <c r="AD137" i="3" s="1"/>
  <c r="AA137" i="3"/>
  <c r="X137" i="3"/>
  <c r="W137" i="3"/>
  <c r="U137" i="3"/>
  <c r="R137" i="3"/>
  <c r="O137" i="3"/>
  <c r="N137" i="3"/>
  <c r="L137" i="3"/>
  <c r="H137" i="3"/>
  <c r="I137" i="3" s="1"/>
  <c r="F137" i="3"/>
  <c r="C137" i="3"/>
  <c r="AD136" i="3"/>
  <c r="AC136" i="3"/>
  <c r="AA136" i="3"/>
  <c r="W136" i="3"/>
  <c r="X136" i="3" s="1"/>
  <c r="U136" i="3"/>
  <c r="R136" i="3"/>
  <c r="N136" i="3"/>
  <c r="O136" i="3" s="1"/>
  <c r="L136" i="3"/>
  <c r="H136" i="3"/>
  <c r="I136" i="3" s="1"/>
  <c r="F136" i="3"/>
  <c r="C136" i="3"/>
  <c r="AD135" i="3"/>
  <c r="AC135" i="3"/>
  <c r="AA135" i="3"/>
  <c r="X135" i="3"/>
  <c r="W135" i="3"/>
  <c r="U135" i="3"/>
  <c r="R135" i="3"/>
  <c r="N135" i="3"/>
  <c r="O135" i="3" s="1"/>
  <c r="L135" i="3"/>
  <c r="I135" i="3"/>
  <c r="H135" i="3"/>
  <c r="F135" i="3"/>
  <c r="C135" i="3"/>
  <c r="AD134" i="3"/>
  <c r="AC134" i="3"/>
  <c r="AA134" i="3"/>
  <c r="W134" i="3"/>
  <c r="X134" i="3" s="1"/>
  <c r="U134" i="3"/>
  <c r="R134" i="3"/>
  <c r="N134" i="3"/>
  <c r="O134" i="3" s="1"/>
  <c r="L134" i="3"/>
  <c r="I134" i="3"/>
  <c r="H134" i="3"/>
  <c r="F134" i="3"/>
  <c r="C134" i="3"/>
  <c r="AC133" i="3"/>
  <c r="AD133" i="3" s="1"/>
  <c r="AA133" i="3"/>
  <c r="X133" i="3"/>
  <c r="W133" i="3"/>
  <c r="U133" i="3"/>
  <c r="R133" i="3"/>
  <c r="O133" i="3"/>
  <c r="N133" i="3"/>
  <c r="L133" i="3"/>
  <c r="H133" i="3"/>
  <c r="I133" i="3" s="1"/>
  <c r="F133" i="3"/>
  <c r="C133" i="3"/>
  <c r="AD132" i="3"/>
  <c r="AC132" i="3"/>
  <c r="AA132" i="3"/>
  <c r="W132" i="3"/>
  <c r="X132" i="3" s="1"/>
  <c r="U132" i="3"/>
  <c r="R132" i="3"/>
  <c r="N132" i="3"/>
  <c r="O132" i="3" s="1"/>
  <c r="L132" i="3"/>
  <c r="H132" i="3"/>
  <c r="I132" i="3" s="1"/>
  <c r="F132" i="3"/>
  <c r="C132" i="3"/>
  <c r="AD131" i="3"/>
  <c r="AC131" i="3"/>
  <c r="AA131" i="3"/>
  <c r="X131" i="3"/>
  <c r="W131" i="3"/>
  <c r="U131" i="3"/>
  <c r="R131" i="3"/>
  <c r="N131" i="3"/>
  <c r="O131" i="3" s="1"/>
  <c r="L131" i="3"/>
  <c r="I131" i="3"/>
  <c r="H131" i="3"/>
  <c r="F131" i="3"/>
  <c r="C131" i="3"/>
  <c r="AD130" i="3"/>
  <c r="AC130" i="3"/>
  <c r="AA130" i="3"/>
  <c r="W130" i="3"/>
  <c r="X130" i="3" s="1"/>
  <c r="U130" i="3"/>
  <c r="R130" i="3"/>
  <c r="N130" i="3"/>
  <c r="O130" i="3" s="1"/>
  <c r="L130" i="3"/>
  <c r="I130" i="3"/>
  <c r="H130" i="3"/>
  <c r="F130" i="3"/>
  <c r="C130" i="3"/>
  <c r="AC129" i="3"/>
  <c r="AD129" i="3" s="1"/>
  <c r="AA129" i="3"/>
  <c r="X129" i="3"/>
  <c r="W129" i="3"/>
  <c r="U129" i="3"/>
  <c r="R129" i="3"/>
  <c r="O129" i="3"/>
  <c r="N129" i="3"/>
  <c r="L129" i="3"/>
  <c r="I129" i="3"/>
  <c r="H129" i="3"/>
  <c r="F129" i="3"/>
  <c r="C129" i="3"/>
  <c r="AD127" i="3"/>
  <c r="AC127" i="3"/>
  <c r="AA127" i="3"/>
  <c r="W127" i="3"/>
  <c r="X127" i="3" s="1"/>
  <c r="U127" i="3"/>
  <c r="R127" i="3"/>
  <c r="N127" i="3"/>
  <c r="O127" i="3" s="1"/>
  <c r="L127" i="3"/>
  <c r="H127" i="3"/>
  <c r="I127" i="3" s="1"/>
  <c r="F127" i="3"/>
  <c r="C127" i="3"/>
  <c r="AA124" i="3"/>
  <c r="Z124" i="3"/>
  <c r="Z172" i="3" s="1"/>
  <c r="T124" i="3"/>
  <c r="R124" i="3"/>
  <c r="Q124" i="3"/>
  <c r="Q172" i="3" s="1"/>
  <c r="K124" i="3"/>
  <c r="L124" i="3" s="1"/>
  <c r="I124" i="3"/>
  <c r="H124" i="3"/>
  <c r="F124" i="3"/>
  <c r="E124" i="3"/>
  <c r="E172" i="3" s="1"/>
  <c r="E198" i="3" s="1"/>
  <c r="E345" i="3" s="1"/>
  <c r="E404" i="3" s="1"/>
  <c r="C124" i="3"/>
  <c r="B124" i="3"/>
  <c r="N124" i="3" s="1"/>
  <c r="O124" i="3" s="1"/>
  <c r="AC123" i="3"/>
  <c r="AD123" i="3" s="1"/>
  <c r="AA123" i="3"/>
  <c r="X123" i="3"/>
  <c r="W123" i="3"/>
  <c r="U123" i="3"/>
  <c r="R123" i="3"/>
  <c r="O123" i="3"/>
  <c r="N123" i="3"/>
  <c r="L123" i="3"/>
  <c r="I123" i="3"/>
  <c r="H123" i="3"/>
  <c r="F123" i="3"/>
  <c r="C123" i="3"/>
  <c r="AD122" i="3"/>
  <c r="Z122" i="3"/>
  <c r="AA122" i="3" s="1"/>
  <c r="X122" i="3"/>
  <c r="W122" i="3"/>
  <c r="U122" i="3"/>
  <c r="T122" i="3"/>
  <c r="R122" i="3"/>
  <c r="Q122" i="3"/>
  <c r="AC122" i="3" s="1"/>
  <c r="L122" i="3"/>
  <c r="K122" i="3"/>
  <c r="F122" i="3"/>
  <c r="E122" i="3"/>
  <c r="B122" i="3"/>
  <c r="C122" i="3" s="1"/>
  <c r="AD121" i="3"/>
  <c r="AC121" i="3"/>
  <c r="AA121" i="3"/>
  <c r="W121" i="3"/>
  <c r="X121" i="3" s="1"/>
  <c r="U121" i="3"/>
  <c r="R121" i="3"/>
  <c r="N121" i="3"/>
  <c r="O121" i="3" s="1"/>
  <c r="L121" i="3"/>
  <c r="I121" i="3"/>
  <c r="H121" i="3"/>
  <c r="F121" i="3"/>
  <c r="C121" i="3"/>
  <c r="AC120" i="3"/>
  <c r="AD120" i="3" s="1"/>
  <c r="AA120" i="3"/>
  <c r="X120" i="3"/>
  <c r="W120" i="3"/>
  <c r="U120" i="3"/>
  <c r="R120" i="3"/>
  <c r="O120" i="3"/>
  <c r="N120" i="3"/>
  <c r="L120" i="3"/>
  <c r="H120" i="3"/>
  <c r="I120" i="3" s="1"/>
  <c r="F120" i="3"/>
  <c r="C120" i="3"/>
  <c r="AD119" i="3"/>
  <c r="AC119" i="3"/>
  <c r="AA119" i="3"/>
  <c r="W119" i="3"/>
  <c r="X119" i="3" s="1"/>
  <c r="U119" i="3"/>
  <c r="R119" i="3"/>
  <c r="N119" i="3"/>
  <c r="O119" i="3" s="1"/>
  <c r="L119" i="3"/>
  <c r="H119" i="3"/>
  <c r="I119" i="3" s="1"/>
  <c r="F119" i="3"/>
  <c r="C119" i="3"/>
  <c r="AA118" i="3"/>
  <c r="Z118" i="3"/>
  <c r="U118" i="3"/>
  <c r="T118" i="3"/>
  <c r="W118" i="3" s="1"/>
  <c r="X118" i="3" s="1"/>
  <c r="R118" i="3"/>
  <c r="Q118" i="3"/>
  <c r="AC118" i="3" s="1"/>
  <c r="AD118" i="3" s="1"/>
  <c r="K118" i="3"/>
  <c r="L118" i="3" s="1"/>
  <c r="H118" i="3"/>
  <c r="I118" i="3" s="1"/>
  <c r="F118" i="3"/>
  <c r="E118" i="3"/>
  <c r="C118" i="3"/>
  <c r="B118" i="3"/>
  <c r="N118" i="3" s="1"/>
  <c r="O118" i="3" s="1"/>
  <c r="AC117" i="3"/>
  <c r="AD117" i="3" s="1"/>
  <c r="AA117" i="3"/>
  <c r="W117" i="3"/>
  <c r="X117" i="3" s="1"/>
  <c r="U117" i="3"/>
  <c r="R117" i="3"/>
  <c r="O117" i="3"/>
  <c r="N117" i="3"/>
  <c r="L117" i="3"/>
  <c r="I117" i="3"/>
  <c r="H117" i="3"/>
  <c r="F117" i="3"/>
  <c r="C117" i="3"/>
  <c r="AD116" i="3"/>
  <c r="AC116" i="3"/>
  <c r="AA116" i="3"/>
  <c r="W116" i="3"/>
  <c r="X116" i="3" s="1"/>
  <c r="U116" i="3"/>
  <c r="R116" i="3"/>
  <c r="N116" i="3"/>
  <c r="O116" i="3" s="1"/>
  <c r="L116" i="3"/>
  <c r="H116" i="3"/>
  <c r="I116" i="3" s="1"/>
  <c r="F116" i="3"/>
  <c r="C116" i="3"/>
  <c r="AD115" i="3"/>
  <c r="AC115" i="3"/>
  <c r="AA115" i="3"/>
  <c r="X115" i="3"/>
  <c r="W115" i="3"/>
  <c r="U115" i="3"/>
  <c r="R115" i="3"/>
  <c r="O115" i="3"/>
  <c r="N115" i="3"/>
  <c r="L115" i="3"/>
  <c r="I115" i="3"/>
  <c r="H115" i="3"/>
  <c r="F115" i="3"/>
  <c r="C115" i="3"/>
  <c r="AC114" i="3"/>
  <c r="AD114" i="3" s="1"/>
  <c r="AA114" i="3"/>
  <c r="W114" i="3"/>
  <c r="X114" i="3" s="1"/>
  <c r="U114" i="3"/>
  <c r="R114" i="3"/>
  <c r="N114" i="3"/>
  <c r="O114" i="3" s="1"/>
  <c r="L114" i="3"/>
  <c r="I114" i="3"/>
  <c r="H114" i="3"/>
  <c r="F114" i="3"/>
  <c r="C114" i="3"/>
  <c r="AC113" i="3"/>
  <c r="AD113" i="3" s="1"/>
  <c r="AA113" i="3"/>
  <c r="X113" i="3"/>
  <c r="W113" i="3"/>
  <c r="U113" i="3"/>
  <c r="R113" i="3"/>
  <c r="O113" i="3"/>
  <c r="N113" i="3"/>
  <c r="L113" i="3"/>
  <c r="I113" i="3"/>
  <c r="H113" i="3"/>
  <c r="F113" i="3"/>
  <c r="C113" i="3"/>
  <c r="AD112" i="3"/>
  <c r="AC112" i="3"/>
  <c r="AA112" i="3"/>
  <c r="W112" i="3"/>
  <c r="X112" i="3" s="1"/>
  <c r="U112" i="3"/>
  <c r="R112" i="3"/>
  <c r="N112" i="3"/>
  <c r="O112" i="3" s="1"/>
  <c r="L112" i="3"/>
  <c r="H112" i="3"/>
  <c r="I112" i="3" s="1"/>
  <c r="F112" i="3"/>
  <c r="C112" i="3"/>
  <c r="AD111" i="3"/>
  <c r="AC111" i="3"/>
  <c r="AA111" i="3"/>
  <c r="X111" i="3"/>
  <c r="W111" i="3"/>
  <c r="U111" i="3"/>
  <c r="R111" i="3"/>
  <c r="O111" i="3"/>
  <c r="N111" i="3"/>
  <c r="L111" i="3"/>
  <c r="I111" i="3"/>
  <c r="H111" i="3"/>
  <c r="F111" i="3"/>
  <c r="C111" i="3"/>
  <c r="AD110" i="3"/>
  <c r="AC110" i="3"/>
  <c r="AA110" i="3"/>
  <c r="W110" i="3"/>
  <c r="X110" i="3" s="1"/>
  <c r="U110" i="3"/>
  <c r="R110" i="3"/>
  <c r="N110" i="3"/>
  <c r="O110" i="3" s="1"/>
  <c r="L110" i="3"/>
  <c r="I110" i="3"/>
  <c r="H110" i="3"/>
  <c r="F110" i="3"/>
  <c r="C110" i="3"/>
  <c r="AC109" i="3"/>
  <c r="AD109" i="3" s="1"/>
  <c r="AA109" i="3"/>
  <c r="W109" i="3"/>
  <c r="X109" i="3" s="1"/>
  <c r="U109" i="3"/>
  <c r="R109" i="3"/>
  <c r="O109" i="3"/>
  <c r="N109" i="3"/>
  <c r="L109" i="3"/>
  <c r="I109" i="3"/>
  <c r="H109" i="3"/>
  <c r="F109" i="3"/>
  <c r="C109" i="3"/>
  <c r="AD108" i="3"/>
  <c r="AC108" i="3"/>
  <c r="AA108" i="3"/>
  <c r="W108" i="3"/>
  <c r="X108" i="3" s="1"/>
  <c r="U108" i="3"/>
  <c r="R108" i="3"/>
  <c r="N108" i="3"/>
  <c r="O108" i="3" s="1"/>
  <c r="L108" i="3"/>
  <c r="H108" i="3"/>
  <c r="I108" i="3" s="1"/>
  <c r="F108" i="3"/>
  <c r="C108" i="3"/>
  <c r="AD107" i="3"/>
  <c r="AC107" i="3"/>
  <c r="AA107" i="3"/>
  <c r="X107" i="3"/>
  <c r="W107" i="3"/>
  <c r="U107" i="3"/>
  <c r="R107" i="3"/>
  <c r="O107" i="3"/>
  <c r="N107" i="3"/>
  <c r="L107" i="3"/>
  <c r="I107" i="3"/>
  <c r="H107" i="3"/>
  <c r="F107" i="3"/>
  <c r="C107" i="3"/>
  <c r="AC106" i="3"/>
  <c r="AD106" i="3" s="1"/>
  <c r="AA106" i="3"/>
  <c r="W106" i="3"/>
  <c r="X106" i="3" s="1"/>
  <c r="U106" i="3"/>
  <c r="R106" i="3"/>
  <c r="N106" i="3"/>
  <c r="O106" i="3" s="1"/>
  <c r="L106" i="3"/>
  <c r="I106" i="3"/>
  <c r="H106" i="3"/>
  <c r="F106" i="3"/>
  <c r="C106" i="3"/>
  <c r="AC105" i="3"/>
  <c r="AD105" i="3" s="1"/>
  <c r="AA105" i="3"/>
  <c r="X105" i="3"/>
  <c r="W105" i="3"/>
  <c r="U105" i="3"/>
  <c r="R105" i="3"/>
  <c r="O105" i="3"/>
  <c r="N105" i="3"/>
  <c r="L105" i="3"/>
  <c r="I105" i="3"/>
  <c r="H105" i="3"/>
  <c r="F105" i="3"/>
  <c r="C105" i="3"/>
  <c r="AD104" i="3"/>
  <c r="AC104" i="3"/>
  <c r="AA104" i="3"/>
  <c r="W104" i="3"/>
  <c r="X104" i="3" s="1"/>
  <c r="U104" i="3"/>
  <c r="R104" i="3"/>
  <c r="N104" i="3"/>
  <c r="O104" i="3" s="1"/>
  <c r="L104" i="3"/>
  <c r="H104" i="3"/>
  <c r="I104" i="3" s="1"/>
  <c r="F104" i="3"/>
  <c r="C104" i="3"/>
  <c r="AD103" i="3"/>
  <c r="AC103" i="3"/>
  <c r="AA103" i="3"/>
  <c r="X103" i="3"/>
  <c r="W103" i="3"/>
  <c r="U103" i="3"/>
  <c r="R103" i="3"/>
  <c r="O103" i="3"/>
  <c r="N103" i="3"/>
  <c r="L103" i="3"/>
  <c r="I103" i="3"/>
  <c r="H103" i="3"/>
  <c r="F103" i="3"/>
  <c r="C103" i="3"/>
  <c r="AD102" i="3"/>
  <c r="AC102" i="3"/>
  <c r="AA102" i="3"/>
  <c r="W102" i="3"/>
  <c r="X102" i="3" s="1"/>
  <c r="U102" i="3"/>
  <c r="R102" i="3"/>
  <c r="N102" i="3"/>
  <c r="O102" i="3" s="1"/>
  <c r="L102" i="3"/>
  <c r="I102" i="3"/>
  <c r="H102" i="3"/>
  <c r="F102" i="3"/>
  <c r="C102" i="3"/>
  <c r="AC101" i="3"/>
  <c r="AD101" i="3" s="1"/>
  <c r="AA101" i="3"/>
  <c r="W101" i="3"/>
  <c r="X101" i="3" s="1"/>
  <c r="U101" i="3"/>
  <c r="R101" i="3"/>
  <c r="O101" i="3"/>
  <c r="N101" i="3"/>
  <c r="L101" i="3"/>
  <c r="I101" i="3"/>
  <c r="H101" i="3"/>
  <c r="F101" i="3"/>
  <c r="C101" i="3"/>
  <c r="AD100" i="3"/>
  <c r="AC100" i="3"/>
  <c r="AA100" i="3"/>
  <c r="W100" i="3"/>
  <c r="X100" i="3" s="1"/>
  <c r="U100" i="3"/>
  <c r="R100" i="3"/>
  <c r="N100" i="3"/>
  <c r="O100" i="3" s="1"/>
  <c r="L100" i="3"/>
  <c r="H100" i="3"/>
  <c r="I100" i="3" s="1"/>
  <c r="F100" i="3"/>
  <c r="C100" i="3"/>
  <c r="AD99" i="3"/>
  <c r="AC99" i="3"/>
  <c r="AA99" i="3"/>
  <c r="X99" i="3"/>
  <c r="W99" i="3"/>
  <c r="U99" i="3"/>
  <c r="R99" i="3"/>
  <c r="N99" i="3"/>
  <c r="O99" i="3" s="1"/>
  <c r="L99" i="3"/>
  <c r="I99" i="3"/>
  <c r="H99" i="3"/>
  <c r="F99" i="3"/>
  <c r="C99" i="3"/>
  <c r="AC98" i="3"/>
  <c r="AD98" i="3" s="1"/>
  <c r="AA98" i="3"/>
  <c r="W98" i="3"/>
  <c r="X98" i="3" s="1"/>
  <c r="U98" i="3"/>
  <c r="R98" i="3"/>
  <c r="N98" i="3"/>
  <c r="O98" i="3" s="1"/>
  <c r="L98" i="3"/>
  <c r="I98" i="3"/>
  <c r="H98" i="3"/>
  <c r="F98" i="3"/>
  <c r="C98" i="3"/>
  <c r="AC97" i="3"/>
  <c r="AD97" i="3" s="1"/>
  <c r="AA97" i="3"/>
  <c r="X97" i="3"/>
  <c r="W97" i="3"/>
  <c r="U97" i="3"/>
  <c r="R97" i="3"/>
  <c r="O97" i="3"/>
  <c r="N97" i="3"/>
  <c r="L97" i="3"/>
  <c r="I97" i="3"/>
  <c r="H97" i="3"/>
  <c r="F97" i="3"/>
  <c r="C97" i="3"/>
  <c r="AD96" i="3"/>
  <c r="AC96" i="3"/>
  <c r="AA96" i="3"/>
  <c r="W96" i="3"/>
  <c r="X96" i="3" s="1"/>
  <c r="U96" i="3"/>
  <c r="R96" i="3"/>
  <c r="N96" i="3"/>
  <c r="O96" i="3" s="1"/>
  <c r="L96" i="3"/>
  <c r="H96" i="3"/>
  <c r="I96" i="3" s="1"/>
  <c r="F96" i="3"/>
  <c r="C96" i="3"/>
  <c r="AD95" i="3"/>
  <c r="AC95" i="3"/>
  <c r="AA95" i="3"/>
  <c r="X95" i="3"/>
  <c r="W95" i="3"/>
  <c r="U95" i="3"/>
  <c r="R95" i="3"/>
  <c r="O95" i="3"/>
  <c r="N95" i="3"/>
  <c r="L95" i="3"/>
  <c r="I95" i="3"/>
  <c r="H95" i="3"/>
  <c r="F95" i="3"/>
  <c r="C95" i="3"/>
  <c r="AC94" i="3"/>
  <c r="AD94" i="3" s="1"/>
  <c r="AA94" i="3"/>
  <c r="W94" i="3"/>
  <c r="X94" i="3" s="1"/>
  <c r="U94" i="3"/>
  <c r="R94" i="3"/>
  <c r="N94" i="3"/>
  <c r="O94" i="3" s="1"/>
  <c r="L94" i="3"/>
  <c r="I94" i="3"/>
  <c r="H94" i="3"/>
  <c r="F94" i="3"/>
  <c r="C94" i="3"/>
  <c r="AC92" i="3"/>
  <c r="AD92" i="3" s="1"/>
  <c r="AA92" i="3"/>
  <c r="W92" i="3"/>
  <c r="X92" i="3" s="1"/>
  <c r="U92" i="3"/>
  <c r="R92" i="3"/>
  <c r="O92" i="3"/>
  <c r="N92" i="3"/>
  <c r="L92" i="3"/>
  <c r="I92" i="3"/>
  <c r="H92" i="3"/>
  <c r="F92" i="3"/>
  <c r="C92" i="3"/>
  <c r="AD91" i="3"/>
  <c r="AC91" i="3"/>
  <c r="AA91" i="3"/>
  <c r="W91" i="3"/>
  <c r="X91" i="3" s="1"/>
  <c r="U91" i="3"/>
  <c r="R91" i="3"/>
  <c r="N91" i="3"/>
  <c r="O91" i="3" s="1"/>
  <c r="L91" i="3"/>
  <c r="H91" i="3"/>
  <c r="I91" i="3" s="1"/>
  <c r="F91" i="3"/>
  <c r="C91" i="3"/>
  <c r="AD90" i="3"/>
  <c r="AC90" i="3"/>
  <c r="AA90" i="3"/>
  <c r="X90" i="3"/>
  <c r="W90" i="3"/>
  <c r="U90" i="3"/>
  <c r="R90" i="3"/>
  <c r="O90" i="3"/>
  <c r="N90" i="3"/>
  <c r="L90" i="3"/>
  <c r="I90" i="3"/>
  <c r="H90" i="3"/>
  <c r="F90" i="3"/>
  <c r="C90" i="3"/>
  <c r="AC89" i="3"/>
  <c r="AD89" i="3" s="1"/>
  <c r="AA89" i="3"/>
  <c r="W89" i="3"/>
  <c r="X89" i="3" s="1"/>
  <c r="U89" i="3"/>
  <c r="R89" i="3"/>
  <c r="N89" i="3"/>
  <c r="O89" i="3" s="1"/>
  <c r="L89" i="3"/>
  <c r="I89" i="3"/>
  <c r="H89" i="3"/>
  <c r="F89" i="3"/>
  <c r="C89" i="3"/>
  <c r="Z88" i="3"/>
  <c r="AA88" i="3" s="1"/>
  <c r="U88" i="3"/>
  <c r="T88" i="3"/>
  <c r="Q88" i="3"/>
  <c r="R88" i="3" s="1"/>
  <c r="L88" i="3"/>
  <c r="K88" i="3"/>
  <c r="E88" i="3"/>
  <c r="F88" i="3" s="1"/>
  <c r="B88" i="3"/>
  <c r="AD87" i="3"/>
  <c r="AC87" i="3"/>
  <c r="AA87" i="3"/>
  <c r="X87" i="3"/>
  <c r="W87" i="3"/>
  <c r="U87" i="3"/>
  <c r="R87" i="3"/>
  <c r="O87" i="3"/>
  <c r="N87" i="3"/>
  <c r="L87" i="3"/>
  <c r="I87" i="3"/>
  <c r="H87" i="3"/>
  <c r="F87" i="3"/>
  <c r="C87" i="3"/>
  <c r="AC86" i="3"/>
  <c r="AD86" i="3" s="1"/>
  <c r="AA86" i="3"/>
  <c r="W86" i="3"/>
  <c r="X86" i="3" s="1"/>
  <c r="U86" i="3"/>
  <c r="R86" i="3"/>
  <c r="N86" i="3"/>
  <c r="O86" i="3" s="1"/>
  <c r="L86" i="3"/>
  <c r="I86" i="3"/>
  <c r="H86" i="3"/>
  <c r="F86" i="3"/>
  <c r="C86" i="3"/>
  <c r="AC85" i="3"/>
  <c r="AD85" i="3" s="1"/>
  <c r="AA85" i="3"/>
  <c r="W85" i="3"/>
  <c r="X85" i="3" s="1"/>
  <c r="U85" i="3"/>
  <c r="R85" i="3"/>
  <c r="O85" i="3"/>
  <c r="N85" i="3"/>
  <c r="L85" i="3"/>
  <c r="H85" i="3"/>
  <c r="I85" i="3" s="1"/>
  <c r="F85" i="3"/>
  <c r="C85" i="3"/>
  <c r="AD84" i="3"/>
  <c r="AC84" i="3"/>
  <c r="AA84" i="3"/>
  <c r="W84" i="3"/>
  <c r="X84" i="3" s="1"/>
  <c r="U84" i="3"/>
  <c r="R84" i="3"/>
  <c r="N84" i="3"/>
  <c r="O84" i="3" s="1"/>
  <c r="L84" i="3"/>
  <c r="H84" i="3"/>
  <c r="I84" i="3" s="1"/>
  <c r="F84" i="3"/>
  <c r="C84" i="3"/>
  <c r="AD83" i="3"/>
  <c r="AC83" i="3"/>
  <c r="AA83" i="3"/>
  <c r="X83" i="3"/>
  <c r="W83" i="3"/>
  <c r="U83" i="3"/>
  <c r="R83" i="3"/>
  <c r="O83" i="3"/>
  <c r="N83" i="3"/>
  <c r="L83" i="3"/>
  <c r="H83" i="3"/>
  <c r="I83" i="3" s="1"/>
  <c r="F83" i="3"/>
  <c r="C83" i="3"/>
  <c r="AD82" i="3"/>
  <c r="AC82" i="3"/>
  <c r="AA82" i="3"/>
  <c r="W82" i="3"/>
  <c r="X82" i="3" s="1"/>
  <c r="U82" i="3"/>
  <c r="R82" i="3"/>
  <c r="N82" i="3"/>
  <c r="O82" i="3" s="1"/>
  <c r="L82" i="3"/>
  <c r="I82" i="3"/>
  <c r="H82" i="3"/>
  <c r="F82" i="3"/>
  <c r="C82" i="3"/>
  <c r="AC81" i="3"/>
  <c r="AD81" i="3" s="1"/>
  <c r="AA81" i="3"/>
  <c r="W81" i="3"/>
  <c r="X81" i="3" s="1"/>
  <c r="U81" i="3"/>
  <c r="R81" i="3"/>
  <c r="O81" i="3"/>
  <c r="N81" i="3"/>
  <c r="L81" i="3"/>
  <c r="I81" i="3"/>
  <c r="H81" i="3"/>
  <c r="F81" i="3"/>
  <c r="C81" i="3"/>
  <c r="AD80" i="3"/>
  <c r="AC80" i="3"/>
  <c r="AA80" i="3"/>
  <c r="W80" i="3"/>
  <c r="X80" i="3" s="1"/>
  <c r="U80" i="3"/>
  <c r="R80" i="3"/>
  <c r="N80" i="3"/>
  <c r="O80" i="3" s="1"/>
  <c r="L80" i="3"/>
  <c r="H80" i="3"/>
  <c r="I80" i="3" s="1"/>
  <c r="F80" i="3"/>
  <c r="C80" i="3"/>
  <c r="AD79" i="3"/>
  <c r="AC79" i="3"/>
  <c r="AA79" i="3"/>
  <c r="X79" i="3"/>
  <c r="W79" i="3"/>
  <c r="U79" i="3"/>
  <c r="R79" i="3"/>
  <c r="N79" i="3"/>
  <c r="O79" i="3" s="1"/>
  <c r="L79" i="3"/>
  <c r="H79" i="3"/>
  <c r="I79" i="3" s="1"/>
  <c r="F79" i="3"/>
  <c r="C79" i="3"/>
  <c r="AC78" i="3"/>
  <c r="AD78" i="3" s="1"/>
  <c r="AA78" i="3"/>
  <c r="W78" i="3"/>
  <c r="X78" i="3" s="1"/>
  <c r="U78" i="3"/>
  <c r="R78" i="3"/>
  <c r="N78" i="3"/>
  <c r="O78" i="3" s="1"/>
  <c r="L78" i="3"/>
  <c r="I78" i="3"/>
  <c r="H78" i="3"/>
  <c r="F78" i="3"/>
  <c r="C78" i="3"/>
  <c r="AC77" i="3"/>
  <c r="AD77" i="3" s="1"/>
  <c r="AA77" i="3"/>
  <c r="X77" i="3"/>
  <c r="W77" i="3"/>
  <c r="U77" i="3"/>
  <c r="R77" i="3"/>
  <c r="O77" i="3"/>
  <c r="N77" i="3"/>
  <c r="L77" i="3"/>
  <c r="I77" i="3"/>
  <c r="H77" i="3"/>
  <c r="F77" i="3"/>
  <c r="C77" i="3"/>
  <c r="AC76" i="3"/>
  <c r="AD76" i="3" s="1"/>
  <c r="AA76" i="3"/>
  <c r="W76" i="3"/>
  <c r="X76" i="3" s="1"/>
  <c r="U76" i="3"/>
  <c r="R76" i="3"/>
  <c r="N76" i="3"/>
  <c r="O76" i="3" s="1"/>
  <c r="L76" i="3"/>
  <c r="H76" i="3"/>
  <c r="I76" i="3" s="1"/>
  <c r="F76" i="3"/>
  <c r="C76" i="3"/>
  <c r="AD75" i="3"/>
  <c r="AC75" i="3"/>
  <c r="AA75" i="3"/>
  <c r="X75" i="3"/>
  <c r="W75" i="3"/>
  <c r="U75" i="3"/>
  <c r="R75" i="3"/>
  <c r="O75" i="3"/>
  <c r="N75" i="3"/>
  <c r="L75" i="3"/>
  <c r="I75" i="3"/>
  <c r="H75" i="3"/>
  <c r="F75" i="3"/>
  <c r="C75" i="3"/>
  <c r="AA73" i="3"/>
  <c r="Z73" i="3"/>
  <c r="T73" i="3"/>
  <c r="U73" i="3" s="1"/>
  <c r="Q73" i="3"/>
  <c r="W73" i="3" s="1"/>
  <c r="X73" i="3" s="1"/>
  <c r="K73" i="3"/>
  <c r="L73" i="3" s="1"/>
  <c r="H73" i="3"/>
  <c r="I73" i="3" s="1"/>
  <c r="F73" i="3"/>
  <c r="E73" i="3"/>
  <c r="C73" i="3"/>
  <c r="B73" i="3"/>
  <c r="AD72" i="3"/>
  <c r="AC72" i="3"/>
  <c r="AA72" i="3"/>
  <c r="X72" i="3"/>
  <c r="W72" i="3"/>
  <c r="U72" i="3"/>
  <c r="R72" i="3"/>
  <c r="N72" i="3"/>
  <c r="O72" i="3" s="1"/>
  <c r="L72" i="3"/>
  <c r="H72" i="3"/>
  <c r="I72" i="3" s="1"/>
  <c r="F72" i="3"/>
  <c r="C72" i="3"/>
  <c r="AD71" i="3"/>
  <c r="AC71" i="3"/>
  <c r="AA71" i="3"/>
  <c r="X71" i="3"/>
  <c r="W71" i="3"/>
  <c r="U71" i="3"/>
  <c r="R71" i="3"/>
  <c r="O71" i="3"/>
  <c r="N71" i="3"/>
  <c r="L71" i="3"/>
  <c r="H71" i="3"/>
  <c r="I71" i="3" s="1"/>
  <c r="F71" i="3"/>
  <c r="C71" i="3"/>
  <c r="AD70" i="3"/>
  <c r="AC70" i="3"/>
  <c r="AA70" i="3"/>
  <c r="W70" i="3"/>
  <c r="X70" i="3" s="1"/>
  <c r="U70" i="3"/>
  <c r="R70" i="3"/>
  <c r="O70" i="3"/>
  <c r="N70" i="3"/>
  <c r="L70" i="3"/>
  <c r="I70" i="3"/>
  <c r="H70" i="3"/>
  <c r="F70" i="3"/>
  <c r="C70" i="3"/>
  <c r="AC69" i="3"/>
  <c r="AD69" i="3" s="1"/>
  <c r="AA69" i="3"/>
  <c r="W69" i="3"/>
  <c r="X69" i="3" s="1"/>
  <c r="U69" i="3"/>
  <c r="R69" i="3"/>
  <c r="O69" i="3"/>
  <c r="N69" i="3"/>
  <c r="L69" i="3"/>
  <c r="I69" i="3"/>
  <c r="H69" i="3"/>
  <c r="F69" i="3"/>
  <c r="C69" i="3"/>
  <c r="AD68" i="3"/>
  <c r="AC68" i="3"/>
  <c r="AA68" i="3"/>
  <c r="X68" i="3"/>
  <c r="W68" i="3"/>
  <c r="U68" i="3"/>
  <c r="R68" i="3"/>
  <c r="N68" i="3"/>
  <c r="O68" i="3" s="1"/>
  <c r="L68" i="3"/>
  <c r="H68" i="3"/>
  <c r="I68" i="3" s="1"/>
  <c r="F68" i="3"/>
  <c r="C68" i="3"/>
  <c r="AD67" i="3"/>
  <c r="AC67" i="3"/>
  <c r="AA67" i="3"/>
  <c r="X67" i="3"/>
  <c r="W67" i="3"/>
  <c r="U67" i="3"/>
  <c r="R67" i="3"/>
  <c r="O67" i="3"/>
  <c r="N67" i="3"/>
  <c r="L67" i="3"/>
  <c r="I67" i="3"/>
  <c r="H67" i="3"/>
  <c r="F67" i="3"/>
  <c r="C67" i="3"/>
  <c r="AC66" i="3"/>
  <c r="AD66" i="3" s="1"/>
  <c r="AA66" i="3"/>
  <c r="W66" i="3"/>
  <c r="X66" i="3" s="1"/>
  <c r="U66" i="3"/>
  <c r="R66" i="3"/>
  <c r="O66" i="3"/>
  <c r="N66" i="3"/>
  <c r="L66" i="3"/>
  <c r="I66" i="3"/>
  <c r="H66" i="3"/>
  <c r="F66" i="3"/>
  <c r="C66" i="3"/>
  <c r="AC65" i="3"/>
  <c r="AD65" i="3" s="1"/>
  <c r="AA65" i="3"/>
  <c r="W65" i="3"/>
  <c r="X65" i="3" s="1"/>
  <c r="U65" i="3"/>
  <c r="R65" i="3"/>
  <c r="O65" i="3"/>
  <c r="N65" i="3"/>
  <c r="L65" i="3"/>
  <c r="I65" i="3"/>
  <c r="H65" i="3"/>
  <c r="F65" i="3"/>
  <c r="C65" i="3"/>
  <c r="AD64" i="3"/>
  <c r="AC64" i="3"/>
  <c r="AA64" i="3"/>
  <c r="X64" i="3"/>
  <c r="W64" i="3"/>
  <c r="U64" i="3"/>
  <c r="R64" i="3"/>
  <c r="N64" i="3"/>
  <c r="O64" i="3" s="1"/>
  <c r="L64" i="3"/>
  <c r="H64" i="3"/>
  <c r="I64" i="3" s="1"/>
  <c r="F64" i="3"/>
  <c r="C64" i="3"/>
  <c r="Z62" i="3"/>
  <c r="AA62" i="3" s="1"/>
  <c r="W62" i="3"/>
  <c r="X62" i="3" s="1"/>
  <c r="U62" i="3"/>
  <c r="T62" i="3"/>
  <c r="R62" i="3"/>
  <c r="Q62" i="3"/>
  <c r="K62" i="3"/>
  <c r="L62" i="3" s="1"/>
  <c r="I62" i="3"/>
  <c r="H62" i="3"/>
  <c r="F62" i="3"/>
  <c r="E62" i="3"/>
  <c r="C62" i="3"/>
  <c r="B62" i="3"/>
  <c r="N62" i="3" s="1"/>
  <c r="O62" i="3" s="1"/>
  <c r="Z61" i="3"/>
  <c r="AA61" i="3" s="1"/>
  <c r="T61" i="3"/>
  <c r="U61" i="3" s="1"/>
  <c r="Q61" i="3"/>
  <c r="AC61" i="3" s="1"/>
  <c r="AD61" i="3" s="1"/>
  <c r="L61" i="3"/>
  <c r="K61" i="3"/>
  <c r="E61" i="3"/>
  <c r="F61" i="3" s="1"/>
  <c r="C61" i="3"/>
  <c r="B61" i="3"/>
  <c r="N61" i="3" s="1"/>
  <c r="O61" i="3" s="1"/>
  <c r="AD60" i="3"/>
  <c r="AC60" i="3"/>
  <c r="AA60" i="3"/>
  <c r="X60" i="3"/>
  <c r="W60" i="3"/>
  <c r="U60" i="3"/>
  <c r="R60" i="3"/>
  <c r="O60" i="3"/>
  <c r="N60" i="3"/>
  <c r="L60" i="3"/>
  <c r="I60" i="3"/>
  <c r="H60" i="3"/>
  <c r="F60" i="3"/>
  <c r="C60" i="3"/>
  <c r="AD59" i="3"/>
  <c r="AC59" i="3"/>
  <c r="AA59" i="3"/>
  <c r="W59" i="3"/>
  <c r="X59" i="3" s="1"/>
  <c r="U59" i="3"/>
  <c r="R59" i="3"/>
  <c r="N59" i="3"/>
  <c r="O59" i="3" s="1"/>
  <c r="L59" i="3"/>
  <c r="I59" i="3"/>
  <c r="H59" i="3"/>
  <c r="F59" i="3"/>
  <c r="C59" i="3"/>
  <c r="AC58" i="3"/>
  <c r="AD58" i="3" s="1"/>
  <c r="AA58" i="3"/>
  <c r="X58" i="3"/>
  <c r="W58" i="3"/>
  <c r="U58" i="3"/>
  <c r="R58" i="3"/>
  <c r="O58" i="3"/>
  <c r="N58" i="3"/>
  <c r="L58" i="3"/>
  <c r="H58" i="3"/>
  <c r="I58" i="3" s="1"/>
  <c r="F58" i="3"/>
  <c r="C58" i="3"/>
  <c r="AC57" i="3"/>
  <c r="AD57" i="3" s="1"/>
  <c r="AA57" i="3"/>
  <c r="X57" i="3"/>
  <c r="W57" i="3"/>
  <c r="U57" i="3"/>
  <c r="R57" i="3"/>
  <c r="N57" i="3"/>
  <c r="O57" i="3" s="1"/>
  <c r="L57" i="3"/>
  <c r="H57" i="3"/>
  <c r="I57" i="3" s="1"/>
  <c r="F57" i="3"/>
  <c r="C57" i="3"/>
  <c r="AD56" i="3"/>
  <c r="AC56" i="3"/>
  <c r="AA56" i="3"/>
  <c r="X56" i="3"/>
  <c r="W56" i="3"/>
  <c r="U56" i="3"/>
  <c r="R56" i="3"/>
  <c r="O56" i="3"/>
  <c r="N56" i="3"/>
  <c r="L56" i="3"/>
  <c r="I56" i="3"/>
  <c r="H56" i="3"/>
  <c r="F56" i="3"/>
  <c r="C56" i="3"/>
  <c r="AD55" i="3"/>
  <c r="AC55" i="3"/>
  <c r="AA55" i="3"/>
  <c r="W55" i="3"/>
  <c r="X55" i="3" s="1"/>
  <c r="U55" i="3"/>
  <c r="R55" i="3"/>
  <c r="N55" i="3"/>
  <c r="O55" i="3" s="1"/>
  <c r="L55" i="3"/>
  <c r="I55" i="3"/>
  <c r="H55" i="3"/>
  <c r="F55" i="3"/>
  <c r="C55" i="3"/>
  <c r="AC54" i="3"/>
  <c r="AD54" i="3" s="1"/>
  <c r="AA54" i="3"/>
  <c r="X54" i="3"/>
  <c r="W54" i="3"/>
  <c r="U54" i="3"/>
  <c r="R54" i="3"/>
  <c r="O54" i="3"/>
  <c r="N54" i="3"/>
  <c r="L54" i="3"/>
  <c r="H54" i="3"/>
  <c r="I54" i="3" s="1"/>
  <c r="F54" i="3"/>
  <c r="C54" i="3"/>
  <c r="AC53" i="3"/>
  <c r="AD53" i="3" s="1"/>
  <c r="AA53" i="3"/>
  <c r="X53" i="3"/>
  <c r="W53" i="3"/>
  <c r="U53" i="3"/>
  <c r="R53" i="3"/>
  <c r="N53" i="3"/>
  <c r="O53" i="3" s="1"/>
  <c r="L53" i="3"/>
  <c r="H53" i="3"/>
  <c r="I53" i="3" s="1"/>
  <c r="F53" i="3"/>
  <c r="C53" i="3"/>
  <c r="AD52" i="3"/>
  <c r="AC52" i="3"/>
  <c r="AA52" i="3"/>
  <c r="X52" i="3"/>
  <c r="W52" i="3"/>
  <c r="U52" i="3"/>
  <c r="R52" i="3"/>
  <c r="O52" i="3"/>
  <c r="N52" i="3"/>
  <c r="L52" i="3"/>
  <c r="I52" i="3"/>
  <c r="H52" i="3"/>
  <c r="F52" i="3"/>
  <c r="C52" i="3"/>
  <c r="AD51" i="3"/>
  <c r="AC51" i="3"/>
  <c r="AA51" i="3"/>
  <c r="W51" i="3"/>
  <c r="X51" i="3" s="1"/>
  <c r="U51" i="3"/>
  <c r="R51" i="3"/>
  <c r="N51" i="3"/>
  <c r="O51" i="3" s="1"/>
  <c r="L51" i="3"/>
  <c r="I51" i="3"/>
  <c r="H51" i="3"/>
  <c r="F51" i="3"/>
  <c r="C51" i="3"/>
  <c r="AC50" i="3"/>
  <c r="AD50" i="3" s="1"/>
  <c r="AA50" i="3"/>
  <c r="X50" i="3"/>
  <c r="W50" i="3"/>
  <c r="U50" i="3"/>
  <c r="R50" i="3"/>
  <c r="O50" i="3"/>
  <c r="N50" i="3"/>
  <c r="L50" i="3"/>
  <c r="H50" i="3"/>
  <c r="I50" i="3" s="1"/>
  <c r="F50" i="3"/>
  <c r="C50" i="3"/>
  <c r="AC49" i="3"/>
  <c r="AD49" i="3" s="1"/>
  <c r="AA49" i="3"/>
  <c r="X49" i="3"/>
  <c r="W49" i="3"/>
  <c r="U49" i="3"/>
  <c r="R49" i="3"/>
  <c r="N49" i="3"/>
  <c r="O49" i="3" s="1"/>
  <c r="L49" i="3"/>
  <c r="H49" i="3"/>
  <c r="I49" i="3" s="1"/>
  <c r="F49" i="3"/>
  <c r="C49" i="3"/>
  <c r="AD48" i="3"/>
  <c r="AC48" i="3"/>
  <c r="AA48" i="3"/>
  <c r="X48" i="3"/>
  <c r="W48" i="3"/>
  <c r="U48" i="3"/>
  <c r="R48" i="3"/>
  <c r="O48" i="3"/>
  <c r="N48" i="3"/>
  <c r="L48" i="3"/>
  <c r="I48" i="3"/>
  <c r="H48" i="3"/>
  <c r="F48" i="3"/>
  <c r="C48" i="3"/>
  <c r="AC47" i="3"/>
  <c r="AD47" i="3" s="1"/>
  <c r="AA47" i="3"/>
  <c r="W47" i="3"/>
  <c r="X47" i="3" s="1"/>
  <c r="U47" i="3"/>
  <c r="R47" i="3"/>
  <c r="N47" i="3"/>
  <c r="O47" i="3" s="1"/>
  <c r="L47" i="3"/>
  <c r="I47" i="3"/>
  <c r="H47" i="3"/>
  <c r="F47" i="3"/>
  <c r="C47" i="3"/>
  <c r="AC46" i="3"/>
  <c r="AD46" i="3" s="1"/>
  <c r="AA46" i="3"/>
  <c r="W46" i="3"/>
  <c r="X46" i="3" s="1"/>
  <c r="U46" i="3"/>
  <c r="R46" i="3"/>
  <c r="O46" i="3"/>
  <c r="N46" i="3"/>
  <c r="L46" i="3"/>
  <c r="H46" i="3"/>
  <c r="I46" i="3" s="1"/>
  <c r="F46" i="3"/>
  <c r="C46" i="3"/>
  <c r="AC44" i="3"/>
  <c r="AD44" i="3" s="1"/>
  <c r="AA44" i="3"/>
  <c r="X44" i="3"/>
  <c r="W44" i="3"/>
  <c r="U44" i="3"/>
  <c r="R44" i="3"/>
  <c r="N44" i="3"/>
  <c r="O44" i="3" s="1"/>
  <c r="L44" i="3"/>
  <c r="H44" i="3"/>
  <c r="I44" i="3" s="1"/>
  <c r="F44" i="3"/>
  <c r="C44" i="3"/>
  <c r="AD43" i="3"/>
  <c r="AC43" i="3"/>
  <c r="AA43" i="3"/>
  <c r="X43" i="3"/>
  <c r="W43" i="3"/>
  <c r="U43" i="3"/>
  <c r="R43" i="3"/>
  <c r="O43" i="3"/>
  <c r="N43" i="3"/>
  <c r="L43" i="3"/>
  <c r="H43" i="3"/>
  <c r="I43" i="3" s="1"/>
  <c r="F43" i="3"/>
  <c r="C43" i="3"/>
  <c r="AD42" i="3"/>
  <c r="AC42" i="3"/>
  <c r="AA42" i="3"/>
  <c r="W42" i="3"/>
  <c r="X42" i="3" s="1"/>
  <c r="U42" i="3"/>
  <c r="R42" i="3"/>
  <c r="N42" i="3"/>
  <c r="O42" i="3" s="1"/>
  <c r="L42" i="3"/>
  <c r="I42" i="3"/>
  <c r="H42" i="3"/>
  <c r="F42" i="3"/>
  <c r="C42" i="3"/>
  <c r="Z40" i="3"/>
  <c r="AA40" i="3" s="1"/>
  <c r="U40" i="3"/>
  <c r="T40" i="3"/>
  <c r="Q40" i="3"/>
  <c r="AC40" i="3" s="1"/>
  <c r="AD40" i="3" s="1"/>
  <c r="L40" i="3"/>
  <c r="K40" i="3"/>
  <c r="E40" i="3"/>
  <c r="F40" i="3" s="1"/>
  <c r="B40" i="3"/>
  <c r="H40" i="3" s="1"/>
  <c r="I40" i="3" s="1"/>
  <c r="AD39" i="3"/>
  <c r="AC39" i="3"/>
  <c r="AA39" i="3"/>
  <c r="X39" i="3"/>
  <c r="W39" i="3"/>
  <c r="U39" i="3"/>
  <c r="R39" i="3"/>
  <c r="O39" i="3"/>
  <c r="N39" i="3"/>
  <c r="L39" i="3"/>
  <c r="I39" i="3"/>
  <c r="H39" i="3"/>
  <c r="F39" i="3"/>
  <c r="C39" i="3"/>
  <c r="AC38" i="3"/>
  <c r="AD38" i="3" s="1"/>
  <c r="AA38" i="3"/>
  <c r="W38" i="3"/>
  <c r="X38" i="3" s="1"/>
  <c r="U38" i="3"/>
  <c r="R38" i="3"/>
  <c r="O38" i="3"/>
  <c r="N38" i="3"/>
  <c r="L38" i="3"/>
  <c r="I38" i="3"/>
  <c r="H38" i="3"/>
  <c r="F38" i="3"/>
  <c r="C38" i="3"/>
  <c r="AC37" i="3"/>
  <c r="AD37" i="3" s="1"/>
  <c r="AA37" i="3"/>
  <c r="W37" i="3"/>
  <c r="X37" i="3" s="1"/>
  <c r="U37" i="3"/>
  <c r="R37" i="3"/>
  <c r="O37" i="3"/>
  <c r="N37" i="3"/>
  <c r="L37" i="3"/>
  <c r="I37" i="3"/>
  <c r="H37" i="3"/>
  <c r="F37" i="3"/>
  <c r="C37" i="3"/>
  <c r="AD36" i="3"/>
  <c r="AC36" i="3"/>
  <c r="AA36" i="3"/>
  <c r="X36" i="3"/>
  <c r="W36" i="3"/>
  <c r="U36" i="3"/>
  <c r="R36" i="3"/>
  <c r="N36" i="3"/>
  <c r="O36" i="3" s="1"/>
  <c r="L36" i="3"/>
  <c r="H36" i="3"/>
  <c r="I36" i="3" s="1"/>
  <c r="F36" i="3"/>
  <c r="C36" i="3"/>
  <c r="AD35" i="3"/>
  <c r="AC35" i="3"/>
  <c r="AA35" i="3"/>
  <c r="X35" i="3"/>
  <c r="W35" i="3"/>
  <c r="U35" i="3"/>
  <c r="R35" i="3"/>
  <c r="O35" i="3"/>
  <c r="N35" i="3"/>
  <c r="L35" i="3"/>
  <c r="H35" i="3"/>
  <c r="I35" i="3" s="1"/>
  <c r="F35" i="3"/>
  <c r="C35" i="3"/>
  <c r="AD34" i="3"/>
  <c r="AC34" i="3"/>
  <c r="AA34" i="3"/>
  <c r="W34" i="3"/>
  <c r="X34" i="3" s="1"/>
  <c r="U34" i="3"/>
  <c r="R34" i="3"/>
  <c r="O34" i="3"/>
  <c r="N34" i="3"/>
  <c r="L34" i="3"/>
  <c r="I34" i="3"/>
  <c r="H34" i="3"/>
  <c r="F34" i="3"/>
  <c r="C34" i="3"/>
  <c r="AC33" i="3"/>
  <c r="AD33" i="3" s="1"/>
  <c r="AA33" i="3"/>
  <c r="W33" i="3"/>
  <c r="X33" i="3" s="1"/>
  <c r="U33" i="3"/>
  <c r="R33" i="3"/>
  <c r="O33" i="3"/>
  <c r="N33" i="3"/>
  <c r="L33" i="3"/>
  <c r="I33" i="3"/>
  <c r="H33" i="3"/>
  <c r="F33" i="3"/>
  <c r="C33" i="3"/>
  <c r="AD32" i="3"/>
  <c r="AC32" i="3"/>
  <c r="AA32" i="3"/>
  <c r="X32" i="3"/>
  <c r="W32" i="3"/>
  <c r="U32" i="3"/>
  <c r="R32" i="3"/>
  <c r="N32" i="3"/>
  <c r="O32" i="3" s="1"/>
  <c r="L32" i="3"/>
  <c r="H32" i="3"/>
  <c r="I32" i="3" s="1"/>
  <c r="F32" i="3"/>
  <c r="C32" i="3"/>
  <c r="AD31" i="3"/>
  <c r="AC31" i="3"/>
  <c r="AA31" i="3"/>
  <c r="X31" i="3"/>
  <c r="W31" i="3"/>
  <c r="U31" i="3"/>
  <c r="R31" i="3"/>
  <c r="O31" i="3"/>
  <c r="N31" i="3"/>
  <c r="L31" i="3"/>
  <c r="I31" i="3"/>
  <c r="H31" i="3"/>
  <c r="F31" i="3"/>
  <c r="C31" i="3"/>
  <c r="AC29" i="3"/>
  <c r="AD29" i="3" s="1"/>
  <c r="AA29" i="3"/>
  <c r="Z29" i="3"/>
  <c r="X29" i="3"/>
  <c r="T29" i="3"/>
  <c r="U29" i="3" s="1"/>
  <c r="Q29" i="3"/>
  <c r="W29" i="3" s="1"/>
  <c r="K29" i="3"/>
  <c r="L29" i="3" s="1"/>
  <c r="F29" i="3"/>
  <c r="E29" i="3"/>
  <c r="B29" i="3"/>
  <c r="H29" i="3" s="1"/>
  <c r="I29" i="3" s="1"/>
  <c r="AD28" i="3"/>
  <c r="AC28" i="3"/>
  <c r="AA28" i="3"/>
  <c r="X28" i="3"/>
  <c r="W28" i="3"/>
  <c r="U28" i="3"/>
  <c r="R28" i="3"/>
  <c r="O28" i="3"/>
  <c r="N28" i="3"/>
  <c r="L28" i="3"/>
  <c r="H28" i="3"/>
  <c r="I28" i="3" s="1"/>
  <c r="F28" i="3"/>
  <c r="C28" i="3"/>
  <c r="AC27" i="3"/>
  <c r="AD27" i="3" s="1"/>
  <c r="AA27" i="3"/>
  <c r="X27" i="3"/>
  <c r="W27" i="3"/>
  <c r="U27" i="3"/>
  <c r="R27" i="3"/>
  <c r="O27" i="3"/>
  <c r="N27" i="3"/>
  <c r="L27" i="3"/>
  <c r="I27" i="3"/>
  <c r="H27" i="3"/>
  <c r="F27" i="3"/>
  <c r="C27" i="3"/>
  <c r="AD26" i="3"/>
  <c r="AC26" i="3"/>
  <c r="AA26" i="3"/>
  <c r="W26" i="3"/>
  <c r="X26" i="3" s="1"/>
  <c r="U26" i="3"/>
  <c r="R26" i="3"/>
  <c r="O26" i="3"/>
  <c r="N26" i="3"/>
  <c r="L26" i="3"/>
  <c r="H26" i="3"/>
  <c r="I26" i="3" s="1"/>
  <c r="F26" i="3"/>
  <c r="C26" i="3"/>
  <c r="AC25" i="3"/>
  <c r="AD25" i="3" s="1"/>
  <c r="AA25" i="3"/>
  <c r="X25" i="3"/>
  <c r="W25" i="3"/>
  <c r="U25" i="3"/>
  <c r="R25" i="3"/>
  <c r="O25" i="3"/>
  <c r="N25" i="3"/>
  <c r="L25" i="3"/>
  <c r="I25" i="3"/>
  <c r="H25" i="3"/>
  <c r="F25" i="3"/>
  <c r="C25" i="3"/>
  <c r="AC24" i="3"/>
  <c r="AD24" i="3" s="1"/>
  <c r="AA24" i="3"/>
  <c r="W24" i="3"/>
  <c r="X24" i="3" s="1"/>
  <c r="U24" i="3"/>
  <c r="R24" i="3"/>
  <c r="N24" i="3"/>
  <c r="O24" i="3" s="1"/>
  <c r="L24" i="3"/>
  <c r="H24" i="3"/>
  <c r="I24" i="3" s="1"/>
  <c r="F24" i="3"/>
  <c r="C24" i="3"/>
  <c r="AD23" i="3"/>
  <c r="AC23" i="3"/>
  <c r="AA23" i="3"/>
  <c r="X23" i="3"/>
  <c r="W23" i="3"/>
  <c r="U23" i="3"/>
  <c r="R23" i="3"/>
  <c r="O23" i="3"/>
  <c r="N23" i="3"/>
  <c r="L23" i="3"/>
  <c r="H23" i="3"/>
  <c r="I23" i="3" s="1"/>
  <c r="F23" i="3"/>
  <c r="C23" i="3"/>
  <c r="AC22" i="3"/>
  <c r="AD22" i="3" s="1"/>
  <c r="AA22" i="3"/>
  <c r="X22" i="3"/>
  <c r="W22" i="3"/>
  <c r="U22" i="3"/>
  <c r="R22" i="3"/>
  <c r="O22" i="3"/>
  <c r="N22" i="3"/>
  <c r="L22" i="3"/>
  <c r="I22" i="3"/>
  <c r="H22" i="3"/>
  <c r="F22" i="3"/>
  <c r="C22" i="3"/>
  <c r="AC21" i="3"/>
  <c r="AD21" i="3" s="1"/>
  <c r="AA21" i="3"/>
  <c r="W21" i="3"/>
  <c r="X21" i="3" s="1"/>
  <c r="U21" i="3"/>
  <c r="R21" i="3"/>
  <c r="O21" i="3"/>
  <c r="N21" i="3"/>
  <c r="L21" i="3"/>
  <c r="I21" i="3"/>
  <c r="H21" i="3"/>
  <c r="F21" i="3"/>
  <c r="C21" i="3"/>
  <c r="AD19" i="3"/>
  <c r="AC19" i="3"/>
  <c r="AA19" i="3"/>
  <c r="W19" i="3"/>
  <c r="X19" i="3" s="1"/>
  <c r="U19" i="3"/>
  <c r="R19" i="3"/>
  <c r="O19" i="3"/>
  <c r="N19" i="3"/>
  <c r="L19" i="3"/>
  <c r="H19" i="3"/>
  <c r="I19" i="3" s="1"/>
  <c r="F19" i="3"/>
  <c r="C19" i="3"/>
  <c r="AC18" i="3"/>
  <c r="AD18" i="3" s="1"/>
  <c r="AA18" i="3"/>
  <c r="Z18" i="3"/>
  <c r="T18" i="3"/>
  <c r="W18" i="3" s="1"/>
  <c r="X18" i="3" s="1"/>
  <c r="R18" i="3"/>
  <c r="Q18" i="3"/>
  <c r="K18" i="3"/>
  <c r="L18" i="3" s="1"/>
  <c r="E18" i="3"/>
  <c r="F18" i="3" s="1"/>
  <c r="B18" i="3"/>
  <c r="AC17" i="3"/>
  <c r="AD17" i="3" s="1"/>
  <c r="AA17" i="3"/>
  <c r="W17" i="3"/>
  <c r="X17" i="3" s="1"/>
  <c r="U17" i="3"/>
  <c r="R17" i="3"/>
  <c r="O17" i="3"/>
  <c r="N17" i="3"/>
  <c r="L17" i="3"/>
  <c r="I17" i="3"/>
  <c r="H17" i="3"/>
  <c r="F17" i="3"/>
  <c r="C17" i="3"/>
  <c r="AD16" i="3"/>
  <c r="AC16" i="3"/>
  <c r="AA16" i="3"/>
  <c r="X16" i="3"/>
  <c r="W16" i="3"/>
  <c r="U16" i="3"/>
  <c r="R16" i="3"/>
  <c r="N16" i="3"/>
  <c r="O16" i="3" s="1"/>
  <c r="L16" i="3"/>
  <c r="H16" i="3"/>
  <c r="I16" i="3" s="1"/>
  <c r="F16" i="3"/>
  <c r="C16" i="3"/>
  <c r="AC15" i="3"/>
  <c r="AD15" i="3" s="1"/>
  <c r="AA15" i="3"/>
  <c r="X15" i="3"/>
  <c r="W15" i="3"/>
  <c r="U15" i="3"/>
  <c r="R15" i="3"/>
  <c r="O15" i="3"/>
  <c r="N15" i="3"/>
  <c r="L15" i="3"/>
  <c r="H15" i="3"/>
  <c r="I15" i="3" s="1"/>
  <c r="F15" i="3"/>
  <c r="C15" i="3"/>
  <c r="AD14" i="3"/>
  <c r="AC14" i="3"/>
  <c r="AA14" i="3"/>
  <c r="W14" i="3"/>
  <c r="X14" i="3" s="1"/>
  <c r="U14" i="3"/>
  <c r="R14" i="3"/>
  <c r="O14" i="3"/>
  <c r="N14" i="3"/>
  <c r="L14" i="3"/>
  <c r="H14" i="3"/>
  <c r="I14" i="3" s="1"/>
  <c r="F14" i="3"/>
  <c r="C14" i="3"/>
  <c r="AC13" i="3"/>
  <c r="AD13" i="3" s="1"/>
  <c r="AA13" i="3"/>
  <c r="X13" i="3"/>
  <c r="W13" i="3"/>
  <c r="U13" i="3"/>
  <c r="R13" i="3"/>
  <c r="O13" i="3"/>
  <c r="N13" i="3"/>
  <c r="L13" i="3"/>
  <c r="I13" i="3"/>
  <c r="H13" i="3"/>
  <c r="F13" i="3"/>
  <c r="C13" i="3"/>
  <c r="AC12" i="3"/>
  <c r="AD12" i="3" s="1"/>
  <c r="AA12" i="3"/>
  <c r="W12" i="3"/>
  <c r="X12" i="3" s="1"/>
  <c r="U12" i="3"/>
  <c r="R12" i="3"/>
  <c r="N12" i="3"/>
  <c r="O12" i="3" s="1"/>
  <c r="L12" i="3"/>
  <c r="H12" i="3"/>
  <c r="I12" i="3" s="1"/>
  <c r="F12" i="3"/>
  <c r="C12" i="3"/>
  <c r="AD11" i="3"/>
  <c r="AC11" i="3"/>
  <c r="AA11" i="3"/>
  <c r="X11" i="3"/>
  <c r="W11" i="3"/>
  <c r="U11" i="3"/>
  <c r="R11" i="3"/>
  <c r="O11" i="3"/>
  <c r="N11" i="3"/>
  <c r="L11" i="3"/>
  <c r="H11" i="3"/>
  <c r="I11" i="3" s="1"/>
  <c r="F11" i="3"/>
  <c r="C11" i="3"/>
  <c r="AC10" i="3"/>
  <c r="AD10" i="3" s="1"/>
  <c r="AA10" i="3"/>
  <c r="X10" i="3"/>
  <c r="W10" i="3"/>
  <c r="U10" i="3"/>
  <c r="R10" i="3"/>
  <c r="O10" i="3"/>
  <c r="N10" i="3"/>
  <c r="L10" i="3"/>
  <c r="I10" i="3"/>
  <c r="H10" i="3"/>
  <c r="F10" i="3"/>
  <c r="C10" i="3"/>
  <c r="AC8" i="3"/>
  <c r="AD8" i="3" s="1"/>
  <c r="AA8" i="3"/>
  <c r="W8" i="3"/>
  <c r="X8" i="3" s="1"/>
  <c r="U8" i="3"/>
  <c r="R8" i="3"/>
  <c r="O8" i="3"/>
  <c r="N8" i="3"/>
  <c r="L8" i="3"/>
  <c r="I8" i="3"/>
  <c r="H8" i="3"/>
  <c r="F8" i="3"/>
  <c r="C8" i="3"/>
  <c r="AC444" i="2"/>
  <c r="W444" i="2"/>
  <c r="N444" i="2"/>
  <c r="H444" i="2"/>
  <c r="I437" i="2" s="1"/>
  <c r="Z442" i="2"/>
  <c r="AA442" i="2" s="1"/>
  <c r="T442" i="2"/>
  <c r="U442" i="2" s="1"/>
  <c r="Q442" i="2"/>
  <c r="L442" i="2"/>
  <c r="K442" i="2"/>
  <c r="F442" i="2"/>
  <c r="E442" i="2"/>
  <c r="B442" i="2"/>
  <c r="Z441" i="2"/>
  <c r="AA441" i="2" s="1"/>
  <c r="T441" i="2"/>
  <c r="R441" i="2"/>
  <c r="Q441" i="2"/>
  <c r="AC441" i="2" s="1"/>
  <c r="AD441" i="2" s="1"/>
  <c r="K441" i="2"/>
  <c r="L441" i="2" s="1"/>
  <c r="H441" i="2"/>
  <c r="I441" i="2" s="1"/>
  <c r="F441" i="2"/>
  <c r="E441" i="2"/>
  <c r="B441" i="2"/>
  <c r="C441" i="2" s="1"/>
  <c r="AC440" i="2"/>
  <c r="AD440" i="2" s="1"/>
  <c r="AA440" i="2"/>
  <c r="X440" i="2"/>
  <c r="W440" i="2"/>
  <c r="U440" i="2"/>
  <c r="R440" i="2"/>
  <c r="O440" i="2"/>
  <c r="N440" i="2"/>
  <c r="L440" i="2"/>
  <c r="H440" i="2"/>
  <c r="I440" i="2" s="1"/>
  <c r="F440" i="2"/>
  <c r="C440" i="2"/>
  <c r="AC439" i="2"/>
  <c r="AD439" i="2" s="1"/>
  <c r="AA439" i="2"/>
  <c r="X439" i="2"/>
  <c r="W439" i="2"/>
  <c r="U439" i="2"/>
  <c r="R439" i="2"/>
  <c r="O439" i="2"/>
  <c r="N439" i="2"/>
  <c r="L439" i="2"/>
  <c r="H439" i="2"/>
  <c r="I439" i="2" s="1"/>
  <c r="F439" i="2"/>
  <c r="C439" i="2"/>
  <c r="AD438" i="2"/>
  <c r="AC438" i="2"/>
  <c r="AA438" i="2"/>
  <c r="X438" i="2"/>
  <c r="W438" i="2"/>
  <c r="U438" i="2"/>
  <c r="R438" i="2"/>
  <c r="O438" i="2"/>
  <c r="N438" i="2"/>
  <c r="L438" i="2"/>
  <c r="H438" i="2"/>
  <c r="I438" i="2" s="1"/>
  <c r="F438" i="2"/>
  <c r="C438" i="2"/>
  <c r="AC437" i="2"/>
  <c r="AD437" i="2" s="1"/>
  <c r="AA437" i="2"/>
  <c r="X437" i="2"/>
  <c r="W437" i="2"/>
  <c r="U437" i="2"/>
  <c r="R437" i="2"/>
  <c r="O437" i="2"/>
  <c r="N437" i="2"/>
  <c r="L437" i="2"/>
  <c r="H437" i="2"/>
  <c r="F437" i="2"/>
  <c r="C437" i="2"/>
  <c r="AC436" i="2"/>
  <c r="AD436" i="2" s="1"/>
  <c r="AA436" i="2"/>
  <c r="X436" i="2"/>
  <c r="W436" i="2"/>
  <c r="U436" i="2"/>
  <c r="R436" i="2"/>
  <c r="O436" i="2"/>
  <c r="N436" i="2"/>
  <c r="L436" i="2"/>
  <c r="H436" i="2"/>
  <c r="I436" i="2" s="1"/>
  <c r="F436" i="2"/>
  <c r="C436" i="2"/>
  <c r="AC435" i="2"/>
  <c r="AD435" i="2" s="1"/>
  <c r="AA435" i="2"/>
  <c r="X435" i="2"/>
  <c r="W435" i="2"/>
  <c r="U435" i="2"/>
  <c r="R435" i="2"/>
  <c r="O435" i="2"/>
  <c r="N435" i="2"/>
  <c r="L435" i="2"/>
  <c r="H435" i="2"/>
  <c r="I435" i="2" s="1"/>
  <c r="F435" i="2"/>
  <c r="C435" i="2"/>
  <c r="AD434" i="2"/>
  <c r="AC434" i="2"/>
  <c r="AA434" i="2"/>
  <c r="X434" i="2"/>
  <c r="W434" i="2"/>
  <c r="U434" i="2"/>
  <c r="R434" i="2"/>
  <c r="O434" i="2"/>
  <c r="N434" i="2"/>
  <c r="L434" i="2"/>
  <c r="H434" i="2"/>
  <c r="I434" i="2" s="1"/>
  <c r="F434" i="2"/>
  <c r="C434" i="2"/>
  <c r="AC433" i="2"/>
  <c r="AD433" i="2" s="1"/>
  <c r="AA433" i="2"/>
  <c r="X433" i="2"/>
  <c r="W433" i="2"/>
  <c r="U433" i="2"/>
  <c r="R433" i="2"/>
  <c r="O433" i="2"/>
  <c r="N433" i="2"/>
  <c r="L433" i="2"/>
  <c r="H433" i="2"/>
  <c r="F433" i="2"/>
  <c r="C433" i="2"/>
  <c r="AC432" i="2"/>
  <c r="AD432" i="2" s="1"/>
  <c r="AA432" i="2"/>
  <c r="X432" i="2"/>
  <c r="W432" i="2"/>
  <c r="U432" i="2"/>
  <c r="R432" i="2"/>
  <c r="O432" i="2"/>
  <c r="N432" i="2"/>
  <c r="L432" i="2"/>
  <c r="H432" i="2"/>
  <c r="I432" i="2" s="1"/>
  <c r="F432" i="2"/>
  <c r="C432" i="2"/>
  <c r="Z429" i="2"/>
  <c r="AA429" i="2" s="1"/>
  <c r="W429" i="2"/>
  <c r="X429" i="2" s="1"/>
  <c r="U429" i="2"/>
  <c r="T429" i="2"/>
  <c r="Q429" i="2"/>
  <c r="R429" i="2" s="1"/>
  <c r="K429" i="2"/>
  <c r="L429" i="2" s="1"/>
  <c r="E429" i="2"/>
  <c r="F429" i="2" s="1"/>
  <c r="B429" i="2"/>
  <c r="H429" i="2" s="1"/>
  <c r="I429" i="2" s="1"/>
  <c r="AC428" i="2"/>
  <c r="AD428" i="2" s="1"/>
  <c r="AA428" i="2"/>
  <c r="Z428" i="2"/>
  <c r="T428" i="2"/>
  <c r="U428" i="2" s="1"/>
  <c r="Q428" i="2"/>
  <c r="K428" i="2"/>
  <c r="L428" i="2" s="1"/>
  <c r="E428" i="2"/>
  <c r="C428" i="2"/>
  <c r="B428" i="2"/>
  <c r="N428" i="2" s="1"/>
  <c r="O428" i="2" s="1"/>
  <c r="AC427" i="2"/>
  <c r="AD427" i="2" s="1"/>
  <c r="AA427" i="2"/>
  <c r="X427" i="2"/>
  <c r="W427" i="2"/>
  <c r="U427" i="2"/>
  <c r="R427" i="2"/>
  <c r="O427" i="2"/>
  <c r="N427" i="2"/>
  <c r="L427" i="2"/>
  <c r="H427" i="2"/>
  <c r="I427" i="2" s="1"/>
  <c r="F427" i="2"/>
  <c r="C427" i="2"/>
  <c r="AD426" i="2"/>
  <c r="AC426" i="2"/>
  <c r="AA426" i="2"/>
  <c r="X426" i="2"/>
  <c r="W426" i="2"/>
  <c r="U426" i="2"/>
  <c r="R426" i="2"/>
  <c r="O426" i="2"/>
  <c r="N426" i="2"/>
  <c r="L426" i="2"/>
  <c r="H426" i="2"/>
  <c r="I426" i="2" s="1"/>
  <c r="F426" i="2"/>
  <c r="C426" i="2"/>
  <c r="AC425" i="2"/>
  <c r="AD425" i="2" s="1"/>
  <c r="AA425" i="2"/>
  <c r="X425" i="2"/>
  <c r="W425" i="2"/>
  <c r="U425" i="2"/>
  <c r="R425" i="2"/>
  <c r="O425" i="2"/>
  <c r="N425" i="2"/>
  <c r="L425" i="2"/>
  <c r="H425" i="2"/>
  <c r="F425" i="2"/>
  <c r="C425" i="2"/>
  <c r="AC424" i="2"/>
  <c r="AD424" i="2" s="1"/>
  <c r="AA424" i="2"/>
  <c r="X424" i="2"/>
  <c r="W424" i="2"/>
  <c r="U424" i="2"/>
  <c r="R424" i="2"/>
  <c r="O424" i="2"/>
  <c r="N424" i="2"/>
  <c r="L424" i="2"/>
  <c r="H424" i="2"/>
  <c r="I424" i="2" s="1"/>
  <c r="F424" i="2"/>
  <c r="C424" i="2"/>
  <c r="AC423" i="2"/>
  <c r="AD423" i="2" s="1"/>
  <c r="AA423" i="2"/>
  <c r="X423" i="2"/>
  <c r="W423" i="2"/>
  <c r="U423" i="2"/>
  <c r="R423" i="2"/>
  <c r="O423" i="2"/>
  <c r="N423" i="2"/>
  <c r="L423" i="2"/>
  <c r="H423" i="2"/>
  <c r="I423" i="2" s="1"/>
  <c r="F423" i="2"/>
  <c r="C423" i="2"/>
  <c r="AD422" i="2"/>
  <c r="AC422" i="2"/>
  <c r="AA422" i="2"/>
  <c r="X422" i="2"/>
  <c r="W422" i="2"/>
  <c r="U422" i="2"/>
  <c r="R422" i="2"/>
  <c r="O422" i="2"/>
  <c r="N422" i="2"/>
  <c r="L422" i="2"/>
  <c r="H422" i="2"/>
  <c r="I422" i="2" s="1"/>
  <c r="F422" i="2"/>
  <c r="C422" i="2"/>
  <c r="AC421" i="2"/>
  <c r="AD421" i="2" s="1"/>
  <c r="AA421" i="2"/>
  <c r="X421" i="2"/>
  <c r="W421" i="2"/>
  <c r="U421" i="2"/>
  <c r="R421" i="2"/>
  <c r="O421" i="2"/>
  <c r="N421" i="2"/>
  <c r="L421" i="2"/>
  <c r="H421" i="2"/>
  <c r="F421" i="2"/>
  <c r="C421" i="2"/>
  <c r="AC420" i="2"/>
  <c r="AD420" i="2" s="1"/>
  <c r="AA420" i="2"/>
  <c r="X420" i="2"/>
  <c r="W420" i="2"/>
  <c r="U420" i="2"/>
  <c r="R420" i="2"/>
  <c r="O420" i="2"/>
  <c r="N420" i="2"/>
  <c r="L420" i="2"/>
  <c r="H420" i="2"/>
  <c r="I420" i="2" s="1"/>
  <c r="F420" i="2"/>
  <c r="C420" i="2"/>
  <c r="AC419" i="2"/>
  <c r="AD419" i="2" s="1"/>
  <c r="AA419" i="2"/>
  <c r="X419" i="2"/>
  <c r="W419" i="2"/>
  <c r="U419" i="2"/>
  <c r="R419" i="2"/>
  <c r="O419" i="2"/>
  <c r="N419" i="2"/>
  <c r="L419" i="2"/>
  <c r="H419" i="2"/>
  <c r="I419" i="2" s="1"/>
  <c r="F419" i="2"/>
  <c r="C419" i="2"/>
  <c r="AD418" i="2"/>
  <c r="AC418" i="2"/>
  <c r="AA418" i="2"/>
  <c r="X418" i="2"/>
  <c r="W418" i="2"/>
  <c r="U418" i="2"/>
  <c r="R418" i="2"/>
  <c r="O418" i="2"/>
  <c r="N418" i="2"/>
  <c r="L418" i="2"/>
  <c r="H418" i="2"/>
  <c r="I418" i="2" s="1"/>
  <c r="F418" i="2"/>
  <c r="C418" i="2"/>
  <c r="AC417" i="2"/>
  <c r="AD417" i="2" s="1"/>
  <c r="AA417" i="2"/>
  <c r="X417" i="2"/>
  <c r="W417" i="2"/>
  <c r="U417" i="2"/>
  <c r="R417" i="2"/>
  <c r="O417" i="2"/>
  <c r="N417" i="2"/>
  <c r="L417" i="2"/>
  <c r="H417" i="2"/>
  <c r="F417" i="2"/>
  <c r="C417" i="2"/>
  <c r="AC416" i="2"/>
  <c r="AD416" i="2" s="1"/>
  <c r="AA416" i="2"/>
  <c r="X416" i="2"/>
  <c r="W416" i="2"/>
  <c r="U416" i="2"/>
  <c r="R416" i="2"/>
  <c r="O416" i="2"/>
  <c r="N416" i="2"/>
  <c r="L416" i="2"/>
  <c r="H416" i="2"/>
  <c r="I416" i="2" s="1"/>
  <c r="F416" i="2"/>
  <c r="C416" i="2"/>
  <c r="AC415" i="2"/>
  <c r="AD415" i="2" s="1"/>
  <c r="AA415" i="2"/>
  <c r="X415" i="2"/>
  <c r="W415" i="2"/>
  <c r="U415" i="2"/>
  <c r="R415" i="2"/>
  <c r="O415" i="2"/>
  <c r="N415" i="2"/>
  <c r="L415" i="2"/>
  <c r="H415" i="2"/>
  <c r="I415" i="2" s="1"/>
  <c r="F415" i="2"/>
  <c r="C415" i="2"/>
  <c r="AD414" i="2"/>
  <c r="AC414" i="2"/>
  <c r="AA414" i="2"/>
  <c r="X414" i="2"/>
  <c r="W414" i="2"/>
  <c r="U414" i="2"/>
  <c r="R414" i="2"/>
  <c r="O414" i="2"/>
  <c r="N414" i="2"/>
  <c r="L414" i="2"/>
  <c r="H414" i="2"/>
  <c r="I414" i="2" s="1"/>
  <c r="F414" i="2"/>
  <c r="C414" i="2"/>
  <c r="AC413" i="2"/>
  <c r="AD413" i="2" s="1"/>
  <c r="AA413" i="2"/>
  <c r="X413" i="2"/>
  <c r="W413" i="2"/>
  <c r="U413" i="2"/>
  <c r="R413" i="2"/>
  <c r="O413" i="2"/>
  <c r="N413" i="2"/>
  <c r="L413" i="2"/>
  <c r="H413" i="2"/>
  <c r="F413" i="2"/>
  <c r="C413" i="2"/>
  <c r="AC412" i="2"/>
  <c r="AD412" i="2" s="1"/>
  <c r="AA412" i="2"/>
  <c r="X412" i="2"/>
  <c r="W412" i="2"/>
  <c r="U412" i="2"/>
  <c r="R412" i="2"/>
  <c r="O412" i="2"/>
  <c r="N412" i="2"/>
  <c r="L412" i="2"/>
  <c r="H412" i="2"/>
  <c r="I412" i="2" s="1"/>
  <c r="F412" i="2"/>
  <c r="C412" i="2"/>
  <c r="AC411" i="2"/>
  <c r="AD411" i="2" s="1"/>
  <c r="AA411" i="2"/>
  <c r="X411" i="2"/>
  <c r="W411" i="2"/>
  <c r="U411" i="2"/>
  <c r="R411" i="2"/>
  <c r="O411" i="2"/>
  <c r="N411" i="2"/>
  <c r="L411" i="2"/>
  <c r="H411" i="2"/>
  <c r="I411" i="2" s="1"/>
  <c r="F411" i="2"/>
  <c r="C411" i="2"/>
  <c r="AD410" i="2"/>
  <c r="AC410" i="2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C409" i="2"/>
  <c r="AD409" i="2" s="1"/>
  <c r="AA409" i="2"/>
  <c r="X409" i="2"/>
  <c r="W409" i="2"/>
  <c r="U409" i="2"/>
  <c r="R409" i="2"/>
  <c r="O409" i="2"/>
  <c r="N409" i="2"/>
  <c r="L409" i="2"/>
  <c r="H409" i="2"/>
  <c r="F409" i="2"/>
  <c r="C409" i="2"/>
  <c r="AD408" i="2"/>
  <c r="AC408" i="2"/>
  <c r="AA408" i="2"/>
  <c r="X408" i="2"/>
  <c r="W408" i="2"/>
  <c r="U408" i="2"/>
  <c r="R408" i="2"/>
  <c r="N408" i="2"/>
  <c r="O408" i="2" s="1"/>
  <c r="L408" i="2"/>
  <c r="H408" i="2"/>
  <c r="I408" i="2" s="1"/>
  <c r="F408" i="2"/>
  <c r="C408" i="2"/>
  <c r="AC407" i="2"/>
  <c r="AD407" i="2" s="1"/>
  <c r="AA407" i="2"/>
  <c r="X407" i="2"/>
  <c r="W407" i="2"/>
  <c r="U407" i="2"/>
  <c r="R407" i="2"/>
  <c r="O407" i="2"/>
  <c r="N407" i="2"/>
  <c r="L407" i="2"/>
  <c r="I407" i="2"/>
  <c r="H407" i="2"/>
  <c r="F407" i="2"/>
  <c r="C407" i="2"/>
  <c r="Z403" i="2"/>
  <c r="AA403" i="2" s="1"/>
  <c r="T403" i="2"/>
  <c r="U403" i="2" s="1"/>
  <c r="Q403" i="2"/>
  <c r="W403" i="2" s="1"/>
  <c r="X403" i="2" s="1"/>
  <c r="K403" i="2"/>
  <c r="L403" i="2" s="1"/>
  <c r="E403" i="2"/>
  <c r="F403" i="2" s="1"/>
  <c r="B403" i="2"/>
  <c r="AC402" i="2"/>
  <c r="AD402" i="2" s="1"/>
  <c r="AA402" i="2"/>
  <c r="X402" i="2"/>
  <c r="W402" i="2"/>
  <c r="U402" i="2"/>
  <c r="R402" i="2"/>
  <c r="O402" i="2"/>
  <c r="N402" i="2"/>
  <c r="L402" i="2"/>
  <c r="H402" i="2"/>
  <c r="I402" i="2" s="1"/>
  <c r="F402" i="2"/>
  <c r="C402" i="2"/>
  <c r="AC401" i="2"/>
  <c r="AD401" i="2" s="1"/>
  <c r="AA401" i="2"/>
  <c r="X401" i="2"/>
  <c r="W401" i="2"/>
  <c r="U401" i="2"/>
  <c r="R401" i="2"/>
  <c r="O401" i="2"/>
  <c r="N401" i="2"/>
  <c r="L401" i="2"/>
  <c r="H401" i="2"/>
  <c r="I401" i="2" s="1"/>
  <c r="F401" i="2"/>
  <c r="C401" i="2"/>
  <c r="AC400" i="2"/>
  <c r="AD400" i="2" s="1"/>
  <c r="AA400" i="2"/>
  <c r="X400" i="2"/>
  <c r="W400" i="2"/>
  <c r="U400" i="2"/>
  <c r="R400" i="2"/>
  <c r="O400" i="2"/>
  <c r="N400" i="2"/>
  <c r="L400" i="2"/>
  <c r="H400" i="2"/>
  <c r="I400" i="2" s="1"/>
  <c r="F400" i="2"/>
  <c r="C400" i="2"/>
  <c r="AC399" i="2"/>
  <c r="AD399" i="2" s="1"/>
  <c r="AA399" i="2"/>
  <c r="X399" i="2"/>
  <c r="W399" i="2"/>
  <c r="U399" i="2"/>
  <c r="R399" i="2"/>
  <c r="O399" i="2"/>
  <c r="N399" i="2"/>
  <c r="L399" i="2"/>
  <c r="H399" i="2"/>
  <c r="I399" i="2" s="1"/>
  <c r="F399" i="2"/>
  <c r="C399" i="2"/>
  <c r="AC398" i="2"/>
  <c r="AD398" i="2" s="1"/>
  <c r="AA398" i="2"/>
  <c r="X398" i="2"/>
  <c r="W398" i="2"/>
  <c r="U398" i="2"/>
  <c r="R398" i="2"/>
  <c r="O398" i="2"/>
  <c r="N398" i="2"/>
  <c r="L398" i="2"/>
  <c r="H398" i="2"/>
  <c r="I398" i="2" s="1"/>
  <c r="F398" i="2"/>
  <c r="C398" i="2"/>
  <c r="AC397" i="2"/>
  <c r="AD397" i="2" s="1"/>
  <c r="AA397" i="2"/>
  <c r="X397" i="2"/>
  <c r="W397" i="2"/>
  <c r="U397" i="2"/>
  <c r="R397" i="2"/>
  <c r="O397" i="2"/>
  <c r="N397" i="2"/>
  <c r="L397" i="2"/>
  <c r="H397" i="2"/>
  <c r="I397" i="2" s="1"/>
  <c r="F397" i="2"/>
  <c r="C397" i="2"/>
  <c r="Z396" i="2"/>
  <c r="AA396" i="2" s="1"/>
  <c r="T396" i="2"/>
  <c r="U396" i="2" s="1"/>
  <c r="R396" i="2"/>
  <c r="Q396" i="2"/>
  <c r="K396" i="2"/>
  <c r="L396" i="2" s="1"/>
  <c r="H396" i="2"/>
  <c r="I396" i="2" s="1"/>
  <c r="E396" i="2"/>
  <c r="F396" i="2" s="1"/>
  <c r="B396" i="2"/>
  <c r="C396" i="2" s="1"/>
  <c r="AC395" i="2"/>
  <c r="AD395" i="2" s="1"/>
  <c r="AA395" i="2"/>
  <c r="W395" i="2"/>
  <c r="X395" i="2" s="1"/>
  <c r="U395" i="2"/>
  <c r="R395" i="2"/>
  <c r="O395" i="2"/>
  <c r="N395" i="2"/>
  <c r="L395" i="2"/>
  <c r="H395" i="2"/>
  <c r="I395" i="2" s="1"/>
  <c r="F395" i="2"/>
  <c r="C395" i="2"/>
  <c r="AC394" i="2"/>
  <c r="AD394" i="2" s="1"/>
  <c r="AA394" i="2"/>
  <c r="X394" i="2"/>
  <c r="W394" i="2"/>
  <c r="U394" i="2"/>
  <c r="R394" i="2"/>
  <c r="O394" i="2"/>
  <c r="N394" i="2"/>
  <c r="L394" i="2"/>
  <c r="H394" i="2"/>
  <c r="I394" i="2" s="1"/>
  <c r="F394" i="2"/>
  <c r="C394" i="2"/>
  <c r="AD393" i="2"/>
  <c r="AC393" i="2"/>
  <c r="Z393" i="2"/>
  <c r="AA393" i="2" s="1"/>
  <c r="T393" i="2"/>
  <c r="U393" i="2" s="1"/>
  <c r="R393" i="2"/>
  <c r="Q393" i="2"/>
  <c r="K393" i="2"/>
  <c r="L393" i="2" s="1"/>
  <c r="F393" i="2"/>
  <c r="E393" i="2"/>
  <c r="B393" i="2"/>
  <c r="AC392" i="2"/>
  <c r="AD392" i="2" s="1"/>
  <c r="AA392" i="2"/>
  <c r="W392" i="2"/>
  <c r="X392" i="2" s="1"/>
  <c r="U392" i="2"/>
  <c r="R392" i="2"/>
  <c r="O392" i="2"/>
  <c r="N392" i="2"/>
  <c r="L392" i="2"/>
  <c r="H392" i="2"/>
  <c r="I392" i="2" s="1"/>
  <c r="F392" i="2"/>
  <c r="C392" i="2"/>
  <c r="AC391" i="2"/>
  <c r="AD391" i="2" s="1"/>
  <c r="AA391" i="2"/>
  <c r="X391" i="2"/>
  <c r="W391" i="2"/>
  <c r="U391" i="2"/>
  <c r="R391" i="2"/>
  <c r="O391" i="2"/>
  <c r="N391" i="2"/>
  <c r="L391" i="2"/>
  <c r="H391" i="2"/>
  <c r="I391" i="2" s="1"/>
  <c r="F391" i="2"/>
  <c r="C391" i="2"/>
  <c r="AD390" i="2"/>
  <c r="AC390" i="2"/>
  <c r="AA390" i="2"/>
  <c r="X390" i="2"/>
  <c r="W390" i="2"/>
  <c r="U390" i="2"/>
  <c r="R390" i="2"/>
  <c r="N390" i="2"/>
  <c r="O390" i="2" s="1"/>
  <c r="L390" i="2"/>
  <c r="H390" i="2"/>
  <c r="I390" i="2" s="1"/>
  <c r="F390" i="2"/>
  <c r="C390" i="2"/>
  <c r="AC389" i="2"/>
  <c r="AD389" i="2" s="1"/>
  <c r="AA389" i="2"/>
  <c r="X389" i="2"/>
  <c r="W389" i="2"/>
  <c r="U389" i="2"/>
  <c r="R389" i="2"/>
  <c r="O389" i="2"/>
  <c r="N389" i="2"/>
  <c r="L389" i="2"/>
  <c r="H389" i="2"/>
  <c r="I389" i="2" s="1"/>
  <c r="F389" i="2"/>
  <c r="C389" i="2"/>
  <c r="AC388" i="2"/>
  <c r="AD388" i="2" s="1"/>
  <c r="AA388" i="2"/>
  <c r="W388" i="2"/>
  <c r="X388" i="2" s="1"/>
  <c r="U388" i="2"/>
  <c r="R388" i="2"/>
  <c r="O388" i="2"/>
  <c r="N388" i="2"/>
  <c r="L388" i="2"/>
  <c r="H388" i="2"/>
  <c r="I388" i="2" s="1"/>
  <c r="F388" i="2"/>
  <c r="C388" i="2"/>
  <c r="AC386" i="2"/>
  <c r="AD386" i="2" s="1"/>
  <c r="AA386" i="2"/>
  <c r="X386" i="2"/>
  <c r="W386" i="2"/>
  <c r="U386" i="2"/>
  <c r="R386" i="2"/>
  <c r="O386" i="2"/>
  <c r="N386" i="2"/>
  <c r="L386" i="2"/>
  <c r="H386" i="2"/>
  <c r="I386" i="2" s="1"/>
  <c r="F386" i="2"/>
  <c r="C386" i="2"/>
  <c r="AC385" i="2"/>
  <c r="AD385" i="2" s="1"/>
  <c r="AA385" i="2"/>
  <c r="X385" i="2"/>
  <c r="W385" i="2"/>
  <c r="U385" i="2"/>
  <c r="R385" i="2"/>
  <c r="N385" i="2"/>
  <c r="O385" i="2" s="1"/>
  <c r="L385" i="2"/>
  <c r="H385" i="2"/>
  <c r="I385" i="2" s="1"/>
  <c r="F385" i="2"/>
  <c r="C385" i="2"/>
  <c r="AC383" i="2"/>
  <c r="AD383" i="2" s="1"/>
  <c r="AA383" i="2"/>
  <c r="X383" i="2"/>
  <c r="W383" i="2"/>
  <c r="U383" i="2"/>
  <c r="R383" i="2"/>
  <c r="O383" i="2"/>
  <c r="N383" i="2"/>
  <c r="L383" i="2"/>
  <c r="I383" i="2"/>
  <c r="H383" i="2"/>
  <c r="F383" i="2"/>
  <c r="C383" i="2"/>
  <c r="AC382" i="2"/>
  <c r="AD382" i="2" s="1"/>
  <c r="AA382" i="2"/>
  <c r="W382" i="2"/>
  <c r="X382" i="2" s="1"/>
  <c r="U382" i="2"/>
  <c r="R382" i="2"/>
  <c r="O382" i="2"/>
  <c r="N382" i="2"/>
  <c r="L382" i="2"/>
  <c r="H382" i="2"/>
  <c r="I382" i="2" s="1"/>
  <c r="F382" i="2"/>
  <c r="C382" i="2"/>
  <c r="AC381" i="2"/>
  <c r="AD381" i="2" s="1"/>
  <c r="AA381" i="2"/>
  <c r="X381" i="2"/>
  <c r="W381" i="2"/>
  <c r="U381" i="2"/>
  <c r="R381" i="2"/>
  <c r="O381" i="2"/>
  <c r="N381" i="2"/>
  <c r="L381" i="2"/>
  <c r="H381" i="2"/>
  <c r="I381" i="2" s="1"/>
  <c r="F381" i="2"/>
  <c r="C381" i="2"/>
  <c r="AD380" i="2"/>
  <c r="AC380" i="2"/>
  <c r="AA380" i="2"/>
  <c r="X380" i="2"/>
  <c r="W380" i="2"/>
  <c r="U380" i="2"/>
  <c r="R380" i="2"/>
  <c r="N380" i="2"/>
  <c r="O380" i="2" s="1"/>
  <c r="L380" i="2"/>
  <c r="H380" i="2"/>
  <c r="I380" i="2" s="1"/>
  <c r="F380" i="2"/>
  <c r="C380" i="2"/>
  <c r="AC379" i="2"/>
  <c r="AD379" i="2" s="1"/>
  <c r="AA379" i="2"/>
  <c r="X379" i="2"/>
  <c r="W379" i="2"/>
  <c r="U379" i="2"/>
  <c r="R379" i="2"/>
  <c r="O379" i="2"/>
  <c r="N379" i="2"/>
  <c r="L379" i="2"/>
  <c r="H379" i="2"/>
  <c r="I379" i="2" s="1"/>
  <c r="F379" i="2"/>
  <c r="C379" i="2"/>
  <c r="AC378" i="2"/>
  <c r="AD378" i="2" s="1"/>
  <c r="AA378" i="2"/>
  <c r="X378" i="2"/>
  <c r="W378" i="2"/>
  <c r="U378" i="2"/>
  <c r="R378" i="2"/>
  <c r="O378" i="2"/>
  <c r="N378" i="2"/>
  <c r="L378" i="2"/>
  <c r="H378" i="2"/>
  <c r="I378" i="2" s="1"/>
  <c r="F378" i="2"/>
  <c r="C378" i="2"/>
  <c r="AC377" i="2"/>
  <c r="AD377" i="2" s="1"/>
  <c r="AA377" i="2"/>
  <c r="X377" i="2"/>
  <c r="W377" i="2"/>
  <c r="U377" i="2"/>
  <c r="R377" i="2"/>
  <c r="O377" i="2"/>
  <c r="N377" i="2"/>
  <c r="L377" i="2"/>
  <c r="H377" i="2"/>
  <c r="I377" i="2" s="1"/>
  <c r="F377" i="2"/>
  <c r="C377" i="2"/>
  <c r="AC376" i="2"/>
  <c r="AD376" i="2" s="1"/>
  <c r="AA376" i="2"/>
  <c r="X376" i="2"/>
  <c r="W376" i="2"/>
  <c r="U376" i="2"/>
  <c r="R376" i="2"/>
  <c r="O376" i="2"/>
  <c r="N376" i="2"/>
  <c r="L376" i="2"/>
  <c r="H376" i="2"/>
  <c r="I376" i="2" s="1"/>
  <c r="F376" i="2"/>
  <c r="C376" i="2"/>
  <c r="AC375" i="2"/>
  <c r="AD375" i="2" s="1"/>
  <c r="AA375" i="2"/>
  <c r="X375" i="2"/>
  <c r="W375" i="2"/>
  <c r="U375" i="2"/>
  <c r="R375" i="2"/>
  <c r="O375" i="2"/>
  <c r="N375" i="2"/>
  <c r="L375" i="2"/>
  <c r="H375" i="2"/>
  <c r="I375" i="2" s="1"/>
  <c r="F375" i="2"/>
  <c r="C375" i="2"/>
  <c r="AC374" i="2"/>
  <c r="AD374" i="2" s="1"/>
  <c r="AA374" i="2"/>
  <c r="W374" i="2"/>
  <c r="X374" i="2" s="1"/>
  <c r="U374" i="2"/>
  <c r="R374" i="2"/>
  <c r="O374" i="2"/>
  <c r="N374" i="2"/>
  <c r="L374" i="2"/>
  <c r="H374" i="2"/>
  <c r="I374" i="2" s="1"/>
  <c r="F374" i="2"/>
  <c r="C374" i="2"/>
  <c r="AC373" i="2"/>
  <c r="AD373" i="2" s="1"/>
  <c r="AA373" i="2"/>
  <c r="X373" i="2"/>
  <c r="W373" i="2"/>
  <c r="U373" i="2"/>
  <c r="R373" i="2"/>
  <c r="O373" i="2"/>
  <c r="N373" i="2"/>
  <c r="L373" i="2"/>
  <c r="H373" i="2"/>
  <c r="I373" i="2" s="1"/>
  <c r="F373" i="2"/>
  <c r="C373" i="2"/>
  <c r="AD372" i="2"/>
  <c r="AC372" i="2"/>
  <c r="AA372" i="2"/>
  <c r="X372" i="2"/>
  <c r="W372" i="2"/>
  <c r="U372" i="2"/>
  <c r="R372" i="2"/>
  <c r="N372" i="2"/>
  <c r="O372" i="2" s="1"/>
  <c r="L372" i="2"/>
  <c r="H372" i="2"/>
  <c r="I372" i="2" s="1"/>
  <c r="F372" i="2"/>
  <c r="C372" i="2"/>
  <c r="AC371" i="2"/>
  <c r="AD371" i="2" s="1"/>
  <c r="AA371" i="2"/>
  <c r="X371" i="2"/>
  <c r="W371" i="2"/>
  <c r="U371" i="2"/>
  <c r="R371" i="2"/>
  <c r="O371" i="2"/>
  <c r="N371" i="2"/>
  <c r="L371" i="2"/>
  <c r="H371" i="2"/>
  <c r="I371" i="2" s="1"/>
  <c r="F371" i="2"/>
  <c r="C371" i="2"/>
  <c r="AC370" i="2"/>
  <c r="AD370" i="2" s="1"/>
  <c r="AA370" i="2"/>
  <c r="W370" i="2"/>
  <c r="X370" i="2" s="1"/>
  <c r="U370" i="2"/>
  <c r="R370" i="2"/>
  <c r="O370" i="2"/>
  <c r="N370" i="2"/>
  <c r="L370" i="2"/>
  <c r="H370" i="2"/>
  <c r="I370" i="2" s="1"/>
  <c r="F370" i="2"/>
  <c r="C370" i="2"/>
  <c r="AC369" i="2"/>
  <c r="AD369" i="2" s="1"/>
  <c r="AA369" i="2"/>
  <c r="X369" i="2"/>
  <c r="W369" i="2"/>
  <c r="U369" i="2"/>
  <c r="R369" i="2"/>
  <c r="O369" i="2"/>
  <c r="N369" i="2"/>
  <c r="L369" i="2"/>
  <c r="H369" i="2"/>
  <c r="I369" i="2" s="1"/>
  <c r="F369" i="2"/>
  <c r="C369" i="2"/>
  <c r="Z368" i="2"/>
  <c r="AA368" i="2" s="1"/>
  <c r="T368" i="2"/>
  <c r="U368" i="2" s="1"/>
  <c r="Q368" i="2"/>
  <c r="N368" i="2"/>
  <c r="O368" i="2" s="1"/>
  <c r="K368" i="2"/>
  <c r="L368" i="2" s="1"/>
  <c r="E368" i="2"/>
  <c r="F368" i="2" s="1"/>
  <c r="B368" i="2"/>
  <c r="AC367" i="2"/>
  <c r="AD367" i="2" s="1"/>
  <c r="AA367" i="2"/>
  <c r="X367" i="2"/>
  <c r="W367" i="2"/>
  <c r="U367" i="2"/>
  <c r="R367" i="2"/>
  <c r="O367" i="2"/>
  <c r="N367" i="2"/>
  <c r="L367" i="2"/>
  <c r="H367" i="2"/>
  <c r="I367" i="2" s="1"/>
  <c r="F367" i="2"/>
  <c r="C367" i="2"/>
  <c r="AC366" i="2"/>
  <c r="AD366" i="2" s="1"/>
  <c r="AA366" i="2"/>
  <c r="X366" i="2"/>
  <c r="W366" i="2"/>
  <c r="U366" i="2"/>
  <c r="R366" i="2"/>
  <c r="O366" i="2"/>
  <c r="N366" i="2"/>
  <c r="L366" i="2"/>
  <c r="H366" i="2"/>
  <c r="I366" i="2" s="1"/>
  <c r="F366" i="2"/>
  <c r="C366" i="2"/>
  <c r="AC365" i="2"/>
  <c r="AD365" i="2" s="1"/>
  <c r="AA365" i="2"/>
  <c r="X365" i="2"/>
  <c r="W365" i="2"/>
  <c r="U365" i="2"/>
  <c r="R365" i="2"/>
  <c r="O365" i="2"/>
  <c r="N365" i="2"/>
  <c r="L365" i="2"/>
  <c r="H365" i="2"/>
  <c r="I365" i="2" s="1"/>
  <c r="F365" i="2"/>
  <c r="C365" i="2"/>
  <c r="AC364" i="2"/>
  <c r="AD364" i="2" s="1"/>
  <c r="AA364" i="2"/>
  <c r="X364" i="2"/>
  <c r="W364" i="2"/>
  <c r="U364" i="2"/>
  <c r="R364" i="2"/>
  <c r="O364" i="2"/>
  <c r="N364" i="2"/>
  <c r="L364" i="2"/>
  <c r="H364" i="2"/>
  <c r="I364" i="2" s="1"/>
  <c r="F364" i="2"/>
  <c r="C364" i="2"/>
  <c r="AC363" i="2"/>
  <c r="AD363" i="2" s="1"/>
  <c r="AA363" i="2"/>
  <c r="W363" i="2"/>
  <c r="X363" i="2" s="1"/>
  <c r="U363" i="2"/>
  <c r="R363" i="2"/>
  <c r="O363" i="2"/>
  <c r="N363" i="2"/>
  <c r="L363" i="2"/>
  <c r="H363" i="2"/>
  <c r="I363" i="2" s="1"/>
  <c r="F363" i="2"/>
  <c r="C363" i="2"/>
  <c r="AC362" i="2"/>
  <c r="AD362" i="2" s="1"/>
  <c r="AA362" i="2"/>
  <c r="X362" i="2"/>
  <c r="W362" i="2"/>
  <c r="U362" i="2"/>
  <c r="R362" i="2"/>
  <c r="O362" i="2"/>
  <c r="N362" i="2"/>
  <c r="L362" i="2"/>
  <c r="H362" i="2"/>
  <c r="I362" i="2" s="1"/>
  <c r="F362" i="2"/>
  <c r="C362" i="2"/>
  <c r="AD361" i="2"/>
  <c r="AC361" i="2"/>
  <c r="AA361" i="2"/>
  <c r="X361" i="2"/>
  <c r="W361" i="2"/>
  <c r="U361" i="2"/>
  <c r="R361" i="2"/>
  <c r="N361" i="2"/>
  <c r="O361" i="2" s="1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O360" i="2"/>
  <c r="N360" i="2"/>
  <c r="L360" i="2"/>
  <c r="H360" i="2"/>
  <c r="I360" i="2" s="1"/>
  <c r="F360" i="2"/>
  <c r="C360" i="2"/>
  <c r="Z358" i="2"/>
  <c r="AA358" i="2" s="1"/>
  <c r="T358" i="2"/>
  <c r="U358" i="2" s="1"/>
  <c r="Q358" i="2"/>
  <c r="R358" i="2" s="1"/>
  <c r="N358" i="2"/>
  <c r="O358" i="2" s="1"/>
  <c r="L358" i="2"/>
  <c r="K358" i="2"/>
  <c r="E358" i="2"/>
  <c r="F358" i="2" s="1"/>
  <c r="B358" i="2"/>
  <c r="AD357" i="2"/>
  <c r="AC357" i="2"/>
  <c r="AA357" i="2"/>
  <c r="X357" i="2"/>
  <c r="W357" i="2"/>
  <c r="U357" i="2"/>
  <c r="R357" i="2"/>
  <c r="O357" i="2"/>
  <c r="N357" i="2"/>
  <c r="L357" i="2"/>
  <c r="H357" i="2"/>
  <c r="I357" i="2" s="1"/>
  <c r="F357" i="2"/>
  <c r="C357" i="2"/>
  <c r="AC356" i="2"/>
  <c r="AD356" i="2" s="1"/>
  <c r="AA356" i="2"/>
  <c r="X356" i="2"/>
  <c r="W356" i="2"/>
  <c r="U356" i="2"/>
  <c r="R356" i="2"/>
  <c r="O356" i="2"/>
  <c r="N356" i="2"/>
  <c r="L356" i="2"/>
  <c r="H356" i="2"/>
  <c r="I356" i="2" s="1"/>
  <c r="F356" i="2"/>
  <c r="C356" i="2"/>
  <c r="AC355" i="2"/>
  <c r="AD355" i="2" s="1"/>
  <c r="AA355" i="2"/>
  <c r="W355" i="2"/>
  <c r="X355" i="2" s="1"/>
  <c r="U355" i="2"/>
  <c r="R355" i="2"/>
  <c r="O355" i="2"/>
  <c r="N355" i="2"/>
  <c r="L355" i="2"/>
  <c r="H355" i="2"/>
  <c r="I355" i="2" s="1"/>
  <c r="F355" i="2"/>
  <c r="C355" i="2"/>
  <c r="AC354" i="2"/>
  <c r="AD354" i="2" s="1"/>
  <c r="AA354" i="2"/>
  <c r="X354" i="2"/>
  <c r="W354" i="2"/>
  <c r="U354" i="2"/>
  <c r="R354" i="2"/>
  <c r="O354" i="2"/>
  <c r="N354" i="2"/>
  <c r="L354" i="2"/>
  <c r="H354" i="2"/>
  <c r="I354" i="2" s="1"/>
  <c r="F354" i="2"/>
  <c r="C354" i="2"/>
  <c r="AC353" i="2"/>
  <c r="AD353" i="2" s="1"/>
  <c r="AA353" i="2"/>
  <c r="X353" i="2"/>
  <c r="W353" i="2"/>
  <c r="U353" i="2"/>
  <c r="R353" i="2"/>
  <c r="N353" i="2"/>
  <c r="O353" i="2" s="1"/>
  <c r="L353" i="2"/>
  <c r="H353" i="2"/>
  <c r="I353" i="2" s="1"/>
  <c r="F353" i="2"/>
  <c r="C353" i="2"/>
  <c r="AC352" i="2"/>
  <c r="AD352" i="2" s="1"/>
  <c r="AA352" i="2"/>
  <c r="X352" i="2"/>
  <c r="W352" i="2"/>
  <c r="U352" i="2"/>
  <c r="R352" i="2"/>
  <c r="O352" i="2"/>
  <c r="N352" i="2"/>
  <c r="L352" i="2"/>
  <c r="I352" i="2"/>
  <c r="H352" i="2"/>
  <c r="F352" i="2"/>
  <c r="C352" i="2"/>
  <c r="AC351" i="2"/>
  <c r="AD351" i="2" s="1"/>
  <c r="AA351" i="2"/>
  <c r="W351" i="2"/>
  <c r="X351" i="2" s="1"/>
  <c r="U351" i="2"/>
  <c r="R351" i="2"/>
  <c r="O351" i="2"/>
  <c r="N351" i="2"/>
  <c r="L351" i="2"/>
  <c r="H351" i="2"/>
  <c r="I351" i="2" s="1"/>
  <c r="F351" i="2"/>
  <c r="C351" i="2"/>
  <c r="AC350" i="2"/>
  <c r="AD350" i="2" s="1"/>
  <c r="AA350" i="2"/>
  <c r="X350" i="2"/>
  <c r="W350" i="2"/>
  <c r="U350" i="2"/>
  <c r="R350" i="2"/>
  <c r="O350" i="2"/>
  <c r="N350" i="2"/>
  <c r="L350" i="2"/>
  <c r="H350" i="2"/>
  <c r="I350" i="2" s="1"/>
  <c r="F350" i="2"/>
  <c r="C350" i="2"/>
  <c r="AC349" i="2"/>
  <c r="AD349" i="2" s="1"/>
  <c r="AA349" i="2"/>
  <c r="X349" i="2"/>
  <c r="W349" i="2"/>
  <c r="U349" i="2"/>
  <c r="R349" i="2"/>
  <c r="O349" i="2"/>
  <c r="N349" i="2"/>
  <c r="L349" i="2"/>
  <c r="H349" i="2"/>
  <c r="I349" i="2" s="1"/>
  <c r="F349" i="2"/>
  <c r="C349" i="2"/>
  <c r="AC347" i="2"/>
  <c r="AD347" i="2" s="1"/>
  <c r="AA347" i="2"/>
  <c r="X347" i="2"/>
  <c r="W347" i="2"/>
  <c r="U347" i="2"/>
  <c r="R347" i="2"/>
  <c r="O347" i="2"/>
  <c r="N347" i="2"/>
  <c r="L347" i="2"/>
  <c r="H347" i="2"/>
  <c r="I347" i="2" s="1"/>
  <c r="F347" i="2"/>
  <c r="C347" i="2"/>
  <c r="AC344" i="2"/>
  <c r="AD344" i="2" s="1"/>
  <c r="Z344" i="2"/>
  <c r="AA344" i="2" s="1"/>
  <c r="T344" i="2"/>
  <c r="U344" i="2" s="1"/>
  <c r="R344" i="2"/>
  <c r="Q344" i="2"/>
  <c r="K344" i="2"/>
  <c r="L344" i="2" s="1"/>
  <c r="H344" i="2"/>
  <c r="I344" i="2" s="1"/>
  <c r="F344" i="2"/>
  <c r="E344" i="2"/>
  <c r="B344" i="2"/>
  <c r="Z343" i="2"/>
  <c r="AA343" i="2" s="1"/>
  <c r="T343" i="2"/>
  <c r="U343" i="2" s="1"/>
  <c r="Q343" i="2"/>
  <c r="R343" i="2" s="1"/>
  <c r="K343" i="2"/>
  <c r="L343" i="2" s="1"/>
  <c r="H343" i="2"/>
  <c r="I343" i="2" s="1"/>
  <c r="E343" i="2"/>
  <c r="F343" i="2" s="1"/>
  <c r="B343" i="2"/>
  <c r="C343" i="2" s="1"/>
  <c r="Z342" i="2"/>
  <c r="AA342" i="2" s="1"/>
  <c r="T342" i="2"/>
  <c r="U342" i="2" s="1"/>
  <c r="Q342" i="2"/>
  <c r="W342" i="2" s="1"/>
  <c r="X342" i="2" s="1"/>
  <c r="N342" i="2"/>
  <c r="O342" i="2" s="1"/>
  <c r="K342" i="2"/>
  <c r="L342" i="2" s="1"/>
  <c r="F342" i="2"/>
  <c r="E342" i="2"/>
  <c r="H342" i="2" s="1"/>
  <c r="I342" i="2" s="1"/>
  <c r="B342" i="2"/>
  <c r="C342" i="2" s="1"/>
  <c r="AC341" i="2"/>
  <c r="AD341" i="2" s="1"/>
  <c r="AA341" i="2"/>
  <c r="W341" i="2"/>
  <c r="X341" i="2" s="1"/>
  <c r="U341" i="2"/>
  <c r="R341" i="2"/>
  <c r="O341" i="2"/>
  <c r="N341" i="2"/>
  <c r="L341" i="2"/>
  <c r="H341" i="2"/>
  <c r="I341" i="2" s="1"/>
  <c r="F341" i="2"/>
  <c r="C341" i="2"/>
  <c r="AC340" i="2"/>
  <c r="AD340" i="2" s="1"/>
  <c r="AA340" i="2"/>
  <c r="X340" i="2"/>
  <c r="W340" i="2"/>
  <c r="U340" i="2"/>
  <c r="R340" i="2"/>
  <c r="O340" i="2"/>
  <c r="N340" i="2"/>
  <c r="L340" i="2"/>
  <c r="H340" i="2"/>
  <c r="I340" i="2" s="1"/>
  <c r="F340" i="2"/>
  <c r="C340" i="2"/>
  <c r="AC339" i="2"/>
  <c r="AD339" i="2" s="1"/>
  <c r="AA339" i="2"/>
  <c r="X339" i="2"/>
  <c r="W339" i="2"/>
  <c r="U339" i="2"/>
  <c r="R339" i="2"/>
  <c r="N339" i="2"/>
  <c r="O339" i="2" s="1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O338" i="2"/>
  <c r="N338" i="2"/>
  <c r="L338" i="2"/>
  <c r="I338" i="2"/>
  <c r="H338" i="2"/>
  <c r="F338" i="2"/>
  <c r="C338" i="2"/>
  <c r="AC337" i="2"/>
  <c r="AD337" i="2" s="1"/>
  <c r="AA337" i="2"/>
  <c r="W337" i="2"/>
  <c r="X337" i="2" s="1"/>
  <c r="U337" i="2"/>
  <c r="R337" i="2"/>
  <c r="O337" i="2"/>
  <c r="N337" i="2"/>
  <c r="L337" i="2"/>
  <c r="H337" i="2"/>
  <c r="I337" i="2" s="1"/>
  <c r="F337" i="2"/>
  <c r="C337" i="2"/>
  <c r="AC335" i="2"/>
  <c r="AD335" i="2" s="1"/>
  <c r="AA335" i="2"/>
  <c r="X335" i="2"/>
  <c r="W335" i="2"/>
  <c r="U335" i="2"/>
  <c r="R335" i="2"/>
  <c r="O335" i="2"/>
  <c r="N335" i="2"/>
  <c r="L335" i="2"/>
  <c r="H335" i="2"/>
  <c r="I335" i="2" s="1"/>
  <c r="F335" i="2"/>
  <c r="C335" i="2"/>
  <c r="AC334" i="2"/>
  <c r="AD334" i="2" s="1"/>
  <c r="AA334" i="2"/>
  <c r="X334" i="2"/>
  <c r="W334" i="2"/>
  <c r="U334" i="2"/>
  <c r="R334" i="2"/>
  <c r="O334" i="2"/>
  <c r="N334" i="2"/>
  <c r="L334" i="2"/>
  <c r="H334" i="2"/>
  <c r="I334" i="2" s="1"/>
  <c r="F334" i="2"/>
  <c r="C334" i="2"/>
  <c r="AC333" i="2"/>
  <c r="AD333" i="2" s="1"/>
  <c r="AA333" i="2"/>
  <c r="X333" i="2"/>
  <c r="W333" i="2"/>
  <c r="U333" i="2"/>
  <c r="R333" i="2"/>
  <c r="O333" i="2"/>
  <c r="N333" i="2"/>
  <c r="L333" i="2"/>
  <c r="I333" i="2"/>
  <c r="H333" i="2"/>
  <c r="F333" i="2"/>
  <c r="C333" i="2"/>
  <c r="AC332" i="2"/>
  <c r="AD332" i="2" s="1"/>
  <c r="AA332" i="2"/>
  <c r="X332" i="2"/>
  <c r="W332" i="2"/>
  <c r="U332" i="2"/>
  <c r="R332" i="2"/>
  <c r="O332" i="2"/>
  <c r="N332" i="2"/>
  <c r="L332" i="2"/>
  <c r="H332" i="2"/>
  <c r="I332" i="2" s="1"/>
  <c r="F332" i="2"/>
  <c r="C332" i="2"/>
  <c r="AC331" i="2"/>
  <c r="AD331" i="2" s="1"/>
  <c r="AA331" i="2"/>
  <c r="X331" i="2"/>
  <c r="W331" i="2"/>
  <c r="U331" i="2"/>
  <c r="R331" i="2"/>
  <c r="O331" i="2"/>
  <c r="N331" i="2"/>
  <c r="L331" i="2"/>
  <c r="H331" i="2"/>
  <c r="I331" i="2" s="1"/>
  <c r="F331" i="2"/>
  <c r="C331" i="2"/>
  <c r="AC330" i="2"/>
  <c r="AD330" i="2" s="1"/>
  <c r="AA330" i="2"/>
  <c r="X330" i="2"/>
  <c r="W330" i="2"/>
  <c r="U330" i="2"/>
  <c r="R330" i="2"/>
  <c r="N330" i="2"/>
  <c r="O330" i="2" s="1"/>
  <c r="L330" i="2"/>
  <c r="H330" i="2"/>
  <c r="I330" i="2" s="1"/>
  <c r="F330" i="2"/>
  <c r="C330" i="2"/>
  <c r="AC329" i="2"/>
  <c r="AD329" i="2" s="1"/>
  <c r="AA329" i="2"/>
  <c r="X329" i="2"/>
  <c r="W329" i="2"/>
  <c r="U329" i="2"/>
  <c r="R329" i="2"/>
  <c r="O329" i="2"/>
  <c r="N329" i="2"/>
  <c r="L329" i="2"/>
  <c r="H329" i="2"/>
  <c r="I329" i="2" s="1"/>
  <c r="F329" i="2"/>
  <c r="C329" i="2"/>
  <c r="AC328" i="2"/>
  <c r="AD328" i="2" s="1"/>
  <c r="AA328" i="2"/>
  <c r="W328" i="2"/>
  <c r="X328" i="2" s="1"/>
  <c r="U328" i="2"/>
  <c r="R328" i="2"/>
  <c r="O328" i="2"/>
  <c r="N328" i="2"/>
  <c r="L328" i="2"/>
  <c r="H328" i="2"/>
  <c r="I328" i="2" s="1"/>
  <c r="F328" i="2"/>
  <c r="C328" i="2"/>
  <c r="AC325" i="2"/>
  <c r="AD325" i="2" s="1"/>
  <c r="Z325" i="2"/>
  <c r="AA325" i="2" s="1"/>
  <c r="U325" i="2"/>
  <c r="T325" i="2"/>
  <c r="W325" i="2" s="1"/>
  <c r="X325" i="2" s="1"/>
  <c r="Q325" i="2"/>
  <c r="R325" i="2" s="1"/>
  <c r="K325" i="2"/>
  <c r="L325" i="2" s="1"/>
  <c r="E325" i="2"/>
  <c r="F325" i="2" s="1"/>
  <c r="B325" i="2"/>
  <c r="C325" i="2" s="1"/>
  <c r="AC324" i="2"/>
  <c r="AD324" i="2" s="1"/>
  <c r="AA324" i="2"/>
  <c r="Z324" i="2"/>
  <c r="W324" i="2"/>
  <c r="X324" i="2" s="1"/>
  <c r="T324" i="2"/>
  <c r="U324" i="2" s="1"/>
  <c r="Q324" i="2"/>
  <c r="R324" i="2" s="1"/>
  <c r="K324" i="2"/>
  <c r="L324" i="2" s="1"/>
  <c r="E324" i="2"/>
  <c r="F324" i="2" s="1"/>
  <c r="B324" i="2"/>
  <c r="AC323" i="2"/>
  <c r="AD323" i="2" s="1"/>
  <c r="AA323" i="2"/>
  <c r="X323" i="2"/>
  <c r="W323" i="2"/>
  <c r="U323" i="2"/>
  <c r="R323" i="2"/>
  <c r="O323" i="2"/>
  <c r="N323" i="2"/>
  <c r="L323" i="2"/>
  <c r="H323" i="2"/>
  <c r="I323" i="2" s="1"/>
  <c r="F323" i="2"/>
  <c r="C323" i="2"/>
  <c r="AC322" i="2"/>
  <c r="AD322" i="2" s="1"/>
  <c r="AA322" i="2"/>
  <c r="X322" i="2"/>
  <c r="W322" i="2"/>
  <c r="U322" i="2"/>
  <c r="R322" i="2"/>
  <c r="N322" i="2"/>
  <c r="O322" i="2" s="1"/>
  <c r="L322" i="2"/>
  <c r="H322" i="2"/>
  <c r="I322" i="2" s="1"/>
  <c r="F322" i="2"/>
  <c r="C322" i="2"/>
  <c r="AC321" i="2"/>
  <c r="AD321" i="2" s="1"/>
  <c r="AA321" i="2"/>
  <c r="X321" i="2"/>
  <c r="W321" i="2"/>
  <c r="U321" i="2"/>
  <c r="R321" i="2"/>
  <c r="O321" i="2"/>
  <c r="N321" i="2"/>
  <c r="L321" i="2"/>
  <c r="H321" i="2"/>
  <c r="I321" i="2" s="1"/>
  <c r="F321" i="2"/>
  <c r="C321" i="2"/>
  <c r="AC320" i="2"/>
  <c r="AD320" i="2" s="1"/>
  <c r="AA320" i="2"/>
  <c r="X320" i="2"/>
  <c r="W320" i="2"/>
  <c r="U320" i="2"/>
  <c r="R320" i="2"/>
  <c r="O320" i="2"/>
  <c r="N320" i="2"/>
  <c r="L320" i="2"/>
  <c r="H320" i="2"/>
  <c r="I320" i="2" s="1"/>
  <c r="F320" i="2"/>
  <c r="C320" i="2"/>
  <c r="AC319" i="2"/>
  <c r="AD319" i="2" s="1"/>
  <c r="AA319" i="2"/>
  <c r="X319" i="2"/>
  <c r="W319" i="2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X318" i="2"/>
  <c r="W318" i="2"/>
  <c r="U318" i="2"/>
  <c r="R318" i="2"/>
  <c r="O318" i="2"/>
  <c r="N318" i="2"/>
  <c r="L318" i="2"/>
  <c r="H318" i="2"/>
  <c r="I318" i="2" s="1"/>
  <c r="F318" i="2"/>
  <c r="C318" i="2"/>
  <c r="AC317" i="2"/>
  <c r="AD317" i="2" s="1"/>
  <c r="AA317" i="2"/>
  <c r="X317" i="2"/>
  <c r="W317" i="2"/>
  <c r="U317" i="2"/>
  <c r="R317" i="2"/>
  <c r="O317" i="2"/>
  <c r="N317" i="2"/>
  <c r="L317" i="2"/>
  <c r="H317" i="2"/>
  <c r="I317" i="2" s="1"/>
  <c r="F317" i="2"/>
  <c r="C317" i="2"/>
  <c r="AC316" i="2"/>
  <c r="AD316" i="2" s="1"/>
  <c r="AA316" i="2"/>
  <c r="W316" i="2"/>
  <c r="X316" i="2" s="1"/>
  <c r="U316" i="2"/>
  <c r="R316" i="2"/>
  <c r="O316" i="2"/>
  <c r="N316" i="2"/>
  <c r="L316" i="2"/>
  <c r="H316" i="2"/>
  <c r="I316" i="2" s="1"/>
  <c r="F316" i="2"/>
  <c r="C316" i="2"/>
  <c r="AC315" i="2"/>
  <c r="AD315" i="2" s="1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D314" i="2"/>
  <c r="AC314" i="2"/>
  <c r="AA314" i="2"/>
  <c r="X314" i="2"/>
  <c r="W314" i="2"/>
  <c r="U314" i="2"/>
  <c r="R314" i="2"/>
  <c r="O314" i="2"/>
  <c r="N314" i="2"/>
  <c r="L314" i="2"/>
  <c r="H314" i="2"/>
  <c r="I314" i="2" s="1"/>
  <c r="F314" i="2"/>
  <c r="C314" i="2"/>
  <c r="AC313" i="2"/>
  <c r="AD313" i="2" s="1"/>
  <c r="AA313" i="2"/>
  <c r="X313" i="2"/>
  <c r="W313" i="2"/>
  <c r="U313" i="2"/>
  <c r="R313" i="2"/>
  <c r="O313" i="2"/>
  <c r="N313" i="2"/>
  <c r="L313" i="2"/>
  <c r="H313" i="2"/>
  <c r="I313" i="2" s="1"/>
  <c r="F313" i="2"/>
  <c r="C313" i="2"/>
  <c r="AC312" i="2"/>
  <c r="AD312" i="2" s="1"/>
  <c r="AA312" i="2"/>
  <c r="X312" i="2"/>
  <c r="W312" i="2"/>
  <c r="U312" i="2"/>
  <c r="R312" i="2"/>
  <c r="O312" i="2"/>
  <c r="N312" i="2"/>
  <c r="L312" i="2"/>
  <c r="H312" i="2"/>
  <c r="I312" i="2" s="1"/>
  <c r="F312" i="2"/>
  <c r="C312" i="2"/>
  <c r="AC311" i="2"/>
  <c r="AD311" i="2" s="1"/>
  <c r="AA311" i="2"/>
  <c r="X311" i="2"/>
  <c r="W311" i="2"/>
  <c r="U311" i="2"/>
  <c r="R311" i="2"/>
  <c r="O311" i="2"/>
  <c r="N311" i="2"/>
  <c r="L311" i="2"/>
  <c r="H311" i="2"/>
  <c r="I311" i="2" s="1"/>
  <c r="F311" i="2"/>
  <c r="C311" i="2"/>
  <c r="AC310" i="2"/>
  <c r="AD310" i="2" s="1"/>
  <c r="AA310" i="2"/>
  <c r="X310" i="2"/>
  <c r="W310" i="2"/>
  <c r="U310" i="2"/>
  <c r="R310" i="2"/>
  <c r="N310" i="2"/>
  <c r="O310" i="2" s="1"/>
  <c r="L310" i="2"/>
  <c r="H310" i="2"/>
  <c r="I310" i="2" s="1"/>
  <c r="F310" i="2"/>
  <c r="C310" i="2"/>
  <c r="AC309" i="2"/>
  <c r="AD309" i="2" s="1"/>
  <c r="AA309" i="2"/>
  <c r="X309" i="2"/>
  <c r="W309" i="2"/>
  <c r="U309" i="2"/>
  <c r="R309" i="2"/>
  <c r="O309" i="2"/>
  <c r="N309" i="2"/>
  <c r="L309" i="2"/>
  <c r="I309" i="2"/>
  <c r="H309" i="2"/>
  <c r="F309" i="2"/>
  <c r="C309" i="2"/>
  <c r="AC308" i="2"/>
  <c r="AD308" i="2" s="1"/>
  <c r="AA308" i="2"/>
  <c r="W308" i="2"/>
  <c r="X308" i="2" s="1"/>
  <c r="U308" i="2"/>
  <c r="R308" i="2"/>
  <c r="O308" i="2"/>
  <c r="N308" i="2"/>
  <c r="L308" i="2"/>
  <c r="H308" i="2"/>
  <c r="I308" i="2" s="1"/>
  <c r="F308" i="2"/>
  <c r="C308" i="2"/>
  <c r="AC307" i="2"/>
  <c r="AD307" i="2" s="1"/>
  <c r="AA307" i="2"/>
  <c r="X307" i="2"/>
  <c r="W307" i="2"/>
  <c r="U307" i="2"/>
  <c r="R307" i="2"/>
  <c r="O307" i="2"/>
  <c r="N307" i="2"/>
  <c r="L307" i="2"/>
  <c r="H307" i="2"/>
  <c r="I307" i="2" s="1"/>
  <c r="F307" i="2"/>
  <c r="C307" i="2"/>
  <c r="AC306" i="2"/>
  <c r="AD306" i="2" s="1"/>
  <c r="AA306" i="2"/>
  <c r="X306" i="2"/>
  <c r="W306" i="2"/>
  <c r="U306" i="2"/>
  <c r="R306" i="2"/>
  <c r="N306" i="2"/>
  <c r="O306" i="2" s="1"/>
  <c r="L306" i="2"/>
  <c r="H306" i="2"/>
  <c r="I306" i="2" s="1"/>
  <c r="F306" i="2"/>
  <c r="C306" i="2"/>
  <c r="AC305" i="2"/>
  <c r="AD305" i="2" s="1"/>
  <c r="AA305" i="2"/>
  <c r="X305" i="2"/>
  <c r="W305" i="2"/>
  <c r="U305" i="2"/>
  <c r="R305" i="2"/>
  <c r="O305" i="2"/>
  <c r="N305" i="2"/>
  <c r="L305" i="2"/>
  <c r="H305" i="2"/>
  <c r="I305" i="2" s="1"/>
  <c r="F305" i="2"/>
  <c r="C305" i="2"/>
  <c r="AC304" i="2"/>
  <c r="AD304" i="2" s="1"/>
  <c r="AA304" i="2"/>
  <c r="X304" i="2"/>
  <c r="W304" i="2"/>
  <c r="U304" i="2"/>
  <c r="R304" i="2"/>
  <c r="O304" i="2"/>
  <c r="N304" i="2"/>
  <c r="L304" i="2"/>
  <c r="H304" i="2"/>
  <c r="I304" i="2" s="1"/>
  <c r="F304" i="2"/>
  <c r="C304" i="2"/>
  <c r="AC303" i="2"/>
  <c r="AD303" i="2" s="1"/>
  <c r="AA303" i="2"/>
  <c r="X303" i="2"/>
  <c r="W303" i="2"/>
  <c r="U303" i="2"/>
  <c r="R303" i="2"/>
  <c r="O303" i="2"/>
  <c r="N303" i="2"/>
  <c r="L303" i="2"/>
  <c r="H303" i="2"/>
  <c r="I303" i="2" s="1"/>
  <c r="F303" i="2"/>
  <c r="C303" i="2"/>
  <c r="AC302" i="2"/>
  <c r="AD302" i="2" s="1"/>
  <c r="AA302" i="2"/>
  <c r="X302" i="2"/>
  <c r="W302" i="2"/>
  <c r="U302" i="2"/>
  <c r="R302" i="2"/>
  <c r="O302" i="2"/>
  <c r="N302" i="2"/>
  <c r="L302" i="2"/>
  <c r="H302" i="2"/>
  <c r="I302" i="2" s="1"/>
  <c r="F302" i="2"/>
  <c r="C302" i="2"/>
  <c r="AC301" i="2"/>
  <c r="AD301" i="2" s="1"/>
  <c r="AA301" i="2"/>
  <c r="X301" i="2"/>
  <c r="W301" i="2"/>
  <c r="U301" i="2"/>
  <c r="R301" i="2"/>
  <c r="O301" i="2"/>
  <c r="N301" i="2"/>
  <c r="L301" i="2"/>
  <c r="H301" i="2"/>
  <c r="I301" i="2" s="1"/>
  <c r="F301" i="2"/>
  <c r="C301" i="2"/>
  <c r="AC300" i="2"/>
  <c r="AD300" i="2" s="1"/>
  <c r="AA300" i="2"/>
  <c r="W300" i="2"/>
  <c r="X300" i="2" s="1"/>
  <c r="U300" i="2"/>
  <c r="R300" i="2"/>
  <c r="O300" i="2"/>
  <c r="N300" i="2"/>
  <c r="L300" i="2"/>
  <c r="H300" i="2"/>
  <c r="I300" i="2" s="1"/>
  <c r="F300" i="2"/>
  <c r="C300" i="2"/>
  <c r="AC299" i="2"/>
  <c r="AD299" i="2" s="1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D298" i="2"/>
  <c r="AC298" i="2"/>
  <c r="AA298" i="2"/>
  <c r="X298" i="2"/>
  <c r="W298" i="2"/>
  <c r="U298" i="2"/>
  <c r="R298" i="2"/>
  <c r="N298" i="2"/>
  <c r="O298" i="2" s="1"/>
  <c r="L298" i="2"/>
  <c r="H298" i="2"/>
  <c r="I298" i="2" s="1"/>
  <c r="F298" i="2"/>
  <c r="C298" i="2"/>
  <c r="AC297" i="2"/>
  <c r="AD297" i="2" s="1"/>
  <c r="AA297" i="2"/>
  <c r="X297" i="2"/>
  <c r="W297" i="2"/>
  <c r="U297" i="2"/>
  <c r="R297" i="2"/>
  <c r="O297" i="2"/>
  <c r="N297" i="2"/>
  <c r="L297" i="2"/>
  <c r="H297" i="2"/>
  <c r="I297" i="2" s="1"/>
  <c r="F297" i="2"/>
  <c r="C297" i="2"/>
  <c r="Z295" i="2"/>
  <c r="AA295" i="2" s="1"/>
  <c r="T295" i="2"/>
  <c r="U295" i="2" s="1"/>
  <c r="Q295" i="2"/>
  <c r="R295" i="2" s="1"/>
  <c r="L295" i="2"/>
  <c r="K295" i="2"/>
  <c r="E295" i="2"/>
  <c r="F295" i="2" s="1"/>
  <c r="B295" i="2"/>
  <c r="AD294" i="2"/>
  <c r="AC294" i="2"/>
  <c r="AA294" i="2"/>
  <c r="X294" i="2"/>
  <c r="W294" i="2"/>
  <c r="U294" i="2"/>
  <c r="R294" i="2"/>
  <c r="O294" i="2"/>
  <c r="N294" i="2"/>
  <c r="L294" i="2"/>
  <c r="H294" i="2"/>
  <c r="I294" i="2" s="1"/>
  <c r="F294" i="2"/>
  <c r="C294" i="2"/>
  <c r="AC293" i="2"/>
  <c r="AD293" i="2" s="1"/>
  <c r="AA293" i="2"/>
  <c r="X293" i="2"/>
  <c r="W293" i="2"/>
  <c r="U293" i="2"/>
  <c r="R293" i="2"/>
  <c r="O293" i="2"/>
  <c r="N293" i="2"/>
  <c r="L293" i="2"/>
  <c r="H293" i="2"/>
  <c r="I293" i="2" s="1"/>
  <c r="F293" i="2"/>
  <c r="C293" i="2"/>
  <c r="AC292" i="2"/>
  <c r="AD292" i="2" s="1"/>
  <c r="AA292" i="2"/>
  <c r="W292" i="2"/>
  <c r="X292" i="2" s="1"/>
  <c r="U292" i="2"/>
  <c r="R292" i="2"/>
  <c r="O292" i="2"/>
  <c r="N292" i="2"/>
  <c r="L292" i="2"/>
  <c r="H292" i="2"/>
  <c r="I292" i="2" s="1"/>
  <c r="F292" i="2"/>
  <c r="C292" i="2"/>
  <c r="AC291" i="2"/>
  <c r="AD291" i="2" s="1"/>
  <c r="AA291" i="2"/>
  <c r="X291" i="2"/>
  <c r="W291" i="2"/>
  <c r="U291" i="2"/>
  <c r="R291" i="2"/>
  <c r="O291" i="2"/>
  <c r="N291" i="2"/>
  <c r="L291" i="2"/>
  <c r="H291" i="2"/>
  <c r="I291" i="2" s="1"/>
  <c r="F291" i="2"/>
  <c r="C291" i="2"/>
  <c r="AC290" i="2"/>
  <c r="AD290" i="2" s="1"/>
  <c r="AA290" i="2"/>
  <c r="X290" i="2"/>
  <c r="W290" i="2"/>
  <c r="U290" i="2"/>
  <c r="R290" i="2"/>
  <c r="N290" i="2"/>
  <c r="O290" i="2" s="1"/>
  <c r="L290" i="2"/>
  <c r="H290" i="2"/>
  <c r="I290" i="2" s="1"/>
  <c r="F290" i="2"/>
  <c r="C290" i="2"/>
  <c r="AC289" i="2"/>
  <c r="AD289" i="2" s="1"/>
  <c r="AA289" i="2"/>
  <c r="X289" i="2"/>
  <c r="W289" i="2"/>
  <c r="U289" i="2"/>
  <c r="R289" i="2"/>
  <c r="O289" i="2"/>
  <c r="N289" i="2"/>
  <c r="L289" i="2"/>
  <c r="I289" i="2"/>
  <c r="H289" i="2"/>
  <c r="F289" i="2"/>
  <c r="C289" i="2"/>
  <c r="AC288" i="2"/>
  <c r="AD288" i="2" s="1"/>
  <c r="AA288" i="2"/>
  <c r="W288" i="2"/>
  <c r="X288" i="2" s="1"/>
  <c r="U288" i="2"/>
  <c r="R288" i="2"/>
  <c r="O288" i="2"/>
  <c r="N288" i="2"/>
  <c r="L288" i="2"/>
  <c r="H288" i="2"/>
  <c r="I288" i="2" s="1"/>
  <c r="F288" i="2"/>
  <c r="C288" i="2"/>
  <c r="AC287" i="2"/>
  <c r="AD287" i="2" s="1"/>
  <c r="AA287" i="2"/>
  <c r="X287" i="2"/>
  <c r="W287" i="2"/>
  <c r="U287" i="2"/>
  <c r="R287" i="2"/>
  <c r="O287" i="2"/>
  <c r="N287" i="2"/>
  <c r="L287" i="2"/>
  <c r="H287" i="2"/>
  <c r="I287" i="2" s="1"/>
  <c r="F287" i="2"/>
  <c r="C287" i="2"/>
  <c r="AC286" i="2"/>
  <c r="AD286" i="2" s="1"/>
  <c r="AA286" i="2"/>
  <c r="X286" i="2"/>
  <c r="W286" i="2"/>
  <c r="U286" i="2"/>
  <c r="R286" i="2"/>
  <c r="O286" i="2"/>
  <c r="N286" i="2"/>
  <c r="L286" i="2"/>
  <c r="H286" i="2"/>
  <c r="I286" i="2" s="1"/>
  <c r="F286" i="2"/>
  <c r="C286" i="2"/>
  <c r="Z284" i="2"/>
  <c r="AA284" i="2" s="1"/>
  <c r="T284" i="2"/>
  <c r="U284" i="2" s="1"/>
  <c r="Q284" i="2"/>
  <c r="R284" i="2" s="1"/>
  <c r="N284" i="2"/>
  <c r="O284" i="2" s="1"/>
  <c r="K284" i="2"/>
  <c r="L284" i="2" s="1"/>
  <c r="E284" i="2"/>
  <c r="F284" i="2" s="1"/>
  <c r="C284" i="2"/>
  <c r="B284" i="2"/>
  <c r="AC283" i="2"/>
  <c r="AD283" i="2" s="1"/>
  <c r="AA283" i="2"/>
  <c r="X283" i="2"/>
  <c r="W283" i="2"/>
  <c r="U283" i="2"/>
  <c r="R283" i="2"/>
  <c r="O283" i="2"/>
  <c r="N283" i="2"/>
  <c r="L283" i="2"/>
  <c r="H283" i="2"/>
  <c r="I283" i="2" s="1"/>
  <c r="F283" i="2"/>
  <c r="C283" i="2"/>
  <c r="AC282" i="2"/>
  <c r="AD282" i="2" s="1"/>
  <c r="AA282" i="2"/>
  <c r="X282" i="2"/>
  <c r="W282" i="2"/>
  <c r="U282" i="2"/>
  <c r="R282" i="2"/>
  <c r="O282" i="2"/>
  <c r="N282" i="2"/>
  <c r="L282" i="2"/>
  <c r="H282" i="2"/>
  <c r="I282" i="2" s="1"/>
  <c r="F282" i="2"/>
  <c r="C282" i="2"/>
  <c r="AC281" i="2"/>
  <c r="AD281" i="2" s="1"/>
  <c r="AA281" i="2"/>
  <c r="X281" i="2"/>
  <c r="W281" i="2"/>
  <c r="U281" i="2"/>
  <c r="R281" i="2"/>
  <c r="O281" i="2"/>
  <c r="N281" i="2"/>
  <c r="L281" i="2"/>
  <c r="I281" i="2"/>
  <c r="H281" i="2"/>
  <c r="F281" i="2"/>
  <c r="C281" i="2"/>
  <c r="AC280" i="2"/>
  <c r="AD280" i="2" s="1"/>
  <c r="AA280" i="2"/>
  <c r="W280" i="2"/>
  <c r="X280" i="2" s="1"/>
  <c r="U280" i="2"/>
  <c r="R280" i="2"/>
  <c r="O280" i="2"/>
  <c r="N280" i="2"/>
  <c r="L280" i="2"/>
  <c r="H280" i="2"/>
  <c r="I280" i="2" s="1"/>
  <c r="F280" i="2"/>
  <c r="C280" i="2"/>
  <c r="AC279" i="2"/>
  <c r="AD279" i="2" s="1"/>
  <c r="AA279" i="2"/>
  <c r="X279" i="2"/>
  <c r="W279" i="2"/>
  <c r="U279" i="2"/>
  <c r="R279" i="2"/>
  <c r="O279" i="2"/>
  <c r="N279" i="2"/>
  <c r="L279" i="2"/>
  <c r="H279" i="2"/>
  <c r="I279" i="2" s="1"/>
  <c r="F279" i="2"/>
  <c r="C279" i="2"/>
  <c r="AD278" i="2"/>
  <c r="AC278" i="2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D277" i="2" s="1"/>
  <c r="AA277" i="2"/>
  <c r="X277" i="2"/>
  <c r="W277" i="2"/>
  <c r="U277" i="2"/>
  <c r="R277" i="2"/>
  <c r="O277" i="2"/>
  <c r="N277" i="2"/>
  <c r="L277" i="2"/>
  <c r="H277" i="2"/>
  <c r="I277" i="2" s="1"/>
  <c r="F277" i="2"/>
  <c r="C277" i="2"/>
  <c r="AC276" i="2"/>
  <c r="AD276" i="2" s="1"/>
  <c r="AA276" i="2"/>
  <c r="W276" i="2"/>
  <c r="X276" i="2" s="1"/>
  <c r="U276" i="2"/>
  <c r="R276" i="2"/>
  <c r="O276" i="2"/>
  <c r="N276" i="2"/>
  <c r="L276" i="2"/>
  <c r="H276" i="2"/>
  <c r="I276" i="2" s="1"/>
  <c r="F276" i="2"/>
  <c r="C276" i="2"/>
  <c r="AC275" i="2"/>
  <c r="AD275" i="2" s="1"/>
  <c r="AA275" i="2"/>
  <c r="X275" i="2"/>
  <c r="W275" i="2"/>
  <c r="U275" i="2"/>
  <c r="R275" i="2"/>
  <c r="O275" i="2"/>
  <c r="N275" i="2"/>
  <c r="L275" i="2"/>
  <c r="H275" i="2"/>
  <c r="I275" i="2" s="1"/>
  <c r="F275" i="2"/>
  <c r="C275" i="2"/>
  <c r="Z273" i="2"/>
  <c r="AA273" i="2" s="1"/>
  <c r="T273" i="2"/>
  <c r="U273" i="2" s="1"/>
  <c r="Q273" i="2"/>
  <c r="K273" i="2"/>
  <c r="L273" i="2" s="1"/>
  <c r="E273" i="2"/>
  <c r="F273" i="2" s="1"/>
  <c r="B273" i="2"/>
  <c r="AC272" i="2"/>
  <c r="AD272" i="2" s="1"/>
  <c r="AA272" i="2"/>
  <c r="X272" i="2"/>
  <c r="W272" i="2"/>
  <c r="U272" i="2"/>
  <c r="R272" i="2"/>
  <c r="O272" i="2"/>
  <c r="N272" i="2"/>
  <c r="L272" i="2"/>
  <c r="H272" i="2"/>
  <c r="I272" i="2" s="1"/>
  <c r="F272" i="2"/>
  <c r="C272" i="2"/>
  <c r="AC271" i="2"/>
  <c r="AD271" i="2" s="1"/>
  <c r="AA271" i="2"/>
  <c r="X271" i="2"/>
  <c r="W271" i="2"/>
  <c r="U271" i="2"/>
  <c r="R271" i="2"/>
  <c r="O271" i="2"/>
  <c r="N271" i="2"/>
  <c r="L271" i="2"/>
  <c r="H271" i="2"/>
  <c r="I271" i="2" s="1"/>
  <c r="F271" i="2"/>
  <c r="C271" i="2"/>
  <c r="AC270" i="2"/>
  <c r="AD270" i="2" s="1"/>
  <c r="AA270" i="2"/>
  <c r="X270" i="2"/>
  <c r="W270" i="2"/>
  <c r="U270" i="2"/>
  <c r="R270" i="2"/>
  <c r="O270" i="2"/>
  <c r="N270" i="2"/>
  <c r="L270" i="2"/>
  <c r="H270" i="2"/>
  <c r="I270" i="2" s="1"/>
  <c r="F270" i="2"/>
  <c r="C270" i="2"/>
  <c r="AC269" i="2"/>
  <c r="AD269" i="2" s="1"/>
  <c r="AA269" i="2"/>
  <c r="X269" i="2"/>
  <c r="W269" i="2"/>
  <c r="U269" i="2"/>
  <c r="R269" i="2"/>
  <c r="O269" i="2"/>
  <c r="N269" i="2"/>
  <c r="L269" i="2"/>
  <c r="I269" i="2"/>
  <c r="H269" i="2"/>
  <c r="F269" i="2"/>
  <c r="C269" i="2"/>
  <c r="Z267" i="2"/>
  <c r="AA267" i="2" s="1"/>
  <c r="T267" i="2"/>
  <c r="U267" i="2" s="1"/>
  <c r="Q267" i="2"/>
  <c r="R267" i="2" s="1"/>
  <c r="K267" i="2"/>
  <c r="L267" i="2" s="1"/>
  <c r="H267" i="2"/>
  <c r="I267" i="2" s="1"/>
  <c r="E267" i="2"/>
  <c r="F267" i="2" s="1"/>
  <c r="B267" i="2"/>
  <c r="C267" i="2" s="1"/>
  <c r="AC266" i="2"/>
  <c r="AD266" i="2" s="1"/>
  <c r="AA266" i="2"/>
  <c r="X266" i="2"/>
  <c r="W266" i="2"/>
  <c r="U266" i="2"/>
  <c r="R266" i="2"/>
  <c r="N266" i="2"/>
  <c r="O266" i="2" s="1"/>
  <c r="L266" i="2"/>
  <c r="H266" i="2"/>
  <c r="I266" i="2" s="1"/>
  <c r="F266" i="2"/>
  <c r="C266" i="2"/>
  <c r="AC265" i="2"/>
  <c r="AD265" i="2" s="1"/>
  <c r="AA265" i="2"/>
  <c r="X265" i="2"/>
  <c r="W265" i="2"/>
  <c r="U265" i="2"/>
  <c r="R265" i="2"/>
  <c r="O265" i="2"/>
  <c r="N265" i="2"/>
  <c r="L265" i="2"/>
  <c r="H265" i="2"/>
  <c r="I265" i="2" s="1"/>
  <c r="F265" i="2"/>
  <c r="C265" i="2"/>
  <c r="Z263" i="2"/>
  <c r="AA263" i="2" s="1"/>
  <c r="T263" i="2"/>
  <c r="U263" i="2" s="1"/>
  <c r="Q263" i="2"/>
  <c r="R263" i="2" s="1"/>
  <c r="K263" i="2"/>
  <c r="L263" i="2" s="1"/>
  <c r="E263" i="2"/>
  <c r="F263" i="2" s="1"/>
  <c r="B263" i="2"/>
  <c r="Z262" i="2"/>
  <c r="AA262" i="2" s="1"/>
  <c r="T262" i="2"/>
  <c r="U262" i="2" s="1"/>
  <c r="Q262" i="2"/>
  <c r="K262" i="2"/>
  <c r="L262" i="2" s="1"/>
  <c r="H262" i="2"/>
  <c r="I262" i="2" s="1"/>
  <c r="E262" i="2"/>
  <c r="F262" i="2" s="1"/>
  <c r="B262" i="2"/>
  <c r="C262" i="2" s="1"/>
  <c r="AC261" i="2"/>
  <c r="AD261" i="2" s="1"/>
  <c r="AA261" i="2"/>
  <c r="W261" i="2"/>
  <c r="X261" i="2" s="1"/>
  <c r="U261" i="2"/>
  <c r="R261" i="2"/>
  <c r="O261" i="2"/>
  <c r="N261" i="2"/>
  <c r="L261" i="2"/>
  <c r="H261" i="2"/>
  <c r="I261" i="2" s="1"/>
  <c r="F261" i="2"/>
  <c r="C261" i="2"/>
  <c r="AC260" i="2"/>
  <c r="AD260" i="2" s="1"/>
  <c r="AA260" i="2"/>
  <c r="X260" i="2"/>
  <c r="W260" i="2"/>
  <c r="U260" i="2"/>
  <c r="R260" i="2"/>
  <c r="O260" i="2"/>
  <c r="N260" i="2"/>
  <c r="L260" i="2"/>
  <c r="H260" i="2"/>
  <c r="I260" i="2" s="1"/>
  <c r="F260" i="2"/>
  <c r="C260" i="2"/>
  <c r="AD259" i="2"/>
  <c r="AC259" i="2"/>
  <c r="AA259" i="2"/>
  <c r="X259" i="2"/>
  <c r="W259" i="2"/>
  <c r="U259" i="2"/>
  <c r="R259" i="2"/>
  <c r="N259" i="2"/>
  <c r="O259" i="2" s="1"/>
  <c r="L259" i="2"/>
  <c r="H259" i="2"/>
  <c r="I259" i="2" s="1"/>
  <c r="F259" i="2"/>
  <c r="C259" i="2"/>
  <c r="AC258" i="2"/>
  <c r="AD258" i="2" s="1"/>
  <c r="AA258" i="2"/>
  <c r="X258" i="2"/>
  <c r="W258" i="2"/>
  <c r="U258" i="2"/>
  <c r="R258" i="2"/>
  <c r="O258" i="2"/>
  <c r="N258" i="2"/>
  <c r="L258" i="2"/>
  <c r="H258" i="2"/>
  <c r="I258" i="2" s="1"/>
  <c r="F258" i="2"/>
  <c r="C258" i="2"/>
  <c r="AC257" i="2"/>
  <c r="AD257" i="2" s="1"/>
  <c r="AA257" i="2"/>
  <c r="X257" i="2"/>
  <c r="W257" i="2"/>
  <c r="U257" i="2"/>
  <c r="R257" i="2"/>
  <c r="O257" i="2"/>
  <c r="N257" i="2"/>
  <c r="L257" i="2"/>
  <c r="H257" i="2"/>
  <c r="I257" i="2" s="1"/>
  <c r="F257" i="2"/>
  <c r="C257" i="2"/>
  <c r="AC256" i="2"/>
  <c r="AD256" i="2" s="1"/>
  <c r="AA256" i="2"/>
  <c r="X256" i="2"/>
  <c r="W256" i="2"/>
  <c r="U256" i="2"/>
  <c r="R256" i="2"/>
  <c r="O256" i="2"/>
  <c r="N256" i="2"/>
  <c r="L256" i="2"/>
  <c r="H256" i="2"/>
  <c r="I256" i="2" s="1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I254" i="2"/>
  <c r="H254" i="2"/>
  <c r="F254" i="2"/>
  <c r="C254" i="2"/>
  <c r="AC253" i="2"/>
  <c r="AD253" i="2" s="1"/>
  <c r="AA253" i="2"/>
  <c r="W253" i="2"/>
  <c r="X253" i="2" s="1"/>
  <c r="U253" i="2"/>
  <c r="R253" i="2"/>
  <c r="O253" i="2"/>
  <c r="N253" i="2"/>
  <c r="L253" i="2"/>
  <c r="H253" i="2"/>
  <c r="I253" i="2" s="1"/>
  <c r="F253" i="2"/>
  <c r="C253" i="2"/>
  <c r="AC252" i="2"/>
  <c r="AD252" i="2" s="1"/>
  <c r="AA252" i="2"/>
  <c r="X252" i="2"/>
  <c r="W252" i="2"/>
  <c r="U252" i="2"/>
  <c r="R252" i="2"/>
  <c r="O252" i="2"/>
  <c r="N252" i="2"/>
  <c r="L252" i="2"/>
  <c r="H252" i="2"/>
  <c r="I252" i="2" s="1"/>
  <c r="F252" i="2"/>
  <c r="C252" i="2"/>
  <c r="AD251" i="2"/>
  <c r="AC251" i="2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C250" i="2"/>
  <c r="AD250" i="2" s="1"/>
  <c r="AA250" i="2"/>
  <c r="X250" i="2"/>
  <c r="W250" i="2"/>
  <c r="U250" i="2"/>
  <c r="R250" i="2"/>
  <c r="O250" i="2"/>
  <c r="N250" i="2"/>
  <c r="L250" i="2"/>
  <c r="H250" i="2"/>
  <c r="I250" i="2" s="1"/>
  <c r="F250" i="2"/>
  <c r="C250" i="2"/>
  <c r="AC249" i="2"/>
  <c r="AD249" i="2" s="1"/>
  <c r="AA249" i="2"/>
  <c r="W249" i="2"/>
  <c r="X249" i="2" s="1"/>
  <c r="U249" i="2"/>
  <c r="R249" i="2"/>
  <c r="O249" i="2"/>
  <c r="N249" i="2"/>
  <c r="L249" i="2"/>
  <c r="H249" i="2"/>
  <c r="I249" i="2" s="1"/>
  <c r="F249" i="2"/>
  <c r="C249" i="2"/>
  <c r="AC248" i="2"/>
  <c r="AD248" i="2" s="1"/>
  <c r="AA248" i="2"/>
  <c r="X248" i="2"/>
  <c r="W248" i="2"/>
  <c r="U248" i="2"/>
  <c r="R248" i="2"/>
  <c r="O248" i="2"/>
  <c r="N248" i="2"/>
  <c r="L248" i="2"/>
  <c r="H248" i="2"/>
  <c r="I248" i="2" s="1"/>
  <c r="F248" i="2"/>
  <c r="C248" i="2"/>
  <c r="AC247" i="2"/>
  <c r="AD247" i="2" s="1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O246" i="2"/>
  <c r="N246" i="2"/>
  <c r="L246" i="2"/>
  <c r="I246" i="2"/>
  <c r="H246" i="2"/>
  <c r="F246" i="2"/>
  <c r="C246" i="2"/>
  <c r="AC245" i="2"/>
  <c r="AD245" i="2" s="1"/>
  <c r="AA245" i="2"/>
  <c r="W245" i="2"/>
  <c r="X245" i="2" s="1"/>
  <c r="U245" i="2"/>
  <c r="R245" i="2"/>
  <c r="O245" i="2"/>
  <c r="N245" i="2"/>
  <c r="L245" i="2"/>
  <c r="H245" i="2"/>
  <c r="I245" i="2" s="1"/>
  <c r="F245" i="2"/>
  <c r="C245" i="2"/>
  <c r="AC244" i="2"/>
  <c r="AD244" i="2" s="1"/>
  <c r="AA244" i="2"/>
  <c r="X244" i="2"/>
  <c r="W244" i="2"/>
  <c r="U244" i="2"/>
  <c r="R244" i="2"/>
  <c r="O244" i="2"/>
  <c r="N244" i="2"/>
  <c r="L244" i="2"/>
  <c r="H244" i="2"/>
  <c r="I244" i="2" s="1"/>
  <c r="F244" i="2"/>
  <c r="C244" i="2"/>
  <c r="AD243" i="2"/>
  <c r="AC243" i="2"/>
  <c r="AA243" i="2"/>
  <c r="X243" i="2"/>
  <c r="W243" i="2"/>
  <c r="U243" i="2"/>
  <c r="R243" i="2"/>
  <c r="N243" i="2"/>
  <c r="O243" i="2" s="1"/>
  <c r="L243" i="2"/>
  <c r="H243" i="2"/>
  <c r="I243" i="2" s="1"/>
  <c r="F243" i="2"/>
  <c r="C243" i="2"/>
  <c r="AC242" i="2"/>
  <c r="AD242" i="2" s="1"/>
  <c r="AA242" i="2"/>
  <c r="X242" i="2"/>
  <c r="W242" i="2"/>
  <c r="U242" i="2"/>
  <c r="R242" i="2"/>
  <c r="O242" i="2"/>
  <c r="N242" i="2"/>
  <c r="L242" i="2"/>
  <c r="H242" i="2"/>
  <c r="I242" i="2" s="1"/>
  <c r="F242" i="2"/>
  <c r="C242" i="2"/>
  <c r="AC241" i="2"/>
  <c r="AD241" i="2" s="1"/>
  <c r="AA241" i="2"/>
  <c r="X241" i="2"/>
  <c r="W241" i="2"/>
  <c r="U241" i="2"/>
  <c r="R241" i="2"/>
  <c r="O241" i="2"/>
  <c r="N241" i="2"/>
  <c r="L241" i="2"/>
  <c r="H241" i="2"/>
  <c r="I241" i="2" s="1"/>
  <c r="F241" i="2"/>
  <c r="C241" i="2"/>
  <c r="AC240" i="2"/>
  <c r="AD240" i="2" s="1"/>
  <c r="AA240" i="2"/>
  <c r="X240" i="2"/>
  <c r="W240" i="2"/>
  <c r="U240" i="2"/>
  <c r="R240" i="2"/>
  <c r="O240" i="2"/>
  <c r="N240" i="2"/>
  <c r="L240" i="2"/>
  <c r="H240" i="2"/>
  <c r="I240" i="2" s="1"/>
  <c r="F240" i="2"/>
  <c r="C240" i="2"/>
  <c r="AC238" i="2"/>
  <c r="AD238" i="2" s="1"/>
  <c r="AA238" i="2"/>
  <c r="X238" i="2"/>
  <c r="W238" i="2"/>
  <c r="U238" i="2"/>
  <c r="R238" i="2"/>
  <c r="O238" i="2"/>
  <c r="N238" i="2"/>
  <c r="L238" i="2"/>
  <c r="H238" i="2"/>
  <c r="I238" i="2" s="1"/>
  <c r="F238" i="2"/>
  <c r="C238" i="2"/>
  <c r="AA236" i="2"/>
  <c r="Z236" i="2"/>
  <c r="T236" i="2"/>
  <c r="U236" i="2" s="1"/>
  <c r="Q236" i="2"/>
  <c r="K236" i="2"/>
  <c r="L236" i="2" s="1"/>
  <c r="E236" i="2"/>
  <c r="F236" i="2" s="1"/>
  <c r="C236" i="2"/>
  <c r="B236" i="2"/>
  <c r="AC235" i="2"/>
  <c r="AD235" i="2" s="1"/>
  <c r="AA235" i="2"/>
  <c r="X235" i="2"/>
  <c r="W235" i="2"/>
  <c r="U235" i="2"/>
  <c r="R235" i="2"/>
  <c r="O235" i="2"/>
  <c r="N235" i="2"/>
  <c r="L235" i="2"/>
  <c r="H235" i="2"/>
  <c r="I235" i="2" s="1"/>
  <c r="F235" i="2"/>
  <c r="C235" i="2"/>
  <c r="AC234" i="2"/>
  <c r="AD234" i="2" s="1"/>
  <c r="AA234" i="2"/>
  <c r="X234" i="2"/>
  <c r="W234" i="2"/>
  <c r="U234" i="2"/>
  <c r="R234" i="2"/>
  <c r="N234" i="2"/>
  <c r="O234" i="2" s="1"/>
  <c r="L234" i="2"/>
  <c r="H234" i="2"/>
  <c r="I234" i="2" s="1"/>
  <c r="F234" i="2"/>
  <c r="C234" i="2"/>
  <c r="AC233" i="2"/>
  <c r="AD233" i="2" s="1"/>
  <c r="AA233" i="2"/>
  <c r="X233" i="2"/>
  <c r="W233" i="2"/>
  <c r="U233" i="2"/>
  <c r="R233" i="2"/>
  <c r="O233" i="2"/>
  <c r="N233" i="2"/>
  <c r="L233" i="2"/>
  <c r="H233" i="2"/>
  <c r="I233" i="2" s="1"/>
  <c r="F233" i="2"/>
  <c r="C233" i="2"/>
  <c r="AC232" i="2"/>
  <c r="AD232" i="2" s="1"/>
  <c r="AA232" i="2"/>
  <c r="W232" i="2"/>
  <c r="X232" i="2" s="1"/>
  <c r="U232" i="2"/>
  <c r="R232" i="2"/>
  <c r="O232" i="2"/>
  <c r="N232" i="2"/>
  <c r="L232" i="2"/>
  <c r="H232" i="2"/>
  <c r="I232" i="2" s="1"/>
  <c r="F232" i="2"/>
  <c r="C232" i="2"/>
  <c r="AC231" i="2"/>
  <c r="AD231" i="2" s="1"/>
  <c r="AA231" i="2"/>
  <c r="X231" i="2"/>
  <c r="W231" i="2"/>
  <c r="U231" i="2"/>
  <c r="R231" i="2"/>
  <c r="O231" i="2"/>
  <c r="N231" i="2"/>
  <c r="L231" i="2"/>
  <c r="H231" i="2"/>
  <c r="I231" i="2" s="1"/>
  <c r="F231" i="2"/>
  <c r="C231" i="2"/>
  <c r="AD230" i="2"/>
  <c r="AC230" i="2"/>
  <c r="AA230" i="2"/>
  <c r="X230" i="2"/>
  <c r="W230" i="2"/>
  <c r="U230" i="2"/>
  <c r="R230" i="2"/>
  <c r="N230" i="2"/>
  <c r="O230" i="2" s="1"/>
  <c r="L230" i="2"/>
  <c r="H230" i="2"/>
  <c r="I230" i="2" s="1"/>
  <c r="F230" i="2"/>
  <c r="C230" i="2"/>
  <c r="AC229" i="2"/>
  <c r="AD229" i="2" s="1"/>
  <c r="AA229" i="2"/>
  <c r="X229" i="2"/>
  <c r="W229" i="2"/>
  <c r="U229" i="2"/>
  <c r="R229" i="2"/>
  <c r="O229" i="2"/>
  <c r="N229" i="2"/>
  <c r="L229" i="2"/>
  <c r="H229" i="2"/>
  <c r="I229" i="2" s="1"/>
  <c r="F229" i="2"/>
  <c r="C229" i="2"/>
  <c r="Z227" i="2"/>
  <c r="AA227" i="2" s="1"/>
  <c r="T227" i="2"/>
  <c r="U227" i="2" s="1"/>
  <c r="Q227" i="2"/>
  <c r="R227" i="2" s="1"/>
  <c r="N227" i="2"/>
  <c r="O227" i="2" s="1"/>
  <c r="L227" i="2"/>
  <c r="K227" i="2"/>
  <c r="H227" i="2"/>
  <c r="I227" i="2" s="1"/>
  <c r="E227" i="2"/>
  <c r="F227" i="2" s="1"/>
  <c r="B227" i="2"/>
  <c r="C227" i="2" s="1"/>
  <c r="AC226" i="2"/>
  <c r="AD226" i="2" s="1"/>
  <c r="AA226" i="2"/>
  <c r="X226" i="2"/>
  <c r="W226" i="2"/>
  <c r="U226" i="2"/>
  <c r="R226" i="2"/>
  <c r="N226" i="2"/>
  <c r="O226" i="2" s="1"/>
  <c r="L226" i="2"/>
  <c r="H226" i="2"/>
  <c r="I226" i="2" s="1"/>
  <c r="F226" i="2"/>
  <c r="C226" i="2"/>
  <c r="AC225" i="2"/>
  <c r="AD225" i="2" s="1"/>
  <c r="AA225" i="2"/>
  <c r="X225" i="2"/>
  <c r="W225" i="2"/>
  <c r="U225" i="2"/>
  <c r="R225" i="2"/>
  <c r="O225" i="2"/>
  <c r="N225" i="2"/>
  <c r="L225" i="2"/>
  <c r="I225" i="2"/>
  <c r="H225" i="2"/>
  <c r="F225" i="2"/>
  <c r="C225" i="2"/>
  <c r="AC224" i="2"/>
  <c r="AD224" i="2" s="1"/>
  <c r="AA224" i="2"/>
  <c r="W224" i="2"/>
  <c r="X224" i="2" s="1"/>
  <c r="U224" i="2"/>
  <c r="R224" i="2"/>
  <c r="O224" i="2"/>
  <c r="N224" i="2"/>
  <c r="L224" i="2"/>
  <c r="H224" i="2"/>
  <c r="I224" i="2" s="1"/>
  <c r="F224" i="2"/>
  <c r="C224" i="2"/>
  <c r="AC223" i="2"/>
  <c r="AD223" i="2" s="1"/>
  <c r="AA223" i="2"/>
  <c r="X223" i="2"/>
  <c r="W223" i="2"/>
  <c r="U223" i="2"/>
  <c r="R223" i="2"/>
  <c r="O223" i="2"/>
  <c r="N223" i="2"/>
  <c r="L223" i="2"/>
  <c r="H223" i="2"/>
  <c r="I223" i="2" s="1"/>
  <c r="F223" i="2"/>
  <c r="C223" i="2"/>
  <c r="AC222" i="2"/>
  <c r="AD222" i="2" s="1"/>
  <c r="AA222" i="2"/>
  <c r="X222" i="2"/>
  <c r="W222" i="2"/>
  <c r="U222" i="2"/>
  <c r="R222" i="2"/>
  <c r="N222" i="2"/>
  <c r="O222" i="2" s="1"/>
  <c r="L222" i="2"/>
  <c r="H222" i="2"/>
  <c r="I222" i="2" s="1"/>
  <c r="F222" i="2"/>
  <c r="C222" i="2"/>
  <c r="AC221" i="2"/>
  <c r="AD221" i="2" s="1"/>
  <c r="AA221" i="2"/>
  <c r="X221" i="2"/>
  <c r="W221" i="2"/>
  <c r="U221" i="2"/>
  <c r="R221" i="2"/>
  <c r="O221" i="2"/>
  <c r="N221" i="2"/>
  <c r="L221" i="2"/>
  <c r="H221" i="2"/>
  <c r="I221" i="2" s="1"/>
  <c r="F221" i="2"/>
  <c r="C221" i="2"/>
  <c r="AC220" i="2"/>
  <c r="AD220" i="2" s="1"/>
  <c r="AA220" i="2"/>
  <c r="X220" i="2"/>
  <c r="W220" i="2"/>
  <c r="U220" i="2"/>
  <c r="R220" i="2"/>
  <c r="O220" i="2"/>
  <c r="N220" i="2"/>
  <c r="L220" i="2"/>
  <c r="H220" i="2"/>
  <c r="I220" i="2" s="1"/>
  <c r="F220" i="2"/>
  <c r="C220" i="2"/>
  <c r="AC219" i="2"/>
  <c r="AD219" i="2" s="1"/>
  <c r="AA219" i="2"/>
  <c r="X219" i="2"/>
  <c r="W219" i="2"/>
  <c r="U219" i="2"/>
  <c r="R219" i="2"/>
  <c r="O219" i="2"/>
  <c r="N219" i="2"/>
  <c r="L219" i="2"/>
  <c r="H219" i="2"/>
  <c r="I219" i="2" s="1"/>
  <c r="F219" i="2"/>
  <c r="C219" i="2"/>
  <c r="Z218" i="2"/>
  <c r="AA218" i="2" s="1"/>
  <c r="T218" i="2"/>
  <c r="U218" i="2" s="1"/>
  <c r="Q218" i="2"/>
  <c r="W218" i="2" s="1"/>
  <c r="X218" i="2" s="1"/>
  <c r="N218" i="2"/>
  <c r="O218" i="2" s="1"/>
  <c r="K218" i="2"/>
  <c r="L218" i="2" s="1"/>
  <c r="F218" i="2"/>
  <c r="E218" i="2"/>
  <c r="B218" i="2"/>
  <c r="C218" i="2" s="1"/>
  <c r="AC217" i="2"/>
  <c r="AD217" i="2" s="1"/>
  <c r="AA217" i="2"/>
  <c r="W217" i="2"/>
  <c r="X217" i="2" s="1"/>
  <c r="U217" i="2"/>
  <c r="R217" i="2"/>
  <c r="O217" i="2"/>
  <c r="N217" i="2"/>
  <c r="L217" i="2"/>
  <c r="H217" i="2"/>
  <c r="I217" i="2" s="1"/>
  <c r="F217" i="2"/>
  <c r="C217" i="2"/>
  <c r="AC216" i="2"/>
  <c r="AD216" i="2" s="1"/>
  <c r="AA216" i="2"/>
  <c r="X216" i="2"/>
  <c r="W216" i="2"/>
  <c r="U216" i="2"/>
  <c r="R216" i="2"/>
  <c r="O216" i="2"/>
  <c r="N216" i="2"/>
  <c r="L216" i="2"/>
  <c r="H216" i="2"/>
  <c r="I216" i="2" s="1"/>
  <c r="F216" i="2"/>
  <c r="C216" i="2"/>
  <c r="AC215" i="2"/>
  <c r="AD215" i="2" s="1"/>
  <c r="AA215" i="2"/>
  <c r="X215" i="2"/>
  <c r="W215" i="2"/>
  <c r="U215" i="2"/>
  <c r="R215" i="2"/>
  <c r="N215" i="2"/>
  <c r="O215" i="2" s="1"/>
  <c r="L215" i="2"/>
  <c r="H215" i="2"/>
  <c r="I215" i="2" s="1"/>
  <c r="F215" i="2"/>
  <c r="C215" i="2"/>
  <c r="AC214" i="2"/>
  <c r="AD214" i="2" s="1"/>
  <c r="AA214" i="2"/>
  <c r="X214" i="2"/>
  <c r="W214" i="2"/>
  <c r="U214" i="2"/>
  <c r="R214" i="2"/>
  <c r="O214" i="2"/>
  <c r="N214" i="2"/>
  <c r="L214" i="2"/>
  <c r="I214" i="2"/>
  <c r="H214" i="2"/>
  <c r="F214" i="2"/>
  <c r="C214" i="2"/>
  <c r="AC213" i="2"/>
  <c r="AD213" i="2" s="1"/>
  <c r="AA213" i="2"/>
  <c r="W213" i="2"/>
  <c r="X213" i="2" s="1"/>
  <c r="U213" i="2"/>
  <c r="R213" i="2"/>
  <c r="O213" i="2"/>
  <c r="N213" i="2"/>
  <c r="L213" i="2"/>
  <c r="H213" i="2"/>
  <c r="I213" i="2" s="1"/>
  <c r="F213" i="2"/>
  <c r="C213" i="2"/>
  <c r="AC211" i="2"/>
  <c r="AD211" i="2" s="1"/>
  <c r="AA211" i="2"/>
  <c r="X211" i="2"/>
  <c r="W211" i="2"/>
  <c r="U211" i="2"/>
  <c r="R211" i="2"/>
  <c r="O211" i="2"/>
  <c r="N211" i="2"/>
  <c r="L211" i="2"/>
  <c r="H211" i="2"/>
  <c r="I211" i="2" s="1"/>
  <c r="F211" i="2"/>
  <c r="C211" i="2"/>
  <c r="AC209" i="2"/>
  <c r="AD209" i="2" s="1"/>
  <c r="Z209" i="2"/>
  <c r="AA209" i="2" s="1"/>
  <c r="T209" i="2"/>
  <c r="U209" i="2" s="1"/>
  <c r="R209" i="2"/>
  <c r="Q209" i="2"/>
  <c r="K209" i="2"/>
  <c r="L209" i="2" s="1"/>
  <c r="F209" i="2"/>
  <c r="E209" i="2"/>
  <c r="B209" i="2"/>
  <c r="AC208" i="2"/>
  <c r="AD208" i="2" s="1"/>
  <c r="AA208" i="2"/>
  <c r="W208" i="2"/>
  <c r="X208" i="2" s="1"/>
  <c r="U208" i="2"/>
  <c r="R208" i="2"/>
  <c r="O208" i="2"/>
  <c r="N208" i="2"/>
  <c r="L208" i="2"/>
  <c r="H208" i="2"/>
  <c r="I208" i="2" s="1"/>
  <c r="F208" i="2"/>
  <c r="C208" i="2"/>
  <c r="AC207" i="2"/>
  <c r="AD207" i="2" s="1"/>
  <c r="AA207" i="2"/>
  <c r="X207" i="2"/>
  <c r="W207" i="2"/>
  <c r="U207" i="2"/>
  <c r="R207" i="2"/>
  <c r="O207" i="2"/>
  <c r="N207" i="2"/>
  <c r="L207" i="2"/>
  <c r="H207" i="2"/>
  <c r="I207" i="2" s="1"/>
  <c r="F207" i="2"/>
  <c r="C207" i="2"/>
  <c r="AD206" i="2"/>
  <c r="AC206" i="2"/>
  <c r="AA206" i="2"/>
  <c r="X206" i="2"/>
  <c r="W206" i="2"/>
  <c r="U206" i="2"/>
  <c r="R206" i="2"/>
  <c r="N206" i="2"/>
  <c r="O206" i="2" s="1"/>
  <c r="L206" i="2"/>
  <c r="H206" i="2"/>
  <c r="I206" i="2" s="1"/>
  <c r="F206" i="2"/>
  <c r="C206" i="2"/>
  <c r="AC205" i="2"/>
  <c r="AD205" i="2" s="1"/>
  <c r="AA205" i="2"/>
  <c r="X205" i="2"/>
  <c r="W205" i="2"/>
  <c r="U205" i="2"/>
  <c r="R205" i="2"/>
  <c r="O205" i="2"/>
  <c r="N205" i="2"/>
  <c r="L205" i="2"/>
  <c r="H205" i="2"/>
  <c r="I205" i="2" s="1"/>
  <c r="F205" i="2"/>
  <c r="C205" i="2"/>
  <c r="AC204" i="2"/>
  <c r="AD204" i="2" s="1"/>
  <c r="AA204" i="2"/>
  <c r="W204" i="2"/>
  <c r="X204" i="2" s="1"/>
  <c r="U204" i="2"/>
  <c r="R204" i="2"/>
  <c r="O204" i="2"/>
  <c r="N204" i="2"/>
  <c r="L204" i="2"/>
  <c r="H204" i="2"/>
  <c r="I204" i="2" s="1"/>
  <c r="F204" i="2"/>
  <c r="C204" i="2"/>
  <c r="AC203" i="2"/>
  <c r="AD203" i="2" s="1"/>
  <c r="AA203" i="2"/>
  <c r="X203" i="2"/>
  <c r="W203" i="2"/>
  <c r="U203" i="2"/>
  <c r="R203" i="2"/>
  <c r="O203" i="2"/>
  <c r="N203" i="2"/>
  <c r="L203" i="2"/>
  <c r="H203" i="2"/>
  <c r="I203" i="2" s="1"/>
  <c r="F203" i="2"/>
  <c r="C203" i="2"/>
  <c r="AC202" i="2"/>
  <c r="AD202" i="2" s="1"/>
  <c r="AA202" i="2"/>
  <c r="X202" i="2"/>
  <c r="W202" i="2"/>
  <c r="U202" i="2"/>
  <c r="R202" i="2"/>
  <c r="N202" i="2"/>
  <c r="O202" i="2" s="1"/>
  <c r="L202" i="2"/>
  <c r="H202" i="2"/>
  <c r="I202" i="2" s="1"/>
  <c r="F202" i="2"/>
  <c r="C202" i="2"/>
  <c r="AC201" i="2"/>
  <c r="AD201" i="2" s="1"/>
  <c r="AA201" i="2"/>
  <c r="X201" i="2"/>
  <c r="W201" i="2"/>
  <c r="U201" i="2"/>
  <c r="R201" i="2"/>
  <c r="O201" i="2"/>
  <c r="N201" i="2"/>
  <c r="L201" i="2"/>
  <c r="I201" i="2"/>
  <c r="H201" i="2"/>
  <c r="F201" i="2"/>
  <c r="C201" i="2"/>
  <c r="Z197" i="2"/>
  <c r="AA197" i="2" s="1"/>
  <c r="T197" i="2"/>
  <c r="U197" i="2" s="1"/>
  <c r="Q197" i="2"/>
  <c r="AC197" i="2" s="1"/>
  <c r="AD197" i="2" s="1"/>
  <c r="K197" i="2"/>
  <c r="L197" i="2" s="1"/>
  <c r="E197" i="2"/>
  <c r="F197" i="2" s="1"/>
  <c r="B197" i="2"/>
  <c r="H197" i="2" s="1"/>
  <c r="I197" i="2" s="1"/>
  <c r="Z196" i="2"/>
  <c r="AA196" i="2" s="1"/>
  <c r="T196" i="2"/>
  <c r="Q196" i="2"/>
  <c r="R196" i="2" s="1"/>
  <c r="L196" i="2"/>
  <c r="K196" i="2"/>
  <c r="E196" i="2"/>
  <c r="F196" i="2" s="1"/>
  <c r="B196" i="2"/>
  <c r="C196" i="2" s="1"/>
  <c r="AD195" i="2"/>
  <c r="AC195" i="2"/>
  <c r="AA195" i="2"/>
  <c r="X195" i="2"/>
  <c r="W195" i="2"/>
  <c r="U195" i="2"/>
  <c r="R195" i="2"/>
  <c r="N195" i="2"/>
  <c r="O195" i="2" s="1"/>
  <c r="L195" i="2"/>
  <c r="H195" i="2"/>
  <c r="I195" i="2" s="1"/>
  <c r="F195" i="2"/>
  <c r="C195" i="2"/>
  <c r="AC194" i="2"/>
  <c r="AD194" i="2" s="1"/>
  <c r="AA194" i="2"/>
  <c r="X194" i="2"/>
  <c r="W194" i="2"/>
  <c r="U194" i="2"/>
  <c r="R194" i="2"/>
  <c r="O194" i="2"/>
  <c r="N194" i="2"/>
  <c r="L194" i="2"/>
  <c r="H194" i="2"/>
  <c r="I194" i="2" s="1"/>
  <c r="F194" i="2"/>
  <c r="C194" i="2"/>
  <c r="Z193" i="2"/>
  <c r="AA193" i="2" s="1"/>
  <c r="W193" i="2"/>
  <c r="X193" i="2" s="1"/>
  <c r="T193" i="2"/>
  <c r="U193" i="2" s="1"/>
  <c r="Q193" i="2"/>
  <c r="R193" i="2" s="1"/>
  <c r="L193" i="2"/>
  <c r="K193" i="2"/>
  <c r="E193" i="2"/>
  <c r="F193" i="2" s="1"/>
  <c r="B193" i="2"/>
  <c r="AC192" i="2"/>
  <c r="AD192" i="2" s="1"/>
  <c r="AA192" i="2"/>
  <c r="X192" i="2"/>
  <c r="W192" i="2"/>
  <c r="U192" i="2"/>
  <c r="R192" i="2"/>
  <c r="O192" i="2"/>
  <c r="N192" i="2"/>
  <c r="L192" i="2"/>
  <c r="H192" i="2"/>
  <c r="I192" i="2" s="1"/>
  <c r="F192" i="2"/>
  <c r="C192" i="2"/>
  <c r="AC191" i="2"/>
  <c r="AD191" i="2" s="1"/>
  <c r="AA191" i="2"/>
  <c r="X191" i="2"/>
  <c r="W191" i="2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X190" i="2"/>
  <c r="W190" i="2"/>
  <c r="U190" i="2"/>
  <c r="R190" i="2"/>
  <c r="O190" i="2"/>
  <c r="N190" i="2"/>
  <c r="L190" i="2"/>
  <c r="H190" i="2"/>
  <c r="I190" i="2" s="1"/>
  <c r="F190" i="2"/>
  <c r="C190" i="2"/>
  <c r="AC189" i="2"/>
  <c r="AD189" i="2" s="1"/>
  <c r="AA189" i="2"/>
  <c r="X189" i="2"/>
  <c r="W189" i="2"/>
  <c r="U189" i="2"/>
  <c r="R189" i="2"/>
  <c r="O189" i="2"/>
  <c r="N189" i="2"/>
  <c r="L189" i="2"/>
  <c r="H189" i="2"/>
  <c r="I189" i="2" s="1"/>
  <c r="F189" i="2"/>
  <c r="C189" i="2"/>
  <c r="AC188" i="2"/>
  <c r="AD188" i="2" s="1"/>
  <c r="AA188" i="2"/>
  <c r="X188" i="2"/>
  <c r="W188" i="2"/>
  <c r="U188" i="2"/>
  <c r="R188" i="2"/>
  <c r="N188" i="2"/>
  <c r="O188" i="2" s="1"/>
  <c r="L188" i="2"/>
  <c r="H188" i="2"/>
  <c r="I188" i="2" s="1"/>
  <c r="F188" i="2"/>
  <c r="C188" i="2"/>
  <c r="AC187" i="2"/>
  <c r="AD187" i="2" s="1"/>
  <c r="AA187" i="2"/>
  <c r="X187" i="2"/>
  <c r="W187" i="2"/>
  <c r="U187" i="2"/>
  <c r="R187" i="2"/>
  <c r="O187" i="2"/>
  <c r="N187" i="2"/>
  <c r="L187" i="2"/>
  <c r="H187" i="2"/>
  <c r="I187" i="2" s="1"/>
  <c r="F187" i="2"/>
  <c r="C187" i="2"/>
  <c r="AC186" i="2"/>
  <c r="AD186" i="2" s="1"/>
  <c r="AA186" i="2"/>
  <c r="W186" i="2"/>
  <c r="X186" i="2" s="1"/>
  <c r="U186" i="2"/>
  <c r="R186" i="2"/>
  <c r="O186" i="2"/>
  <c r="N186" i="2"/>
  <c r="L186" i="2"/>
  <c r="H186" i="2"/>
  <c r="I186" i="2" s="1"/>
  <c r="F186" i="2"/>
  <c r="C186" i="2"/>
  <c r="AC184" i="2"/>
  <c r="AD184" i="2" s="1"/>
  <c r="AA184" i="2"/>
  <c r="X184" i="2"/>
  <c r="W184" i="2"/>
  <c r="U184" i="2"/>
  <c r="R184" i="2"/>
  <c r="O184" i="2"/>
  <c r="N184" i="2"/>
  <c r="L184" i="2"/>
  <c r="H184" i="2"/>
  <c r="I184" i="2" s="1"/>
  <c r="F184" i="2"/>
  <c r="C184" i="2"/>
  <c r="AD183" i="2"/>
  <c r="AC183" i="2"/>
  <c r="AA183" i="2"/>
  <c r="X183" i="2"/>
  <c r="W183" i="2"/>
  <c r="U183" i="2"/>
  <c r="R183" i="2"/>
  <c r="O183" i="2"/>
  <c r="N183" i="2"/>
  <c r="L183" i="2"/>
  <c r="H183" i="2"/>
  <c r="I183" i="2" s="1"/>
  <c r="F183" i="2"/>
  <c r="C183" i="2"/>
  <c r="Z182" i="2"/>
  <c r="AA182" i="2" s="1"/>
  <c r="W182" i="2"/>
  <c r="X182" i="2" s="1"/>
  <c r="T182" i="2"/>
  <c r="U182" i="2" s="1"/>
  <c r="Q182" i="2"/>
  <c r="K182" i="2"/>
  <c r="L182" i="2" s="1"/>
  <c r="E182" i="2"/>
  <c r="F182" i="2" s="1"/>
  <c r="C182" i="2"/>
  <c r="B182" i="2"/>
  <c r="AC181" i="2"/>
  <c r="AD181" i="2" s="1"/>
  <c r="AA181" i="2"/>
  <c r="X181" i="2"/>
  <c r="W181" i="2"/>
  <c r="U181" i="2"/>
  <c r="R181" i="2"/>
  <c r="O181" i="2"/>
  <c r="N181" i="2"/>
  <c r="L181" i="2"/>
  <c r="H181" i="2"/>
  <c r="I181" i="2" s="1"/>
  <c r="F181" i="2"/>
  <c r="C181" i="2"/>
  <c r="AC180" i="2"/>
  <c r="AD180" i="2" s="1"/>
  <c r="AA180" i="2"/>
  <c r="X180" i="2"/>
  <c r="W180" i="2"/>
  <c r="U180" i="2"/>
  <c r="R180" i="2"/>
  <c r="N180" i="2"/>
  <c r="O180" i="2" s="1"/>
  <c r="L180" i="2"/>
  <c r="H180" i="2"/>
  <c r="I180" i="2" s="1"/>
  <c r="F180" i="2"/>
  <c r="C180" i="2"/>
  <c r="AC179" i="2"/>
  <c r="AD179" i="2" s="1"/>
  <c r="AA179" i="2"/>
  <c r="X179" i="2"/>
  <c r="W179" i="2"/>
  <c r="U179" i="2"/>
  <c r="R179" i="2"/>
  <c r="O179" i="2"/>
  <c r="N179" i="2"/>
  <c r="L179" i="2"/>
  <c r="I179" i="2"/>
  <c r="H179" i="2"/>
  <c r="F179" i="2"/>
  <c r="C179" i="2"/>
  <c r="AC178" i="2"/>
  <c r="AD178" i="2" s="1"/>
  <c r="AA178" i="2"/>
  <c r="W178" i="2"/>
  <c r="X178" i="2" s="1"/>
  <c r="U178" i="2"/>
  <c r="R178" i="2"/>
  <c r="O178" i="2"/>
  <c r="N178" i="2"/>
  <c r="L178" i="2"/>
  <c r="H178" i="2"/>
  <c r="I178" i="2" s="1"/>
  <c r="F178" i="2"/>
  <c r="C178" i="2"/>
  <c r="AC177" i="2"/>
  <c r="AD177" i="2" s="1"/>
  <c r="AA177" i="2"/>
  <c r="X177" i="2"/>
  <c r="W177" i="2"/>
  <c r="U177" i="2"/>
  <c r="R177" i="2"/>
  <c r="O177" i="2"/>
  <c r="N177" i="2"/>
  <c r="L177" i="2"/>
  <c r="H177" i="2"/>
  <c r="I177" i="2" s="1"/>
  <c r="F177" i="2"/>
  <c r="C177" i="2"/>
  <c r="AC175" i="2"/>
  <c r="AD175" i="2" s="1"/>
  <c r="AA175" i="2"/>
  <c r="X175" i="2"/>
  <c r="W175" i="2"/>
  <c r="U175" i="2"/>
  <c r="R175" i="2"/>
  <c r="N175" i="2"/>
  <c r="O175" i="2" s="1"/>
  <c r="L175" i="2"/>
  <c r="H175" i="2"/>
  <c r="I175" i="2" s="1"/>
  <c r="F175" i="2"/>
  <c r="C175" i="2"/>
  <c r="Q172" i="2"/>
  <c r="K172" i="2"/>
  <c r="AC171" i="2"/>
  <c r="AD171" i="2" s="1"/>
  <c r="Z171" i="2"/>
  <c r="AA171" i="2" s="1"/>
  <c r="T171" i="2"/>
  <c r="U171" i="2" s="1"/>
  <c r="Q171" i="2"/>
  <c r="R171" i="2" s="1"/>
  <c r="K171" i="2"/>
  <c r="L171" i="2" s="1"/>
  <c r="H171" i="2"/>
  <c r="I171" i="2" s="1"/>
  <c r="E171" i="2"/>
  <c r="F171" i="2" s="1"/>
  <c r="B171" i="2"/>
  <c r="C171" i="2" s="1"/>
  <c r="AA170" i="2"/>
  <c r="Z170" i="2"/>
  <c r="T170" i="2"/>
  <c r="U170" i="2" s="1"/>
  <c r="Q170" i="2"/>
  <c r="K170" i="2"/>
  <c r="L170" i="2" s="1"/>
  <c r="E170" i="2"/>
  <c r="F170" i="2" s="1"/>
  <c r="B170" i="2"/>
  <c r="N170" i="2" s="1"/>
  <c r="O170" i="2" s="1"/>
  <c r="AC169" i="2"/>
  <c r="AD169" i="2" s="1"/>
  <c r="AA169" i="2"/>
  <c r="X169" i="2"/>
  <c r="W169" i="2"/>
  <c r="U169" i="2"/>
  <c r="R169" i="2"/>
  <c r="O169" i="2"/>
  <c r="N169" i="2"/>
  <c r="L169" i="2"/>
  <c r="H169" i="2"/>
  <c r="I169" i="2" s="1"/>
  <c r="F169" i="2"/>
  <c r="C169" i="2"/>
  <c r="AD168" i="2"/>
  <c r="AC168" i="2"/>
  <c r="AA168" i="2"/>
  <c r="X168" i="2"/>
  <c r="W168" i="2"/>
  <c r="U168" i="2"/>
  <c r="R168" i="2"/>
  <c r="N168" i="2"/>
  <c r="O168" i="2" s="1"/>
  <c r="L168" i="2"/>
  <c r="H168" i="2"/>
  <c r="I168" i="2" s="1"/>
  <c r="F168" i="2"/>
  <c r="C168" i="2"/>
  <c r="AC167" i="2"/>
  <c r="AD167" i="2" s="1"/>
  <c r="AA167" i="2"/>
  <c r="X167" i="2"/>
  <c r="W167" i="2"/>
  <c r="U167" i="2"/>
  <c r="R167" i="2"/>
  <c r="O167" i="2"/>
  <c r="N167" i="2"/>
  <c r="L167" i="2"/>
  <c r="I167" i="2"/>
  <c r="H167" i="2"/>
  <c r="F167" i="2"/>
  <c r="C167" i="2"/>
  <c r="Z166" i="2"/>
  <c r="AA166" i="2" s="1"/>
  <c r="T166" i="2"/>
  <c r="Q166" i="2"/>
  <c r="R166" i="2" s="1"/>
  <c r="K166" i="2"/>
  <c r="L166" i="2" s="1"/>
  <c r="E166" i="2"/>
  <c r="F166" i="2" s="1"/>
  <c r="B166" i="2"/>
  <c r="C166" i="2" s="1"/>
  <c r="AD165" i="2"/>
  <c r="AC165" i="2"/>
  <c r="AA165" i="2"/>
  <c r="X165" i="2"/>
  <c r="W165" i="2"/>
  <c r="U165" i="2"/>
  <c r="R165" i="2"/>
  <c r="N165" i="2"/>
  <c r="O165" i="2" s="1"/>
  <c r="L165" i="2"/>
  <c r="H165" i="2"/>
  <c r="I165" i="2" s="1"/>
  <c r="F165" i="2"/>
  <c r="C165" i="2"/>
  <c r="AC164" i="2"/>
  <c r="AD164" i="2" s="1"/>
  <c r="AA164" i="2"/>
  <c r="X164" i="2"/>
  <c r="W164" i="2"/>
  <c r="U164" i="2"/>
  <c r="R164" i="2"/>
  <c r="O164" i="2"/>
  <c r="N164" i="2"/>
  <c r="L164" i="2"/>
  <c r="H164" i="2"/>
  <c r="I164" i="2" s="1"/>
  <c r="F164" i="2"/>
  <c r="C164" i="2"/>
  <c r="AC163" i="2"/>
  <c r="AD163" i="2" s="1"/>
  <c r="AA163" i="2"/>
  <c r="X163" i="2"/>
  <c r="W163" i="2"/>
  <c r="U163" i="2"/>
  <c r="R163" i="2"/>
  <c r="O163" i="2"/>
  <c r="N163" i="2"/>
  <c r="L163" i="2"/>
  <c r="H163" i="2"/>
  <c r="I163" i="2" s="1"/>
  <c r="F163" i="2"/>
  <c r="C163" i="2"/>
  <c r="AC162" i="2"/>
  <c r="AD162" i="2" s="1"/>
  <c r="AA162" i="2"/>
  <c r="X162" i="2"/>
  <c r="W162" i="2"/>
  <c r="U162" i="2"/>
  <c r="R162" i="2"/>
  <c r="O162" i="2"/>
  <c r="N162" i="2"/>
  <c r="L162" i="2"/>
  <c r="H162" i="2"/>
  <c r="I162" i="2" s="1"/>
  <c r="F162" i="2"/>
  <c r="C162" i="2"/>
  <c r="AC161" i="2"/>
  <c r="AD161" i="2" s="1"/>
  <c r="AA161" i="2"/>
  <c r="X161" i="2"/>
  <c r="W161" i="2"/>
  <c r="U161" i="2"/>
  <c r="R161" i="2"/>
  <c r="O161" i="2"/>
  <c r="N161" i="2"/>
  <c r="L161" i="2"/>
  <c r="H161" i="2"/>
  <c r="I161" i="2" s="1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I160" i="2"/>
  <c r="H160" i="2"/>
  <c r="F160" i="2"/>
  <c r="C160" i="2"/>
  <c r="Z158" i="2"/>
  <c r="AA158" i="2" s="1"/>
  <c r="T158" i="2"/>
  <c r="U158" i="2" s="1"/>
  <c r="Q158" i="2"/>
  <c r="L158" i="2"/>
  <c r="K158" i="2"/>
  <c r="E158" i="2"/>
  <c r="F158" i="2" s="1"/>
  <c r="B158" i="2"/>
  <c r="C158" i="2" s="1"/>
  <c r="AC157" i="2"/>
  <c r="AD157" i="2" s="1"/>
  <c r="AA157" i="2"/>
  <c r="X157" i="2"/>
  <c r="W157" i="2"/>
  <c r="U157" i="2"/>
  <c r="R157" i="2"/>
  <c r="N157" i="2"/>
  <c r="O157" i="2" s="1"/>
  <c r="L157" i="2"/>
  <c r="H157" i="2"/>
  <c r="I157" i="2" s="1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H156" i="2"/>
  <c r="I156" i="2" s="1"/>
  <c r="F156" i="2"/>
  <c r="C156" i="2"/>
  <c r="AC155" i="2"/>
  <c r="AD155" i="2" s="1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C154" i="2"/>
  <c r="AD154" i="2" s="1"/>
  <c r="AA154" i="2"/>
  <c r="X154" i="2"/>
  <c r="W154" i="2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X153" i="2"/>
  <c r="W153" i="2"/>
  <c r="U153" i="2"/>
  <c r="R153" i="2"/>
  <c r="O153" i="2"/>
  <c r="N153" i="2"/>
  <c r="L153" i="2"/>
  <c r="H153" i="2"/>
  <c r="I153" i="2" s="1"/>
  <c r="F153" i="2"/>
  <c r="C153" i="2"/>
  <c r="AC151" i="2"/>
  <c r="AD151" i="2" s="1"/>
  <c r="AA151" i="2"/>
  <c r="X151" i="2"/>
  <c r="W151" i="2"/>
  <c r="U151" i="2"/>
  <c r="R151" i="2"/>
  <c r="O151" i="2"/>
  <c r="N151" i="2"/>
  <c r="L151" i="2"/>
  <c r="H151" i="2"/>
  <c r="I151" i="2" s="1"/>
  <c r="F151" i="2"/>
  <c r="C151" i="2"/>
  <c r="Z149" i="2"/>
  <c r="AA149" i="2" s="1"/>
  <c r="T149" i="2"/>
  <c r="U149" i="2" s="1"/>
  <c r="Q149" i="2"/>
  <c r="K149" i="2"/>
  <c r="L149" i="2" s="1"/>
  <c r="E149" i="2"/>
  <c r="F149" i="2" s="1"/>
  <c r="B149" i="2"/>
  <c r="C149" i="2" s="1"/>
  <c r="AC148" i="2"/>
  <c r="AD148" i="2" s="1"/>
  <c r="Z148" i="2"/>
  <c r="AA148" i="2" s="1"/>
  <c r="W148" i="2"/>
  <c r="X148" i="2" s="1"/>
  <c r="T148" i="2"/>
  <c r="U148" i="2" s="1"/>
  <c r="Q148" i="2"/>
  <c r="R148" i="2" s="1"/>
  <c r="K148" i="2"/>
  <c r="L148" i="2" s="1"/>
  <c r="E148" i="2"/>
  <c r="F148" i="2" s="1"/>
  <c r="B148" i="2"/>
  <c r="AC147" i="2"/>
  <c r="AD147" i="2" s="1"/>
  <c r="AA147" i="2"/>
  <c r="W147" i="2"/>
  <c r="X147" i="2" s="1"/>
  <c r="U147" i="2"/>
  <c r="R147" i="2"/>
  <c r="O147" i="2"/>
  <c r="N147" i="2"/>
  <c r="L147" i="2"/>
  <c r="H147" i="2"/>
  <c r="I147" i="2" s="1"/>
  <c r="F147" i="2"/>
  <c r="C147" i="2"/>
  <c r="AC146" i="2"/>
  <c r="AD146" i="2" s="1"/>
  <c r="AA146" i="2"/>
  <c r="X146" i="2"/>
  <c r="W146" i="2"/>
  <c r="U146" i="2"/>
  <c r="R146" i="2"/>
  <c r="O146" i="2"/>
  <c r="N146" i="2"/>
  <c r="L146" i="2"/>
  <c r="H146" i="2"/>
  <c r="I146" i="2" s="1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H145" i="2"/>
  <c r="I145" i="2" s="1"/>
  <c r="F145" i="2"/>
  <c r="C145" i="2"/>
  <c r="AC144" i="2"/>
  <c r="AD144" i="2" s="1"/>
  <c r="AA144" i="2"/>
  <c r="X144" i="2"/>
  <c r="W144" i="2"/>
  <c r="U144" i="2"/>
  <c r="R144" i="2"/>
  <c r="O144" i="2"/>
  <c r="N144" i="2"/>
  <c r="L144" i="2"/>
  <c r="I144" i="2"/>
  <c r="H144" i="2"/>
  <c r="F144" i="2"/>
  <c r="C144" i="2"/>
  <c r="AC143" i="2"/>
  <c r="AD143" i="2" s="1"/>
  <c r="AA143" i="2"/>
  <c r="X143" i="2"/>
  <c r="W143" i="2"/>
  <c r="U143" i="2"/>
  <c r="R143" i="2"/>
  <c r="O143" i="2"/>
  <c r="N143" i="2"/>
  <c r="L143" i="2"/>
  <c r="H143" i="2"/>
  <c r="I143" i="2" s="1"/>
  <c r="F143" i="2"/>
  <c r="C143" i="2"/>
  <c r="Z141" i="2"/>
  <c r="AA141" i="2" s="1"/>
  <c r="T141" i="2"/>
  <c r="U141" i="2" s="1"/>
  <c r="Q141" i="2"/>
  <c r="N141" i="2"/>
  <c r="O141" i="2" s="1"/>
  <c r="K141" i="2"/>
  <c r="L141" i="2" s="1"/>
  <c r="H141" i="2"/>
  <c r="I141" i="2" s="1"/>
  <c r="E141" i="2"/>
  <c r="F141" i="2" s="1"/>
  <c r="B141" i="2"/>
  <c r="C141" i="2" s="1"/>
  <c r="AC140" i="2"/>
  <c r="AD140" i="2" s="1"/>
  <c r="AA140" i="2"/>
  <c r="X140" i="2"/>
  <c r="W140" i="2"/>
  <c r="U140" i="2"/>
  <c r="R140" i="2"/>
  <c r="O140" i="2"/>
  <c r="N140" i="2"/>
  <c r="L140" i="2"/>
  <c r="H140" i="2"/>
  <c r="I140" i="2" s="1"/>
  <c r="F140" i="2"/>
  <c r="C140" i="2"/>
  <c r="AC139" i="2"/>
  <c r="AD139" i="2" s="1"/>
  <c r="AA139" i="2"/>
  <c r="W139" i="2"/>
  <c r="X139" i="2" s="1"/>
  <c r="U139" i="2"/>
  <c r="R139" i="2"/>
  <c r="O139" i="2"/>
  <c r="N139" i="2"/>
  <c r="L139" i="2"/>
  <c r="H139" i="2"/>
  <c r="I139" i="2" s="1"/>
  <c r="F139" i="2"/>
  <c r="C139" i="2"/>
  <c r="AC138" i="2"/>
  <c r="AD138" i="2" s="1"/>
  <c r="AA138" i="2"/>
  <c r="X138" i="2"/>
  <c r="W138" i="2"/>
  <c r="U138" i="2"/>
  <c r="R138" i="2"/>
  <c r="O138" i="2"/>
  <c r="N138" i="2"/>
  <c r="L138" i="2"/>
  <c r="H138" i="2"/>
  <c r="I138" i="2" s="1"/>
  <c r="F138" i="2"/>
  <c r="C138" i="2"/>
  <c r="AD137" i="2"/>
  <c r="AC137" i="2"/>
  <c r="AA137" i="2"/>
  <c r="X137" i="2"/>
  <c r="W137" i="2"/>
  <c r="U137" i="2"/>
  <c r="R137" i="2"/>
  <c r="O137" i="2"/>
  <c r="N137" i="2"/>
  <c r="L137" i="2"/>
  <c r="H137" i="2"/>
  <c r="I137" i="2" s="1"/>
  <c r="F137" i="2"/>
  <c r="C137" i="2"/>
  <c r="AC136" i="2"/>
  <c r="AD136" i="2" s="1"/>
  <c r="AA136" i="2"/>
  <c r="X136" i="2"/>
  <c r="W136" i="2"/>
  <c r="U136" i="2"/>
  <c r="R136" i="2"/>
  <c r="O136" i="2"/>
  <c r="N136" i="2"/>
  <c r="L136" i="2"/>
  <c r="H136" i="2"/>
  <c r="I136" i="2" s="1"/>
  <c r="F136" i="2"/>
  <c r="C136" i="2"/>
  <c r="AC135" i="2"/>
  <c r="AD135" i="2" s="1"/>
  <c r="AA135" i="2"/>
  <c r="W135" i="2"/>
  <c r="X135" i="2" s="1"/>
  <c r="U135" i="2"/>
  <c r="R135" i="2"/>
  <c r="O135" i="2"/>
  <c r="N135" i="2"/>
  <c r="L135" i="2"/>
  <c r="H135" i="2"/>
  <c r="I135" i="2" s="1"/>
  <c r="F135" i="2"/>
  <c r="C135" i="2"/>
  <c r="AC134" i="2"/>
  <c r="AD134" i="2" s="1"/>
  <c r="AA134" i="2"/>
  <c r="X134" i="2"/>
  <c r="W134" i="2"/>
  <c r="U134" i="2"/>
  <c r="R134" i="2"/>
  <c r="O134" i="2"/>
  <c r="N134" i="2"/>
  <c r="L134" i="2"/>
  <c r="H134" i="2"/>
  <c r="I134" i="2" s="1"/>
  <c r="F134" i="2"/>
  <c r="C134" i="2"/>
  <c r="AC133" i="2"/>
  <c r="AD133" i="2" s="1"/>
  <c r="AA133" i="2"/>
  <c r="X133" i="2"/>
  <c r="W133" i="2"/>
  <c r="U133" i="2"/>
  <c r="R133" i="2"/>
  <c r="N133" i="2"/>
  <c r="O133" i="2" s="1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O132" i="2"/>
  <c r="N132" i="2"/>
  <c r="L132" i="2"/>
  <c r="I132" i="2"/>
  <c r="H132" i="2"/>
  <c r="F132" i="2"/>
  <c r="C132" i="2"/>
  <c r="AC131" i="2"/>
  <c r="AD131" i="2" s="1"/>
  <c r="AA131" i="2"/>
  <c r="W131" i="2"/>
  <c r="X131" i="2" s="1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X130" i="2"/>
  <c r="W130" i="2"/>
  <c r="U130" i="2"/>
  <c r="R130" i="2"/>
  <c r="O130" i="2"/>
  <c r="N130" i="2"/>
  <c r="L130" i="2"/>
  <c r="H130" i="2"/>
  <c r="I130" i="2" s="1"/>
  <c r="F130" i="2"/>
  <c r="C130" i="2"/>
  <c r="AC129" i="2"/>
  <c r="AD129" i="2" s="1"/>
  <c r="AA129" i="2"/>
  <c r="X129" i="2"/>
  <c r="W129" i="2"/>
  <c r="U129" i="2"/>
  <c r="R129" i="2"/>
  <c r="N129" i="2"/>
  <c r="O129" i="2" s="1"/>
  <c r="L129" i="2"/>
  <c r="H129" i="2"/>
  <c r="I129" i="2" s="1"/>
  <c r="F129" i="2"/>
  <c r="C129" i="2"/>
  <c r="AC127" i="2"/>
  <c r="AD127" i="2" s="1"/>
  <c r="AA127" i="2"/>
  <c r="X127" i="2"/>
  <c r="W127" i="2"/>
  <c r="U127" i="2"/>
  <c r="R127" i="2"/>
  <c r="O127" i="2"/>
  <c r="N127" i="2"/>
  <c r="L127" i="2"/>
  <c r="H127" i="2"/>
  <c r="I127" i="2" s="1"/>
  <c r="F127" i="2"/>
  <c r="C127" i="2"/>
  <c r="Z124" i="2"/>
  <c r="T124" i="2"/>
  <c r="Q124" i="2"/>
  <c r="R124" i="2" s="1"/>
  <c r="N124" i="2"/>
  <c r="O124" i="2" s="1"/>
  <c r="L124" i="2"/>
  <c r="K124" i="2"/>
  <c r="H124" i="2"/>
  <c r="I124" i="2" s="1"/>
  <c r="E124" i="2"/>
  <c r="B124" i="2"/>
  <c r="C124" i="2" s="1"/>
  <c r="AC123" i="2"/>
  <c r="AD123" i="2" s="1"/>
  <c r="AA123" i="2"/>
  <c r="X123" i="2"/>
  <c r="W123" i="2"/>
  <c r="U123" i="2"/>
  <c r="R123" i="2"/>
  <c r="N123" i="2"/>
  <c r="O123" i="2" s="1"/>
  <c r="L123" i="2"/>
  <c r="H123" i="2"/>
  <c r="I123" i="2" s="1"/>
  <c r="F123" i="2"/>
  <c r="C123" i="2"/>
  <c r="AA122" i="2"/>
  <c r="Z122" i="2"/>
  <c r="T122" i="2"/>
  <c r="U122" i="2" s="1"/>
  <c r="Q122" i="2"/>
  <c r="K122" i="2"/>
  <c r="L122" i="2" s="1"/>
  <c r="H122" i="2"/>
  <c r="I122" i="2" s="1"/>
  <c r="E122" i="2"/>
  <c r="F122" i="2" s="1"/>
  <c r="B122" i="2"/>
  <c r="C122" i="2" s="1"/>
  <c r="AC121" i="2"/>
  <c r="AD121" i="2" s="1"/>
  <c r="AA121" i="2"/>
  <c r="X121" i="2"/>
  <c r="W121" i="2"/>
  <c r="U121" i="2"/>
  <c r="R121" i="2"/>
  <c r="O121" i="2"/>
  <c r="N121" i="2"/>
  <c r="L121" i="2"/>
  <c r="H121" i="2"/>
  <c r="I121" i="2" s="1"/>
  <c r="F121" i="2"/>
  <c r="C121" i="2"/>
  <c r="AD120" i="2"/>
  <c r="AC120" i="2"/>
  <c r="AA120" i="2"/>
  <c r="X120" i="2"/>
  <c r="W120" i="2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X119" i="2"/>
  <c r="W119" i="2"/>
  <c r="U119" i="2"/>
  <c r="R119" i="2"/>
  <c r="O119" i="2"/>
  <c r="N119" i="2"/>
  <c r="L119" i="2"/>
  <c r="H119" i="2"/>
  <c r="I119" i="2" s="1"/>
  <c r="F119" i="2"/>
  <c r="C119" i="2"/>
  <c r="Z118" i="2"/>
  <c r="AA118" i="2" s="1"/>
  <c r="W118" i="2"/>
  <c r="X118" i="2" s="1"/>
  <c r="T118" i="2"/>
  <c r="U118" i="2" s="1"/>
  <c r="Q118" i="2"/>
  <c r="N118" i="2"/>
  <c r="O118" i="2" s="1"/>
  <c r="K118" i="2"/>
  <c r="L118" i="2" s="1"/>
  <c r="E118" i="2"/>
  <c r="F118" i="2" s="1"/>
  <c r="B118" i="2"/>
  <c r="AC117" i="2"/>
  <c r="AD117" i="2" s="1"/>
  <c r="AA117" i="2"/>
  <c r="X117" i="2"/>
  <c r="W117" i="2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X116" i="2"/>
  <c r="W116" i="2"/>
  <c r="U116" i="2"/>
  <c r="R116" i="2"/>
  <c r="O116" i="2"/>
  <c r="N116" i="2"/>
  <c r="L116" i="2"/>
  <c r="I116" i="2"/>
  <c r="H116" i="2"/>
  <c r="F116" i="2"/>
  <c r="C116" i="2"/>
  <c r="AC115" i="2"/>
  <c r="AD115" i="2" s="1"/>
  <c r="AA115" i="2"/>
  <c r="W115" i="2"/>
  <c r="X115" i="2" s="1"/>
  <c r="U115" i="2"/>
  <c r="R115" i="2"/>
  <c r="O115" i="2"/>
  <c r="N115" i="2"/>
  <c r="L115" i="2"/>
  <c r="H115" i="2"/>
  <c r="I115" i="2" s="1"/>
  <c r="F115" i="2"/>
  <c r="C115" i="2"/>
  <c r="AC114" i="2"/>
  <c r="AD114" i="2" s="1"/>
  <c r="AA114" i="2"/>
  <c r="X114" i="2"/>
  <c r="W114" i="2"/>
  <c r="U114" i="2"/>
  <c r="R114" i="2"/>
  <c r="O114" i="2"/>
  <c r="N114" i="2"/>
  <c r="L114" i="2"/>
  <c r="H114" i="2"/>
  <c r="I114" i="2" s="1"/>
  <c r="F114" i="2"/>
  <c r="C114" i="2"/>
  <c r="AD113" i="2"/>
  <c r="AC113" i="2"/>
  <c r="AA113" i="2"/>
  <c r="X113" i="2"/>
  <c r="W113" i="2"/>
  <c r="U113" i="2"/>
  <c r="R113" i="2"/>
  <c r="N113" i="2"/>
  <c r="O113" i="2" s="1"/>
  <c r="L113" i="2"/>
  <c r="H113" i="2"/>
  <c r="I113" i="2" s="1"/>
  <c r="F113" i="2"/>
  <c r="C113" i="2"/>
  <c r="AC112" i="2"/>
  <c r="AD112" i="2" s="1"/>
  <c r="AA112" i="2"/>
  <c r="X112" i="2"/>
  <c r="W112" i="2"/>
  <c r="U112" i="2"/>
  <c r="R112" i="2"/>
  <c r="O112" i="2"/>
  <c r="N112" i="2"/>
  <c r="L112" i="2"/>
  <c r="H112" i="2"/>
  <c r="I112" i="2" s="1"/>
  <c r="F112" i="2"/>
  <c r="C112" i="2"/>
  <c r="AC111" i="2"/>
  <c r="AD111" i="2" s="1"/>
  <c r="AA111" i="2"/>
  <c r="W111" i="2"/>
  <c r="X111" i="2" s="1"/>
  <c r="U111" i="2"/>
  <c r="R111" i="2"/>
  <c r="O111" i="2"/>
  <c r="N111" i="2"/>
  <c r="L111" i="2"/>
  <c r="H111" i="2"/>
  <c r="I111" i="2" s="1"/>
  <c r="F111" i="2"/>
  <c r="C111" i="2"/>
  <c r="AC110" i="2"/>
  <c r="AD110" i="2" s="1"/>
  <c r="AA110" i="2"/>
  <c r="X110" i="2"/>
  <c r="W110" i="2"/>
  <c r="U110" i="2"/>
  <c r="R110" i="2"/>
  <c r="O110" i="2"/>
  <c r="N110" i="2"/>
  <c r="L110" i="2"/>
  <c r="H110" i="2"/>
  <c r="I110" i="2" s="1"/>
  <c r="F110" i="2"/>
  <c r="C110" i="2"/>
  <c r="AC109" i="2"/>
  <c r="AD109" i="2" s="1"/>
  <c r="AA109" i="2"/>
  <c r="X109" i="2"/>
  <c r="W109" i="2"/>
  <c r="U109" i="2"/>
  <c r="R109" i="2"/>
  <c r="N109" i="2"/>
  <c r="O109" i="2" s="1"/>
  <c r="L109" i="2"/>
  <c r="H109" i="2"/>
  <c r="I109" i="2" s="1"/>
  <c r="F109" i="2"/>
  <c r="C109" i="2"/>
  <c r="AC108" i="2"/>
  <c r="AD108" i="2" s="1"/>
  <c r="AA108" i="2"/>
  <c r="X108" i="2"/>
  <c r="W108" i="2"/>
  <c r="U108" i="2"/>
  <c r="R108" i="2"/>
  <c r="O108" i="2"/>
  <c r="N108" i="2"/>
  <c r="L108" i="2"/>
  <c r="I108" i="2"/>
  <c r="H108" i="2"/>
  <c r="F108" i="2"/>
  <c r="C108" i="2"/>
  <c r="AC107" i="2"/>
  <c r="AD107" i="2" s="1"/>
  <c r="AA107" i="2"/>
  <c r="W107" i="2"/>
  <c r="X107" i="2" s="1"/>
  <c r="U107" i="2"/>
  <c r="R107" i="2"/>
  <c r="O107" i="2"/>
  <c r="N107" i="2"/>
  <c r="L107" i="2"/>
  <c r="H107" i="2"/>
  <c r="I107" i="2" s="1"/>
  <c r="F107" i="2"/>
  <c r="C107" i="2"/>
  <c r="AC106" i="2"/>
  <c r="AD106" i="2" s="1"/>
  <c r="AA106" i="2"/>
  <c r="X106" i="2"/>
  <c r="W106" i="2"/>
  <c r="U106" i="2"/>
  <c r="R106" i="2"/>
  <c r="O106" i="2"/>
  <c r="N106" i="2"/>
  <c r="L106" i="2"/>
  <c r="H106" i="2"/>
  <c r="I106" i="2" s="1"/>
  <c r="F106" i="2"/>
  <c r="C106" i="2"/>
  <c r="AC105" i="2"/>
  <c r="AD105" i="2" s="1"/>
  <c r="AA105" i="2"/>
  <c r="X105" i="2"/>
  <c r="W105" i="2"/>
  <c r="U105" i="2"/>
  <c r="R105" i="2"/>
  <c r="N105" i="2"/>
  <c r="O105" i="2" s="1"/>
  <c r="L105" i="2"/>
  <c r="H105" i="2"/>
  <c r="I105" i="2" s="1"/>
  <c r="F105" i="2"/>
  <c r="C105" i="2"/>
  <c r="AC104" i="2"/>
  <c r="AD104" i="2" s="1"/>
  <c r="AA104" i="2"/>
  <c r="X104" i="2"/>
  <c r="W104" i="2"/>
  <c r="U104" i="2"/>
  <c r="R104" i="2"/>
  <c r="O104" i="2"/>
  <c r="N104" i="2"/>
  <c r="L104" i="2"/>
  <c r="H104" i="2"/>
  <c r="I104" i="2" s="1"/>
  <c r="F104" i="2"/>
  <c r="C104" i="2"/>
  <c r="AC103" i="2"/>
  <c r="AD103" i="2" s="1"/>
  <c r="AA103" i="2"/>
  <c r="X103" i="2"/>
  <c r="W103" i="2"/>
  <c r="U103" i="2"/>
  <c r="R103" i="2"/>
  <c r="O103" i="2"/>
  <c r="N103" i="2"/>
  <c r="L103" i="2"/>
  <c r="H103" i="2"/>
  <c r="I103" i="2" s="1"/>
  <c r="F103" i="2"/>
  <c r="C103" i="2"/>
  <c r="AC102" i="2"/>
  <c r="AD102" i="2" s="1"/>
  <c r="AA102" i="2"/>
  <c r="X102" i="2"/>
  <c r="W102" i="2"/>
  <c r="U102" i="2"/>
  <c r="R102" i="2"/>
  <c r="O102" i="2"/>
  <c r="N102" i="2"/>
  <c r="L102" i="2"/>
  <c r="H102" i="2"/>
  <c r="I102" i="2" s="1"/>
  <c r="F102" i="2"/>
  <c r="C102" i="2"/>
  <c r="AC101" i="2"/>
  <c r="AD101" i="2" s="1"/>
  <c r="AA101" i="2"/>
  <c r="X101" i="2"/>
  <c r="W101" i="2"/>
  <c r="U101" i="2"/>
  <c r="R101" i="2"/>
  <c r="O101" i="2"/>
  <c r="N101" i="2"/>
  <c r="L101" i="2"/>
  <c r="H101" i="2"/>
  <c r="I101" i="2" s="1"/>
  <c r="F101" i="2"/>
  <c r="C101" i="2"/>
  <c r="AC100" i="2"/>
  <c r="AD100" i="2" s="1"/>
  <c r="AA100" i="2"/>
  <c r="X100" i="2"/>
  <c r="W100" i="2"/>
  <c r="U100" i="2"/>
  <c r="R100" i="2"/>
  <c r="O100" i="2"/>
  <c r="N100" i="2"/>
  <c r="L100" i="2"/>
  <c r="I100" i="2"/>
  <c r="H100" i="2"/>
  <c r="F100" i="2"/>
  <c r="C100" i="2"/>
  <c r="AC99" i="2"/>
  <c r="AD99" i="2" s="1"/>
  <c r="AA99" i="2"/>
  <c r="W99" i="2"/>
  <c r="X99" i="2" s="1"/>
  <c r="U99" i="2"/>
  <c r="R99" i="2"/>
  <c r="O99" i="2"/>
  <c r="N99" i="2"/>
  <c r="L99" i="2"/>
  <c r="H99" i="2"/>
  <c r="I99" i="2" s="1"/>
  <c r="F99" i="2"/>
  <c r="C99" i="2"/>
  <c r="AC98" i="2"/>
  <c r="AD98" i="2" s="1"/>
  <c r="AA98" i="2"/>
  <c r="X98" i="2"/>
  <c r="W98" i="2"/>
  <c r="U98" i="2"/>
  <c r="R98" i="2"/>
  <c r="O98" i="2"/>
  <c r="N98" i="2"/>
  <c r="L98" i="2"/>
  <c r="H98" i="2"/>
  <c r="I98" i="2" s="1"/>
  <c r="F98" i="2"/>
  <c r="C98" i="2"/>
  <c r="AD97" i="2"/>
  <c r="AC97" i="2"/>
  <c r="AA97" i="2"/>
  <c r="X97" i="2"/>
  <c r="W97" i="2"/>
  <c r="U97" i="2"/>
  <c r="R97" i="2"/>
  <c r="N97" i="2"/>
  <c r="O97" i="2" s="1"/>
  <c r="L97" i="2"/>
  <c r="H97" i="2"/>
  <c r="I97" i="2" s="1"/>
  <c r="F97" i="2"/>
  <c r="C97" i="2"/>
  <c r="AC96" i="2"/>
  <c r="AD96" i="2" s="1"/>
  <c r="AA96" i="2"/>
  <c r="X96" i="2"/>
  <c r="W96" i="2"/>
  <c r="U96" i="2"/>
  <c r="R96" i="2"/>
  <c r="O96" i="2"/>
  <c r="N96" i="2"/>
  <c r="L96" i="2"/>
  <c r="H96" i="2"/>
  <c r="I96" i="2" s="1"/>
  <c r="F96" i="2"/>
  <c r="C96" i="2"/>
  <c r="AC95" i="2"/>
  <c r="AD95" i="2" s="1"/>
  <c r="AA95" i="2"/>
  <c r="W95" i="2"/>
  <c r="X95" i="2" s="1"/>
  <c r="U95" i="2"/>
  <c r="R95" i="2"/>
  <c r="O95" i="2"/>
  <c r="N95" i="2"/>
  <c r="L95" i="2"/>
  <c r="H95" i="2"/>
  <c r="I95" i="2" s="1"/>
  <c r="F95" i="2"/>
  <c r="C95" i="2"/>
  <c r="AC94" i="2"/>
  <c r="AD94" i="2" s="1"/>
  <c r="AA94" i="2"/>
  <c r="X94" i="2"/>
  <c r="W94" i="2"/>
  <c r="U94" i="2"/>
  <c r="R94" i="2"/>
  <c r="O94" i="2"/>
  <c r="N94" i="2"/>
  <c r="L94" i="2"/>
  <c r="I94" i="2"/>
  <c r="H94" i="2"/>
  <c r="F94" i="2"/>
  <c r="C94" i="2"/>
  <c r="AD92" i="2"/>
  <c r="AC92" i="2"/>
  <c r="AA92" i="2"/>
  <c r="X92" i="2"/>
  <c r="W92" i="2"/>
  <c r="U92" i="2"/>
  <c r="R92" i="2"/>
  <c r="N92" i="2"/>
  <c r="O92" i="2" s="1"/>
  <c r="L92" i="2"/>
  <c r="H92" i="2"/>
  <c r="I92" i="2" s="1"/>
  <c r="F92" i="2"/>
  <c r="C92" i="2"/>
  <c r="AC91" i="2"/>
  <c r="AD91" i="2" s="1"/>
  <c r="AA91" i="2"/>
  <c r="W91" i="2"/>
  <c r="X91" i="2" s="1"/>
  <c r="U91" i="2"/>
  <c r="R91" i="2"/>
  <c r="O91" i="2"/>
  <c r="N91" i="2"/>
  <c r="L91" i="2"/>
  <c r="H91" i="2"/>
  <c r="I91" i="2" s="1"/>
  <c r="F91" i="2"/>
  <c r="C91" i="2"/>
  <c r="AD90" i="2"/>
  <c r="AC90" i="2"/>
  <c r="AA90" i="2"/>
  <c r="W90" i="2"/>
  <c r="X90" i="2" s="1"/>
  <c r="U90" i="2"/>
  <c r="R90" i="2"/>
  <c r="N90" i="2"/>
  <c r="O90" i="2" s="1"/>
  <c r="L90" i="2"/>
  <c r="H90" i="2"/>
  <c r="I90" i="2" s="1"/>
  <c r="F90" i="2"/>
  <c r="C90" i="2"/>
  <c r="AD89" i="2"/>
  <c r="AC89" i="2"/>
  <c r="AA89" i="2"/>
  <c r="W89" i="2"/>
  <c r="X89" i="2" s="1"/>
  <c r="U89" i="2"/>
  <c r="R89" i="2"/>
  <c r="N89" i="2"/>
  <c r="O89" i="2" s="1"/>
  <c r="L89" i="2"/>
  <c r="H89" i="2"/>
  <c r="I89" i="2" s="1"/>
  <c r="F89" i="2"/>
  <c r="C89" i="2"/>
  <c r="Z88" i="2"/>
  <c r="AA88" i="2" s="1"/>
  <c r="W88" i="2"/>
  <c r="X88" i="2" s="1"/>
  <c r="U88" i="2"/>
  <c r="T88" i="2"/>
  <c r="Q88" i="2"/>
  <c r="R88" i="2" s="1"/>
  <c r="K88" i="2"/>
  <c r="L88" i="2" s="1"/>
  <c r="I88" i="2"/>
  <c r="E88" i="2"/>
  <c r="F88" i="2" s="1"/>
  <c r="C88" i="2"/>
  <c r="B88" i="2"/>
  <c r="H88" i="2" s="1"/>
  <c r="AC87" i="2"/>
  <c r="AD87" i="2" s="1"/>
  <c r="AA87" i="2"/>
  <c r="W87" i="2"/>
  <c r="X87" i="2" s="1"/>
  <c r="U87" i="2"/>
  <c r="R87" i="2"/>
  <c r="O87" i="2"/>
  <c r="N87" i="2"/>
  <c r="L87" i="2"/>
  <c r="I87" i="2"/>
  <c r="H87" i="2"/>
  <c r="F87" i="2"/>
  <c r="C87" i="2"/>
  <c r="AD86" i="2"/>
  <c r="AC86" i="2"/>
  <c r="AA86" i="2"/>
  <c r="X86" i="2"/>
  <c r="W86" i="2"/>
  <c r="U86" i="2"/>
  <c r="R86" i="2"/>
  <c r="N86" i="2"/>
  <c r="O86" i="2" s="1"/>
  <c r="L86" i="2"/>
  <c r="H86" i="2"/>
  <c r="I86" i="2" s="1"/>
  <c r="F86" i="2"/>
  <c r="C86" i="2"/>
  <c r="AC85" i="2"/>
  <c r="AD85" i="2" s="1"/>
  <c r="AA85" i="2"/>
  <c r="X85" i="2"/>
  <c r="W85" i="2"/>
  <c r="U85" i="2"/>
  <c r="R85" i="2"/>
  <c r="N85" i="2"/>
  <c r="O85" i="2" s="1"/>
  <c r="L85" i="2"/>
  <c r="I85" i="2"/>
  <c r="H85" i="2"/>
  <c r="F85" i="2"/>
  <c r="C85" i="2"/>
  <c r="AD84" i="2"/>
  <c r="AC84" i="2"/>
  <c r="AA84" i="2"/>
  <c r="W84" i="2"/>
  <c r="X84" i="2" s="1"/>
  <c r="U84" i="2"/>
  <c r="R84" i="2"/>
  <c r="N84" i="2"/>
  <c r="O84" i="2" s="1"/>
  <c r="L84" i="2"/>
  <c r="H84" i="2"/>
  <c r="I84" i="2" s="1"/>
  <c r="F84" i="2"/>
  <c r="C84" i="2"/>
  <c r="AC83" i="2"/>
  <c r="AD83" i="2" s="1"/>
  <c r="AA83" i="2"/>
  <c r="W83" i="2"/>
  <c r="X83" i="2" s="1"/>
  <c r="U83" i="2"/>
  <c r="R83" i="2"/>
  <c r="O83" i="2"/>
  <c r="N83" i="2"/>
  <c r="L83" i="2"/>
  <c r="I83" i="2"/>
  <c r="H83" i="2"/>
  <c r="F83" i="2"/>
  <c r="C83" i="2"/>
  <c r="AD82" i="2"/>
  <c r="AC82" i="2"/>
  <c r="AA82" i="2"/>
  <c r="X82" i="2"/>
  <c r="W82" i="2"/>
  <c r="U82" i="2"/>
  <c r="R82" i="2"/>
  <c r="N82" i="2"/>
  <c r="O82" i="2" s="1"/>
  <c r="L82" i="2"/>
  <c r="H82" i="2"/>
  <c r="I82" i="2" s="1"/>
  <c r="F82" i="2"/>
  <c r="C82" i="2"/>
  <c r="AC81" i="2"/>
  <c r="AD81" i="2" s="1"/>
  <c r="AA81" i="2"/>
  <c r="X81" i="2"/>
  <c r="W81" i="2"/>
  <c r="U81" i="2"/>
  <c r="R81" i="2"/>
  <c r="N81" i="2"/>
  <c r="O81" i="2" s="1"/>
  <c r="L81" i="2"/>
  <c r="I81" i="2"/>
  <c r="H81" i="2"/>
  <c r="F81" i="2"/>
  <c r="C81" i="2"/>
  <c r="AD80" i="2"/>
  <c r="AC80" i="2"/>
  <c r="AA80" i="2"/>
  <c r="W80" i="2"/>
  <c r="X80" i="2" s="1"/>
  <c r="U80" i="2"/>
  <c r="R80" i="2"/>
  <c r="N80" i="2"/>
  <c r="O80" i="2" s="1"/>
  <c r="L80" i="2"/>
  <c r="H80" i="2"/>
  <c r="I80" i="2" s="1"/>
  <c r="F80" i="2"/>
  <c r="C80" i="2"/>
  <c r="AC79" i="2"/>
  <c r="AD79" i="2" s="1"/>
  <c r="AA79" i="2"/>
  <c r="W79" i="2"/>
  <c r="X79" i="2" s="1"/>
  <c r="U79" i="2"/>
  <c r="R79" i="2"/>
  <c r="O79" i="2"/>
  <c r="N79" i="2"/>
  <c r="L79" i="2"/>
  <c r="I79" i="2"/>
  <c r="H79" i="2"/>
  <c r="F79" i="2"/>
  <c r="C79" i="2"/>
  <c r="AD78" i="2"/>
  <c r="AC78" i="2"/>
  <c r="AA78" i="2"/>
  <c r="X78" i="2"/>
  <c r="W78" i="2"/>
  <c r="U78" i="2"/>
  <c r="R78" i="2"/>
  <c r="N78" i="2"/>
  <c r="O78" i="2" s="1"/>
  <c r="L78" i="2"/>
  <c r="H78" i="2"/>
  <c r="I78" i="2" s="1"/>
  <c r="F78" i="2"/>
  <c r="C78" i="2"/>
  <c r="AC77" i="2"/>
  <c r="AD77" i="2" s="1"/>
  <c r="AA77" i="2"/>
  <c r="X77" i="2"/>
  <c r="W77" i="2"/>
  <c r="U77" i="2"/>
  <c r="R77" i="2"/>
  <c r="N77" i="2"/>
  <c r="O77" i="2" s="1"/>
  <c r="L77" i="2"/>
  <c r="I77" i="2"/>
  <c r="H77" i="2"/>
  <c r="F77" i="2"/>
  <c r="C77" i="2"/>
  <c r="AD76" i="2"/>
  <c r="AC76" i="2"/>
  <c r="AA76" i="2"/>
  <c r="W76" i="2"/>
  <c r="X76" i="2" s="1"/>
  <c r="U76" i="2"/>
  <c r="R76" i="2"/>
  <c r="N76" i="2"/>
  <c r="O76" i="2" s="1"/>
  <c r="L76" i="2"/>
  <c r="H76" i="2"/>
  <c r="I76" i="2" s="1"/>
  <c r="F76" i="2"/>
  <c r="C76" i="2"/>
  <c r="AC75" i="2"/>
  <c r="AD75" i="2" s="1"/>
  <c r="AA75" i="2"/>
  <c r="W75" i="2"/>
  <c r="X75" i="2" s="1"/>
  <c r="U75" i="2"/>
  <c r="R75" i="2"/>
  <c r="O75" i="2"/>
  <c r="N75" i="2"/>
  <c r="L75" i="2"/>
  <c r="I75" i="2"/>
  <c r="H75" i="2"/>
  <c r="F75" i="2"/>
  <c r="C75" i="2"/>
  <c r="Z73" i="2"/>
  <c r="AA73" i="2" s="1"/>
  <c r="T73" i="2"/>
  <c r="U73" i="2" s="1"/>
  <c r="Q73" i="2"/>
  <c r="W73" i="2" s="1"/>
  <c r="X73" i="2" s="1"/>
  <c r="N73" i="2"/>
  <c r="O73" i="2" s="1"/>
  <c r="L73" i="2"/>
  <c r="K73" i="2"/>
  <c r="F73" i="2"/>
  <c r="E73" i="2"/>
  <c r="B73" i="2"/>
  <c r="AD72" i="2"/>
  <c r="AC72" i="2"/>
  <c r="AA72" i="2"/>
  <c r="W72" i="2"/>
  <c r="X72" i="2" s="1"/>
  <c r="U72" i="2"/>
  <c r="R72" i="2"/>
  <c r="O72" i="2"/>
  <c r="N72" i="2"/>
  <c r="L72" i="2"/>
  <c r="H72" i="2"/>
  <c r="I72" i="2" s="1"/>
  <c r="F72" i="2"/>
  <c r="C72" i="2"/>
  <c r="AC71" i="2"/>
  <c r="AD71" i="2" s="1"/>
  <c r="AA71" i="2"/>
  <c r="W71" i="2"/>
  <c r="X71" i="2" s="1"/>
  <c r="U71" i="2"/>
  <c r="R71" i="2"/>
  <c r="O71" i="2"/>
  <c r="N71" i="2"/>
  <c r="L71" i="2"/>
  <c r="I71" i="2"/>
  <c r="H71" i="2"/>
  <c r="F71" i="2"/>
  <c r="C71" i="2"/>
  <c r="AC70" i="2"/>
  <c r="AD70" i="2" s="1"/>
  <c r="AA70" i="2"/>
  <c r="X70" i="2"/>
  <c r="W70" i="2"/>
  <c r="U70" i="2"/>
  <c r="R70" i="2"/>
  <c r="N70" i="2"/>
  <c r="O70" i="2" s="1"/>
  <c r="L70" i="2"/>
  <c r="H70" i="2"/>
  <c r="I70" i="2" s="1"/>
  <c r="F70" i="2"/>
  <c r="C70" i="2"/>
  <c r="AC69" i="2"/>
  <c r="AD69" i="2" s="1"/>
  <c r="AA69" i="2"/>
  <c r="X69" i="2"/>
  <c r="W69" i="2"/>
  <c r="U69" i="2"/>
  <c r="R69" i="2"/>
  <c r="N69" i="2"/>
  <c r="O69" i="2" s="1"/>
  <c r="L69" i="2"/>
  <c r="H69" i="2"/>
  <c r="I69" i="2" s="1"/>
  <c r="F69" i="2"/>
  <c r="C69" i="2"/>
  <c r="AD68" i="2"/>
  <c r="AC68" i="2"/>
  <c r="AA68" i="2"/>
  <c r="W68" i="2"/>
  <c r="X68" i="2" s="1"/>
  <c r="U68" i="2"/>
  <c r="R68" i="2"/>
  <c r="O68" i="2"/>
  <c r="N68" i="2"/>
  <c r="L68" i="2"/>
  <c r="H68" i="2"/>
  <c r="I68" i="2" s="1"/>
  <c r="F68" i="2"/>
  <c r="C68" i="2"/>
  <c r="AC67" i="2"/>
  <c r="AD67" i="2" s="1"/>
  <c r="AA67" i="2"/>
  <c r="W67" i="2"/>
  <c r="X67" i="2" s="1"/>
  <c r="U67" i="2"/>
  <c r="R67" i="2"/>
  <c r="O67" i="2"/>
  <c r="N67" i="2"/>
  <c r="L67" i="2"/>
  <c r="I67" i="2"/>
  <c r="H67" i="2"/>
  <c r="F67" i="2"/>
  <c r="C67" i="2"/>
  <c r="AC66" i="2"/>
  <c r="AD66" i="2" s="1"/>
  <c r="AA66" i="2"/>
  <c r="X66" i="2"/>
  <c r="W66" i="2"/>
  <c r="U66" i="2"/>
  <c r="R66" i="2"/>
  <c r="N66" i="2"/>
  <c r="O66" i="2" s="1"/>
  <c r="L66" i="2"/>
  <c r="H66" i="2"/>
  <c r="I66" i="2" s="1"/>
  <c r="F66" i="2"/>
  <c r="C66" i="2"/>
  <c r="AC65" i="2"/>
  <c r="AD65" i="2" s="1"/>
  <c r="AA65" i="2"/>
  <c r="X65" i="2"/>
  <c r="W65" i="2"/>
  <c r="U65" i="2"/>
  <c r="R65" i="2"/>
  <c r="N65" i="2"/>
  <c r="O65" i="2" s="1"/>
  <c r="L65" i="2"/>
  <c r="H65" i="2"/>
  <c r="I65" i="2" s="1"/>
  <c r="F65" i="2"/>
  <c r="C65" i="2"/>
  <c r="AD64" i="2"/>
  <c r="AC64" i="2"/>
  <c r="AA64" i="2"/>
  <c r="W64" i="2"/>
  <c r="X64" i="2" s="1"/>
  <c r="U64" i="2"/>
  <c r="R64" i="2"/>
  <c r="O64" i="2"/>
  <c r="N64" i="2"/>
  <c r="L64" i="2"/>
  <c r="H64" i="2"/>
  <c r="I64" i="2" s="1"/>
  <c r="F64" i="2"/>
  <c r="C64" i="2"/>
  <c r="AA62" i="2"/>
  <c r="Z62" i="2"/>
  <c r="U62" i="2"/>
  <c r="T62" i="2"/>
  <c r="Q62" i="2"/>
  <c r="AC62" i="2" s="1"/>
  <c r="AD62" i="2" s="1"/>
  <c r="O62" i="2"/>
  <c r="K62" i="2"/>
  <c r="L62" i="2" s="1"/>
  <c r="H62" i="2"/>
  <c r="I62" i="2" s="1"/>
  <c r="E62" i="2"/>
  <c r="F62" i="2" s="1"/>
  <c r="C62" i="2"/>
  <c r="B62" i="2"/>
  <c r="N62" i="2" s="1"/>
  <c r="Z61" i="2"/>
  <c r="AA61" i="2" s="1"/>
  <c r="W61" i="2"/>
  <c r="X61" i="2" s="1"/>
  <c r="U61" i="2"/>
  <c r="T61" i="2"/>
  <c r="Q61" i="2"/>
  <c r="R61" i="2" s="1"/>
  <c r="K61" i="2"/>
  <c r="L61" i="2" s="1"/>
  <c r="E61" i="2"/>
  <c r="F61" i="2" s="1"/>
  <c r="B61" i="2"/>
  <c r="H61" i="2" s="1"/>
  <c r="I61" i="2" s="1"/>
  <c r="AC60" i="2"/>
  <c r="AD60" i="2" s="1"/>
  <c r="AA60" i="2"/>
  <c r="W60" i="2"/>
  <c r="X60" i="2" s="1"/>
  <c r="U60" i="2"/>
  <c r="R60" i="2"/>
  <c r="O60" i="2"/>
  <c r="N60" i="2"/>
  <c r="L60" i="2"/>
  <c r="I60" i="2"/>
  <c r="H60" i="2"/>
  <c r="F60" i="2"/>
  <c r="C60" i="2"/>
  <c r="AC59" i="2"/>
  <c r="AD59" i="2" s="1"/>
  <c r="AA59" i="2"/>
  <c r="X59" i="2"/>
  <c r="W59" i="2"/>
  <c r="U59" i="2"/>
  <c r="R59" i="2"/>
  <c r="N59" i="2"/>
  <c r="O59" i="2" s="1"/>
  <c r="L59" i="2"/>
  <c r="H59" i="2"/>
  <c r="I59" i="2" s="1"/>
  <c r="F59" i="2"/>
  <c r="C59" i="2"/>
  <c r="AC58" i="2"/>
  <c r="AD58" i="2" s="1"/>
  <c r="AA58" i="2"/>
  <c r="X58" i="2"/>
  <c r="W58" i="2"/>
  <c r="U58" i="2"/>
  <c r="R58" i="2"/>
  <c r="N58" i="2"/>
  <c r="O58" i="2" s="1"/>
  <c r="L58" i="2"/>
  <c r="I58" i="2"/>
  <c r="H58" i="2"/>
  <c r="F58" i="2"/>
  <c r="C58" i="2"/>
  <c r="AD57" i="2"/>
  <c r="AC57" i="2"/>
  <c r="AA57" i="2"/>
  <c r="W57" i="2"/>
  <c r="X57" i="2" s="1"/>
  <c r="U57" i="2"/>
  <c r="R57" i="2"/>
  <c r="N57" i="2"/>
  <c r="O57" i="2" s="1"/>
  <c r="L57" i="2"/>
  <c r="H57" i="2"/>
  <c r="I57" i="2" s="1"/>
  <c r="F57" i="2"/>
  <c r="C57" i="2"/>
  <c r="AC56" i="2"/>
  <c r="AD56" i="2" s="1"/>
  <c r="AA56" i="2"/>
  <c r="W56" i="2"/>
  <c r="X56" i="2" s="1"/>
  <c r="U56" i="2"/>
  <c r="R56" i="2"/>
  <c r="O56" i="2"/>
  <c r="N56" i="2"/>
  <c r="L56" i="2"/>
  <c r="I56" i="2"/>
  <c r="H56" i="2"/>
  <c r="F56" i="2"/>
  <c r="C56" i="2"/>
  <c r="AC55" i="2"/>
  <c r="AD55" i="2" s="1"/>
  <c r="AA55" i="2"/>
  <c r="X55" i="2"/>
  <c r="W55" i="2"/>
  <c r="U55" i="2"/>
  <c r="R55" i="2"/>
  <c r="N55" i="2"/>
  <c r="O55" i="2" s="1"/>
  <c r="L55" i="2"/>
  <c r="H55" i="2"/>
  <c r="I55" i="2" s="1"/>
  <c r="F55" i="2"/>
  <c r="C55" i="2"/>
  <c r="AC54" i="2"/>
  <c r="AD54" i="2" s="1"/>
  <c r="AA54" i="2"/>
  <c r="X54" i="2"/>
  <c r="W54" i="2"/>
  <c r="U54" i="2"/>
  <c r="R54" i="2"/>
  <c r="N54" i="2"/>
  <c r="O54" i="2" s="1"/>
  <c r="L54" i="2"/>
  <c r="I54" i="2"/>
  <c r="H54" i="2"/>
  <c r="F54" i="2"/>
  <c r="C54" i="2"/>
  <c r="AD53" i="2"/>
  <c r="AC53" i="2"/>
  <c r="AA53" i="2"/>
  <c r="W53" i="2"/>
  <c r="X53" i="2" s="1"/>
  <c r="U53" i="2"/>
  <c r="R53" i="2"/>
  <c r="N53" i="2"/>
  <c r="O53" i="2" s="1"/>
  <c r="L53" i="2"/>
  <c r="H53" i="2"/>
  <c r="I53" i="2" s="1"/>
  <c r="F53" i="2"/>
  <c r="C53" i="2"/>
  <c r="AC52" i="2"/>
  <c r="AD52" i="2" s="1"/>
  <c r="AA52" i="2"/>
  <c r="W52" i="2"/>
  <c r="X52" i="2" s="1"/>
  <c r="U52" i="2"/>
  <c r="R52" i="2"/>
  <c r="O52" i="2"/>
  <c r="N52" i="2"/>
  <c r="L52" i="2"/>
  <c r="I52" i="2"/>
  <c r="H52" i="2"/>
  <c r="F52" i="2"/>
  <c r="C52" i="2"/>
  <c r="AC51" i="2"/>
  <c r="AD51" i="2" s="1"/>
  <c r="AA51" i="2"/>
  <c r="X51" i="2"/>
  <c r="W51" i="2"/>
  <c r="U51" i="2"/>
  <c r="R51" i="2"/>
  <c r="N51" i="2"/>
  <c r="O51" i="2" s="1"/>
  <c r="L51" i="2"/>
  <c r="H51" i="2"/>
  <c r="I51" i="2" s="1"/>
  <c r="F51" i="2"/>
  <c r="C51" i="2"/>
  <c r="AC50" i="2"/>
  <c r="AD50" i="2" s="1"/>
  <c r="AA50" i="2"/>
  <c r="X50" i="2"/>
  <c r="W50" i="2"/>
  <c r="U50" i="2"/>
  <c r="R50" i="2"/>
  <c r="N50" i="2"/>
  <c r="O50" i="2" s="1"/>
  <c r="L50" i="2"/>
  <c r="I50" i="2"/>
  <c r="H50" i="2"/>
  <c r="F50" i="2"/>
  <c r="C50" i="2"/>
  <c r="AD49" i="2"/>
  <c r="AC49" i="2"/>
  <c r="AA49" i="2"/>
  <c r="W49" i="2"/>
  <c r="X49" i="2" s="1"/>
  <c r="U49" i="2"/>
  <c r="R49" i="2"/>
  <c r="N49" i="2"/>
  <c r="O49" i="2" s="1"/>
  <c r="L49" i="2"/>
  <c r="H49" i="2"/>
  <c r="I49" i="2" s="1"/>
  <c r="F49" i="2"/>
  <c r="C49" i="2"/>
  <c r="AC48" i="2"/>
  <c r="AD48" i="2" s="1"/>
  <c r="AA48" i="2"/>
  <c r="W48" i="2"/>
  <c r="X48" i="2" s="1"/>
  <c r="U48" i="2"/>
  <c r="R48" i="2"/>
  <c r="O48" i="2"/>
  <c r="N48" i="2"/>
  <c r="L48" i="2"/>
  <c r="I48" i="2"/>
  <c r="H48" i="2"/>
  <c r="F48" i="2"/>
  <c r="C48" i="2"/>
  <c r="AC47" i="2"/>
  <c r="AD47" i="2" s="1"/>
  <c r="AA47" i="2"/>
  <c r="X47" i="2"/>
  <c r="W47" i="2"/>
  <c r="U47" i="2"/>
  <c r="R47" i="2"/>
  <c r="N47" i="2"/>
  <c r="O47" i="2" s="1"/>
  <c r="L47" i="2"/>
  <c r="H47" i="2"/>
  <c r="I47" i="2" s="1"/>
  <c r="F47" i="2"/>
  <c r="C47" i="2"/>
  <c r="AC46" i="2"/>
  <c r="AD46" i="2" s="1"/>
  <c r="AA46" i="2"/>
  <c r="X46" i="2"/>
  <c r="W46" i="2"/>
  <c r="U46" i="2"/>
  <c r="R46" i="2"/>
  <c r="N46" i="2"/>
  <c r="O46" i="2" s="1"/>
  <c r="L46" i="2"/>
  <c r="I46" i="2"/>
  <c r="H46" i="2"/>
  <c r="F46" i="2"/>
  <c r="C46" i="2"/>
  <c r="AD44" i="2"/>
  <c r="AC44" i="2"/>
  <c r="AA44" i="2"/>
  <c r="W44" i="2"/>
  <c r="X44" i="2" s="1"/>
  <c r="U44" i="2"/>
  <c r="R44" i="2"/>
  <c r="N44" i="2"/>
  <c r="O44" i="2" s="1"/>
  <c r="L44" i="2"/>
  <c r="H44" i="2"/>
  <c r="I44" i="2" s="1"/>
  <c r="F44" i="2"/>
  <c r="C44" i="2"/>
  <c r="AC43" i="2"/>
  <c r="AD43" i="2" s="1"/>
  <c r="AA43" i="2"/>
  <c r="W43" i="2"/>
  <c r="X43" i="2" s="1"/>
  <c r="U43" i="2"/>
  <c r="R43" i="2"/>
  <c r="O43" i="2"/>
  <c r="N43" i="2"/>
  <c r="L43" i="2"/>
  <c r="I43" i="2"/>
  <c r="H43" i="2"/>
  <c r="F43" i="2"/>
  <c r="C43" i="2"/>
  <c r="AC42" i="2"/>
  <c r="AD42" i="2" s="1"/>
  <c r="AA42" i="2"/>
  <c r="X42" i="2"/>
  <c r="W42" i="2"/>
  <c r="U42" i="2"/>
  <c r="R42" i="2"/>
  <c r="N42" i="2"/>
  <c r="O42" i="2" s="1"/>
  <c r="L42" i="2"/>
  <c r="H42" i="2"/>
  <c r="I42" i="2" s="1"/>
  <c r="F42" i="2"/>
  <c r="C42" i="2"/>
  <c r="AA40" i="2"/>
  <c r="Z40" i="2"/>
  <c r="W40" i="2"/>
  <c r="X40" i="2" s="1"/>
  <c r="U40" i="2"/>
  <c r="T40" i="2"/>
  <c r="Q40" i="2"/>
  <c r="R40" i="2" s="1"/>
  <c r="N40" i="2"/>
  <c r="O40" i="2" s="1"/>
  <c r="K40" i="2"/>
  <c r="L40" i="2" s="1"/>
  <c r="E40" i="2"/>
  <c r="F40" i="2" s="1"/>
  <c r="B40" i="2"/>
  <c r="H40" i="2" s="1"/>
  <c r="I40" i="2" s="1"/>
  <c r="AC39" i="2"/>
  <c r="AD39" i="2" s="1"/>
  <c r="AA39" i="2"/>
  <c r="W39" i="2"/>
  <c r="X39" i="2" s="1"/>
  <c r="U39" i="2"/>
  <c r="R39" i="2"/>
  <c r="O39" i="2"/>
  <c r="N39" i="2"/>
  <c r="L39" i="2"/>
  <c r="I39" i="2"/>
  <c r="H39" i="2"/>
  <c r="F39" i="2"/>
  <c r="C39" i="2"/>
  <c r="AD38" i="2"/>
  <c r="AC38" i="2"/>
  <c r="AA38" i="2"/>
  <c r="W38" i="2"/>
  <c r="X38" i="2" s="1"/>
  <c r="U38" i="2"/>
  <c r="R38" i="2"/>
  <c r="N38" i="2"/>
  <c r="O38" i="2" s="1"/>
  <c r="L38" i="2"/>
  <c r="H38" i="2"/>
  <c r="I38" i="2" s="1"/>
  <c r="F38" i="2"/>
  <c r="C38" i="2"/>
  <c r="AC37" i="2"/>
  <c r="AD37" i="2" s="1"/>
  <c r="AA37" i="2"/>
  <c r="X37" i="2"/>
  <c r="W37" i="2"/>
  <c r="U37" i="2"/>
  <c r="R37" i="2"/>
  <c r="N37" i="2"/>
  <c r="O37" i="2" s="1"/>
  <c r="L37" i="2"/>
  <c r="I37" i="2"/>
  <c r="H37" i="2"/>
  <c r="F37" i="2"/>
  <c r="C37" i="2"/>
  <c r="AD36" i="2"/>
  <c r="AC36" i="2"/>
  <c r="AA36" i="2"/>
  <c r="W36" i="2"/>
  <c r="X36" i="2" s="1"/>
  <c r="U36" i="2"/>
  <c r="R36" i="2"/>
  <c r="O36" i="2"/>
  <c r="N36" i="2"/>
  <c r="L36" i="2"/>
  <c r="H36" i="2"/>
  <c r="I36" i="2" s="1"/>
  <c r="F36" i="2"/>
  <c r="C36" i="2"/>
  <c r="AC35" i="2"/>
  <c r="AD35" i="2" s="1"/>
  <c r="AA35" i="2"/>
  <c r="W35" i="2"/>
  <c r="X35" i="2" s="1"/>
  <c r="U35" i="2"/>
  <c r="R35" i="2"/>
  <c r="O35" i="2"/>
  <c r="N35" i="2"/>
  <c r="L35" i="2"/>
  <c r="I35" i="2"/>
  <c r="H35" i="2"/>
  <c r="F35" i="2"/>
  <c r="C35" i="2"/>
  <c r="AD34" i="2"/>
  <c r="AC34" i="2"/>
  <c r="AA34" i="2"/>
  <c r="W34" i="2"/>
  <c r="X34" i="2" s="1"/>
  <c r="U34" i="2"/>
  <c r="R34" i="2"/>
  <c r="N34" i="2"/>
  <c r="O34" i="2" s="1"/>
  <c r="L34" i="2"/>
  <c r="H34" i="2"/>
  <c r="I34" i="2" s="1"/>
  <c r="F34" i="2"/>
  <c r="C34" i="2"/>
  <c r="AC33" i="2"/>
  <c r="AD33" i="2" s="1"/>
  <c r="AA33" i="2"/>
  <c r="X33" i="2"/>
  <c r="W33" i="2"/>
  <c r="U33" i="2"/>
  <c r="R33" i="2"/>
  <c r="N33" i="2"/>
  <c r="O33" i="2" s="1"/>
  <c r="L33" i="2"/>
  <c r="I33" i="2"/>
  <c r="H33" i="2"/>
  <c r="F33" i="2"/>
  <c r="C33" i="2"/>
  <c r="AD32" i="2"/>
  <c r="AC32" i="2"/>
  <c r="AA32" i="2"/>
  <c r="W32" i="2"/>
  <c r="X32" i="2" s="1"/>
  <c r="U32" i="2"/>
  <c r="R32" i="2"/>
  <c r="O32" i="2"/>
  <c r="N32" i="2"/>
  <c r="L32" i="2"/>
  <c r="H32" i="2"/>
  <c r="I32" i="2" s="1"/>
  <c r="F32" i="2"/>
  <c r="C32" i="2"/>
  <c r="AC31" i="2"/>
  <c r="AD31" i="2" s="1"/>
  <c r="AA31" i="2"/>
  <c r="W31" i="2"/>
  <c r="X31" i="2" s="1"/>
  <c r="U31" i="2"/>
  <c r="R31" i="2"/>
  <c r="O31" i="2"/>
  <c r="N31" i="2"/>
  <c r="L31" i="2"/>
  <c r="I31" i="2"/>
  <c r="H31" i="2"/>
  <c r="F31" i="2"/>
  <c r="C31" i="2"/>
  <c r="Z29" i="2"/>
  <c r="AA29" i="2" s="1"/>
  <c r="T29" i="2"/>
  <c r="U29" i="2" s="1"/>
  <c r="Q29" i="2"/>
  <c r="W29" i="2" s="1"/>
  <c r="X29" i="2" s="1"/>
  <c r="L29" i="2"/>
  <c r="K29" i="2"/>
  <c r="E29" i="2"/>
  <c r="F29" i="2" s="1"/>
  <c r="B29" i="2"/>
  <c r="AD28" i="2"/>
  <c r="AC28" i="2"/>
  <c r="AA28" i="2"/>
  <c r="W28" i="2"/>
  <c r="X28" i="2" s="1"/>
  <c r="U28" i="2"/>
  <c r="R28" i="2"/>
  <c r="N28" i="2"/>
  <c r="O28" i="2" s="1"/>
  <c r="L28" i="2"/>
  <c r="H28" i="2"/>
  <c r="I28" i="2" s="1"/>
  <c r="F28" i="2"/>
  <c r="C28" i="2"/>
  <c r="AC27" i="2"/>
  <c r="AD27" i="2" s="1"/>
  <c r="AA27" i="2"/>
  <c r="W27" i="2"/>
  <c r="X27" i="2" s="1"/>
  <c r="U27" i="2"/>
  <c r="R27" i="2"/>
  <c r="O27" i="2"/>
  <c r="N27" i="2"/>
  <c r="L27" i="2"/>
  <c r="I27" i="2"/>
  <c r="H27" i="2"/>
  <c r="F27" i="2"/>
  <c r="C27" i="2"/>
  <c r="AC26" i="2"/>
  <c r="AD26" i="2" s="1"/>
  <c r="AA26" i="2"/>
  <c r="X26" i="2"/>
  <c r="W26" i="2"/>
  <c r="U26" i="2"/>
  <c r="R26" i="2"/>
  <c r="N26" i="2"/>
  <c r="O26" i="2" s="1"/>
  <c r="L26" i="2"/>
  <c r="H26" i="2"/>
  <c r="I26" i="2" s="1"/>
  <c r="F26" i="2"/>
  <c r="C26" i="2"/>
  <c r="AC25" i="2"/>
  <c r="AD25" i="2" s="1"/>
  <c r="AA25" i="2"/>
  <c r="X25" i="2"/>
  <c r="W25" i="2"/>
  <c r="U25" i="2"/>
  <c r="R25" i="2"/>
  <c r="N25" i="2"/>
  <c r="O25" i="2" s="1"/>
  <c r="L25" i="2"/>
  <c r="H25" i="2"/>
  <c r="I25" i="2" s="1"/>
  <c r="F25" i="2"/>
  <c r="C25" i="2"/>
  <c r="AD24" i="2"/>
  <c r="AC24" i="2"/>
  <c r="AA24" i="2"/>
  <c r="W24" i="2"/>
  <c r="X24" i="2" s="1"/>
  <c r="U24" i="2"/>
  <c r="R24" i="2"/>
  <c r="N24" i="2"/>
  <c r="O24" i="2" s="1"/>
  <c r="L24" i="2"/>
  <c r="H24" i="2"/>
  <c r="I24" i="2" s="1"/>
  <c r="F24" i="2"/>
  <c r="C24" i="2"/>
  <c r="AC23" i="2"/>
  <c r="AD23" i="2" s="1"/>
  <c r="AA23" i="2"/>
  <c r="W23" i="2"/>
  <c r="X23" i="2" s="1"/>
  <c r="U23" i="2"/>
  <c r="R23" i="2"/>
  <c r="O23" i="2"/>
  <c r="N23" i="2"/>
  <c r="L23" i="2"/>
  <c r="I23" i="2"/>
  <c r="H23" i="2"/>
  <c r="F23" i="2"/>
  <c r="C23" i="2"/>
  <c r="AC22" i="2"/>
  <c r="AD22" i="2" s="1"/>
  <c r="AA22" i="2"/>
  <c r="X22" i="2"/>
  <c r="W22" i="2"/>
  <c r="U22" i="2"/>
  <c r="R22" i="2"/>
  <c r="N22" i="2"/>
  <c r="O22" i="2" s="1"/>
  <c r="L22" i="2"/>
  <c r="H22" i="2"/>
  <c r="I22" i="2" s="1"/>
  <c r="F22" i="2"/>
  <c r="C22" i="2"/>
  <c r="AC21" i="2"/>
  <c r="AD21" i="2" s="1"/>
  <c r="AA21" i="2"/>
  <c r="X21" i="2"/>
  <c r="W21" i="2"/>
  <c r="U21" i="2"/>
  <c r="R21" i="2"/>
  <c r="N21" i="2"/>
  <c r="O21" i="2" s="1"/>
  <c r="L21" i="2"/>
  <c r="H21" i="2"/>
  <c r="I21" i="2" s="1"/>
  <c r="F21" i="2"/>
  <c r="C21" i="2"/>
  <c r="AD19" i="2"/>
  <c r="AC19" i="2"/>
  <c r="AA19" i="2"/>
  <c r="W19" i="2"/>
  <c r="X19" i="2" s="1"/>
  <c r="U19" i="2"/>
  <c r="R19" i="2"/>
  <c r="N19" i="2"/>
  <c r="O19" i="2" s="1"/>
  <c r="L19" i="2"/>
  <c r="H19" i="2"/>
  <c r="I19" i="2" s="1"/>
  <c r="F19" i="2"/>
  <c r="C19" i="2"/>
  <c r="AA18" i="2"/>
  <c r="Z18" i="2"/>
  <c r="U18" i="2"/>
  <c r="T18" i="2"/>
  <c r="Q18" i="2"/>
  <c r="O18" i="2"/>
  <c r="K18" i="2"/>
  <c r="L18" i="2" s="1"/>
  <c r="E18" i="2"/>
  <c r="F18" i="2" s="1"/>
  <c r="C18" i="2"/>
  <c r="B18" i="2"/>
  <c r="N18" i="2" s="1"/>
  <c r="AC17" i="2"/>
  <c r="AD17" i="2" s="1"/>
  <c r="AA17" i="2"/>
  <c r="X17" i="2"/>
  <c r="W17" i="2"/>
  <c r="U17" i="2"/>
  <c r="R17" i="2"/>
  <c r="N17" i="2"/>
  <c r="O17" i="2" s="1"/>
  <c r="L17" i="2"/>
  <c r="I17" i="2"/>
  <c r="H17" i="2"/>
  <c r="F17" i="2"/>
  <c r="C17" i="2"/>
  <c r="AD16" i="2"/>
  <c r="AC16" i="2"/>
  <c r="AA16" i="2"/>
  <c r="W16" i="2"/>
  <c r="X16" i="2" s="1"/>
  <c r="U16" i="2"/>
  <c r="R16" i="2"/>
  <c r="O16" i="2"/>
  <c r="N16" i="2"/>
  <c r="L16" i="2"/>
  <c r="H16" i="2"/>
  <c r="I16" i="2" s="1"/>
  <c r="F16" i="2"/>
  <c r="C16" i="2"/>
  <c r="AC15" i="2"/>
  <c r="AD15" i="2" s="1"/>
  <c r="AA15" i="2"/>
  <c r="W15" i="2"/>
  <c r="X15" i="2" s="1"/>
  <c r="U15" i="2"/>
  <c r="R15" i="2"/>
  <c r="O15" i="2"/>
  <c r="N15" i="2"/>
  <c r="L15" i="2"/>
  <c r="I15" i="2"/>
  <c r="H15" i="2"/>
  <c r="F15" i="2"/>
  <c r="C15" i="2"/>
  <c r="AC14" i="2"/>
  <c r="AD14" i="2" s="1"/>
  <c r="AA14" i="2"/>
  <c r="W14" i="2"/>
  <c r="X14" i="2" s="1"/>
  <c r="U14" i="2"/>
  <c r="R14" i="2"/>
  <c r="N14" i="2"/>
  <c r="O14" i="2" s="1"/>
  <c r="L14" i="2"/>
  <c r="H14" i="2"/>
  <c r="I14" i="2" s="1"/>
  <c r="F14" i="2"/>
  <c r="C14" i="2"/>
  <c r="AC13" i="2"/>
  <c r="AD13" i="2" s="1"/>
  <c r="AA13" i="2"/>
  <c r="X13" i="2"/>
  <c r="W13" i="2"/>
  <c r="U13" i="2"/>
  <c r="R13" i="2"/>
  <c r="N13" i="2"/>
  <c r="O13" i="2" s="1"/>
  <c r="L13" i="2"/>
  <c r="I13" i="2"/>
  <c r="H13" i="2"/>
  <c r="F13" i="2"/>
  <c r="C13" i="2"/>
  <c r="AD12" i="2"/>
  <c r="AC12" i="2"/>
  <c r="AA12" i="2"/>
  <c r="W12" i="2"/>
  <c r="X12" i="2" s="1"/>
  <c r="U12" i="2"/>
  <c r="R12" i="2"/>
  <c r="O12" i="2"/>
  <c r="N12" i="2"/>
  <c r="L12" i="2"/>
  <c r="H12" i="2"/>
  <c r="I12" i="2" s="1"/>
  <c r="F12" i="2"/>
  <c r="C12" i="2"/>
  <c r="AC11" i="2"/>
  <c r="AD11" i="2" s="1"/>
  <c r="AA11" i="2"/>
  <c r="X11" i="2"/>
  <c r="W11" i="2"/>
  <c r="U11" i="2"/>
  <c r="R11" i="2"/>
  <c r="O11" i="2"/>
  <c r="N11" i="2"/>
  <c r="L11" i="2"/>
  <c r="I11" i="2"/>
  <c r="H11" i="2"/>
  <c r="F11" i="2"/>
  <c r="C11" i="2"/>
  <c r="AC10" i="2"/>
  <c r="AD10" i="2" s="1"/>
  <c r="AA10" i="2"/>
  <c r="X10" i="2"/>
  <c r="W10" i="2"/>
  <c r="U10" i="2"/>
  <c r="R10" i="2"/>
  <c r="N10" i="2"/>
  <c r="O10" i="2" s="1"/>
  <c r="L10" i="2"/>
  <c r="H10" i="2"/>
  <c r="I10" i="2" s="1"/>
  <c r="F10" i="2"/>
  <c r="C10" i="2"/>
  <c r="AC8" i="2"/>
  <c r="AD8" i="2" s="1"/>
  <c r="AA8" i="2"/>
  <c r="X8" i="2"/>
  <c r="W8" i="2"/>
  <c r="U8" i="2"/>
  <c r="R8" i="2"/>
  <c r="O8" i="2"/>
  <c r="N8" i="2"/>
  <c r="L8" i="2"/>
  <c r="I8" i="2"/>
  <c r="H8" i="2"/>
  <c r="F8" i="2"/>
  <c r="C8" i="2"/>
  <c r="AC444" i="1"/>
  <c r="AD436" i="1" s="1"/>
  <c r="W444" i="1"/>
  <c r="N444" i="1"/>
  <c r="H444" i="1"/>
  <c r="Z442" i="1"/>
  <c r="AA442" i="1" s="1"/>
  <c r="W442" i="1"/>
  <c r="X442" i="1" s="1"/>
  <c r="T442" i="1"/>
  <c r="U442" i="1" s="1"/>
  <c r="R442" i="1"/>
  <c r="Q442" i="1"/>
  <c r="AC442" i="1" s="1"/>
  <c r="K442" i="1"/>
  <c r="L442" i="1" s="1"/>
  <c r="H442" i="1"/>
  <c r="I442" i="1" s="1"/>
  <c r="F442" i="1"/>
  <c r="E442" i="1"/>
  <c r="B442" i="1"/>
  <c r="C442" i="1" s="1"/>
  <c r="Z441" i="1"/>
  <c r="AA441" i="1" s="1"/>
  <c r="T441" i="1"/>
  <c r="U441" i="1" s="1"/>
  <c r="Q441" i="1"/>
  <c r="W441" i="1" s="1"/>
  <c r="X441" i="1" s="1"/>
  <c r="L441" i="1"/>
  <c r="K441" i="1"/>
  <c r="E441" i="1"/>
  <c r="F441" i="1" s="1"/>
  <c r="B441" i="1"/>
  <c r="AC440" i="1"/>
  <c r="AA440" i="1"/>
  <c r="W440" i="1"/>
  <c r="X440" i="1" s="1"/>
  <c r="U440" i="1"/>
  <c r="R440" i="1"/>
  <c r="N440" i="1"/>
  <c r="O440" i="1" s="1"/>
  <c r="L440" i="1"/>
  <c r="H440" i="1"/>
  <c r="I440" i="1" s="1"/>
  <c r="F440" i="1"/>
  <c r="C440" i="1"/>
  <c r="AC439" i="1"/>
  <c r="AA439" i="1"/>
  <c r="X439" i="1"/>
  <c r="W439" i="1"/>
  <c r="U439" i="1"/>
  <c r="R439" i="1"/>
  <c r="O439" i="1"/>
  <c r="N439" i="1"/>
  <c r="L439" i="1"/>
  <c r="I439" i="1"/>
  <c r="H439" i="1"/>
  <c r="F439" i="1"/>
  <c r="C439" i="1"/>
  <c r="AD438" i="1"/>
  <c r="AC438" i="1"/>
  <c r="AA438" i="1"/>
  <c r="W438" i="1"/>
  <c r="X438" i="1" s="1"/>
  <c r="U438" i="1"/>
  <c r="R438" i="1"/>
  <c r="N438" i="1"/>
  <c r="O438" i="1" s="1"/>
  <c r="L438" i="1"/>
  <c r="H438" i="1"/>
  <c r="I438" i="1" s="1"/>
  <c r="F438" i="1"/>
  <c r="C438" i="1"/>
  <c r="AC437" i="1"/>
  <c r="AA437" i="1"/>
  <c r="X437" i="1"/>
  <c r="W437" i="1"/>
  <c r="U437" i="1"/>
  <c r="R437" i="1"/>
  <c r="O437" i="1"/>
  <c r="N437" i="1"/>
  <c r="L437" i="1"/>
  <c r="H437" i="1"/>
  <c r="I437" i="1" s="1"/>
  <c r="F437" i="1"/>
  <c r="C437" i="1"/>
  <c r="AC436" i="1"/>
  <c r="AA436" i="1"/>
  <c r="W436" i="1"/>
  <c r="X436" i="1" s="1"/>
  <c r="U436" i="1"/>
  <c r="R436" i="1"/>
  <c r="N436" i="1"/>
  <c r="O436" i="1" s="1"/>
  <c r="L436" i="1"/>
  <c r="H436" i="1"/>
  <c r="I436" i="1" s="1"/>
  <c r="F436" i="1"/>
  <c r="C436" i="1"/>
  <c r="AC435" i="1"/>
  <c r="AD435" i="1" s="1"/>
  <c r="AA435" i="1"/>
  <c r="X435" i="1"/>
  <c r="W435" i="1"/>
  <c r="U435" i="1"/>
  <c r="R435" i="1"/>
  <c r="O435" i="1"/>
  <c r="N435" i="1"/>
  <c r="L435" i="1"/>
  <c r="I435" i="1"/>
  <c r="H435" i="1"/>
  <c r="F435" i="1"/>
  <c r="C435" i="1"/>
  <c r="AC434" i="1"/>
  <c r="AA434" i="1"/>
  <c r="W434" i="1"/>
  <c r="X434" i="1" s="1"/>
  <c r="U434" i="1"/>
  <c r="R434" i="1"/>
  <c r="N434" i="1"/>
  <c r="O434" i="1" s="1"/>
  <c r="L434" i="1"/>
  <c r="H434" i="1"/>
  <c r="I434" i="1" s="1"/>
  <c r="F434" i="1"/>
  <c r="C434" i="1"/>
  <c r="AC433" i="1"/>
  <c r="AD433" i="1" s="1"/>
  <c r="AA433" i="1"/>
  <c r="X433" i="1"/>
  <c r="W433" i="1"/>
  <c r="U433" i="1"/>
  <c r="R433" i="1"/>
  <c r="O433" i="1"/>
  <c r="N433" i="1"/>
  <c r="L433" i="1"/>
  <c r="H433" i="1"/>
  <c r="I433" i="1" s="1"/>
  <c r="F433" i="1"/>
  <c r="C433" i="1"/>
  <c r="AC432" i="1"/>
  <c r="AA432" i="1"/>
  <c r="W432" i="1"/>
  <c r="X432" i="1" s="1"/>
  <c r="U432" i="1"/>
  <c r="R432" i="1"/>
  <c r="O432" i="1"/>
  <c r="N432" i="1"/>
  <c r="L432" i="1"/>
  <c r="H432" i="1"/>
  <c r="I432" i="1" s="1"/>
  <c r="F432" i="1"/>
  <c r="C432" i="1"/>
  <c r="AA429" i="1"/>
  <c r="Z429" i="1"/>
  <c r="U429" i="1"/>
  <c r="T429" i="1"/>
  <c r="Q429" i="1"/>
  <c r="AC429" i="1" s="1"/>
  <c r="AD429" i="1" s="1"/>
  <c r="O429" i="1"/>
  <c r="K429" i="1"/>
  <c r="L429" i="1" s="1"/>
  <c r="H429" i="1"/>
  <c r="I429" i="1" s="1"/>
  <c r="E429" i="1"/>
  <c r="F429" i="1" s="1"/>
  <c r="C429" i="1"/>
  <c r="B429" i="1"/>
  <c r="N429" i="1" s="1"/>
  <c r="Z428" i="1"/>
  <c r="AA428" i="1" s="1"/>
  <c r="W428" i="1"/>
  <c r="X428" i="1" s="1"/>
  <c r="U428" i="1"/>
  <c r="T428" i="1"/>
  <c r="Q428" i="1"/>
  <c r="R428" i="1" s="1"/>
  <c r="K428" i="1"/>
  <c r="L428" i="1" s="1"/>
  <c r="E428" i="1"/>
  <c r="F428" i="1" s="1"/>
  <c r="B428" i="1"/>
  <c r="H428" i="1" s="1"/>
  <c r="I428" i="1" s="1"/>
  <c r="AC427" i="1"/>
  <c r="AA427" i="1"/>
  <c r="X427" i="1"/>
  <c r="W427" i="1"/>
  <c r="U427" i="1"/>
  <c r="R427" i="1"/>
  <c r="O427" i="1"/>
  <c r="N427" i="1"/>
  <c r="L427" i="1"/>
  <c r="I427" i="1"/>
  <c r="H427" i="1"/>
  <c r="F427" i="1"/>
  <c r="C427" i="1"/>
  <c r="AD426" i="1"/>
  <c r="AC426" i="1"/>
  <c r="AA426" i="1"/>
  <c r="X426" i="1"/>
  <c r="W426" i="1"/>
  <c r="U426" i="1"/>
  <c r="R426" i="1"/>
  <c r="N426" i="1"/>
  <c r="O426" i="1" s="1"/>
  <c r="L426" i="1"/>
  <c r="H426" i="1"/>
  <c r="I426" i="1" s="1"/>
  <c r="F426" i="1"/>
  <c r="C426" i="1"/>
  <c r="AC425" i="1"/>
  <c r="AA425" i="1"/>
  <c r="X425" i="1"/>
  <c r="W425" i="1"/>
  <c r="U425" i="1"/>
  <c r="R425" i="1"/>
  <c r="O425" i="1"/>
  <c r="N425" i="1"/>
  <c r="L425" i="1"/>
  <c r="H425" i="1"/>
  <c r="I425" i="1" s="1"/>
  <c r="F425" i="1"/>
  <c r="C425" i="1"/>
  <c r="AC424" i="1"/>
  <c r="AA424" i="1"/>
  <c r="W424" i="1"/>
  <c r="X424" i="1" s="1"/>
  <c r="U424" i="1"/>
  <c r="R424" i="1"/>
  <c r="N424" i="1"/>
  <c r="O424" i="1" s="1"/>
  <c r="L424" i="1"/>
  <c r="H424" i="1"/>
  <c r="I424" i="1" s="1"/>
  <c r="F424" i="1"/>
  <c r="C424" i="1"/>
  <c r="AC423" i="1"/>
  <c r="AA423" i="1"/>
  <c r="X423" i="1"/>
  <c r="W423" i="1"/>
  <c r="U423" i="1"/>
  <c r="R423" i="1"/>
  <c r="O423" i="1"/>
  <c r="N423" i="1"/>
  <c r="L423" i="1"/>
  <c r="I423" i="1"/>
  <c r="H423" i="1"/>
  <c r="F423" i="1"/>
  <c r="C423" i="1"/>
  <c r="AD422" i="1"/>
  <c r="AC422" i="1"/>
  <c r="AA422" i="1"/>
  <c r="W422" i="1"/>
  <c r="X422" i="1" s="1"/>
  <c r="U422" i="1"/>
  <c r="R422" i="1"/>
  <c r="N422" i="1"/>
  <c r="O422" i="1" s="1"/>
  <c r="L422" i="1"/>
  <c r="H422" i="1"/>
  <c r="I422" i="1" s="1"/>
  <c r="F422" i="1"/>
  <c r="C422" i="1"/>
  <c r="AC421" i="1"/>
  <c r="AA421" i="1"/>
  <c r="X421" i="1"/>
  <c r="W421" i="1"/>
  <c r="U421" i="1"/>
  <c r="R421" i="1"/>
  <c r="O421" i="1"/>
  <c r="N421" i="1"/>
  <c r="L421" i="1"/>
  <c r="H421" i="1"/>
  <c r="I421" i="1" s="1"/>
  <c r="F421" i="1"/>
  <c r="C421" i="1"/>
  <c r="AC420" i="1"/>
  <c r="AA420" i="1"/>
  <c r="W420" i="1"/>
  <c r="X420" i="1" s="1"/>
  <c r="U420" i="1"/>
  <c r="R420" i="1"/>
  <c r="N420" i="1"/>
  <c r="O420" i="1" s="1"/>
  <c r="L420" i="1"/>
  <c r="H420" i="1"/>
  <c r="I420" i="1" s="1"/>
  <c r="F420" i="1"/>
  <c r="C420" i="1"/>
  <c r="AC419" i="1"/>
  <c r="AD419" i="1" s="1"/>
  <c r="AA419" i="1"/>
  <c r="X419" i="1"/>
  <c r="W419" i="1"/>
  <c r="U419" i="1"/>
  <c r="R419" i="1"/>
  <c r="O419" i="1"/>
  <c r="N419" i="1"/>
  <c r="L419" i="1"/>
  <c r="I419" i="1"/>
  <c r="H419" i="1"/>
  <c r="F419" i="1"/>
  <c r="C419" i="1"/>
  <c r="AC418" i="1"/>
  <c r="AA418" i="1"/>
  <c r="W418" i="1"/>
  <c r="X418" i="1" s="1"/>
  <c r="U418" i="1"/>
  <c r="R418" i="1"/>
  <c r="N418" i="1"/>
  <c r="O418" i="1" s="1"/>
  <c r="L418" i="1"/>
  <c r="H418" i="1"/>
  <c r="I418" i="1" s="1"/>
  <c r="F418" i="1"/>
  <c r="C418" i="1"/>
  <c r="AC417" i="1"/>
  <c r="AD417" i="1" s="1"/>
  <c r="AA417" i="1"/>
  <c r="X417" i="1"/>
  <c r="W417" i="1"/>
  <c r="U417" i="1"/>
  <c r="R417" i="1"/>
  <c r="O417" i="1"/>
  <c r="N417" i="1"/>
  <c r="L417" i="1"/>
  <c r="H417" i="1"/>
  <c r="I417" i="1" s="1"/>
  <c r="F417" i="1"/>
  <c r="C417" i="1"/>
  <c r="AC416" i="1"/>
  <c r="AA416" i="1"/>
  <c r="W416" i="1"/>
  <c r="X416" i="1" s="1"/>
  <c r="U416" i="1"/>
  <c r="R416" i="1"/>
  <c r="O416" i="1"/>
  <c r="N416" i="1"/>
  <c r="L416" i="1"/>
  <c r="H416" i="1"/>
  <c r="I416" i="1" s="1"/>
  <c r="F416" i="1"/>
  <c r="C416" i="1"/>
  <c r="AC415" i="1"/>
  <c r="AA415" i="1"/>
  <c r="X415" i="1"/>
  <c r="W415" i="1"/>
  <c r="U415" i="1"/>
  <c r="R415" i="1"/>
  <c r="O415" i="1"/>
  <c r="N415" i="1"/>
  <c r="L415" i="1"/>
  <c r="I415" i="1"/>
  <c r="H415" i="1"/>
  <c r="F415" i="1"/>
  <c r="C415" i="1"/>
  <c r="AC414" i="1"/>
  <c r="AD414" i="1" s="1"/>
  <c r="AA414" i="1"/>
  <c r="W414" i="1"/>
  <c r="X414" i="1" s="1"/>
  <c r="U414" i="1"/>
  <c r="R414" i="1"/>
  <c r="N414" i="1"/>
  <c r="O414" i="1" s="1"/>
  <c r="L414" i="1"/>
  <c r="H414" i="1"/>
  <c r="I414" i="1" s="1"/>
  <c r="F414" i="1"/>
  <c r="C414" i="1"/>
  <c r="AC413" i="1"/>
  <c r="AD413" i="1" s="1"/>
  <c r="AA413" i="1"/>
  <c r="X413" i="1"/>
  <c r="W413" i="1"/>
  <c r="U413" i="1"/>
  <c r="R413" i="1"/>
  <c r="O413" i="1"/>
  <c r="N413" i="1"/>
  <c r="L413" i="1"/>
  <c r="I413" i="1"/>
  <c r="H413" i="1"/>
  <c r="F413" i="1"/>
  <c r="C413" i="1"/>
  <c r="AD412" i="1"/>
  <c r="AC412" i="1"/>
  <c r="AA412" i="1"/>
  <c r="W412" i="1"/>
  <c r="X412" i="1" s="1"/>
  <c r="U412" i="1"/>
  <c r="R412" i="1"/>
  <c r="N412" i="1"/>
  <c r="O412" i="1" s="1"/>
  <c r="L412" i="1"/>
  <c r="H412" i="1"/>
  <c r="I412" i="1" s="1"/>
  <c r="F412" i="1"/>
  <c r="C412" i="1"/>
  <c r="AC411" i="1"/>
  <c r="AA411" i="1"/>
  <c r="X411" i="1"/>
  <c r="W411" i="1"/>
  <c r="U411" i="1"/>
  <c r="R411" i="1"/>
  <c r="O411" i="1"/>
  <c r="N411" i="1"/>
  <c r="L411" i="1"/>
  <c r="I411" i="1"/>
  <c r="H411" i="1"/>
  <c r="F411" i="1"/>
  <c r="C411" i="1"/>
  <c r="AD410" i="1"/>
  <c r="AC410" i="1"/>
  <c r="AA410" i="1"/>
  <c r="X410" i="1"/>
  <c r="W410" i="1"/>
  <c r="U410" i="1"/>
  <c r="R410" i="1"/>
  <c r="N410" i="1"/>
  <c r="O410" i="1" s="1"/>
  <c r="L410" i="1"/>
  <c r="H410" i="1"/>
  <c r="I410" i="1" s="1"/>
  <c r="F410" i="1"/>
  <c r="C410" i="1"/>
  <c r="AC409" i="1"/>
  <c r="AA409" i="1"/>
  <c r="X409" i="1"/>
  <c r="W409" i="1"/>
  <c r="U409" i="1"/>
  <c r="R409" i="1"/>
  <c r="O409" i="1"/>
  <c r="N409" i="1"/>
  <c r="L409" i="1"/>
  <c r="H409" i="1"/>
  <c r="I409" i="1" s="1"/>
  <c r="F409" i="1"/>
  <c r="C409" i="1"/>
  <c r="AC408" i="1"/>
  <c r="AA408" i="1"/>
  <c r="W408" i="1"/>
  <c r="X408" i="1" s="1"/>
  <c r="U408" i="1"/>
  <c r="R408" i="1"/>
  <c r="N408" i="1"/>
  <c r="O408" i="1" s="1"/>
  <c r="L408" i="1"/>
  <c r="H408" i="1"/>
  <c r="I408" i="1" s="1"/>
  <c r="F408" i="1"/>
  <c r="C408" i="1"/>
  <c r="AC407" i="1"/>
  <c r="AA407" i="1"/>
  <c r="X407" i="1"/>
  <c r="W407" i="1"/>
  <c r="U407" i="1"/>
  <c r="R407" i="1"/>
  <c r="O407" i="1"/>
  <c r="N407" i="1"/>
  <c r="L407" i="1"/>
  <c r="I407" i="1"/>
  <c r="H407" i="1"/>
  <c r="F407" i="1"/>
  <c r="C407" i="1"/>
  <c r="Z403" i="1"/>
  <c r="AA403" i="1" s="1"/>
  <c r="W403" i="1"/>
  <c r="X403" i="1" s="1"/>
  <c r="T403" i="1"/>
  <c r="U403" i="1" s="1"/>
  <c r="R403" i="1"/>
  <c r="Q403" i="1"/>
  <c r="AC403" i="1" s="1"/>
  <c r="AD403" i="1" s="1"/>
  <c r="L403" i="1"/>
  <c r="K403" i="1"/>
  <c r="H403" i="1"/>
  <c r="I403" i="1" s="1"/>
  <c r="F403" i="1"/>
  <c r="E403" i="1"/>
  <c r="B403" i="1"/>
  <c r="C403" i="1" s="1"/>
  <c r="AD402" i="1"/>
  <c r="AC402" i="1"/>
  <c r="AA402" i="1"/>
  <c r="W402" i="1"/>
  <c r="X402" i="1" s="1"/>
  <c r="U402" i="1"/>
  <c r="R402" i="1"/>
  <c r="N402" i="1"/>
  <c r="O402" i="1" s="1"/>
  <c r="L402" i="1"/>
  <c r="H402" i="1"/>
  <c r="I402" i="1" s="1"/>
  <c r="F402" i="1"/>
  <c r="C402" i="1"/>
  <c r="AC401" i="1"/>
  <c r="AA401" i="1"/>
  <c r="X401" i="1"/>
  <c r="W401" i="1"/>
  <c r="U401" i="1"/>
  <c r="R401" i="1"/>
  <c r="O401" i="1"/>
  <c r="N401" i="1"/>
  <c r="L401" i="1"/>
  <c r="H401" i="1"/>
  <c r="I401" i="1" s="1"/>
  <c r="F401" i="1"/>
  <c r="C401" i="1"/>
  <c r="AC400" i="1"/>
  <c r="AA400" i="1"/>
  <c r="W400" i="1"/>
  <c r="X400" i="1" s="1"/>
  <c r="U400" i="1"/>
  <c r="R400" i="1"/>
  <c r="N400" i="1"/>
  <c r="O400" i="1" s="1"/>
  <c r="L400" i="1"/>
  <c r="H400" i="1"/>
  <c r="I400" i="1" s="1"/>
  <c r="F400" i="1"/>
  <c r="C400" i="1"/>
  <c r="AC399" i="1"/>
  <c r="AD399" i="1" s="1"/>
  <c r="AA399" i="1"/>
  <c r="X399" i="1"/>
  <c r="W399" i="1"/>
  <c r="U399" i="1"/>
  <c r="R399" i="1"/>
  <c r="O399" i="1"/>
  <c r="N399" i="1"/>
  <c r="L399" i="1"/>
  <c r="I399" i="1"/>
  <c r="H399" i="1"/>
  <c r="F399" i="1"/>
  <c r="C399" i="1"/>
  <c r="AC398" i="1"/>
  <c r="AA398" i="1"/>
  <c r="W398" i="1"/>
  <c r="X398" i="1" s="1"/>
  <c r="U398" i="1"/>
  <c r="R398" i="1"/>
  <c r="N398" i="1"/>
  <c r="O398" i="1" s="1"/>
  <c r="L398" i="1"/>
  <c r="H398" i="1"/>
  <c r="I398" i="1" s="1"/>
  <c r="F398" i="1"/>
  <c r="C398" i="1"/>
  <c r="AC397" i="1"/>
  <c r="AD397" i="1" s="1"/>
  <c r="AA397" i="1"/>
  <c r="X397" i="1"/>
  <c r="W397" i="1"/>
  <c r="U397" i="1"/>
  <c r="R397" i="1"/>
  <c r="O397" i="1"/>
  <c r="N397" i="1"/>
  <c r="L397" i="1"/>
  <c r="H397" i="1"/>
  <c r="I397" i="1" s="1"/>
  <c r="F397" i="1"/>
  <c r="C397" i="1"/>
  <c r="Z396" i="1"/>
  <c r="AA396" i="1" s="1"/>
  <c r="W396" i="1"/>
  <c r="X396" i="1" s="1"/>
  <c r="T396" i="1"/>
  <c r="U396" i="1" s="1"/>
  <c r="R396" i="1"/>
  <c r="Q396" i="1"/>
  <c r="AC396" i="1" s="1"/>
  <c r="AD396" i="1" s="1"/>
  <c r="L396" i="1"/>
  <c r="K396" i="1"/>
  <c r="H396" i="1"/>
  <c r="I396" i="1" s="1"/>
  <c r="F396" i="1"/>
  <c r="E396" i="1"/>
  <c r="B396" i="1"/>
  <c r="C396" i="1" s="1"/>
  <c r="AD395" i="1"/>
  <c r="AC395" i="1"/>
  <c r="AA395" i="1"/>
  <c r="W395" i="1"/>
  <c r="X395" i="1" s="1"/>
  <c r="U395" i="1"/>
  <c r="R395" i="1"/>
  <c r="N395" i="1"/>
  <c r="O395" i="1" s="1"/>
  <c r="L395" i="1"/>
  <c r="H395" i="1"/>
  <c r="I395" i="1" s="1"/>
  <c r="F395" i="1"/>
  <c r="C395" i="1"/>
  <c r="AC394" i="1"/>
  <c r="AA394" i="1"/>
  <c r="X394" i="1"/>
  <c r="W394" i="1"/>
  <c r="U394" i="1"/>
  <c r="R394" i="1"/>
  <c r="O394" i="1"/>
  <c r="N394" i="1"/>
  <c r="L394" i="1"/>
  <c r="H394" i="1"/>
  <c r="I394" i="1" s="1"/>
  <c r="F394" i="1"/>
  <c r="C394" i="1"/>
  <c r="Z393" i="1"/>
  <c r="AA393" i="1" s="1"/>
  <c r="T393" i="1"/>
  <c r="U393" i="1" s="1"/>
  <c r="R393" i="1"/>
  <c r="Q393" i="1"/>
  <c r="AC393" i="1" s="1"/>
  <c r="L393" i="1"/>
  <c r="K393" i="1"/>
  <c r="H393" i="1"/>
  <c r="I393" i="1" s="1"/>
  <c r="F393" i="1"/>
  <c r="E393" i="1"/>
  <c r="B393" i="1"/>
  <c r="C393" i="1" s="1"/>
  <c r="AD392" i="1"/>
  <c r="AC392" i="1"/>
  <c r="AA392" i="1"/>
  <c r="X392" i="1"/>
  <c r="W392" i="1"/>
  <c r="U392" i="1"/>
  <c r="R392" i="1"/>
  <c r="N392" i="1"/>
  <c r="O392" i="1" s="1"/>
  <c r="L392" i="1"/>
  <c r="H392" i="1"/>
  <c r="I392" i="1" s="1"/>
  <c r="F392" i="1"/>
  <c r="C392" i="1"/>
  <c r="AC391" i="1"/>
  <c r="AA391" i="1"/>
  <c r="X391" i="1"/>
  <c r="W391" i="1"/>
  <c r="U391" i="1"/>
  <c r="R391" i="1"/>
  <c r="O391" i="1"/>
  <c r="N391" i="1"/>
  <c r="L391" i="1"/>
  <c r="H391" i="1"/>
  <c r="I391" i="1" s="1"/>
  <c r="F391" i="1"/>
  <c r="C391" i="1"/>
  <c r="AC390" i="1"/>
  <c r="AA390" i="1"/>
  <c r="W390" i="1"/>
  <c r="X390" i="1" s="1"/>
  <c r="U390" i="1"/>
  <c r="R390" i="1"/>
  <c r="O390" i="1"/>
  <c r="N390" i="1"/>
  <c r="L390" i="1"/>
  <c r="H390" i="1"/>
  <c r="I390" i="1" s="1"/>
  <c r="F390" i="1"/>
  <c r="C390" i="1"/>
  <c r="AC389" i="1"/>
  <c r="AA389" i="1"/>
  <c r="X389" i="1"/>
  <c r="W389" i="1"/>
  <c r="U389" i="1"/>
  <c r="R389" i="1"/>
  <c r="O389" i="1"/>
  <c r="N389" i="1"/>
  <c r="L389" i="1"/>
  <c r="I389" i="1"/>
  <c r="H389" i="1"/>
  <c r="F389" i="1"/>
  <c r="C389" i="1"/>
  <c r="AD388" i="1"/>
  <c r="AC388" i="1"/>
  <c r="AA388" i="1"/>
  <c r="W388" i="1"/>
  <c r="X388" i="1" s="1"/>
  <c r="U388" i="1"/>
  <c r="R388" i="1"/>
  <c r="N388" i="1"/>
  <c r="O388" i="1" s="1"/>
  <c r="L388" i="1"/>
  <c r="H388" i="1"/>
  <c r="I388" i="1" s="1"/>
  <c r="F388" i="1"/>
  <c r="C388" i="1"/>
  <c r="AC386" i="1"/>
  <c r="AA386" i="1"/>
  <c r="X386" i="1"/>
  <c r="W386" i="1"/>
  <c r="U386" i="1"/>
  <c r="R386" i="1"/>
  <c r="O386" i="1"/>
  <c r="N386" i="1"/>
  <c r="L386" i="1"/>
  <c r="H386" i="1"/>
  <c r="I386" i="1" s="1"/>
  <c r="F386" i="1"/>
  <c r="C386" i="1"/>
  <c r="AC385" i="1"/>
  <c r="AA385" i="1"/>
  <c r="W385" i="1"/>
  <c r="X385" i="1" s="1"/>
  <c r="U385" i="1"/>
  <c r="R385" i="1"/>
  <c r="N385" i="1"/>
  <c r="O385" i="1" s="1"/>
  <c r="L385" i="1"/>
  <c r="H385" i="1"/>
  <c r="I385" i="1" s="1"/>
  <c r="F385" i="1"/>
  <c r="C385" i="1"/>
  <c r="AC383" i="1"/>
  <c r="AD383" i="1" s="1"/>
  <c r="AA383" i="1"/>
  <c r="X383" i="1"/>
  <c r="W383" i="1"/>
  <c r="U383" i="1"/>
  <c r="R383" i="1"/>
  <c r="O383" i="1"/>
  <c r="N383" i="1"/>
  <c r="L383" i="1"/>
  <c r="I383" i="1"/>
  <c r="H383" i="1"/>
  <c r="F383" i="1"/>
  <c r="C383" i="1"/>
  <c r="AC382" i="1"/>
  <c r="AA382" i="1"/>
  <c r="X382" i="1"/>
  <c r="W382" i="1"/>
  <c r="U382" i="1"/>
  <c r="R382" i="1"/>
  <c r="N382" i="1"/>
  <c r="O382" i="1" s="1"/>
  <c r="L382" i="1"/>
  <c r="H382" i="1"/>
  <c r="I382" i="1" s="1"/>
  <c r="F382" i="1"/>
  <c r="C382" i="1"/>
  <c r="AC381" i="1"/>
  <c r="AD381" i="1" s="1"/>
  <c r="AA381" i="1"/>
  <c r="X381" i="1"/>
  <c r="W381" i="1"/>
  <c r="U381" i="1"/>
  <c r="R381" i="1"/>
  <c r="O381" i="1"/>
  <c r="N381" i="1"/>
  <c r="L381" i="1"/>
  <c r="H381" i="1"/>
  <c r="I381" i="1" s="1"/>
  <c r="F381" i="1"/>
  <c r="C381" i="1"/>
  <c r="AC380" i="1"/>
  <c r="AA380" i="1"/>
  <c r="W380" i="1"/>
  <c r="X380" i="1" s="1"/>
  <c r="U380" i="1"/>
  <c r="R380" i="1"/>
  <c r="O380" i="1"/>
  <c r="N380" i="1"/>
  <c r="L380" i="1"/>
  <c r="H380" i="1"/>
  <c r="I380" i="1" s="1"/>
  <c r="F380" i="1"/>
  <c r="C380" i="1"/>
  <c r="AC379" i="1"/>
  <c r="AA379" i="1"/>
  <c r="X379" i="1"/>
  <c r="W379" i="1"/>
  <c r="U379" i="1"/>
  <c r="R379" i="1"/>
  <c r="O379" i="1"/>
  <c r="N379" i="1"/>
  <c r="L379" i="1"/>
  <c r="I379" i="1"/>
  <c r="H379" i="1"/>
  <c r="F379" i="1"/>
  <c r="C379" i="1"/>
  <c r="AC378" i="1"/>
  <c r="AD378" i="1" s="1"/>
  <c r="AA378" i="1"/>
  <c r="W378" i="1"/>
  <c r="X378" i="1" s="1"/>
  <c r="U378" i="1"/>
  <c r="R378" i="1"/>
  <c r="N378" i="1"/>
  <c r="O378" i="1" s="1"/>
  <c r="L378" i="1"/>
  <c r="H378" i="1"/>
  <c r="I378" i="1" s="1"/>
  <c r="F378" i="1"/>
  <c r="C378" i="1"/>
  <c r="AC377" i="1"/>
  <c r="AD377" i="1" s="1"/>
  <c r="AA377" i="1"/>
  <c r="X377" i="1"/>
  <c r="W377" i="1"/>
  <c r="U377" i="1"/>
  <c r="R377" i="1"/>
  <c r="O377" i="1"/>
  <c r="N377" i="1"/>
  <c r="L377" i="1"/>
  <c r="I377" i="1"/>
  <c r="H377" i="1"/>
  <c r="F377" i="1"/>
  <c r="C377" i="1"/>
  <c r="AD376" i="1"/>
  <c r="AC376" i="1"/>
  <c r="AA376" i="1"/>
  <c r="W376" i="1"/>
  <c r="X376" i="1" s="1"/>
  <c r="U376" i="1"/>
  <c r="R376" i="1"/>
  <c r="N376" i="1"/>
  <c r="O376" i="1" s="1"/>
  <c r="L376" i="1"/>
  <c r="H376" i="1"/>
  <c r="I376" i="1" s="1"/>
  <c r="F376" i="1"/>
  <c r="C376" i="1"/>
  <c r="AC375" i="1"/>
  <c r="AA375" i="1"/>
  <c r="X375" i="1"/>
  <c r="W375" i="1"/>
  <c r="U375" i="1"/>
  <c r="R375" i="1"/>
  <c r="O375" i="1"/>
  <c r="N375" i="1"/>
  <c r="L375" i="1"/>
  <c r="I375" i="1"/>
  <c r="H375" i="1"/>
  <c r="F375" i="1"/>
  <c r="C375" i="1"/>
  <c r="AD374" i="1"/>
  <c r="AC374" i="1"/>
  <c r="AA374" i="1"/>
  <c r="X374" i="1"/>
  <c r="W374" i="1"/>
  <c r="U374" i="1"/>
  <c r="R374" i="1"/>
  <c r="N374" i="1"/>
  <c r="O374" i="1" s="1"/>
  <c r="L374" i="1"/>
  <c r="H374" i="1"/>
  <c r="I374" i="1" s="1"/>
  <c r="F374" i="1"/>
  <c r="C374" i="1"/>
  <c r="AC373" i="1"/>
  <c r="AA373" i="1"/>
  <c r="X373" i="1"/>
  <c r="W373" i="1"/>
  <c r="U373" i="1"/>
  <c r="R373" i="1"/>
  <c r="O373" i="1"/>
  <c r="N373" i="1"/>
  <c r="L373" i="1"/>
  <c r="H373" i="1"/>
  <c r="I373" i="1" s="1"/>
  <c r="F373" i="1"/>
  <c r="C373" i="1"/>
  <c r="AC372" i="1"/>
  <c r="AA372" i="1"/>
  <c r="W372" i="1"/>
  <c r="X372" i="1" s="1"/>
  <c r="U372" i="1"/>
  <c r="R372" i="1"/>
  <c r="O372" i="1"/>
  <c r="N372" i="1"/>
  <c r="L372" i="1"/>
  <c r="H372" i="1"/>
  <c r="I372" i="1" s="1"/>
  <c r="F372" i="1"/>
  <c r="C372" i="1"/>
  <c r="AC371" i="1"/>
  <c r="AA371" i="1"/>
  <c r="X371" i="1"/>
  <c r="W371" i="1"/>
  <c r="U371" i="1"/>
  <c r="R371" i="1"/>
  <c r="O371" i="1"/>
  <c r="N371" i="1"/>
  <c r="L371" i="1"/>
  <c r="I371" i="1"/>
  <c r="H371" i="1"/>
  <c r="F371" i="1"/>
  <c r="C371" i="1"/>
  <c r="AD370" i="1"/>
  <c r="AC370" i="1"/>
  <c r="AA370" i="1"/>
  <c r="W370" i="1"/>
  <c r="X370" i="1" s="1"/>
  <c r="U370" i="1"/>
  <c r="R370" i="1"/>
  <c r="N370" i="1"/>
  <c r="O370" i="1" s="1"/>
  <c r="L370" i="1"/>
  <c r="H370" i="1"/>
  <c r="I370" i="1" s="1"/>
  <c r="F370" i="1"/>
  <c r="C370" i="1"/>
  <c r="AC369" i="1"/>
  <c r="AA369" i="1"/>
  <c r="X369" i="1"/>
  <c r="W369" i="1"/>
  <c r="U369" i="1"/>
  <c r="R369" i="1"/>
  <c r="O369" i="1"/>
  <c r="N369" i="1"/>
  <c r="L369" i="1"/>
  <c r="H369" i="1"/>
  <c r="I369" i="1" s="1"/>
  <c r="F369" i="1"/>
  <c r="C369" i="1"/>
  <c r="Z368" i="1"/>
  <c r="AA368" i="1" s="1"/>
  <c r="T368" i="1"/>
  <c r="U368" i="1" s="1"/>
  <c r="R368" i="1"/>
  <c r="Q368" i="1"/>
  <c r="AC368" i="1" s="1"/>
  <c r="L368" i="1"/>
  <c r="K368" i="1"/>
  <c r="H368" i="1"/>
  <c r="I368" i="1" s="1"/>
  <c r="F368" i="1"/>
  <c r="E368" i="1"/>
  <c r="B368" i="1"/>
  <c r="C368" i="1" s="1"/>
  <c r="AD367" i="1"/>
  <c r="AC367" i="1"/>
  <c r="AA367" i="1"/>
  <c r="X367" i="1"/>
  <c r="W367" i="1"/>
  <c r="U367" i="1"/>
  <c r="R367" i="1"/>
  <c r="N367" i="1"/>
  <c r="O367" i="1" s="1"/>
  <c r="L367" i="1"/>
  <c r="H367" i="1"/>
  <c r="I367" i="1" s="1"/>
  <c r="F367" i="1"/>
  <c r="C367" i="1"/>
  <c r="AC366" i="1"/>
  <c r="AA366" i="1"/>
  <c r="X366" i="1"/>
  <c r="W366" i="1"/>
  <c r="U366" i="1"/>
  <c r="R366" i="1"/>
  <c r="O366" i="1"/>
  <c r="N366" i="1"/>
  <c r="L366" i="1"/>
  <c r="H366" i="1"/>
  <c r="I366" i="1" s="1"/>
  <c r="F366" i="1"/>
  <c r="C366" i="1"/>
  <c r="AC365" i="1"/>
  <c r="AA365" i="1"/>
  <c r="W365" i="1"/>
  <c r="X365" i="1" s="1"/>
  <c r="U365" i="1"/>
  <c r="R365" i="1"/>
  <c r="O365" i="1"/>
  <c r="N365" i="1"/>
  <c r="L365" i="1"/>
  <c r="H365" i="1"/>
  <c r="I365" i="1" s="1"/>
  <c r="F365" i="1"/>
  <c r="C365" i="1"/>
  <c r="AC364" i="1"/>
  <c r="AA364" i="1"/>
  <c r="X364" i="1"/>
  <c r="W364" i="1"/>
  <c r="U364" i="1"/>
  <c r="R364" i="1"/>
  <c r="O364" i="1"/>
  <c r="N364" i="1"/>
  <c r="L364" i="1"/>
  <c r="I364" i="1"/>
  <c r="H364" i="1"/>
  <c r="F364" i="1"/>
  <c r="C364" i="1"/>
  <c r="AD363" i="1"/>
  <c r="AC363" i="1"/>
  <c r="AA363" i="1"/>
  <c r="W363" i="1"/>
  <c r="X363" i="1" s="1"/>
  <c r="U363" i="1"/>
  <c r="R363" i="1"/>
  <c r="N363" i="1"/>
  <c r="O363" i="1" s="1"/>
  <c r="L363" i="1"/>
  <c r="H363" i="1"/>
  <c r="I363" i="1" s="1"/>
  <c r="F363" i="1"/>
  <c r="C363" i="1"/>
  <c r="AC362" i="1"/>
  <c r="AA362" i="1"/>
  <c r="X362" i="1"/>
  <c r="W362" i="1"/>
  <c r="U362" i="1"/>
  <c r="R362" i="1"/>
  <c r="O362" i="1"/>
  <c r="N362" i="1"/>
  <c r="L362" i="1"/>
  <c r="I362" i="1"/>
  <c r="H362" i="1"/>
  <c r="F362" i="1"/>
  <c r="C362" i="1"/>
  <c r="AC361" i="1"/>
  <c r="AA361" i="1"/>
  <c r="W361" i="1"/>
  <c r="X361" i="1" s="1"/>
  <c r="U361" i="1"/>
  <c r="R361" i="1"/>
  <c r="N361" i="1"/>
  <c r="O361" i="1" s="1"/>
  <c r="L361" i="1"/>
  <c r="H361" i="1"/>
  <c r="I361" i="1" s="1"/>
  <c r="F361" i="1"/>
  <c r="C361" i="1"/>
  <c r="AC360" i="1"/>
  <c r="AD360" i="1" s="1"/>
  <c r="AA360" i="1"/>
  <c r="X360" i="1"/>
  <c r="W360" i="1"/>
  <c r="U360" i="1"/>
  <c r="R360" i="1"/>
  <c r="O360" i="1"/>
  <c r="N360" i="1"/>
  <c r="L360" i="1"/>
  <c r="I360" i="1"/>
  <c r="H360" i="1"/>
  <c r="F360" i="1"/>
  <c r="C360" i="1"/>
  <c r="Z358" i="1"/>
  <c r="AA358" i="1" s="1"/>
  <c r="T358" i="1"/>
  <c r="U358" i="1" s="1"/>
  <c r="Q358" i="1"/>
  <c r="W358" i="1" s="1"/>
  <c r="X358" i="1" s="1"/>
  <c r="L358" i="1"/>
  <c r="K358" i="1"/>
  <c r="E358" i="1"/>
  <c r="F358" i="1" s="1"/>
  <c r="B358" i="1"/>
  <c r="AC357" i="1"/>
  <c r="AA357" i="1"/>
  <c r="W357" i="1"/>
  <c r="X357" i="1" s="1"/>
  <c r="U357" i="1"/>
  <c r="R357" i="1"/>
  <c r="N357" i="1"/>
  <c r="O357" i="1" s="1"/>
  <c r="L357" i="1"/>
  <c r="H357" i="1"/>
  <c r="I357" i="1" s="1"/>
  <c r="F357" i="1"/>
  <c r="C357" i="1"/>
  <c r="AC356" i="1"/>
  <c r="AA356" i="1"/>
  <c r="X356" i="1"/>
  <c r="W356" i="1"/>
  <c r="U356" i="1"/>
  <c r="R356" i="1"/>
  <c r="O356" i="1"/>
  <c r="N356" i="1"/>
  <c r="L356" i="1"/>
  <c r="I356" i="1"/>
  <c r="H356" i="1"/>
  <c r="F356" i="1"/>
  <c r="C356" i="1"/>
  <c r="AD355" i="1"/>
  <c r="AC355" i="1"/>
  <c r="AA355" i="1"/>
  <c r="W355" i="1"/>
  <c r="X355" i="1" s="1"/>
  <c r="U355" i="1"/>
  <c r="R355" i="1"/>
  <c r="N355" i="1"/>
  <c r="O355" i="1" s="1"/>
  <c r="L355" i="1"/>
  <c r="H355" i="1"/>
  <c r="I355" i="1" s="1"/>
  <c r="F355" i="1"/>
  <c r="C355" i="1"/>
  <c r="AC354" i="1"/>
  <c r="AA354" i="1"/>
  <c r="X354" i="1"/>
  <c r="W354" i="1"/>
  <c r="U354" i="1"/>
  <c r="R354" i="1"/>
  <c r="O354" i="1"/>
  <c r="N354" i="1"/>
  <c r="L354" i="1"/>
  <c r="I354" i="1"/>
  <c r="H354" i="1"/>
  <c r="F354" i="1"/>
  <c r="C354" i="1"/>
  <c r="AC353" i="1"/>
  <c r="AA353" i="1"/>
  <c r="W353" i="1"/>
  <c r="X353" i="1" s="1"/>
  <c r="U353" i="1"/>
  <c r="R353" i="1"/>
  <c r="N353" i="1"/>
  <c r="O353" i="1" s="1"/>
  <c r="L353" i="1"/>
  <c r="H353" i="1"/>
  <c r="I353" i="1" s="1"/>
  <c r="F353" i="1"/>
  <c r="C353" i="1"/>
  <c r="AC352" i="1"/>
  <c r="AD352" i="1" s="1"/>
  <c r="AA352" i="1"/>
  <c r="X352" i="1"/>
  <c r="W352" i="1"/>
  <c r="U352" i="1"/>
  <c r="R352" i="1"/>
  <c r="O352" i="1"/>
  <c r="N352" i="1"/>
  <c r="L352" i="1"/>
  <c r="I352" i="1"/>
  <c r="H352" i="1"/>
  <c r="F352" i="1"/>
  <c r="C352" i="1"/>
  <c r="AC351" i="1"/>
  <c r="AA351" i="1"/>
  <c r="W351" i="1"/>
  <c r="X351" i="1" s="1"/>
  <c r="U351" i="1"/>
  <c r="R351" i="1"/>
  <c r="N351" i="1"/>
  <c r="O351" i="1" s="1"/>
  <c r="L351" i="1"/>
  <c r="H351" i="1"/>
  <c r="I351" i="1" s="1"/>
  <c r="F351" i="1"/>
  <c r="C351" i="1"/>
  <c r="AC350" i="1"/>
  <c r="AD350" i="1" s="1"/>
  <c r="AA350" i="1"/>
  <c r="X350" i="1"/>
  <c r="W350" i="1"/>
  <c r="U350" i="1"/>
  <c r="R350" i="1"/>
  <c r="O350" i="1"/>
  <c r="N350" i="1"/>
  <c r="L350" i="1"/>
  <c r="H350" i="1"/>
  <c r="I350" i="1" s="1"/>
  <c r="F350" i="1"/>
  <c r="C350" i="1"/>
  <c r="AC349" i="1"/>
  <c r="AA349" i="1"/>
  <c r="W349" i="1"/>
  <c r="X349" i="1" s="1"/>
  <c r="U349" i="1"/>
  <c r="R349" i="1"/>
  <c r="O349" i="1"/>
  <c r="N349" i="1"/>
  <c r="L349" i="1"/>
  <c r="H349" i="1"/>
  <c r="I349" i="1" s="1"/>
  <c r="F349" i="1"/>
  <c r="C349" i="1"/>
  <c r="AC347" i="1"/>
  <c r="AA347" i="1"/>
  <c r="X347" i="1"/>
  <c r="W347" i="1"/>
  <c r="U347" i="1"/>
  <c r="R347" i="1"/>
  <c r="O347" i="1"/>
  <c r="N347" i="1"/>
  <c r="L347" i="1"/>
  <c r="I347" i="1"/>
  <c r="H347" i="1"/>
  <c r="F347" i="1"/>
  <c r="C347" i="1"/>
  <c r="Z344" i="1"/>
  <c r="AA344" i="1" s="1"/>
  <c r="X344" i="1"/>
  <c r="W344" i="1"/>
  <c r="T344" i="1"/>
  <c r="U344" i="1" s="1"/>
  <c r="R344" i="1"/>
  <c r="Q344" i="1"/>
  <c r="AC344" i="1" s="1"/>
  <c r="AD344" i="1" s="1"/>
  <c r="L344" i="1"/>
  <c r="K344" i="1"/>
  <c r="H344" i="1"/>
  <c r="I344" i="1" s="1"/>
  <c r="F344" i="1"/>
  <c r="E344" i="1"/>
  <c r="B344" i="1"/>
  <c r="C344" i="1" s="1"/>
  <c r="Z343" i="1"/>
  <c r="AA343" i="1" s="1"/>
  <c r="X343" i="1"/>
  <c r="T343" i="1"/>
  <c r="U343" i="1" s="1"/>
  <c r="R343" i="1"/>
  <c r="Q343" i="1"/>
  <c r="W343" i="1" s="1"/>
  <c r="L343" i="1"/>
  <c r="K343" i="1"/>
  <c r="F343" i="1"/>
  <c r="E343" i="1"/>
  <c r="B343" i="1"/>
  <c r="Z342" i="1"/>
  <c r="AA342" i="1" s="1"/>
  <c r="T342" i="1"/>
  <c r="U342" i="1" s="1"/>
  <c r="R342" i="1"/>
  <c r="Q342" i="1"/>
  <c r="AC342" i="1" s="1"/>
  <c r="L342" i="1"/>
  <c r="K342" i="1"/>
  <c r="H342" i="1"/>
  <c r="I342" i="1" s="1"/>
  <c r="F342" i="1"/>
  <c r="E342" i="1"/>
  <c r="B342" i="1"/>
  <c r="C342" i="1" s="1"/>
  <c r="AD341" i="1"/>
  <c r="AC341" i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C340" i="1"/>
  <c r="AA340" i="1"/>
  <c r="X340" i="1"/>
  <c r="W340" i="1"/>
  <c r="U340" i="1"/>
  <c r="R340" i="1"/>
  <c r="O340" i="1"/>
  <c r="N340" i="1"/>
  <c r="L340" i="1"/>
  <c r="H340" i="1"/>
  <c r="I340" i="1" s="1"/>
  <c r="F340" i="1"/>
  <c r="C340" i="1"/>
  <c r="AC339" i="1"/>
  <c r="AA339" i="1"/>
  <c r="W339" i="1"/>
  <c r="X339" i="1" s="1"/>
  <c r="U339" i="1"/>
  <c r="R339" i="1"/>
  <c r="N339" i="1"/>
  <c r="O339" i="1" s="1"/>
  <c r="L339" i="1"/>
  <c r="H339" i="1"/>
  <c r="I339" i="1" s="1"/>
  <c r="F339" i="1"/>
  <c r="C339" i="1"/>
  <c r="AC338" i="1"/>
  <c r="AA338" i="1"/>
  <c r="X338" i="1"/>
  <c r="W338" i="1"/>
  <c r="U338" i="1"/>
  <c r="R338" i="1"/>
  <c r="O338" i="1"/>
  <c r="N338" i="1"/>
  <c r="L338" i="1"/>
  <c r="I338" i="1"/>
  <c r="H338" i="1"/>
  <c r="F338" i="1"/>
  <c r="C338" i="1"/>
  <c r="AD337" i="1"/>
  <c r="AC337" i="1"/>
  <c r="AA337" i="1"/>
  <c r="W337" i="1"/>
  <c r="X337" i="1" s="1"/>
  <c r="U337" i="1"/>
  <c r="R337" i="1"/>
  <c r="N337" i="1"/>
  <c r="O337" i="1" s="1"/>
  <c r="L337" i="1"/>
  <c r="H337" i="1"/>
  <c r="I337" i="1" s="1"/>
  <c r="F337" i="1"/>
  <c r="C337" i="1"/>
  <c r="AC335" i="1"/>
  <c r="AA335" i="1"/>
  <c r="X335" i="1"/>
  <c r="W335" i="1"/>
  <c r="U335" i="1"/>
  <c r="R335" i="1"/>
  <c r="O335" i="1"/>
  <c r="N335" i="1"/>
  <c r="L335" i="1"/>
  <c r="H335" i="1"/>
  <c r="I335" i="1" s="1"/>
  <c r="F335" i="1"/>
  <c r="C335" i="1"/>
  <c r="AC334" i="1"/>
  <c r="AA334" i="1"/>
  <c r="W334" i="1"/>
  <c r="X334" i="1" s="1"/>
  <c r="U334" i="1"/>
  <c r="R334" i="1"/>
  <c r="N334" i="1"/>
  <c r="O334" i="1" s="1"/>
  <c r="L334" i="1"/>
  <c r="H334" i="1"/>
  <c r="I334" i="1" s="1"/>
  <c r="F334" i="1"/>
  <c r="C334" i="1"/>
  <c r="AC333" i="1"/>
  <c r="AD333" i="1" s="1"/>
  <c r="AA333" i="1"/>
  <c r="X333" i="1"/>
  <c r="W333" i="1"/>
  <c r="U333" i="1"/>
  <c r="R333" i="1"/>
  <c r="O333" i="1"/>
  <c r="N333" i="1"/>
  <c r="L333" i="1"/>
  <c r="I333" i="1"/>
  <c r="H333" i="1"/>
  <c r="F333" i="1"/>
  <c r="C333" i="1"/>
  <c r="AC332" i="1"/>
  <c r="AA332" i="1"/>
  <c r="W332" i="1"/>
  <c r="X332" i="1" s="1"/>
  <c r="U332" i="1"/>
  <c r="R332" i="1"/>
  <c r="N332" i="1"/>
  <c r="O332" i="1" s="1"/>
  <c r="L332" i="1"/>
  <c r="H332" i="1"/>
  <c r="I332" i="1" s="1"/>
  <c r="F332" i="1"/>
  <c r="C332" i="1"/>
  <c r="AC331" i="1"/>
  <c r="AD331" i="1" s="1"/>
  <c r="AA331" i="1"/>
  <c r="X331" i="1"/>
  <c r="W331" i="1"/>
  <c r="U331" i="1"/>
  <c r="R331" i="1"/>
  <c r="O331" i="1"/>
  <c r="N331" i="1"/>
  <c r="L331" i="1"/>
  <c r="H331" i="1"/>
  <c r="I331" i="1" s="1"/>
  <c r="F331" i="1"/>
  <c r="C331" i="1"/>
  <c r="AC330" i="1"/>
  <c r="AA330" i="1"/>
  <c r="W330" i="1"/>
  <c r="X330" i="1" s="1"/>
  <c r="U330" i="1"/>
  <c r="R330" i="1"/>
  <c r="O330" i="1"/>
  <c r="N330" i="1"/>
  <c r="L330" i="1"/>
  <c r="H330" i="1"/>
  <c r="I330" i="1" s="1"/>
  <c r="F330" i="1"/>
  <c r="C330" i="1"/>
  <c r="AC329" i="1"/>
  <c r="AA329" i="1"/>
  <c r="X329" i="1"/>
  <c r="W329" i="1"/>
  <c r="U329" i="1"/>
  <c r="R329" i="1"/>
  <c r="O329" i="1"/>
  <c r="N329" i="1"/>
  <c r="L329" i="1"/>
  <c r="I329" i="1"/>
  <c r="H329" i="1"/>
  <c r="F329" i="1"/>
  <c r="C329" i="1"/>
  <c r="AC328" i="1"/>
  <c r="AD328" i="1" s="1"/>
  <c r="AA328" i="1"/>
  <c r="W328" i="1"/>
  <c r="X328" i="1" s="1"/>
  <c r="U328" i="1"/>
  <c r="R328" i="1"/>
  <c r="N328" i="1"/>
  <c r="O328" i="1" s="1"/>
  <c r="L328" i="1"/>
  <c r="H328" i="1"/>
  <c r="I328" i="1" s="1"/>
  <c r="F328" i="1"/>
  <c r="C328" i="1"/>
  <c r="AA325" i="1"/>
  <c r="Z325" i="1"/>
  <c r="W325" i="1"/>
  <c r="X325" i="1" s="1"/>
  <c r="U325" i="1"/>
  <c r="T325" i="1"/>
  <c r="Q325" i="1"/>
  <c r="R325" i="1" s="1"/>
  <c r="K325" i="1"/>
  <c r="L325" i="1" s="1"/>
  <c r="E325" i="1"/>
  <c r="F325" i="1" s="1"/>
  <c r="B325" i="1"/>
  <c r="H325" i="1" s="1"/>
  <c r="I325" i="1" s="1"/>
  <c r="AC324" i="1"/>
  <c r="AD324" i="1" s="1"/>
  <c r="AA324" i="1"/>
  <c r="Z324" i="1"/>
  <c r="U324" i="1"/>
  <c r="T324" i="1"/>
  <c r="Q324" i="1"/>
  <c r="K324" i="1"/>
  <c r="L324" i="1" s="1"/>
  <c r="H324" i="1"/>
  <c r="I324" i="1" s="1"/>
  <c r="E324" i="1"/>
  <c r="F324" i="1" s="1"/>
  <c r="C324" i="1"/>
  <c r="B324" i="1"/>
  <c r="N324" i="1" s="1"/>
  <c r="O324" i="1" s="1"/>
  <c r="AC323" i="1"/>
  <c r="AA323" i="1"/>
  <c r="X323" i="1"/>
  <c r="W323" i="1"/>
  <c r="U323" i="1"/>
  <c r="R323" i="1"/>
  <c r="O323" i="1"/>
  <c r="N323" i="1"/>
  <c r="L323" i="1"/>
  <c r="H323" i="1"/>
  <c r="I323" i="1" s="1"/>
  <c r="F323" i="1"/>
  <c r="C323" i="1"/>
  <c r="AC322" i="1"/>
  <c r="AA322" i="1"/>
  <c r="W322" i="1"/>
  <c r="X322" i="1" s="1"/>
  <c r="U322" i="1"/>
  <c r="R322" i="1"/>
  <c r="N322" i="1"/>
  <c r="O322" i="1" s="1"/>
  <c r="L322" i="1"/>
  <c r="H322" i="1"/>
  <c r="I322" i="1" s="1"/>
  <c r="F322" i="1"/>
  <c r="C322" i="1"/>
  <c r="AC321" i="1"/>
  <c r="AA321" i="1"/>
  <c r="X321" i="1"/>
  <c r="W321" i="1"/>
  <c r="U321" i="1"/>
  <c r="R321" i="1"/>
  <c r="O321" i="1"/>
  <c r="N321" i="1"/>
  <c r="L321" i="1"/>
  <c r="I321" i="1"/>
  <c r="H321" i="1"/>
  <c r="F321" i="1"/>
  <c r="C321" i="1"/>
  <c r="AD320" i="1"/>
  <c r="AC320" i="1"/>
  <c r="AA320" i="1"/>
  <c r="W320" i="1"/>
  <c r="X320" i="1" s="1"/>
  <c r="U320" i="1"/>
  <c r="R320" i="1"/>
  <c r="N320" i="1"/>
  <c r="O320" i="1" s="1"/>
  <c r="L320" i="1"/>
  <c r="H320" i="1"/>
  <c r="I320" i="1" s="1"/>
  <c r="F320" i="1"/>
  <c r="C320" i="1"/>
  <c r="AC319" i="1"/>
  <c r="AA319" i="1"/>
  <c r="X319" i="1"/>
  <c r="W319" i="1"/>
  <c r="U319" i="1"/>
  <c r="R319" i="1"/>
  <c r="O319" i="1"/>
  <c r="N319" i="1"/>
  <c r="L319" i="1"/>
  <c r="H319" i="1"/>
  <c r="I319" i="1" s="1"/>
  <c r="F319" i="1"/>
  <c r="C319" i="1"/>
  <c r="AC318" i="1"/>
  <c r="AA318" i="1"/>
  <c r="W318" i="1"/>
  <c r="X318" i="1" s="1"/>
  <c r="U318" i="1"/>
  <c r="R318" i="1"/>
  <c r="N318" i="1"/>
  <c r="O318" i="1" s="1"/>
  <c r="L318" i="1"/>
  <c r="H318" i="1"/>
  <c r="I318" i="1" s="1"/>
  <c r="F318" i="1"/>
  <c r="C318" i="1"/>
  <c r="AC317" i="1"/>
  <c r="AD317" i="1" s="1"/>
  <c r="AA317" i="1"/>
  <c r="X317" i="1"/>
  <c r="W317" i="1"/>
  <c r="U317" i="1"/>
  <c r="R317" i="1"/>
  <c r="O317" i="1"/>
  <c r="N317" i="1"/>
  <c r="L317" i="1"/>
  <c r="I317" i="1"/>
  <c r="H317" i="1"/>
  <c r="F317" i="1"/>
  <c r="C317" i="1"/>
  <c r="AC316" i="1"/>
  <c r="AA316" i="1"/>
  <c r="X316" i="1"/>
  <c r="W316" i="1"/>
  <c r="U316" i="1"/>
  <c r="R316" i="1"/>
  <c r="N316" i="1"/>
  <c r="O316" i="1" s="1"/>
  <c r="L316" i="1"/>
  <c r="H316" i="1"/>
  <c r="I316" i="1" s="1"/>
  <c r="F316" i="1"/>
  <c r="C316" i="1"/>
  <c r="AC315" i="1"/>
  <c r="AD315" i="1" s="1"/>
  <c r="AA315" i="1"/>
  <c r="X315" i="1"/>
  <c r="W315" i="1"/>
  <c r="U315" i="1"/>
  <c r="R315" i="1"/>
  <c r="O315" i="1"/>
  <c r="N315" i="1"/>
  <c r="L315" i="1"/>
  <c r="H315" i="1"/>
  <c r="I315" i="1" s="1"/>
  <c r="F315" i="1"/>
  <c r="C315" i="1"/>
  <c r="AC314" i="1"/>
  <c r="AA314" i="1"/>
  <c r="W314" i="1"/>
  <c r="X314" i="1" s="1"/>
  <c r="U314" i="1"/>
  <c r="R314" i="1"/>
  <c r="O314" i="1"/>
  <c r="N314" i="1"/>
  <c r="L314" i="1"/>
  <c r="H314" i="1"/>
  <c r="I314" i="1" s="1"/>
  <c r="F314" i="1"/>
  <c r="C314" i="1"/>
  <c r="AC313" i="1"/>
  <c r="AA313" i="1"/>
  <c r="X313" i="1"/>
  <c r="W313" i="1"/>
  <c r="U313" i="1"/>
  <c r="R313" i="1"/>
  <c r="O313" i="1"/>
  <c r="N313" i="1"/>
  <c r="L313" i="1"/>
  <c r="I313" i="1"/>
  <c r="H313" i="1"/>
  <c r="F313" i="1"/>
  <c r="C313" i="1"/>
  <c r="AC312" i="1"/>
  <c r="AD312" i="1" s="1"/>
  <c r="AA312" i="1"/>
  <c r="W312" i="1"/>
  <c r="X312" i="1" s="1"/>
  <c r="U312" i="1"/>
  <c r="R312" i="1"/>
  <c r="N312" i="1"/>
  <c r="O312" i="1" s="1"/>
  <c r="L312" i="1"/>
  <c r="H312" i="1"/>
  <c r="I312" i="1" s="1"/>
  <c r="F312" i="1"/>
  <c r="C312" i="1"/>
  <c r="AC311" i="1"/>
  <c r="AD311" i="1" s="1"/>
  <c r="AA311" i="1"/>
  <c r="X311" i="1"/>
  <c r="W311" i="1"/>
  <c r="U311" i="1"/>
  <c r="R311" i="1"/>
  <c r="O311" i="1"/>
  <c r="N311" i="1"/>
  <c r="L311" i="1"/>
  <c r="I311" i="1"/>
  <c r="H311" i="1"/>
  <c r="F311" i="1"/>
  <c r="C311" i="1"/>
  <c r="AD310" i="1"/>
  <c r="AC310" i="1"/>
  <c r="AA310" i="1"/>
  <c r="W310" i="1"/>
  <c r="X310" i="1" s="1"/>
  <c r="U310" i="1"/>
  <c r="R310" i="1"/>
  <c r="N310" i="1"/>
  <c r="O310" i="1" s="1"/>
  <c r="L310" i="1"/>
  <c r="H310" i="1"/>
  <c r="I310" i="1" s="1"/>
  <c r="F310" i="1"/>
  <c r="C310" i="1"/>
  <c r="AC309" i="1"/>
  <c r="AA309" i="1"/>
  <c r="X309" i="1"/>
  <c r="W309" i="1"/>
  <c r="U309" i="1"/>
  <c r="R309" i="1"/>
  <c r="O309" i="1"/>
  <c r="N309" i="1"/>
  <c r="L309" i="1"/>
  <c r="I309" i="1"/>
  <c r="H309" i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C307" i="1"/>
  <c r="AA307" i="1"/>
  <c r="X307" i="1"/>
  <c r="W307" i="1"/>
  <c r="U307" i="1"/>
  <c r="R307" i="1"/>
  <c r="O307" i="1"/>
  <c r="N307" i="1"/>
  <c r="L307" i="1"/>
  <c r="H307" i="1"/>
  <c r="I307" i="1" s="1"/>
  <c r="F307" i="1"/>
  <c r="C307" i="1"/>
  <c r="AC306" i="1"/>
  <c r="AA306" i="1"/>
  <c r="W306" i="1"/>
  <c r="X306" i="1" s="1"/>
  <c r="U306" i="1"/>
  <c r="R306" i="1"/>
  <c r="N306" i="1"/>
  <c r="O306" i="1" s="1"/>
  <c r="L306" i="1"/>
  <c r="H306" i="1"/>
  <c r="I306" i="1" s="1"/>
  <c r="F306" i="1"/>
  <c r="C306" i="1"/>
  <c r="AC305" i="1"/>
  <c r="AA305" i="1"/>
  <c r="X305" i="1"/>
  <c r="W305" i="1"/>
  <c r="U305" i="1"/>
  <c r="R305" i="1"/>
  <c r="O305" i="1"/>
  <c r="N305" i="1"/>
  <c r="L305" i="1"/>
  <c r="I305" i="1"/>
  <c r="H305" i="1"/>
  <c r="F305" i="1"/>
  <c r="C305" i="1"/>
  <c r="AD304" i="1"/>
  <c r="AC304" i="1"/>
  <c r="AA304" i="1"/>
  <c r="W304" i="1"/>
  <c r="X304" i="1" s="1"/>
  <c r="U304" i="1"/>
  <c r="R304" i="1"/>
  <c r="N304" i="1"/>
  <c r="O304" i="1" s="1"/>
  <c r="L304" i="1"/>
  <c r="H304" i="1"/>
  <c r="I304" i="1" s="1"/>
  <c r="F304" i="1"/>
  <c r="C304" i="1"/>
  <c r="AC303" i="1"/>
  <c r="AD303" i="1" s="1"/>
  <c r="AA303" i="1"/>
  <c r="X303" i="1"/>
  <c r="W303" i="1"/>
  <c r="U303" i="1"/>
  <c r="R303" i="1"/>
  <c r="O303" i="1"/>
  <c r="N303" i="1"/>
  <c r="L303" i="1"/>
  <c r="I303" i="1"/>
  <c r="H303" i="1"/>
  <c r="F303" i="1"/>
  <c r="C303" i="1"/>
  <c r="AC302" i="1"/>
  <c r="AA302" i="1"/>
  <c r="W302" i="1"/>
  <c r="X302" i="1" s="1"/>
  <c r="U302" i="1"/>
  <c r="R302" i="1"/>
  <c r="N302" i="1"/>
  <c r="O302" i="1" s="1"/>
  <c r="L302" i="1"/>
  <c r="H302" i="1"/>
  <c r="I302" i="1" s="1"/>
  <c r="F302" i="1"/>
  <c r="C302" i="1"/>
  <c r="AC301" i="1"/>
  <c r="AA301" i="1"/>
  <c r="X301" i="1"/>
  <c r="W301" i="1"/>
  <c r="U301" i="1"/>
  <c r="R301" i="1"/>
  <c r="O301" i="1"/>
  <c r="N301" i="1"/>
  <c r="L301" i="1"/>
  <c r="I301" i="1"/>
  <c r="H301" i="1"/>
  <c r="F301" i="1"/>
  <c r="C301" i="1"/>
  <c r="AC300" i="1"/>
  <c r="AD300" i="1" s="1"/>
  <c r="AA300" i="1"/>
  <c r="W300" i="1"/>
  <c r="X300" i="1" s="1"/>
  <c r="U300" i="1"/>
  <c r="R300" i="1"/>
  <c r="N300" i="1"/>
  <c r="O300" i="1" s="1"/>
  <c r="L300" i="1"/>
  <c r="H300" i="1"/>
  <c r="I300" i="1" s="1"/>
  <c r="F300" i="1"/>
  <c r="C300" i="1"/>
  <c r="AC299" i="1"/>
  <c r="AA299" i="1"/>
  <c r="X299" i="1"/>
  <c r="W299" i="1"/>
  <c r="U299" i="1"/>
  <c r="R299" i="1"/>
  <c r="O299" i="1"/>
  <c r="N299" i="1"/>
  <c r="L299" i="1"/>
  <c r="I299" i="1"/>
  <c r="H299" i="1"/>
  <c r="F299" i="1"/>
  <c r="C299" i="1"/>
  <c r="AD298" i="1"/>
  <c r="AC298" i="1"/>
  <c r="AA298" i="1"/>
  <c r="X298" i="1"/>
  <c r="W298" i="1"/>
  <c r="U298" i="1"/>
  <c r="R298" i="1"/>
  <c r="N298" i="1"/>
  <c r="O298" i="1" s="1"/>
  <c r="L298" i="1"/>
  <c r="H298" i="1"/>
  <c r="I298" i="1" s="1"/>
  <c r="F298" i="1"/>
  <c r="C298" i="1"/>
  <c r="AC297" i="1"/>
  <c r="AA297" i="1"/>
  <c r="X297" i="1"/>
  <c r="W297" i="1"/>
  <c r="U297" i="1"/>
  <c r="R297" i="1"/>
  <c r="O297" i="1"/>
  <c r="N297" i="1"/>
  <c r="L297" i="1"/>
  <c r="I297" i="1"/>
  <c r="H297" i="1"/>
  <c r="F297" i="1"/>
  <c r="C297" i="1"/>
  <c r="Z295" i="1"/>
  <c r="AA295" i="1" s="1"/>
  <c r="T295" i="1"/>
  <c r="U295" i="1" s="1"/>
  <c r="Q295" i="1"/>
  <c r="W295" i="1" s="1"/>
  <c r="X295" i="1" s="1"/>
  <c r="L295" i="1"/>
  <c r="K295" i="1"/>
  <c r="E295" i="1"/>
  <c r="F295" i="1" s="1"/>
  <c r="B295" i="1"/>
  <c r="C295" i="1" s="1"/>
  <c r="AD294" i="1"/>
  <c r="AC294" i="1"/>
  <c r="AA294" i="1"/>
  <c r="W294" i="1"/>
  <c r="X294" i="1" s="1"/>
  <c r="U294" i="1"/>
  <c r="R294" i="1"/>
  <c r="N294" i="1"/>
  <c r="O294" i="1" s="1"/>
  <c r="L294" i="1"/>
  <c r="H294" i="1"/>
  <c r="I294" i="1" s="1"/>
  <c r="F294" i="1"/>
  <c r="C294" i="1"/>
  <c r="AC293" i="1"/>
  <c r="AA293" i="1"/>
  <c r="X293" i="1"/>
  <c r="W293" i="1"/>
  <c r="U293" i="1"/>
  <c r="R293" i="1"/>
  <c r="O293" i="1"/>
  <c r="N293" i="1"/>
  <c r="L293" i="1"/>
  <c r="I293" i="1"/>
  <c r="H293" i="1"/>
  <c r="F293" i="1"/>
  <c r="C293" i="1"/>
  <c r="AD292" i="1"/>
  <c r="AC292" i="1"/>
  <c r="AA292" i="1"/>
  <c r="W292" i="1"/>
  <c r="X292" i="1" s="1"/>
  <c r="U292" i="1"/>
  <c r="R292" i="1"/>
  <c r="N292" i="1"/>
  <c r="O292" i="1" s="1"/>
  <c r="L292" i="1"/>
  <c r="H292" i="1"/>
  <c r="I292" i="1" s="1"/>
  <c r="F292" i="1"/>
  <c r="C292" i="1"/>
  <c r="AC291" i="1"/>
  <c r="AD291" i="1" s="1"/>
  <c r="AA291" i="1"/>
  <c r="X291" i="1"/>
  <c r="W291" i="1"/>
  <c r="U291" i="1"/>
  <c r="R291" i="1"/>
  <c r="O291" i="1"/>
  <c r="N291" i="1"/>
  <c r="L291" i="1"/>
  <c r="I291" i="1"/>
  <c r="H291" i="1"/>
  <c r="F291" i="1"/>
  <c r="C291" i="1"/>
  <c r="AC290" i="1"/>
  <c r="AA290" i="1"/>
  <c r="W290" i="1"/>
  <c r="X290" i="1" s="1"/>
  <c r="U290" i="1"/>
  <c r="R290" i="1"/>
  <c r="N290" i="1"/>
  <c r="O290" i="1" s="1"/>
  <c r="L290" i="1"/>
  <c r="H290" i="1"/>
  <c r="I290" i="1" s="1"/>
  <c r="F290" i="1"/>
  <c r="C290" i="1"/>
  <c r="AC289" i="1"/>
  <c r="AA289" i="1"/>
  <c r="X289" i="1"/>
  <c r="W289" i="1"/>
  <c r="U289" i="1"/>
  <c r="R289" i="1"/>
  <c r="O289" i="1"/>
  <c r="N289" i="1"/>
  <c r="L289" i="1"/>
  <c r="I289" i="1"/>
  <c r="H289" i="1"/>
  <c r="F289" i="1"/>
  <c r="C289" i="1"/>
  <c r="AC288" i="1"/>
  <c r="AD288" i="1" s="1"/>
  <c r="AA288" i="1"/>
  <c r="W288" i="1"/>
  <c r="X288" i="1" s="1"/>
  <c r="U288" i="1"/>
  <c r="R288" i="1"/>
  <c r="N288" i="1"/>
  <c r="O288" i="1" s="1"/>
  <c r="L288" i="1"/>
  <c r="H288" i="1"/>
  <c r="I288" i="1" s="1"/>
  <c r="F288" i="1"/>
  <c r="C288" i="1"/>
  <c r="AC287" i="1"/>
  <c r="AA287" i="1"/>
  <c r="X287" i="1"/>
  <c r="W287" i="1"/>
  <c r="U287" i="1"/>
  <c r="R287" i="1"/>
  <c r="O287" i="1"/>
  <c r="N287" i="1"/>
  <c r="L287" i="1"/>
  <c r="I287" i="1"/>
  <c r="H287" i="1"/>
  <c r="F287" i="1"/>
  <c r="C287" i="1"/>
  <c r="AD286" i="1"/>
  <c r="AC286" i="1"/>
  <c r="AA286" i="1"/>
  <c r="X286" i="1"/>
  <c r="W286" i="1"/>
  <c r="U286" i="1"/>
  <c r="R286" i="1"/>
  <c r="N286" i="1"/>
  <c r="O286" i="1" s="1"/>
  <c r="L286" i="1"/>
  <c r="H286" i="1"/>
  <c r="I286" i="1" s="1"/>
  <c r="F286" i="1"/>
  <c r="C286" i="1"/>
  <c r="Z284" i="1"/>
  <c r="AA284" i="1" s="1"/>
  <c r="T284" i="1"/>
  <c r="W284" i="1" s="1"/>
  <c r="X284" i="1" s="1"/>
  <c r="Q284" i="1"/>
  <c r="R284" i="1" s="1"/>
  <c r="K284" i="1"/>
  <c r="L284" i="1" s="1"/>
  <c r="H284" i="1"/>
  <c r="I284" i="1" s="1"/>
  <c r="E284" i="1"/>
  <c r="F284" i="1" s="1"/>
  <c r="C284" i="1"/>
  <c r="B284" i="1"/>
  <c r="N284" i="1" s="1"/>
  <c r="O284" i="1" s="1"/>
  <c r="AC283" i="1"/>
  <c r="AA283" i="1"/>
  <c r="X283" i="1"/>
  <c r="W283" i="1"/>
  <c r="U283" i="1"/>
  <c r="R283" i="1"/>
  <c r="O283" i="1"/>
  <c r="N283" i="1"/>
  <c r="L283" i="1"/>
  <c r="H283" i="1"/>
  <c r="I283" i="1" s="1"/>
  <c r="F283" i="1"/>
  <c r="C283" i="1"/>
  <c r="AC282" i="1"/>
  <c r="AD282" i="1" s="1"/>
  <c r="AA282" i="1"/>
  <c r="X282" i="1"/>
  <c r="W282" i="1"/>
  <c r="U282" i="1"/>
  <c r="R282" i="1"/>
  <c r="O282" i="1"/>
  <c r="N282" i="1"/>
  <c r="L282" i="1"/>
  <c r="H282" i="1"/>
  <c r="I282" i="1" s="1"/>
  <c r="F282" i="1"/>
  <c r="C282" i="1"/>
  <c r="AC281" i="1"/>
  <c r="AA281" i="1"/>
  <c r="X281" i="1"/>
  <c r="W281" i="1"/>
  <c r="U281" i="1"/>
  <c r="R281" i="1"/>
  <c r="O281" i="1"/>
  <c r="N281" i="1"/>
  <c r="L281" i="1"/>
  <c r="H281" i="1"/>
  <c r="I281" i="1" s="1"/>
  <c r="F281" i="1"/>
  <c r="C281" i="1"/>
  <c r="AC280" i="1"/>
  <c r="AA280" i="1"/>
  <c r="W280" i="1"/>
  <c r="X280" i="1" s="1"/>
  <c r="U280" i="1"/>
  <c r="R280" i="1"/>
  <c r="O280" i="1"/>
  <c r="N280" i="1"/>
  <c r="L280" i="1"/>
  <c r="H280" i="1"/>
  <c r="I280" i="1" s="1"/>
  <c r="F280" i="1"/>
  <c r="C280" i="1"/>
  <c r="AC279" i="1"/>
  <c r="AD279" i="1" s="1"/>
  <c r="AA279" i="1"/>
  <c r="X279" i="1"/>
  <c r="W279" i="1"/>
  <c r="U279" i="1"/>
  <c r="R279" i="1"/>
  <c r="O279" i="1"/>
  <c r="N279" i="1"/>
  <c r="L279" i="1"/>
  <c r="H279" i="1"/>
  <c r="I279" i="1" s="1"/>
  <c r="F279" i="1"/>
  <c r="C279" i="1"/>
  <c r="AC278" i="1"/>
  <c r="AD278" i="1" s="1"/>
  <c r="AA278" i="1"/>
  <c r="X278" i="1"/>
  <c r="W278" i="1"/>
  <c r="U278" i="1"/>
  <c r="R278" i="1"/>
  <c r="O278" i="1"/>
  <c r="N278" i="1"/>
  <c r="L278" i="1"/>
  <c r="H278" i="1"/>
  <c r="I278" i="1" s="1"/>
  <c r="F278" i="1"/>
  <c r="C278" i="1"/>
  <c r="AC277" i="1"/>
  <c r="AD277" i="1" s="1"/>
  <c r="AA277" i="1"/>
  <c r="X277" i="1"/>
  <c r="W277" i="1"/>
  <c r="U277" i="1"/>
  <c r="R277" i="1"/>
  <c r="O277" i="1"/>
  <c r="N277" i="1"/>
  <c r="L277" i="1"/>
  <c r="H277" i="1"/>
  <c r="I277" i="1" s="1"/>
  <c r="F277" i="1"/>
  <c r="C277" i="1"/>
  <c r="AC276" i="1"/>
  <c r="AD276" i="1" s="1"/>
  <c r="AA276" i="1"/>
  <c r="X276" i="1"/>
  <c r="W276" i="1"/>
  <c r="U276" i="1"/>
  <c r="R276" i="1"/>
  <c r="N276" i="1"/>
  <c r="O276" i="1" s="1"/>
  <c r="L276" i="1"/>
  <c r="H276" i="1"/>
  <c r="I276" i="1" s="1"/>
  <c r="F276" i="1"/>
  <c r="C276" i="1"/>
  <c r="AC275" i="1"/>
  <c r="AA275" i="1"/>
  <c r="X275" i="1"/>
  <c r="W275" i="1"/>
  <c r="U275" i="1"/>
  <c r="R275" i="1"/>
  <c r="O275" i="1"/>
  <c r="N275" i="1"/>
  <c r="L275" i="1"/>
  <c r="H275" i="1"/>
  <c r="I275" i="1" s="1"/>
  <c r="F275" i="1"/>
  <c r="C275" i="1"/>
  <c r="AC273" i="1"/>
  <c r="AD273" i="1" s="1"/>
  <c r="Z273" i="1"/>
  <c r="AA273" i="1" s="1"/>
  <c r="T273" i="1"/>
  <c r="U273" i="1" s="1"/>
  <c r="Q273" i="1"/>
  <c r="W273" i="1" s="1"/>
  <c r="X273" i="1" s="1"/>
  <c r="L273" i="1"/>
  <c r="K273" i="1"/>
  <c r="E273" i="1"/>
  <c r="F273" i="1" s="1"/>
  <c r="B273" i="1"/>
  <c r="C273" i="1" s="1"/>
  <c r="AD272" i="1"/>
  <c r="AC272" i="1"/>
  <c r="AA272" i="1"/>
  <c r="W272" i="1"/>
  <c r="X272" i="1" s="1"/>
  <c r="U272" i="1"/>
  <c r="R272" i="1"/>
  <c r="N272" i="1"/>
  <c r="O272" i="1" s="1"/>
  <c r="L272" i="1"/>
  <c r="H272" i="1"/>
  <c r="I272" i="1" s="1"/>
  <c r="F272" i="1"/>
  <c r="C272" i="1"/>
  <c r="AC271" i="1"/>
  <c r="AA271" i="1"/>
  <c r="X271" i="1"/>
  <c r="W271" i="1"/>
  <c r="U271" i="1"/>
  <c r="R271" i="1"/>
  <c r="O271" i="1"/>
  <c r="N271" i="1"/>
  <c r="L271" i="1"/>
  <c r="H271" i="1"/>
  <c r="I271" i="1" s="1"/>
  <c r="F271" i="1"/>
  <c r="C271" i="1"/>
  <c r="AD270" i="1"/>
  <c r="AC270" i="1"/>
  <c r="AA270" i="1"/>
  <c r="W270" i="1"/>
  <c r="X270" i="1" s="1"/>
  <c r="U270" i="1"/>
  <c r="R270" i="1"/>
  <c r="N270" i="1"/>
  <c r="O270" i="1" s="1"/>
  <c r="L270" i="1"/>
  <c r="H270" i="1"/>
  <c r="I270" i="1" s="1"/>
  <c r="F270" i="1"/>
  <c r="C270" i="1"/>
  <c r="AC269" i="1"/>
  <c r="AD269" i="1" s="1"/>
  <c r="AA269" i="1"/>
  <c r="X269" i="1"/>
  <c r="W269" i="1"/>
  <c r="U269" i="1"/>
  <c r="R269" i="1"/>
  <c r="O269" i="1"/>
  <c r="N269" i="1"/>
  <c r="L269" i="1"/>
  <c r="I269" i="1"/>
  <c r="H269" i="1"/>
  <c r="F269" i="1"/>
  <c r="C269" i="1"/>
  <c r="Z267" i="1"/>
  <c r="AA267" i="1" s="1"/>
  <c r="W267" i="1"/>
  <c r="X267" i="1" s="1"/>
  <c r="T267" i="1"/>
  <c r="U267" i="1" s="1"/>
  <c r="R267" i="1"/>
  <c r="Q267" i="1"/>
  <c r="AC267" i="1" s="1"/>
  <c r="AD267" i="1" s="1"/>
  <c r="K267" i="1"/>
  <c r="L267" i="1" s="1"/>
  <c r="F267" i="1"/>
  <c r="E267" i="1"/>
  <c r="B267" i="1"/>
  <c r="C267" i="1" s="1"/>
  <c r="AC266" i="1"/>
  <c r="AA266" i="1"/>
  <c r="W266" i="1"/>
  <c r="X266" i="1" s="1"/>
  <c r="U266" i="1"/>
  <c r="R266" i="1"/>
  <c r="O266" i="1"/>
  <c r="N266" i="1"/>
  <c r="L266" i="1"/>
  <c r="H266" i="1"/>
  <c r="I266" i="1" s="1"/>
  <c r="F266" i="1"/>
  <c r="C266" i="1"/>
  <c r="AC265" i="1"/>
  <c r="AD265" i="1" s="1"/>
  <c r="AA265" i="1"/>
  <c r="X265" i="1"/>
  <c r="W265" i="1"/>
  <c r="U265" i="1"/>
  <c r="R265" i="1"/>
  <c r="O265" i="1"/>
  <c r="N265" i="1"/>
  <c r="L265" i="1"/>
  <c r="H265" i="1"/>
  <c r="I265" i="1" s="1"/>
  <c r="F265" i="1"/>
  <c r="C265" i="1"/>
  <c r="Z263" i="1"/>
  <c r="AA263" i="1" s="1"/>
  <c r="T263" i="1"/>
  <c r="U263" i="1" s="1"/>
  <c r="Q263" i="1"/>
  <c r="R263" i="1" s="1"/>
  <c r="K263" i="1"/>
  <c r="L263" i="1" s="1"/>
  <c r="E263" i="1"/>
  <c r="H263" i="1" s="1"/>
  <c r="I263" i="1" s="1"/>
  <c r="B263" i="1"/>
  <c r="C263" i="1" s="1"/>
  <c r="Z262" i="1"/>
  <c r="AA262" i="1" s="1"/>
  <c r="W262" i="1"/>
  <c r="X262" i="1" s="1"/>
  <c r="T262" i="1"/>
  <c r="U262" i="1" s="1"/>
  <c r="R262" i="1"/>
  <c r="Q262" i="1"/>
  <c r="AC262" i="1" s="1"/>
  <c r="AD262" i="1" s="1"/>
  <c r="K262" i="1"/>
  <c r="L262" i="1" s="1"/>
  <c r="F262" i="1"/>
  <c r="E262" i="1"/>
  <c r="B262" i="1"/>
  <c r="C262" i="1" s="1"/>
  <c r="AC261" i="1"/>
  <c r="AA261" i="1"/>
  <c r="W261" i="1"/>
  <c r="X261" i="1" s="1"/>
  <c r="U261" i="1"/>
  <c r="R261" i="1"/>
  <c r="O261" i="1"/>
  <c r="N261" i="1"/>
  <c r="L261" i="1"/>
  <c r="H261" i="1"/>
  <c r="I261" i="1" s="1"/>
  <c r="F261" i="1"/>
  <c r="C261" i="1"/>
  <c r="AC260" i="1"/>
  <c r="AD260" i="1" s="1"/>
  <c r="AA260" i="1"/>
  <c r="X260" i="1"/>
  <c r="W260" i="1"/>
  <c r="U260" i="1"/>
  <c r="R260" i="1"/>
  <c r="O260" i="1"/>
  <c r="N260" i="1"/>
  <c r="L260" i="1"/>
  <c r="H260" i="1"/>
  <c r="I260" i="1" s="1"/>
  <c r="F260" i="1"/>
  <c r="C260" i="1"/>
  <c r="AC259" i="1"/>
  <c r="AD259" i="1" s="1"/>
  <c r="AA259" i="1"/>
  <c r="X259" i="1"/>
  <c r="W259" i="1"/>
  <c r="U259" i="1"/>
  <c r="R259" i="1"/>
  <c r="O259" i="1"/>
  <c r="N259" i="1"/>
  <c r="L259" i="1"/>
  <c r="H259" i="1"/>
  <c r="I259" i="1" s="1"/>
  <c r="F259" i="1"/>
  <c r="C259" i="1"/>
  <c r="AC258" i="1"/>
  <c r="AA258" i="1"/>
  <c r="W258" i="1"/>
  <c r="X258" i="1" s="1"/>
  <c r="U258" i="1"/>
  <c r="R258" i="1"/>
  <c r="O258" i="1"/>
  <c r="N258" i="1"/>
  <c r="L258" i="1"/>
  <c r="I258" i="1"/>
  <c r="H258" i="1"/>
  <c r="F258" i="1"/>
  <c r="C258" i="1"/>
  <c r="AD257" i="1"/>
  <c r="AC257" i="1"/>
  <c r="AA257" i="1"/>
  <c r="X257" i="1"/>
  <c r="W257" i="1"/>
  <c r="U257" i="1"/>
  <c r="R257" i="1"/>
  <c r="N257" i="1"/>
  <c r="O257" i="1" s="1"/>
  <c r="L257" i="1"/>
  <c r="H257" i="1"/>
  <c r="I257" i="1" s="1"/>
  <c r="F257" i="1"/>
  <c r="C257" i="1"/>
  <c r="AC256" i="1"/>
  <c r="AD256" i="1" s="1"/>
  <c r="AA256" i="1"/>
  <c r="X256" i="1"/>
  <c r="W256" i="1"/>
  <c r="U256" i="1"/>
  <c r="R256" i="1"/>
  <c r="O256" i="1"/>
  <c r="N256" i="1"/>
  <c r="L256" i="1"/>
  <c r="H256" i="1"/>
  <c r="I256" i="1" s="1"/>
  <c r="F256" i="1"/>
  <c r="C256" i="1"/>
  <c r="AC255" i="1"/>
  <c r="AA255" i="1"/>
  <c r="W255" i="1"/>
  <c r="X255" i="1" s="1"/>
  <c r="U255" i="1"/>
  <c r="R255" i="1"/>
  <c r="O255" i="1"/>
  <c r="N255" i="1"/>
  <c r="L255" i="1"/>
  <c r="H255" i="1"/>
  <c r="I255" i="1" s="1"/>
  <c r="F255" i="1"/>
  <c r="C255" i="1"/>
  <c r="AC254" i="1"/>
  <c r="AA254" i="1"/>
  <c r="X254" i="1"/>
  <c r="W254" i="1"/>
  <c r="U254" i="1"/>
  <c r="R254" i="1"/>
  <c r="O254" i="1"/>
  <c r="N254" i="1"/>
  <c r="L254" i="1"/>
  <c r="I254" i="1"/>
  <c r="H254" i="1"/>
  <c r="F254" i="1"/>
  <c r="C254" i="1"/>
  <c r="AC253" i="1"/>
  <c r="AD253" i="1" s="1"/>
  <c r="AA253" i="1"/>
  <c r="W253" i="1"/>
  <c r="X253" i="1" s="1"/>
  <c r="U253" i="1"/>
  <c r="R253" i="1"/>
  <c r="N253" i="1"/>
  <c r="O253" i="1" s="1"/>
  <c r="L253" i="1"/>
  <c r="H253" i="1"/>
  <c r="I253" i="1" s="1"/>
  <c r="F253" i="1"/>
  <c r="C253" i="1"/>
  <c r="AC252" i="1"/>
  <c r="AA252" i="1"/>
  <c r="X252" i="1"/>
  <c r="W252" i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X251" i="1"/>
  <c r="W251" i="1"/>
  <c r="U251" i="1"/>
  <c r="R251" i="1"/>
  <c r="O251" i="1"/>
  <c r="N251" i="1"/>
  <c r="L251" i="1"/>
  <c r="I251" i="1"/>
  <c r="H251" i="1"/>
  <c r="F251" i="1"/>
  <c r="C251" i="1"/>
  <c r="AC250" i="1"/>
  <c r="AD250" i="1" s="1"/>
  <c r="AA250" i="1"/>
  <c r="W250" i="1"/>
  <c r="X250" i="1" s="1"/>
  <c r="U250" i="1"/>
  <c r="R250" i="1"/>
  <c r="O250" i="1"/>
  <c r="N250" i="1"/>
  <c r="L250" i="1"/>
  <c r="I250" i="1"/>
  <c r="H250" i="1"/>
  <c r="F250" i="1"/>
  <c r="C250" i="1"/>
  <c r="AC249" i="1"/>
  <c r="AA249" i="1"/>
  <c r="W249" i="1"/>
  <c r="X249" i="1" s="1"/>
  <c r="U249" i="1"/>
  <c r="R249" i="1"/>
  <c r="O249" i="1"/>
  <c r="N249" i="1"/>
  <c r="L249" i="1"/>
  <c r="H249" i="1"/>
  <c r="I249" i="1" s="1"/>
  <c r="F249" i="1"/>
  <c r="C249" i="1"/>
  <c r="AC248" i="1"/>
  <c r="AD248" i="1" s="1"/>
  <c r="AA248" i="1"/>
  <c r="X248" i="1"/>
  <c r="W248" i="1"/>
  <c r="U248" i="1"/>
  <c r="R248" i="1"/>
  <c r="O248" i="1"/>
  <c r="N248" i="1"/>
  <c r="L248" i="1"/>
  <c r="I248" i="1"/>
  <c r="H248" i="1"/>
  <c r="F248" i="1"/>
  <c r="C248" i="1"/>
  <c r="AC247" i="1"/>
  <c r="AD247" i="1" s="1"/>
  <c r="AA247" i="1"/>
  <c r="X247" i="1"/>
  <c r="W247" i="1"/>
  <c r="U247" i="1"/>
  <c r="R247" i="1"/>
  <c r="N247" i="1"/>
  <c r="O247" i="1" s="1"/>
  <c r="L247" i="1"/>
  <c r="H247" i="1"/>
  <c r="I247" i="1" s="1"/>
  <c r="F247" i="1"/>
  <c r="C247" i="1"/>
  <c r="AC246" i="1"/>
  <c r="AA246" i="1"/>
  <c r="W246" i="1"/>
  <c r="X246" i="1" s="1"/>
  <c r="U246" i="1"/>
  <c r="R246" i="1"/>
  <c r="O246" i="1"/>
  <c r="N246" i="1"/>
  <c r="L246" i="1"/>
  <c r="H246" i="1"/>
  <c r="I246" i="1" s="1"/>
  <c r="F246" i="1"/>
  <c r="C246" i="1"/>
  <c r="AD245" i="1"/>
  <c r="AC245" i="1"/>
  <c r="AA245" i="1"/>
  <c r="W245" i="1"/>
  <c r="X245" i="1" s="1"/>
  <c r="U245" i="1"/>
  <c r="R245" i="1"/>
  <c r="N245" i="1"/>
  <c r="O245" i="1" s="1"/>
  <c r="L245" i="1"/>
  <c r="H245" i="1"/>
  <c r="I245" i="1" s="1"/>
  <c r="F245" i="1"/>
  <c r="C245" i="1"/>
  <c r="AC244" i="1"/>
  <c r="AD244" i="1" s="1"/>
  <c r="AA244" i="1"/>
  <c r="X244" i="1"/>
  <c r="W244" i="1"/>
  <c r="U244" i="1"/>
  <c r="R244" i="1"/>
  <c r="N244" i="1"/>
  <c r="O244" i="1" s="1"/>
  <c r="L244" i="1"/>
  <c r="H244" i="1"/>
  <c r="I244" i="1" s="1"/>
  <c r="F244" i="1"/>
  <c r="C244" i="1"/>
  <c r="AC243" i="1"/>
  <c r="AD243" i="1" s="1"/>
  <c r="AA243" i="1"/>
  <c r="X243" i="1"/>
  <c r="W243" i="1"/>
  <c r="U243" i="1"/>
  <c r="R243" i="1"/>
  <c r="O243" i="1"/>
  <c r="N243" i="1"/>
  <c r="L243" i="1"/>
  <c r="H243" i="1"/>
  <c r="I243" i="1" s="1"/>
  <c r="F243" i="1"/>
  <c r="C243" i="1"/>
  <c r="AC242" i="1"/>
  <c r="AA242" i="1"/>
  <c r="W242" i="1"/>
  <c r="X242" i="1" s="1"/>
  <c r="U242" i="1"/>
  <c r="R242" i="1"/>
  <c r="O242" i="1"/>
  <c r="N242" i="1"/>
  <c r="L242" i="1"/>
  <c r="I242" i="1"/>
  <c r="H242" i="1"/>
  <c r="F242" i="1"/>
  <c r="C242" i="1"/>
  <c r="AD241" i="1"/>
  <c r="AC241" i="1"/>
  <c r="AA241" i="1"/>
  <c r="X241" i="1"/>
  <c r="W241" i="1"/>
  <c r="U241" i="1"/>
  <c r="R241" i="1"/>
  <c r="N241" i="1"/>
  <c r="O241" i="1" s="1"/>
  <c r="L241" i="1"/>
  <c r="H241" i="1"/>
  <c r="I241" i="1" s="1"/>
  <c r="F241" i="1"/>
  <c r="C241" i="1"/>
  <c r="AC240" i="1"/>
  <c r="AD240" i="1" s="1"/>
  <c r="AA240" i="1"/>
  <c r="X240" i="1"/>
  <c r="W240" i="1"/>
  <c r="U240" i="1"/>
  <c r="R240" i="1"/>
  <c r="O240" i="1"/>
  <c r="N240" i="1"/>
  <c r="L240" i="1"/>
  <c r="H240" i="1"/>
  <c r="I240" i="1" s="1"/>
  <c r="F240" i="1"/>
  <c r="C240" i="1"/>
  <c r="AC238" i="1"/>
  <c r="AA238" i="1"/>
  <c r="W238" i="1"/>
  <c r="X238" i="1" s="1"/>
  <c r="U238" i="1"/>
  <c r="R238" i="1"/>
  <c r="O238" i="1"/>
  <c r="N238" i="1"/>
  <c r="L238" i="1"/>
  <c r="H238" i="1"/>
  <c r="I238" i="1" s="1"/>
  <c r="F238" i="1"/>
  <c r="C238" i="1"/>
  <c r="AA236" i="1"/>
  <c r="Z236" i="1"/>
  <c r="T236" i="1"/>
  <c r="U236" i="1" s="1"/>
  <c r="Q236" i="1"/>
  <c r="W236" i="1" s="1"/>
  <c r="X236" i="1" s="1"/>
  <c r="K236" i="1"/>
  <c r="L236" i="1" s="1"/>
  <c r="E236" i="1"/>
  <c r="H236" i="1" s="1"/>
  <c r="I236" i="1" s="1"/>
  <c r="C236" i="1"/>
  <c r="B236" i="1"/>
  <c r="N236" i="1" s="1"/>
  <c r="O236" i="1" s="1"/>
  <c r="AC235" i="1"/>
  <c r="AD235" i="1" s="1"/>
  <c r="AA235" i="1"/>
  <c r="X235" i="1"/>
  <c r="W235" i="1"/>
  <c r="U235" i="1"/>
  <c r="R235" i="1"/>
  <c r="O235" i="1"/>
  <c r="N235" i="1"/>
  <c r="L235" i="1"/>
  <c r="H235" i="1"/>
  <c r="I235" i="1" s="1"/>
  <c r="F235" i="1"/>
  <c r="C235" i="1"/>
  <c r="AC234" i="1"/>
  <c r="AA234" i="1"/>
  <c r="W234" i="1"/>
  <c r="X234" i="1" s="1"/>
  <c r="U234" i="1"/>
  <c r="R234" i="1"/>
  <c r="O234" i="1"/>
  <c r="N234" i="1"/>
  <c r="L234" i="1"/>
  <c r="H234" i="1"/>
  <c r="I234" i="1" s="1"/>
  <c r="F234" i="1"/>
  <c r="C234" i="1"/>
  <c r="AC233" i="1"/>
  <c r="AD233" i="1" s="1"/>
  <c r="AA233" i="1"/>
  <c r="X233" i="1"/>
  <c r="W233" i="1"/>
  <c r="U233" i="1"/>
  <c r="R233" i="1"/>
  <c r="O233" i="1"/>
  <c r="N233" i="1"/>
  <c r="L233" i="1"/>
  <c r="I233" i="1"/>
  <c r="H233" i="1"/>
  <c r="F233" i="1"/>
  <c r="C233" i="1"/>
  <c r="AC232" i="1"/>
  <c r="AD232" i="1" s="1"/>
  <c r="AA232" i="1"/>
  <c r="X232" i="1"/>
  <c r="W232" i="1"/>
  <c r="U232" i="1"/>
  <c r="R232" i="1"/>
  <c r="N232" i="1"/>
  <c r="O232" i="1" s="1"/>
  <c r="L232" i="1"/>
  <c r="H232" i="1"/>
  <c r="I232" i="1" s="1"/>
  <c r="F232" i="1"/>
  <c r="C232" i="1"/>
  <c r="AC231" i="1"/>
  <c r="AD231" i="1" s="1"/>
  <c r="AA231" i="1"/>
  <c r="X231" i="1"/>
  <c r="W231" i="1"/>
  <c r="U231" i="1"/>
  <c r="R231" i="1"/>
  <c r="O231" i="1"/>
  <c r="N231" i="1"/>
  <c r="L231" i="1"/>
  <c r="H231" i="1"/>
  <c r="I231" i="1" s="1"/>
  <c r="F231" i="1"/>
  <c r="C231" i="1"/>
  <c r="AC230" i="1"/>
  <c r="AA230" i="1"/>
  <c r="W230" i="1"/>
  <c r="X230" i="1" s="1"/>
  <c r="U230" i="1"/>
  <c r="R230" i="1"/>
  <c r="O230" i="1"/>
  <c r="N230" i="1"/>
  <c r="L230" i="1"/>
  <c r="H230" i="1"/>
  <c r="I230" i="1" s="1"/>
  <c r="F230" i="1"/>
  <c r="C230" i="1"/>
  <c r="AC229" i="1"/>
  <c r="AD229" i="1" s="1"/>
  <c r="AA229" i="1"/>
  <c r="X229" i="1"/>
  <c r="W229" i="1"/>
  <c r="U229" i="1"/>
  <c r="R229" i="1"/>
  <c r="O229" i="1"/>
  <c r="N229" i="1"/>
  <c r="L229" i="1"/>
  <c r="I229" i="1"/>
  <c r="H229" i="1"/>
  <c r="F229" i="1"/>
  <c r="C229" i="1"/>
  <c r="Z227" i="1"/>
  <c r="AA227" i="1" s="1"/>
  <c r="T227" i="1"/>
  <c r="U227" i="1" s="1"/>
  <c r="Q227" i="1"/>
  <c r="W227" i="1" s="1"/>
  <c r="X227" i="1" s="1"/>
  <c r="L227" i="1"/>
  <c r="K227" i="1"/>
  <c r="E227" i="1"/>
  <c r="F227" i="1" s="1"/>
  <c r="B227" i="1"/>
  <c r="H227" i="1" s="1"/>
  <c r="I227" i="1" s="1"/>
  <c r="AC226" i="1"/>
  <c r="AA226" i="1"/>
  <c r="W226" i="1"/>
  <c r="X226" i="1" s="1"/>
  <c r="U226" i="1"/>
  <c r="R226" i="1"/>
  <c r="O226" i="1"/>
  <c r="N226" i="1"/>
  <c r="L226" i="1"/>
  <c r="H226" i="1"/>
  <c r="I226" i="1" s="1"/>
  <c r="F226" i="1"/>
  <c r="C226" i="1"/>
  <c r="AC225" i="1"/>
  <c r="AD225" i="1" s="1"/>
  <c r="AA225" i="1"/>
  <c r="X225" i="1"/>
  <c r="W225" i="1"/>
  <c r="U225" i="1"/>
  <c r="R225" i="1"/>
  <c r="O225" i="1"/>
  <c r="N225" i="1"/>
  <c r="L225" i="1"/>
  <c r="I225" i="1"/>
  <c r="H225" i="1"/>
  <c r="F225" i="1"/>
  <c r="C225" i="1"/>
  <c r="AC224" i="1"/>
  <c r="AD224" i="1" s="1"/>
  <c r="AA224" i="1"/>
  <c r="X224" i="1"/>
  <c r="W224" i="1"/>
  <c r="U224" i="1"/>
  <c r="R224" i="1"/>
  <c r="N224" i="1"/>
  <c r="O224" i="1" s="1"/>
  <c r="L224" i="1"/>
  <c r="H224" i="1"/>
  <c r="I224" i="1" s="1"/>
  <c r="F224" i="1"/>
  <c r="C224" i="1"/>
  <c r="AC223" i="1"/>
  <c r="AD223" i="1" s="1"/>
  <c r="AA223" i="1"/>
  <c r="X223" i="1"/>
  <c r="W223" i="1"/>
  <c r="U223" i="1"/>
  <c r="R223" i="1"/>
  <c r="O223" i="1"/>
  <c r="N223" i="1"/>
  <c r="L223" i="1"/>
  <c r="H223" i="1"/>
  <c r="I223" i="1" s="1"/>
  <c r="F223" i="1"/>
  <c r="C223" i="1"/>
  <c r="AC222" i="1"/>
  <c r="AA222" i="1"/>
  <c r="W222" i="1"/>
  <c r="X222" i="1" s="1"/>
  <c r="U222" i="1"/>
  <c r="R222" i="1"/>
  <c r="O222" i="1"/>
  <c r="N222" i="1"/>
  <c r="L222" i="1"/>
  <c r="H222" i="1"/>
  <c r="I222" i="1" s="1"/>
  <c r="F222" i="1"/>
  <c r="C222" i="1"/>
  <c r="AC221" i="1"/>
  <c r="AD221" i="1" s="1"/>
  <c r="AA221" i="1"/>
  <c r="X221" i="1"/>
  <c r="W221" i="1"/>
  <c r="U221" i="1"/>
  <c r="R221" i="1"/>
  <c r="O221" i="1"/>
  <c r="N221" i="1"/>
  <c r="L221" i="1"/>
  <c r="I221" i="1"/>
  <c r="H221" i="1"/>
  <c r="F221" i="1"/>
  <c r="C221" i="1"/>
  <c r="AC220" i="1"/>
  <c r="AD220" i="1" s="1"/>
  <c r="AA220" i="1"/>
  <c r="X220" i="1"/>
  <c r="W220" i="1"/>
  <c r="U220" i="1"/>
  <c r="R220" i="1"/>
  <c r="N220" i="1"/>
  <c r="O220" i="1" s="1"/>
  <c r="L220" i="1"/>
  <c r="H220" i="1"/>
  <c r="I220" i="1" s="1"/>
  <c r="F220" i="1"/>
  <c r="C220" i="1"/>
  <c r="AC219" i="1"/>
  <c r="AD219" i="1" s="1"/>
  <c r="AA219" i="1"/>
  <c r="X219" i="1"/>
  <c r="W219" i="1"/>
  <c r="U219" i="1"/>
  <c r="R219" i="1"/>
  <c r="O219" i="1"/>
  <c r="N219" i="1"/>
  <c r="L219" i="1"/>
  <c r="H219" i="1"/>
  <c r="I219" i="1" s="1"/>
  <c r="F219" i="1"/>
  <c r="C219" i="1"/>
  <c r="Z218" i="1"/>
  <c r="AA218" i="1" s="1"/>
  <c r="T218" i="1"/>
  <c r="W218" i="1" s="1"/>
  <c r="X218" i="1" s="1"/>
  <c r="R218" i="1"/>
  <c r="Q218" i="1"/>
  <c r="AC218" i="1" s="1"/>
  <c r="AD218" i="1" s="1"/>
  <c r="K218" i="1"/>
  <c r="L218" i="1" s="1"/>
  <c r="H218" i="1"/>
  <c r="I218" i="1" s="1"/>
  <c r="F218" i="1"/>
  <c r="E218" i="1"/>
  <c r="B218" i="1"/>
  <c r="N218" i="1" s="1"/>
  <c r="O218" i="1" s="1"/>
  <c r="AC217" i="1"/>
  <c r="AD217" i="1" s="1"/>
  <c r="AA217" i="1"/>
  <c r="X217" i="1"/>
  <c r="W217" i="1"/>
  <c r="U217" i="1"/>
  <c r="R217" i="1"/>
  <c r="N217" i="1"/>
  <c r="O217" i="1" s="1"/>
  <c r="L217" i="1"/>
  <c r="H217" i="1"/>
  <c r="I217" i="1" s="1"/>
  <c r="F217" i="1"/>
  <c r="C217" i="1"/>
  <c r="AC216" i="1"/>
  <c r="AD216" i="1" s="1"/>
  <c r="AA216" i="1"/>
  <c r="X216" i="1"/>
  <c r="W216" i="1"/>
  <c r="U216" i="1"/>
  <c r="R216" i="1"/>
  <c r="O216" i="1"/>
  <c r="N216" i="1"/>
  <c r="L216" i="1"/>
  <c r="H216" i="1"/>
  <c r="I216" i="1" s="1"/>
  <c r="F216" i="1"/>
  <c r="C216" i="1"/>
  <c r="AC215" i="1"/>
  <c r="AA215" i="1"/>
  <c r="W215" i="1"/>
  <c r="X215" i="1" s="1"/>
  <c r="U215" i="1"/>
  <c r="R215" i="1"/>
  <c r="O215" i="1"/>
  <c r="N215" i="1"/>
  <c r="L215" i="1"/>
  <c r="H215" i="1"/>
  <c r="I215" i="1" s="1"/>
  <c r="F215" i="1"/>
  <c r="C215" i="1"/>
  <c r="AC214" i="1"/>
  <c r="AD214" i="1" s="1"/>
  <c r="AA214" i="1"/>
  <c r="X214" i="1"/>
  <c r="W214" i="1"/>
  <c r="U214" i="1"/>
  <c r="R214" i="1"/>
  <c r="O214" i="1"/>
  <c r="N214" i="1"/>
  <c r="L214" i="1"/>
  <c r="I214" i="1"/>
  <c r="H214" i="1"/>
  <c r="F214" i="1"/>
  <c r="C214" i="1"/>
  <c r="AC213" i="1"/>
  <c r="AD213" i="1" s="1"/>
  <c r="AA213" i="1"/>
  <c r="X213" i="1"/>
  <c r="W213" i="1"/>
  <c r="U213" i="1"/>
  <c r="R213" i="1"/>
  <c r="N213" i="1"/>
  <c r="O213" i="1" s="1"/>
  <c r="L213" i="1"/>
  <c r="H213" i="1"/>
  <c r="I213" i="1" s="1"/>
  <c r="F213" i="1"/>
  <c r="C213" i="1"/>
  <c r="AC211" i="1"/>
  <c r="AD211" i="1" s="1"/>
  <c r="AA211" i="1"/>
  <c r="X211" i="1"/>
  <c r="W211" i="1"/>
  <c r="U211" i="1"/>
  <c r="R211" i="1"/>
  <c r="O211" i="1"/>
  <c r="N211" i="1"/>
  <c r="L211" i="1"/>
  <c r="H211" i="1"/>
  <c r="I211" i="1" s="1"/>
  <c r="F211" i="1"/>
  <c r="C211" i="1"/>
  <c r="Z209" i="1"/>
  <c r="AA209" i="1" s="1"/>
  <c r="T209" i="1"/>
  <c r="W209" i="1" s="1"/>
  <c r="X209" i="1" s="1"/>
  <c r="R209" i="1"/>
  <c r="Q209" i="1"/>
  <c r="AC209" i="1" s="1"/>
  <c r="AD209" i="1" s="1"/>
  <c r="K209" i="1"/>
  <c r="L209" i="1" s="1"/>
  <c r="H209" i="1"/>
  <c r="I209" i="1" s="1"/>
  <c r="F209" i="1"/>
  <c r="E209" i="1"/>
  <c r="B209" i="1"/>
  <c r="C209" i="1" s="1"/>
  <c r="AC208" i="1"/>
  <c r="AD208" i="1" s="1"/>
  <c r="AA208" i="1"/>
  <c r="X208" i="1"/>
  <c r="W208" i="1"/>
  <c r="U208" i="1"/>
  <c r="R208" i="1"/>
  <c r="N208" i="1"/>
  <c r="O208" i="1" s="1"/>
  <c r="L208" i="1"/>
  <c r="H208" i="1"/>
  <c r="I208" i="1" s="1"/>
  <c r="F208" i="1"/>
  <c r="C208" i="1"/>
  <c r="AC207" i="1"/>
  <c r="AD207" i="1" s="1"/>
  <c r="AA207" i="1"/>
  <c r="X207" i="1"/>
  <c r="W207" i="1"/>
  <c r="U207" i="1"/>
  <c r="R207" i="1"/>
  <c r="O207" i="1"/>
  <c r="N207" i="1"/>
  <c r="L207" i="1"/>
  <c r="H207" i="1"/>
  <c r="I207" i="1" s="1"/>
  <c r="F207" i="1"/>
  <c r="C207" i="1"/>
  <c r="AC206" i="1"/>
  <c r="AA206" i="1"/>
  <c r="W206" i="1"/>
  <c r="X206" i="1" s="1"/>
  <c r="U206" i="1"/>
  <c r="R206" i="1"/>
  <c r="O206" i="1"/>
  <c r="N206" i="1"/>
  <c r="L206" i="1"/>
  <c r="H206" i="1"/>
  <c r="I206" i="1" s="1"/>
  <c r="F206" i="1"/>
  <c r="C206" i="1"/>
  <c r="AC205" i="1"/>
  <c r="AD205" i="1" s="1"/>
  <c r="AA205" i="1"/>
  <c r="X205" i="1"/>
  <c r="W205" i="1"/>
  <c r="U205" i="1"/>
  <c r="R205" i="1"/>
  <c r="O205" i="1"/>
  <c r="N205" i="1"/>
  <c r="L205" i="1"/>
  <c r="I205" i="1"/>
  <c r="H205" i="1"/>
  <c r="F205" i="1"/>
  <c r="C205" i="1"/>
  <c r="AC204" i="1"/>
  <c r="AD204" i="1" s="1"/>
  <c r="AA204" i="1"/>
  <c r="X204" i="1"/>
  <c r="W204" i="1"/>
  <c r="U204" i="1"/>
  <c r="R204" i="1"/>
  <c r="N204" i="1"/>
  <c r="O204" i="1" s="1"/>
  <c r="L204" i="1"/>
  <c r="H204" i="1"/>
  <c r="I204" i="1" s="1"/>
  <c r="F204" i="1"/>
  <c r="C204" i="1"/>
  <c r="AC203" i="1"/>
  <c r="AD203" i="1" s="1"/>
  <c r="AA203" i="1"/>
  <c r="X203" i="1"/>
  <c r="W203" i="1"/>
  <c r="U203" i="1"/>
  <c r="R203" i="1"/>
  <c r="O203" i="1"/>
  <c r="N203" i="1"/>
  <c r="L203" i="1"/>
  <c r="H203" i="1"/>
  <c r="I203" i="1" s="1"/>
  <c r="F203" i="1"/>
  <c r="C203" i="1"/>
  <c r="AC202" i="1"/>
  <c r="AA202" i="1"/>
  <c r="W202" i="1"/>
  <c r="X202" i="1" s="1"/>
  <c r="U202" i="1"/>
  <c r="R202" i="1"/>
  <c r="O202" i="1"/>
  <c r="N202" i="1"/>
  <c r="L202" i="1"/>
  <c r="H202" i="1"/>
  <c r="I202" i="1" s="1"/>
  <c r="F202" i="1"/>
  <c r="C202" i="1"/>
  <c r="AC201" i="1"/>
  <c r="AD201" i="1" s="1"/>
  <c r="AA201" i="1"/>
  <c r="X201" i="1"/>
  <c r="W201" i="1"/>
  <c r="U201" i="1"/>
  <c r="R201" i="1"/>
  <c r="O201" i="1"/>
  <c r="N201" i="1"/>
  <c r="L201" i="1"/>
  <c r="I201" i="1"/>
  <c r="H201" i="1"/>
  <c r="F201" i="1"/>
  <c r="C201" i="1"/>
  <c r="Z197" i="1"/>
  <c r="AA197" i="1" s="1"/>
  <c r="T197" i="1"/>
  <c r="W197" i="1" s="1"/>
  <c r="X197" i="1" s="1"/>
  <c r="R197" i="1"/>
  <c r="Q197" i="1"/>
  <c r="AC197" i="1" s="1"/>
  <c r="AD197" i="1" s="1"/>
  <c r="K197" i="1"/>
  <c r="L197" i="1" s="1"/>
  <c r="H197" i="1"/>
  <c r="I197" i="1" s="1"/>
  <c r="F197" i="1"/>
  <c r="E197" i="1"/>
  <c r="B197" i="1"/>
  <c r="N197" i="1" s="1"/>
  <c r="O197" i="1" s="1"/>
  <c r="Z196" i="1"/>
  <c r="AA196" i="1" s="1"/>
  <c r="T196" i="1"/>
  <c r="U196" i="1" s="1"/>
  <c r="Q196" i="1"/>
  <c r="W196" i="1" s="1"/>
  <c r="X196" i="1" s="1"/>
  <c r="L196" i="1"/>
  <c r="K196" i="1"/>
  <c r="E196" i="1"/>
  <c r="F196" i="1" s="1"/>
  <c r="B196" i="1"/>
  <c r="H196" i="1" s="1"/>
  <c r="I196" i="1" s="1"/>
  <c r="AC195" i="1"/>
  <c r="AA195" i="1"/>
  <c r="W195" i="1"/>
  <c r="X195" i="1" s="1"/>
  <c r="U195" i="1"/>
  <c r="R195" i="1"/>
  <c r="O195" i="1"/>
  <c r="N195" i="1"/>
  <c r="L195" i="1"/>
  <c r="H195" i="1"/>
  <c r="I195" i="1" s="1"/>
  <c r="F195" i="1"/>
  <c r="C195" i="1"/>
  <c r="AC194" i="1"/>
  <c r="AD194" i="1" s="1"/>
  <c r="AA194" i="1"/>
  <c r="X194" i="1"/>
  <c r="W194" i="1"/>
  <c r="U194" i="1"/>
  <c r="R194" i="1"/>
  <c r="O194" i="1"/>
  <c r="N194" i="1"/>
  <c r="L194" i="1"/>
  <c r="I194" i="1"/>
  <c r="H194" i="1"/>
  <c r="F194" i="1"/>
  <c r="C194" i="1"/>
  <c r="Z193" i="1"/>
  <c r="AA193" i="1" s="1"/>
  <c r="T193" i="1"/>
  <c r="U193" i="1" s="1"/>
  <c r="Q193" i="1"/>
  <c r="W193" i="1" s="1"/>
  <c r="X193" i="1" s="1"/>
  <c r="L193" i="1"/>
  <c r="K193" i="1"/>
  <c r="E193" i="1"/>
  <c r="F193" i="1" s="1"/>
  <c r="B193" i="1"/>
  <c r="H193" i="1" s="1"/>
  <c r="I193" i="1" s="1"/>
  <c r="AC192" i="1"/>
  <c r="AA192" i="1"/>
  <c r="W192" i="1"/>
  <c r="X192" i="1" s="1"/>
  <c r="U192" i="1"/>
  <c r="R192" i="1"/>
  <c r="O192" i="1"/>
  <c r="N192" i="1"/>
  <c r="L192" i="1"/>
  <c r="H192" i="1"/>
  <c r="I192" i="1" s="1"/>
  <c r="F192" i="1"/>
  <c r="C192" i="1"/>
  <c r="AC191" i="1"/>
  <c r="AD191" i="1" s="1"/>
  <c r="AA191" i="1"/>
  <c r="X191" i="1"/>
  <c r="W191" i="1"/>
  <c r="U191" i="1"/>
  <c r="R191" i="1"/>
  <c r="O191" i="1"/>
  <c r="N191" i="1"/>
  <c r="L191" i="1"/>
  <c r="I191" i="1"/>
  <c r="H191" i="1"/>
  <c r="F191" i="1"/>
  <c r="C191" i="1"/>
  <c r="AC190" i="1"/>
  <c r="AD190" i="1" s="1"/>
  <c r="AA190" i="1"/>
  <c r="X190" i="1"/>
  <c r="W190" i="1"/>
  <c r="U190" i="1"/>
  <c r="R190" i="1"/>
  <c r="N190" i="1"/>
  <c r="O190" i="1" s="1"/>
  <c r="L190" i="1"/>
  <c r="H190" i="1"/>
  <c r="I190" i="1" s="1"/>
  <c r="F190" i="1"/>
  <c r="C190" i="1"/>
  <c r="AC189" i="1"/>
  <c r="AD189" i="1" s="1"/>
  <c r="AA189" i="1"/>
  <c r="X189" i="1"/>
  <c r="W189" i="1"/>
  <c r="U189" i="1"/>
  <c r="R189" i="1"/>
  <c r="O189" i="1"/>
  <c r="N189" i="1"/>
  <c r="L189" i="1"/>
  <c r="H189" i="1"/>
  <c r="I189" i="1" s="1"/>
  <c r="F189" i="1"/>
  <c r="C189" i="1"/>
  <c r="AC188" i="1"/>
  <c r="AA188" i="1"/>
  <c r="W188" i="1"/>
  <c r="X188" i="1" s="1"/>
  <c r="U188" i="1"/>
  <c r="R188" i="1"/>
  <c r="O188" i="1"/>
  <c r="N188" i="1"/>
  <c r="L188" i="1"/>
  <c r="H188" i="1"/>
  <c r="I188" i="1" s="1"/>
  <c r="F188" i="1"/>
  <c r="C188" i="1"/>
  <c r="AC187" i="1"/>
  <c r="AD187" i="1" s="1"/>
  <c r="AA187" i="1"/>
  <c r="X187" i="1"/>
  <c r="W187" i="1"/>
  <c r="U187" i="1"/>
  <c r="R187" i="1"/>
  <c r="O187" i="1"/>
  <c r="N187" i="1"/>
  <c r="L187" i="1"/>
  <c r="I187" i="1"/>
  <c r="H187" i="1"/>
  <c r="F187" i="1"/>
  <c r="C187" i="1"/>
  <c r="AC186" i="1"/>
  <c r="AD186" i="1" s="1"/>
  <c r="AA186" i="1"/>
  <c r="X186" i="1"/>
  <c r="W186" i="1"/>
  <c r="U186" i="1"/>
  <c r="R186" i="1"/>
  <c r="N186" i="1"/>
  <c r="O186" i="1" s="1"/>
  <c r="L186" i="1"/>
  <c r="H186" i="1"/>
  <c r="I186" i="1" s="1"/>
  <c r="F186" i="1"/>
  <c r="C186" i="1"/>
  <c r="AC184" i="1"/>
  <c r="AD184" i="1" s="1"/>
  <c r="AA184" i="1"/>
  <c r="X184" i="1"/>
  <c r="W184" i="1"/>
  <c r="U184" i="1"/>
  <c r="R184" i="1"/>
  <c r="O184" i="1"/>
  <c r="N184" i="1"/>
  <c r="L184" i="1"/>
  <c r="H184" i="1"/>
  <c r="I184" i="1" s="1"/>
  <c r="F184" i="1"/>
  <c r="C184" i="1"/>
  <c r="AC183" i="1"/>
  <c r="AA183" i="1"/>
  <c r="W183" i="1"/>
  <c r="X183" i="1" s="1"/>
  <c r="U183" i="1"/>
  <c r="R183" i="1"/>
  <c r="O183" i="1"/>
  <c r="N183" i="1"/>
  <c r="L183" i="1"/>
  <c r="H183" i="1"/>
  <c r="I183" i="1" s="1"/>
  <c r="F183" i="1"/>
  <c r="C183" i="1"/>
  <c r="AA182" i="1"/>
  <c r="Z182" i="1"/>
  <c r="T182" i="1"/>
  <c r="U182" i="1" s="1"/>
  <c r="Q182" i="1"/>
  <c r="AC182" i="1" s="1"/>
  <c r="AD182" i="1" s="1"/>
  <c r="K182" i="1"/>
  <c r="L182" i="1" s="1"/>
  <c r="E182" i="1"/>
  <c r="H182" i="1" s="1"/>
  <c r="I182" i="1" s="1"/>
  <c r="C182" i="1"/>
  <c r="B182" i="1"/>
  <c r="N182" i="1" s="1"/>
  <c r="O182" i="1" s="1"/>
  <c r="AC181" i="1"/>
  <c r="AD181" i="1" s="1"/>
  <c r="AA181" i="1"/>
  <c r="X181" i="1"/>
  <c r="W181" i="1"/>
  <c r="U181" i="1"/>
  <c r="R181" i="1"/>
  <c r="O181" i="1"/>
  <c r="N181" i="1"/>
  <c r="L181" i="1"/>
  <c r="H181" i="1"/>
  <c r="I181" i="1" s="1"/>
  <c r="F181" i="1"/>
  <c r="C181" i="1"/>
  <c r="AC180" i="1"/>
  <c r="AA180" i="1"/>
  <c r="W180" i="1"/>
  <c r="X180" i="1" s="1"/>
  <c r="U180" i="1"/>
  <c r="R180" i="1"/>
  <c r="O180" i="1"/>
  <c r="N180" i="1"/>
  <c r="L180" i="1"/>
  <c r="H180" i="1"/>
  <c r="I180" i="1" s="1"/>
  <c r="F180" i="1"/>
  <c r="C180" i="1"/>
  <c r="AC179" i="1"/>
  <c r="AD179" i="1" s="1"/>
  <c r="AA179" i="1"/>
  <c r="X179" i="1"/>
  <c r="W179" i="1"/>
  <c r="U179" i="1"/>
  <c r="R179" i="1"/>
  <c r="O179" i="1"/>
  <c r="N179" i="1"/>
  <c r="L179" i="1"/>
  <c r="I179" i="1"/>
  <c r="H179" i="1"/>
  <c r="F179" i="1"/>
  <c r="C179" i="1"/>
  <c r="AC178" i="1"/>
  <c r="AD178" i="1" s="1"/>
  <c r="AA178" i="1"/>
  <c r="X178" i="1"/>
  <c r="W178" i="1"/>
  <c r="U178" i="1"/>
  <c r="R178" i="1"/>
  <c r="N178" i="1"/>
  <c r="O178" i="1" s="1"/>
  <c r="L178" i="1"/>
  <c r="H178" i="1"/>
  <c r="I178" i="1" s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H177" i="1"/>
  <c r="I177" i="1" s="1"/>
  <c r="F177" i="1"/>
  <c r="C177" i="1"/>
  <c r="AC175" i="1"/>
  <c r="AA175" i="1"/>
  <c r="W175" i="1"/>
  <c r="X175" i="1" s="1"/>
  <c r="U175" i="1"/>
  <c r="R175" i="1"/>
  <c r="O175" i="1"/>
  <c r="N175" i="1"/>
  <c r="L175" i="1"/>
  <c r="H175" i="1"/>
  <c r="I175" i="1" s="1"/>
  <c r="F175" i="1"/>
  <c r="C175" i="1"/>
  <c r="T172" i="1"/>
  <c r="U172" i="1" s="1"/>
  <c r="Q172" i="1"/>
  <c r="W172" i="1" s="1"/>
  <c r="X172" i="1" s="1"/>
  <c r="E172" i="1"/>
  <c r="E198" i="1" s="1"/>
  <c r="Z171" i="1"/>
  <c r="AA171" i="1" s="1"/>
  <c r="W171" i="1"/>
  <c r="X171" i="1" s="1"/>
  <c r="U171" i="1"/>
  <c r="T171" i="1"/>
  <c r="Q171" i="1"/>
  <c r="AC171" i="1" s="1"/>
  <c r="AD171" i="1" s="1"/>
  <c r="K171" i="1"/>
  <c r="K172" i="1" s="1"/>
  <c r="E171" i="1"/>
  <c r="F171" i="1" s="1"/>
  <c r="B171" i="1"/>
  <c r="H171" i="1" s="1"/>
  <c r="I171" i="1" s="1"/>
  <c r="AA170" i="1"/>
  <c r="Z170" i="1"/>
  <c r="T170" i="1"/>
  <c r="U170" i="1" s="1"/>
  <c r="Q170" i="1"/>
  <c r="W170" i="1" s="1"/>
  <c r="X170" i="1" s="1"/>
  <c r="K170" i="1"/>
  <c r="L170" i="1" s="1"/>
  <c r="E170" i="1"/>
  <c r="H170" i="1" s="1"/>
  <c r="I170" i="1" s="1"/>
  <c r="C170" i="1"/>
  <c r="B170" i="1"/>
  <c r="N170" i="1" s="1"/>
  <c r="O170" i="1" s="1"/>
  <c r="AC169" i="1"/>
  <c r="AD169" i="1" s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C168" i="1"/>
  <c r="AA168" i="1"/>
  <c r="W168" i="1"/>
  <c r="X168" i="1" s="1"/>
  <c r="U168" i="1"/>
  <c r="R168" i="1"/>
  <c r="O168" i="1"/>
  <c r="N168" i="1"/>
  <c r="L168" i="1"/>
  <c r="H168" i="1"/>
  <c r="I168" i="1" s="1"/>
  <c r="F168" i="1"/>
  <c r="C168" i="1"/>
  <c r="AC167" i="1"/>
  <c r="AD167" i="1" s="1"/>
  <c r="AA167" i="1"/>
  <c r="X167" i="1"/>
  <c r="W167" i="1"/>
  <c r="U167" i="1"/>
  <c r="R167" i="1"/>
  <c r="O167" i="1"/>
  <c r="N167" i="1"/>
  <c r="L167" i="1"/>
  <c r="I167" i="1"/>
  <c r="H167" i="1"/>
  <c r="F167" i="1"/>
  <c r="C167" i="1"/>
  <c r="Z166" i="1"/>
  <c r="AA166" i="1" s="1"/>
  <c r="T166" i="1"/>
  <c r="U166" i="1" s="1"/>
  <c r="Q166" i="1"/>
  <c r="R166" i="1" s="1"/>
  <c r="L166" i="1"/>
  <c r="K166" i="1"/>
  <c r="E166" i="1"/>
  <c r="F166" i="1" s="1"/>
  <c r="B166" i="1"/>
  <c r="H166" i="1" s="1"/>
  <c r="I166" i="1" s="1"/>
  <c r="AC165" i="1"/>
  <c r="AA165" i="1"/>
  <c r="W165" i="1"/>
  <c r="X165" i="1" s="1"/>
  <c r="U165" i="1"/>
  <c r="R165" i="1"/>
  <c r="O165" i="1"/>
  <c r="N165" i="1"/>
  <c r="L165" i="1"/>
  <c r="H165" i="1"/>
  <c r="I165" i="1" s="1"/>
  <c r="F165" i="1"/>
  <c r="C165" i="1"/>
  <c r="AC164" i="1"/>
  <c r="AD164" i="1" s="1"/>
  <c r="AA164" i="1"/>
  <c r="X164" i="1"/>
  <c r="W164" i="1"/>
  <c r="U164" i="1"/>
  <c r="R164" i="1"/>
  <c r="O164" i="1"/>
  <c r="N164" i="1"/>
  <c r="L164" i="1"/>
  <c r="I164" i="1"/>
  <c r="H164" i="1"/>
  <c r="F164" i="1"/>
  <c r="C164" i="1"/>
  <c r="AC163" i="1"/>
  <c r="AD163" i="1" s="1"/>
  <c r="AA163" i="1"/>
  <c r="X163" i="1"/>
  <c r="W163" i="1"/>
  <c r="U163" i="1"/>
  <c r="R163" i="1"/>
  <c r="N163" i="1"/>
  <c r="O163" i="1" s="1"/>
  <c r="L163" i="1"/>
  <c r="H163" i="1"/>
  <c r="I163" i="1" s="1"/>
  <c r="F163" i="1"/>
  <c r="C163" i="1"/>
  <c r="AC162" i="1"/>
  <c r="AD162" i="1" s="1"/>
  <c r="AA162" i="1"/>
  <c r="X162" i="1"/>
  <c r="W162" i="1"/>
  <c r="U162" i="1"/>
  <c r="R162" i="1"/>
  <c r="O162" i="1"/>
  <c r="N162" i="1"/>
  <c r="L162" i="1"/>
  <c r="H162" i="1"/>
  <c r="I162" i="1" s="1"/>
  <c r="F162" i="1"/>
  <c r="C162" i="1"/>
  <c r="AC161" i="1"/>
  <c r="AA161" i="1"/>
  <c r="W161" i="1"/>
  <c r="X161" i="1" s="1"/>
  <c r="U161" i="1"/>
  <c r="R161" i="1"/>
  <c r="O161" i="1"/>
  <c r="N161" i="1"/>
  <c r="L161" i="1"/>
  <c r="H161" i="1"/>
  <c r="I161" i="1" s="1"/>
  <c r="F161" i="1"/>
  <c r="C161" i="1"/>
  <c r="AC160" i="1"/>
  <c r="AD160" i="1" s="1"/>
  <c r="AA160" i="1"/>
  <c r="X160" i="1"/>
  <c r="W160" i="1"/>
  <c r="U160" i="1"/>
  <c r="R160" i="1"/>
  <c r="O160" i="1"/>
  <c r="N160" i="1"/>
  <c r="L160" i="1"/>
  <c r="I160" i="1"/>
  <c r="H160" i="1"/>
  <c r="F160" i="1"/>
  <c r="C160" i="1"/>
  <c r="Z158" i="1"/>
  <c r="AA158" i="1" s="1"/>
  <c r="T158" i="1"/>
  <c r="U158" i="1" s="1"/>
  <c r="Q158" i="1"/>
  <c r="W158" i="1" s="1"/>
  <c r="X158" i="1" s="1"/>
  <c r="N158" i="1"/>
  <c r="O158" i="1" s="1"/>
  <c r="L158" i="1"/>
  <c r="K158" i="1"/>
  <c r="E158" i="1"/>
  <c r="F158" i="1" s="1"/>
  <c r="B158" i="1"/>
  <c r="H158" i="1" s="1"/>
  <c r="I158" i="1" s="1"/>
  <c r="AC157" i="1"/>
  <c r="AA157" i="1"/>
  <c r="W157" i="1"/>
  <c r="X157" i="1" s="1"/>
  <c r="U157" i="1"/>
  <c r="R157" i="1"/>
  <c r="O157" i="1"/>
  <c r="N157" i="1"/>
  <c r="L157" i="1"/>
  <c r="H157" i="1"/>
  <c r="I157" i="1" s="1"/>
  <c r="F157" i="1"/>
  <c r="C157" i="1"/>
  <c r="AC156" i="1"/>
  <c r="AD156" i="1" s="1"/>
  <c r="AA156" i="1"/>
  <c r="X156" i="1"/>
  <c r="W156" i="1"/>
  <c r="U156" i="1"/>
  <c r="R156" i="1"/>
  <c r="O156" i="1"/>
  <c r="N156" i="1"/>
  <c r="L156" i="1"/>
  <c r="I156" i="1"/>
  <c r="H156" i="1"/>
  <c r="F156" i="1"/>
  <c r="C156" i="1"/>
  <c r="AC155" i="1"/>
  <c r="AD155" i="1" s="1"/>
  <c r="AA155" i="1"/>
  <c r="X155" i="1"/>
  <c r="W155" i="1"/>
  <c r="U155" i="1"/>
  <c r="R155" i="1"/>
  <c r="N155" i="1"/>
  <c r="O155" i="1" s="1"/>
  <c r="L155" i="1"/>
  <c r="H155" i="1"/>
  <c r="I155" i="1" s="1"/>
  <c r="F155" i="1"/>
  <c r="C155" i="1"/>
  <c r="AC154" i="1"/>
  <c r="AD154" i="1" s="1"/>
  <c r="AA154" i="1"/>
  <c r="X154" i="1"/>
  <c r="W154" i="1"/>
  <c r="U154" i="1"/>
  <c r="R154" i="1"/>
  <c r="O154" i="1"/>
  <c r="N154" i="1"/>
  <c r="L154" i="1"/>
  <c r="H154" i="1"/>
  <c r="I154" i="1" s="1"/>
  <c r="F154" i="1"/>
  <c r="C154" i="1"/>
  <c r="AC153" i="1"/>
  <c r="AA153" i="1"/>
  <c r="W153" i="1"/>
  <c r="X153" i="1" s="1"/>
  <c r="U153" i="1"/>
  <c r="R153" i="1"/>
  <c r="O153" i="1"/>
  <c r="N153" i="1"/>
  <c r="L153" i="1"/>
  <c r="H153" i="1"/>
  <c r="I153" i="1" s="1"/>
  <c r="F153" i="1"/>
  <c r="C153" i="1"/>
  <c r="AC151" i="1"/>
  <c r="AD151" i="1" s="1"/>
  <c r="AA151" i="1"/>
  <c r="X151" i="1"/>
  <c r="W151" i="1"/>
  <c r="U151" i="1"/>
  <c r="R151" i="1"/>
  <c r="O151" i="1"/>
  <c r="N151" i="1"/>
  <c r="L151" i="1"/>
  <c r="I151" i="1"/>
  <c r="H151" i="1"/>
  <c r="F151" i="1"/>
  <c r="C151" i="1"/>
  <c r="Z149" i="1"/>
  <c r="AA149" i="1" s="1"/>
  <c r="T149" i="1"/>
  <c r="U149" i="1" s="1"/>
  <c r="Q149" i="1"/>
  <c r="W149" i="1" s="1"/>
  <c r="X149" i="1" s="1"/>
  <c r="L149" i="1"/>
  <c r="K149" i="1"/>
  <c r="E149" i="1"/>
  <c r="F149" i="1" s="1"/>
  <c r="B149" i="1"/>
  <c r="H149" i="1" s="1"/>
  <c r="I149" i="1" s="1"/>
  <c r="Z148" i="1"/>
  <c r="AA148" i="1" s="1"/>
  <c r="T148" i="1"/>
  <c r="W148" i="1" s="1"/>
  <c r="X148" i="1" s="1"/>
  <c r="R148" i="1"/>
  <c r="Q148" i="1"/>
  <c r="AC148" i="1" s="1"/>
  <c r="AD148" i="1" s="1"/>
  <c r="K148" i="1"/>
  <c r="L148" i="1" s="1"/>
  <c r="H148" i="1"/>
  <c r="I148" i="1" s="1"/>
  <c r="F148" i="1"/>
  <c r="E148" i="1"/>
  <c r="B148" i="1"/>
  <c r="N148" i="1" s="1"/>
  <c r="O148" i="1" s="1"/>
  <c r="AC147" i="1"/>
  <c r="AD147" i="1" s="1"/>
  <c r="AA147" i="1"/>
  <c r="X147" i="1"/>
  <c r="W147" i="1"/>
  <c r="U147" i="1"/>
  <c r="R147" i="1"/>
  <c r="N147" i="1"/>
  <c r="O147" i="1" s="1"/>
  <c r="L147" i="1"/>
  <c r="H147" i="1"/>
  <c r="I147" i="1" s="1"/>
  <c r="F147" i="1"/>
  <c r="C147" i="1"/>
  <c r="AC146" i="1"/>
  <c r="AD146" i="1" s="1"/>
  <c r="AA146" i="1"/>
  <c r="X146" i="1"/>
  <c r="W146" i="1"/>
  <c r="U146" i="1"/>
  <c r="R146" i="1"/>
  <c r="O146" i="1"/>
  <c r="N146" i="1"/>
  <c r="L146" i="1"/>
  <c r="H146" i="1"/>
  <c r="I146" i="1" s="1"/>
  <c r="F146" i="1"/>
  <c r="C146" i="1"/>
  <c r="AC145" i="1"/>
  <c r="AA145" i="1"/>
  <c r="W145" i="1"/>
  <c r="X145" i="1" s="1"/>
  <c r="U145" i="1"/>
  <c r="R145" i="1"/>
  <c r="O145" i="1"/>
  <c r="N145" i="1"/>
  <c r="L145" i="1"/>
  <c r="H145" i="1"/>
  <c r="I145" i="1" s="1"/>
  <c r="F145" i="1"/>
  <c r="C145" i="1"/>
  <c r="AC144" i="1"/>
  <c r="AD144" i="1" s="1"/>
  <c r="AA144" i="1"/>
  <c r="X144" i="1"/>
  <c r="W144" i="1"/>
  <c r="U144" i="1"/>
  <c r="R144" i="1"/>
  <c r="O144" i="1"/>
  <c r="N144" i="1"/>
  <c r="L144" i="1"/>
  <c r="I144" i="1"/>
  <c r="H144" i="1"/>
  <c r="F144" i="1"/>
  <c r="C144" i="1"/>
  <c r="AC143" i="1"/>
  <c r="AD143" i="1" s="1"/>
  <c r="AA143" i="1"/>
  <c r="X143" i="1"/>
  <c r="W143" i="1"/>
  <c r="U143" i="1"/>
  <c r="R143" i="1"/>
  <c r="N143" i="1"/>
  <c r="O143" i="1" s="1"/>
  <c r="L143" i="1"/>
  <c r="H143" i="1"/>
  <c r="I143" i="1" s="1"/>
  <c r="F143" i="1"/>
  <c r="C143" i="1"/>
  <c r="Z141" i="1"/>
  <c r="AA141" i="1" s="1"/>
  <c r="W141" i="1"/>
  <c r="X141" i="1" s="1"/>
  <c r="U141" i="1"/>
  <c r="T141" i="1"/>
  <c r="Q141" i="1"/>
  <c r="AC141" i="1" s="1"/>
  <c r="AD141" i="1" s="1"/>
  <c r="K141" i="1"/>
  <c r="L141" i="1" s="1"/>
  <c r="E141" i="1"/>
  <c r="F141" i="1" s="1"/>
  <c r="B141" i="1"/>
  <c r="H141" i="1" s="1"/>
  <c r="I141" i="1" s="1"/>
  <c r="AC140" i="1"/>
  <c r="AD140" i="1" s="1"/>
  <c r="AA140" i="1"/>
  <c r="X140" i="1"/>
  <c r="W140" i="1"/>
  <c r="U140" i="1"/>
  <c r="R140" i="1"/>
  <c r="O140" i="1"/>
  <c r="N140" i="1"/>
  <c r="L140" i="1"/>
  <c r="I140" i="1"/>
  <c r="H140" i="1"/>
  <c r="F140" i="1"/>
  <c r="C140" i="1"/>
  <c r="AC139" i="1"/>
  <c r="AD139" i="1" s="1"/>
  <c r="AA139" i="1"/>
  <c r="X139" i="1"/>
  <c r="W139" i="1"/>
  <c r="U139" i="1"/>
  <c r="R139" i="1"/>
  <c r="N139" i="1"/>
  <c r="O139" i="1" s="1"/>
  <c r="L139" i="1"/>
  <c r="H139" i="1"/>
  <c r="I139" i="1" s="1"/>
  <c r="F139" i="1"/>
  <c r="C139" i="1"/>
  <c r="AC138" i="1"/>
  <c r="AD138" i="1" s="1"/>
  <c r="AA138" i="1"/>
  <c r="X138" i="1"/>
  <c r="W138" i="1"/>
  <c r="U138" i="1"/>
  <c r="R138" i="1"/>
  <c r="O138" i="1"/>
  <c r="N138" i="1"/>
  <c r="L138" i="1"/>
  <c r="H138" i="1"/>
  <c r="I138" i="1" s="1"/>
  <c r="F138" i="1"/>
  <c r="C138" i="1"/>
  <c r="AC137" i="1"/>
  <c r="AA137" i="1"/>
  <c r="W137" i="1"/>
  <c r="X137" i="1" s="1"/>
  <c r="U137" i="1"/>
  <c r="R137" i="1"/>
  <c r="O137" i="1"/>
  <c r="N137" i="1"/>
  <c r="L137" i="1"/>
  <c r="H137" i="1"/>
  <c r="I137" i="1" s="1"/>
  <c r="F137" i="1"/>
  <c r="C137" i="1"/>
  <c r="AC136" i="1"/>
  <c r="AD136" i="1" s="1"/>
  <c r="AA136" i="1"/>
  <c r="X136" i="1"/>
  <c r="W136" i="1"/>
  <c r="U136" i="1"/>
  <c r="R136" i="1"/>
  <c r="O136" i="1"/>
  <c r="N136" i="1"/>
  <c r="L136" i="1"/>
  <c r="I136" i="1"/>
  <c r="H136" i="1"/>
  <c r="F136" i="1"/>
  <c r="C136" i="1"/>
  <c r="AC135" i="1"/>
  <c r="AD135" i="1" s="1"/>
  <c r="AA135" i="1"/>
  <c r="X135" i="1"/>
  <c r="W135" i="1"/>
  <c r="U135" i="1"/>
  <c r="R135" i="1"/>
  <c r="N135" i="1"/>
  <c r="O135" i="1" s="1"/>
  <c r="L135" i="1"/>
  <c r="H135" i="1"/>
  <c r="I135" i="1" s="1"/>
  <c r="F135" i="1"/>
  <c r="C135" i="1"/>
  <c r="AC134" i="1"/>
  <c r="AD134" i="1" s="1"/>
  <c r="AA134" i="1"/>
  <c r="X134" i="1"/>
  <c r="W134" i="1"/>
  <c r="U134" i="1"/>
  <c r="R134" i="1"/>
  <c r="O134" i="1"/>
  <c r="N134" i="1"/>
  <c r="L134" i="1"/>
  <c r="H134" i="1"/>
  <c r="I134" i="1" s="1"/>
  <c r="F134" i="1"/>
  <c r="C134" i="1"/>
  <c r="AC133" i="1"/>
  <c r="AA133" i="1"/>
  <c r="W133" i="1"/>
  <c r="X133" i="1" s="1"/>
  <c r="U133" i="1"/>
  <c r="R133" i="1"/>
  <c r="O133" i="1"/>
  <c r="N133" i="1"/>
  <c r="L133" i="1"/>
  <c r="H133" i="1"/>
  <c r="I133" i="1" s="1"/>
  <c r="F133" i="1"/>
  <c r="C133" i="1"/>
  <c r="AC132" i="1"/>
  <c r="AD132" i="1" s="1"/>
  <c r="AA132" i="1"/>
  <c r="X132" i="1"/>
  <c r="W132" i="1"/>
  <c r="U132" i="1"/>
  <c r="R132" i="1"/>
  <c r="O132" i="1"/>
  <c r="N132" i="1"/>
  <c r="L132" i="1"/>
  <c r="I132" i="1"/>
  <c r="H132" i="1"/>
  <c r="F132" i="1"/>
  <c r="C132" i="1"/>
  <c r="AC131" i="1"/>
  <c r="AD131" i="1" s="1"/>
  <c r="AA131" i="1"/>
  <c r="X131" i="1"/>
  <c r="W131" i="1"/>
  <c r="U131" i="1"/>
  <c r="R131" i="1"/>
  <c r="N131" i="1"/>
  <c r="O131" i="1" s="1"/>
  <c r="L131" i="1"/>
  <c r="H131" i="1"/>
  <c r="I131" i="1" s="1"/>
  <c r="F131" i="1"/>
  <c r="C131" i="1"/>
  <c r="AC130" i="1"/>
  <c r="AD130" i="1" s="1"/>
  <c r="AA130" i="1"/>
  <c r="X130" i="1"/>
  <c r="W130" i="1"/>
  <c r="U130" i="1"/>
  <c r="R130" i="1"/>
  <c r="O130" i="1"/>
  <c r="N130" i="1"/>
  <c r="L130" i="1"/>
  <c r="H130" i="1"/>
  <c r="I130" i="1" s="1"/>
  <c r="F130" i="1"/>
  <c r="C130" i="1"/>
  <c r="AC129" i="1"/>
  <c r="AA129" i="1"/>
  <c r="W129" i="1"/>
  <c r="X129" i="1" s="1"/>
  <c r="U129" i="1"/>
  <c r="R129" i="1"/>
  <c r="O129" i="1"/>
  <c r="N129" i="1"/>
  <c r="L129" i="1"/>
  <c r="H129" i="1"/>
  <c r="I129" i="1" s="1"/>
  <c r="F129" i="1"/>
  <c r="C129" i="1"/>
  <c r="AC127" i="1"/>
  <c r="AD127" i="1" s="1"/>
  <c r="AA127" i="1"/>
  <c r="X127" i="1"/>
  <c r="W127" i="1"/>
  <c r="U127" i="1"/>
  <c r="R127" i="1"/>
  <c r="O127" i="1"/>
  <c r="N127" i="1"/>
  <c r="L127" i="1"/>
  <c r="I127" i="1"/>
  <c r="H127" i="1"/>
  <c r="F127" i="1"/>
  <c r="C127" i="1"/>
  <c r="Z124" i="1"/>
  <c r="Z172" i="1" s="1"/>
  <c r="T124" i="1"/>
  <c r="U124" i="1" s="1"/>
  <c r="Q124" i="1"/>
  <c r="W124" i="1" s="1"/>
  <c r="X124" i="1" s="1"/>
  <c r="L124" i="1"/>
  <c r="K124" i="1"/>
  <c r="E124" i="1"/>
  <c r="F124" i="1" s="1"/>
  <c r="B124" i="1"/>
  <c r="B172" i="1" s="1"/>
  <c r="AC123" i="1"/>
  <c r="AA123" i="1"/>
  <c r="W123" i="1"/>
  <c r="X123" i="1" s="1"/>
  <c r="U123" i="1"/>
  <c r="R123" i="1"/>
  <c r="O123" i="1"/>
  <c r="N123" i="1"/>
  <c r="L123" i="1"/>
  <c r="H123" i="1"/>
  <c r="I123" i="1" s="1"/>
  <c r="F123" i="1"/>
  <c r="C123" i="1"/>
  <c r="Z122" i="1"/>
  <c r="AA122" i="1" s="1"/>
  <c r="T122" i="1"/>
  <c r="U122" i="1" s="1"/>
  <c r="Q122" i="1"/>
  <c r="AC122" i="1" s="1"/>
  <c r="AD122" i="1" s="1"/>
  <c r="K122" i="1"/>
  <c r="L122" i="1" s="1"/>
  <c r="E122" i="1"/>
  <c r="H122" i="1" s="1"/>
  <c r="I122" i="1" s="1"/>
  <c r="B122" i="1"/>
  <c r="C122" i="1" s="1"/>
  <c r="AC121" i="1"/>
  <c r="AD121" i="1" s="1"/>
  <c r="AA121" i="1"/>
  <c r="X121" i="1"/>
  <c r="W121" i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W120" i="1"/>
  <c r="X120" i="1" s="1"/>
  <c r="U120" i="1"/>
  <c r="R120" i="1"/>
  <c r="O120" i="1"/>
  <c r="N120" i="1"/>
  <c r="L120" i="1"/>
  <c r="H120" i="1"/>
  <c r="I120" i="1" s="1"/>
  <c r="F120" i="1"/>
  <c r="C120" i="1"/>
  <c r="AC119" i="1"/>
  <c r="AD119" i="1" s="1"/>
  <c r="AA119" i="1"/>
  <c r="X119" i="1"/>
  <c r="W119" i="1"/>
  <c r="U119" i="1"/>
  <c r="R119" i="1"/>
  <c r="O119" i="1"/>
  <c r="N119" i="1"/>
  <c r="L119" i="1"/>
  <c r="H119" i="1"/>
  <c r="I119" i="1" s="1"/>
  <c r="F119" i="1"/>
  <c r="C119" i="1"/>
  <c r="Z118" i="1"/>
  <c r="AA118" i="1" s="1"/>
  <c r="T118" i="1"/>
  <c r="U118" i="1" s="1"/>
  <c r="Q118" i="1"/>
  <c r="W118" i="1" s="1"/>
  <c r="X118" i="1" s="1"/>
  <c r="K118" i="1"/>
  <c r="L118" i="1" s="1"/>
  <c r="E118" i="1"/>
  <c r="F118" i="1" s="1"/>
  <c r="B118" i="1"/>
  <c r="H118" i="1" s="1"/>
  <c r="I118" i="1" s="1"/>
  <c r="AC117" i="1"/>
  <c r="AD117" i="1" s="1"/>
  <c r="AA117" i="1"/>
  <c r="W117" i="1"/>
  <c r="X117" i="1" s="1"/>
  <c r="U117" i="1"/>
  <c r="R117" i="1"/>
  <c r="O117" i="1"/>
  <c r="N117" i="1"/>
  <c r="L117" i="1"/>
  <c r="H117" i="1"/>
  <c r="I117" i="1" s="1"/>
  <c r="F117" i="1"/>
  <c r="C117" i="1"/>
  <c r="AC116" i="1"/>
  <c r="AD116" i="1" s="1"/>
  <c r="AA116" i="1"/>
  <c r="X116" i="1"/>
  <c r="W116" i="1"/>
  <c r="U116" i="1"/>
  <c r="R116" i="1"/>
  <c r="O116" i="1"/>
  <c r="N116" i="1"/>
  <c r="L116" i="1"/>
  <c r="H116" i="1"/>
  <c r="I116" i="1" s="1"/>
  <c r="F116" i="1"/>
  <c r="C116" i="1"/>
  <c r="AC115" i="1"/>
  <c r="AD115" i="1" s="1"/>
  <c r="AA115" i="1"/>
  <c r="X115" i="1"/>
  <c r="W115" i="1"/>
  <c r="U115" i="1"/>
  <c r="R115" i="1"/>
  <c r="N115" i="1"/>
  <c r="O115" i="1" s="1"/>
  <c r="L115" i="1"/>
  <c r="H115" i="1"/>
  <c r="I115" i="1" s="1"/>
  <c r="F115" i="1"/>
  <c r="C115" i="1"/>
  <c r="AC114" i="1"/>
  <c r="AD114" i="1" s="1"/>
  <c r="AA114" i="1"/>
  <c r="X114" i="1"/>
  <c r="W114" i="1"/>
  <c r="U114" i="1"/>
  <c r="R114" i="1"/>
  <c r="O114" i="1"/>
  <c r="N114" i="1"/>
  <c r="L114" i="1"/>
  <c r="H114" i="1"/>
  <c r="I114" i="1" s="1"/>
  <c r="F114" i="1"/>
  <c r="C114" i="1"/>
  <c r="AC113" i="1"/>
  <c r="AD113" i="1" s="1"/>
  <c r="AA113" i="1"/>
  <c r="W113" i="1"/>
  <c r="X113" i="1" s="1"/>
  <c r="U113" i="1"/>
  <c r="R113" i="1"/>
  <c r="O113" i="1"/>
  <c r="N113" i="1"/>
  <c r="L113" i="1"/>
  <c r="H113" i="1"/>
  <c r="I113" i="1" s="1"/>
  <c r="F113" i="1"/>
  <c r="C113" i="1"/>
  <c r="AC112" i="1"/>
  <c r="AD112" i="1" s="1"/>
  <c r="AA112" i="1"/>
  <c r="X112" i="1"/>
  <c r="W112" i="1"/>
  <c r="U112" i="1"/>
  <c r="R112" i="1"/>
  <c r="O112" i="1"/>
  <c r="N112" i="1"/>
  <c r="L112" i="1"/>
  <c r="H112" i="1"/>
  <c r="I112" i="1" s="1"/>
  <c r="F112" i="1"/>
  <c r="C112" i="1"/>
  <c r="AC111" i="1"/>
  <c r="AD111" i="1" s="1"/>
  <c r="AA111" i="1"/>
  <c r="X111" i="1"/>
  <c r="W111" i="1"/>
  <c r="U111" i="1"/>
  <c r="R111" i="1"/>
  <c r="N111" i="1"/>
  <c r="O111" i="1" s="1"/>
  <c r="L111" i="1"/>
  <c r="H111" i="1"/>
  <c r="I111" i="1" s="1"/>
  <c r="F111" i="1"/>
  <c r="C111" i="1"/>
  <c r="AC110" i="1"/>
  <c r="AD110" i="1" s="1"/>
  <c r="AA110" i="1"/>
  <c r="X110" i="1"/>
  <c r="W110" i="1"/>
  <c r="U110" i="1"/>
  <c r="R110" i="1"/>
  <c r="O110" i="1"/>
  <c r="N110" i="1"/>
  <c r="L110" i="1"/>
  <c r="H110" i="1"/>
  <c r="I110" i="1" s="1"/>
  <c r="F110" i="1"/>
  <c r="C110" i="1"/>
  <c r="AC109" i="1"/>
  <c r="AD109" i="1" s="1"/>
  <c r="AA109" i="1"/>
  <c r="W109" i="1"/>
  <c r="X109" i="1" s="1"/>
  <c r="U109" i="1"/>
  <c r="R109" i="1"/>
  <c r="O109" i="1"/>
  <c r="N109" i="1"/>
  <c r="L109" i="1"/>
  <c r="H109" i="1"/>
  <c r="I109" i="1" s="1"/>
  <c r="F109" i="1"/>
  <c r="C109" i="1"/>
  <c r="AC108" i="1"/>
  <c r="AD108" i="1" s="1"/>
  <c r="AA108" i="1"/>
  <c r="X108" i="1"/>
  <c r="W108" i="1"/>
  <c r="U108" i="1"/>
  <c r="R108" i="1"/>
  <c r="O108" i="1"/>
  <c r="N108" i="1"/>
  <c r="L108" i="1"/>
  <c r="H108" i="1"/>
  <c r="I108" i="1" s="1"/>
  <c r="F108" i="1"/>
  <c r="C108" i="1"/>
  <c r="AC107" i="1"/>
  <c r="AD107" i="1" s="1"/>
  <c r="AA107" i="1"/>
  <c r="X107" i="1"/>
  <c r="W107" i="1"/>
  <c r="U107" i="1"/>
  <c r="R107" i="1"/>
  <c r="N107" i="1"/>
  <c r="O107" i="1" s="1"/>
  <c r="L107" i="1"/>
  <c r="H107" i="1"/>
  <c r="I107" i="1" s="1"/>
  <c r="F107" i="1"/>
  <c r="C107" i="1"/>
  <c r="AC106" i="1"/>
  <c r="AD106" i="1" s="1"/>
  <c r="AA106" i="1"/>
  <c r="X106" i="1"/>
  <c r="W106" i="1"/>
  <c r="U106" i="1"/>
  <c r="R106" i="1"/>
  <c r="O106" i="1"/>
  <c r="N106" i="1"/>
  <c r="L106" i="1"/>
  <c r="H106" i="1"/>
  <c r="I106" i="1" s="1"/>
  <c r="F106" i="1"/>
  <c r="C106" i="1"/>
  <c r="AC105" i="1"/>
  <c r="AD105" i="1" s="1"/>
  <c r="AA105" i="1"/>
  <c r="W105" i="1"/>
  <c r="X105" i="1" s="1"/>
  <c r="U105" i="1"/>
  <c r="R105" i="1"/>
  <c r="O105" i="1"/>
  <c r="N105" i="1"/>
  <c r="L105" i="1"/>
  <c r="H105" i="1"/>
  <c r="I105" i="1" s="1"/>
  <c r="F105" i="1"/>
  <c r="C105" i="1"/>
  <c r="AC104" i="1"/>
  <c r="AD104" i="1" s="1"/>
  <c r="AA104" i="1"/>
  <c r="X104" i="1"/>
  <c r="W104" i="1"/>
  <c r="U104" i="1"/>
  <c r="R104" i="1"/>
  <c r="O104" i="1"/>
  <c r="N104" i="1"/>
  <c r="L104" i="1"/>
  <c r="H104" i="1"/>
  <c r="I104" i="1" s="1"/>
  <c r="F104" i="1"/>
  <c r="C104" i="1"/>
  <c r="AC103" i="1"/>
  <c r="AD103" i="1" s="1"/>
  <c r="AA103" i="1"/>
  <c r="X103" i="1"/>
  <c r="W103" i="1"/>
  <c r="U103" i="1"/>
  <c r="R103" i="1"/>
  <c r="N103" i="1"/>
  <c r="O103" i="1" s="1"/>
  <c r="L103" i="1"/>
  <c r="H103" i="1"/>
  <c r="I103" i="1" s="1"/>
  <c r="F103" i="1"/>
  <c r="C103" i="1"/>
  <c r="AC102" i="1"/>
  <c r="AD102" i="1" s="1"/>
  <c r="AA102" i="1"/>
  <c r="X102" i="1"/>
  <c r="W102" i="1"/>
  <c r="U102" i="1"/>
  <c r="R102" i="1"/>
  <c r="O102" i="1"/>
  <c r="N102" i="1"/>
  <c r="L102" i="1"/>
  <c r="H102" i="1"/>
  <c r="I102" i="1" s="1"/>
  <c r="F102" i="1"/>
  <c r="C102" i="1"/>
  <c r="AC101" i="1"/>
  <c r="AD101" i="1" s="1"/>
  <c r="AA101" i="1"/>
  <c r="W101" i="1"/>
  <c r="X101" i="1" s="1"/>
  <c r="U101" i="1"/>
  <c r="R101" i="1"/>
  <c r="O101" i="1"/>
  <c r="N101" i="1"/>
  <c r="L101" i="1"/>
  <c r="H101" i="1"/>
  <c r="I101" i="1" s="1"/>
  <c r="F101" i="1"/>
  <c r="C101" i="1"/>
  <c r="AC100" i="1"/>
  <c r="AD100" i="1" s="1"/>
  <c r="AA100" i="1"/>
  <c r="X100" i="1"/>
  <c r="W100" i="1"/>
  <c r="U100" i="1"/>
  <c r="R100" i="1"/>
  <c r="O100" i="1"/>
  <c r="N100" i="1"/>
  <c r="L100" i="1"/>
  <c r="H100" i="1"/>
  <c r="I100" i="1" s="1"/>
  <c r="F100" i="1"/>
  <c r="C100" i="1"/>
  <c r="AC99" i="1"/>
  <c r="AD99" i="1" s="1"/>
  <c r="AA99" i="1"/>
  <c r="X99" i="1"/>
  <c r="W99" i="1"/>
  <c r="U99" i="1"/>
  <c r="R99" i="1"/>
  <c r="N99" i="1"/>
  <c r="O99" i="1" s="1"/>
  <c r="L99" i="1"/>
  <c r="H99" i="1"/>
  <c r="I99" i="1" s="1"/>
  <c r="F99" i="1"/>
  <c r="C99" i="1"/>
  <c r="AC98" i="1"/>
  <c r="AD98" i="1" s="1"/>
  <c r="AA98" i="1"/>
  <c r="X98" i="1"/>
  <c r="W98" i="1"/>
  <c r="U98" i="1"/>
  <c r="R98" i="1"/>
  <c r="O98" i="1"/>
  <c r="N98" i="1"/>
  <c r="L98" i="1"/>
  <c r="H98" i="1"/>
  <c r="I98" i="1" s="1"/>
  <c r="F98" i="1"/>
  <c r="C98" i="1"/>
  <c r="AC97" i="1"/>
  <c r="AD97" i="1" s="1"/>
  <c r="AA97" i="1"/>
  <c r="W97" i="1"/>
  <c r="X97" i="1" s="1"/>
  <c r="U97" i="1"/>
  <c r="R97" i="1"/>
  <c r="O97" i="1"/>
  <c r="N97" i="1"/>
  <c r="L97" i="1"/>
  <c r="H97" i="1"/>
  <c r="I97" i="1" s="1"/>
  <c r="F97" i="1"/>
  <c r="C97" i="1"/>
  <c r="AC96" i="1"/>
  <c r="AD96" i="1" s="1"/>
  <c r="AA96" i="1"/>
  <c r="X96" i="1"/>
  <c r="W96" i="1"/>
  <c r="U96" i="1"/>
  <c r="R96" i="1"/>
  <c r="O96" i="1"/>
  <c r="N96" i="1"/>
  <c r="L96" i="1"/>
  <c r="H96" i="1"/>
  <c r="I96" i="1" s="1"/>
  <c r="F96" i="1"/>
  <c r="C96" i="1"/>
  <c r="AC95" i="1"/>
  <c r="AD95" i="1" s="1"/>
  <c r="AA95" i="1"/>
  <c r="X95" i="1"/>
  <c r="W95" i="1"/>
  <c r="U95" i="1"/>
  <c r="R95" i="1"/>
  <c r="N95" i="1"/>
  <c r="O95" i="1" s="1"/>
  <c r="L95" i="1"/>
  <c r="H95" i="1"/>
  <c r="I95" i="1" s="1"/>
  <c r="F95" i="1"/>
  <c r="C95" i="1"/>
  <c r="AC94" i="1"/>
  <c r="AD94" i="1" s="1"/>
  <c r="AA94" i="1"/>
  <c r="X94" i="1"/>
  <c r="W94" i="1"/>
  <c r="U94" i="1"/>
  <c r="R94" i="1"/>
  <c r="O94" i="1"/>
  <c r="N94" i="1"/>
  <c r="L94" i="1"/>
  <c r="H94" i="1"/>
  <c r="I94" i="1" s="1"/>
  <c r="F94" i="1"/>
  <c r="C94" i="1"/>
  <c r="AC92" i="1"/>
  <c r="AD92" i="1" s="1"/>
  <c r="AA92" i="1"/>
  <c r="W92" i="1"/>
  <c r="X92" i="1" s="1"/>
  <c r="U92" i="1"/>
  <c r="R92" i="1"/>
  <c r="O92" i="1"/>
  <c r="N92" i="1"/>
  <c r="L92" i="1"/>
  <c r="H92" i="1"/>
  <c r="I92" i="1" s="1"/>
  <c r="F92" i="1"/>
  <c r="C92" i="1"/>
  <c r="AC91" i="1"/>
  <c r="AD91" i="1" s="1"/>
  <c r="AA91" i="1"/>
  <c r="X91" i="1"/>
  <c r="W91" i="1"/>
  <c r="U91" i="1"/>
  <c r="R91" i="1"/>
  <c r="O91" i="1"/>
  <c r="N91" i="1"/>
  <c r="L91" i="1"/>
  <c r="H91" i="1"/>
  <c r="I91" i="1" s="1"/>
  <c r="F91" i="1"/>
  <c r="C91" i="1"/>
  <c r="AC90" i="1"/>
  <c r="AD90" i="1" s="1"/>
  <c r="AA90" i="1"/>
  <c r="X90" i="1"/>
  <c r="W90" i="1"/>
  <c r="U90" i="1"/>
  <c r="R90" i="1"/>
  <c r="N90" i="1"/>
  <c r="O90" i="1" s="1"/>
  <c r="L90" i="1"/>
  <c r="H90" i="1"/>
  <c r="I90" i="1" s="1"/>
  <c r="F90" i="1"/>
  <c r="C90" i="1"/>
  <c r="AC89" i="1"/>
  <c r="AD89" i="1" s="1"/>
  <c r="AA89" i="1"/>
  <c r="X89" i="1"/>
  <c r="W89" i="1"/>
  <c r="U89" i="1"/>
  <c r="R89" i="1"/>
  <c r="O89" i="1"/>
  <c r="N89" i="1"/>
  <c r="L89" i="1"/>
  <c r="H89" i="1"/>
  <c r="I89" i="1" s="1"/>
  <c r="F89" i="1"/>
  <c r="C89" i="1"/>
  <c r="Z88" i="1"/>
  <c r="AA88" i="1" s="1"/>
  <c r="T88" i="1"/>
  <c r="W88" i="1" s="1"/>
  <c r="X88" i="1" s="1"/>
  <c r="Q88" i="1"/>
  <c r="R88" i="1" s="1"/>
  <c r="K88" i="1"/>
  <c r="L88" i="1" s="1"/>
  <c r="H88" i="1"/>
  <c r="I88" i="1" s="1"/>
  <c r="E88" i="1"/>
  <c r="F88" i="1" s="1"/>
  <c r="B88" i="1"/>
  <c r="N88" i="1" s="1"/>
  <c r="O88" i="1" s="1"/>
  <c r="AC87" i="1"/>
  <c r="AD87" i="1" s="1"/>
  <c r="AA87" i="1"/>
  <c r="X87" i="1"/>
  <c r="W87" i="1"/>
  <c r="U87" i="1"/>
  <c r="R87" i="1"/>
  <c r="N87" i="1"/>
  <c r="O87" i="1" s="1"/>
  <c r="L87" i="1"/>
  <c r="H87" i="1"/>
  <c r="I87" i="1" s="1"/>
  <c r="F87" i="1"/>
  <c r="C87" i="1"/>
  <c r="AC86" i="1"/>
  <c r="AD86" i="1" s="1"/>
  <c r="AA86" i="1"/>
  <c r="X86" i="1"/>
  <c r="W86" i="1"/>
  <c r="U86" i="1"/>
  <c r="R86" i="1"/>
  <c r="O86" i="1"/>
  <c r="N86" i="1"/>
  <c r="L86" i="1"/>
  <c r="H86" i="1"/>
  <c r="I86" i="1" s="1"/>
  <c r="F86" i="1"/>
  <c r="C86" i="1"/>
  <c r="AC85" i="1"/>
  <c r="AD85" i="1" s="1"/>
  <c r="AA85" i="1"/>
  <c r="W85" i="1"/>
  <c r="X85" i="1" s="1"/>
  <c r="U85" i="1"/>
  <c r="R85" i="1"/>
  <c r="O85" i="1"/>
  <c r="N85" i="1"/>
  <c r="L85" i="1"/>
  <c r="H85" i="1"/>
  <c r="I85" i="1" s="1"/>
  <c r="F85" i="1"/>
  <c r="C85" i="1"/>
  <c r="AC84" i="1"/>
  <c r="AD84" i="1" s="1"/>
  <c r="AA84" i="1"/>
  <c r="X84" i="1"/>
  <c r="W84" i="1"/>
  <c r="U84" i="1"/>
  <c r="R84" i="1"/>
  <c r="O84" i="1"/>
  <c r="N84" i="1"/>
  <c r="L84" i="1"/>
  <c r="H84" i="1"/>
  <c r="I84" i="1" s="1"/>
  <c r="F84" i="1"/>
  <c r="C84" i="1"/>
  <c r="AC83" i="1"/>
  <c r="AD83" i="1" s="1"/>
  <c r="AA83" i="1"/>
  <c r="X83" i="1"/>
  <c r="W83" i="1"/>
  <c r="U83" i="1"/>
  <c r="R83" i="1"/>
  <c r="N83" i="1"/>
  <c r="O83" i="1" s="1"/>
  <c r="L83" i="1"/>
  <c r="H83" i="1"/>
  <c r="I83" i="1" s="1"/>
  <c r="F83" i="1"/>
  <c r="C83" i="1"/>
  <c r="AC82" i="1"/>
  <c r="AD82" i="1" s="1"/>
  <c r="AA82" i="1"/>
  <c r="X82" i="1"/>
  <c r="W82" i="1"/>
  <c r="U82" i="1"/>
  <c r="R82" i="1"/>
  <c r="O82" i="1"/>
  <c r="N82" i="1"/>
  <c r="L82" i="1"/>
  <c r="H82" i="1"/>
  <c r="I82" i="1" s="1"/>
  <c r="F82" i="1"/>
  <c r="C82" i="1"/>
  <c r="AC81" i="1"/>
  <c r="AD81" i="1" s="1"/>
  <c r="AA81" i="1"/>
  <c r="W81" i="1"/>
  <c r="X81" i="1" s="1"/>
  <c r="U81" i="1"/>
  <c r="R81" i="1"/>
  <c r="O81" i="1"/>
  <c r="N81" i="1"/>
  <c r="L81" i="1"/>
  <c r="H81" i="1"/>
  <c r="I81" i="1" s="1"/>
  <c r="F81" i="1"/>
  <c r="C81" i="1"/>
  <c r="AC80" i="1"/>
  <c r="AD80" i="1" s="1"/>
  <c r="AA80" i="1"/>
  <c r="X80" i="1"/>
  <c r="W80" i="1"/>
  <c r="U80" i="1"/>
  <c r="R80" i="1"/>
  <c r="O80" i="1"/>
  <c r="N80" i="1"/>
  <c r="L80" i="1"/>
  <c r="H80" i="1"/>
  <c r="I80" i="1" s="1"/>
  <c r="F80" i="1"/>
  <c r="C80" i="1"/>
  <c r="AC79" i="1"/>
  <c r="AD79" i="1" s="1"/>
  <c r="AA79" i="1"/>
  <c r="X79" i="1"/>
  <c r="W79" i="1"/>
  <c r="U79" i="1"/>
  <c r="R79" i="1"/>
  <c r="N79" i="1"/>
  <c r="O79" i="1" s="1"/>
  <c r="L79" i="1"/>
  <c r="H79" i="1"/>
  <c r="I79" i="1" s="1"/>
  <c r="F79" i="1"/>
  <c r="C79" i="1"/>
  <c r="AC78" i="1"/>
  <c r="AD78" i="1" s="1"/>
  <c r="AA78" i="1"/>
  <c r="X78" i="1"/>
  <c r="W78" i="1"/>
  <c r="U78" i="1"/>
  <c r="R78" i="1"/>
  <c r="O78" i="1"/>
  <c r="N78" i="1"/>
  <c r="L78" i="1"/>
  <c r="H78" i="1"/>
  <c r="I78" i="1" s="1"/>
  <c r="F78" i="1"/>
  <c r="C78" i="1"/>
  <c r="AC77" i="1"/>
  <c r="AA77" i="1"/>
  <c r="W77" i="1"/>
  <c r="X77" i="1" s="1"/>
  <c r="U77" i="1"/>
  <c r="R77" i="1"/>
  <c r="O77" i="1"/>
  <c r="N77" i="1"/>
  <c r="L77" i="1"/>
  <c r="H77" i="1"/>
  <c r="I77" i="1" s="1"/>
  <c r="F77" i="1"/>
  <c r="C77" i="1"/>
  <c r="AC76" i="1"/>
  <c r="AD76" i="1" s="1"/>
  <c r="AA76" i="1"/>
  <c r="X76" i="1"/>
  <c r="W76" i="1"/>
  <c r="U76" i="1"/>
  <c r="R76" i="1"/>
  <c r="O76" i="1"/>
  <c r="N76" i="1"/>
  <c r="L76" i="1"/>
  <c r="I76" i="1"/>
  <c r="H76" i="1"/>
  <c r="F76" i="1"/>
  <c r="C76" i="1"/>
  <c r="AC75" i="1"/>
  <c r="AD75" i="1" s="1"/>
  <c r="AA75" i="1"/>
  <c r="X75" i="1"/>
  <c r="W75" i="1"/>
  <c r="U75" i="1"/>
  <c r="R75" i="1"/>
  <c r="N75" i="1"/>
  <c r="O75" i="1" s="1"/>
  <c r="L75" i="1"/>
  <c r="H75" i="1"/>
  <c r="I75" i="1" s="1"/>
  <c r="F75" i="1"/>
  <c r="C75" i="1"/>
  <c r="Z73" i="1"/>
  <c r="AA73" i="1" s="1"/>
  <c r="W73" i="1"/>
  <c r="X73" i="1" s="1"/>
  <c r="T73" i="1"/>
  <c r="U73" i="1" s="1"/>
  <c r="Q73" i="1"/>
  <c r="R73" i="1" s="1"/>
  <c r="K73" i="1"/>
  <c r="N73" i="1" s="1"/>
  <c r="O73" i="1" s="1"/>
  <c r="E73" i="1"/>
  <c r="F73" i="1" s="1"/>
  <c r="B73" i="1"/>
  <c r="C73" i="1" s="1"/>
  <c r="AC72" i="1"/>
  <c r="AD72" i="1" s="1"/>
  <c r="AA72" i="1"/>
  <c r="X72" i="1"/>
  <c r="W72" i="1"/>
  <c r="U72" i="1"/>
  <c r="R72" i="1"/>
  <c r="O72" i="1"/>
  <c r="N72" i="1"/>
  <c r="L72" i="1"/>
  <c r="H72" i="1"/>
  <c r="I72" i="1" s="1"/>
  <c r="F72" i="1"/>
  <c r="C72" i="1"/>
  <c r="AC71" i="1"/>
  <c r="AD71" i="1" s="1"/>
  <c r="AA71" i="1"/>
  <c r="X71" i="1"/>
  <c r="W71" i="1"/>
  <c r="U71" i="1"/>
  <c r="R71" i="1"/>
  <c r="N71" i="1"/>
  <c r="O71" i="1" s="1"/>
  <c r="L71" i="1"/>
  <c r="H71" i="1"/>
  <c r="I71" i="1" s="1"/>
  <c r="F71" i="1"/>
  <c r="C71" i="1"/>
  <c r="AC70" i="1"/>
  <c r="AD70" i="1" s="1"/>
  <c r="AA70" i="1"/>
  <c r="X70" i="1"/>
  <c r="W70" i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W69" i="1"/>
  <c r="X69" i="1" s="1"/>
  <c r="U69" i="1"/>
  <c r="R69" i="1"/>
  <c r="O69" i="1"/>
  <c r="N69" i="1"/>
  <c r="L69" i="1"/>
  <c r="H69" i="1"/>
  <c r="I69" i="1" s="1"/>
  <c r="F69" i="1"/>
  <c r="C69" i="1"/>
  <c r="AC68" i="1"/>
  <c r="AD68" i="1" s="1"/>
  <c r="AA68" i="1"/>
  <c r="X68" i="1"/>
  <c r="W68" i="1"/>
  <c r="U68" i="1"/>
  <c r="R68" i="1"/>
  <c r="O68" i="1"/>
  <c r="N68" i="1"/>
  <c r="L68" i="1"/>
  <c r="H68" i="1"/>
  <c r="I68" i="1" s="1"/>
  <c r="F68" i="1"/>
  <c r="C68" i="1"/>
  <c r="AC67" i="1"/>
  <c r="AD67" i="1" s="1"/>
  <c r="AA67" i="1"/>
  <c r="X67" i="1"/>
  <c r="W67" i="1"/>
  <c r="U67" i="1"/>
  <c r="R67" i="1"/>
  <c r="N67" i="1"/>
  <c r="O67" i="1" s="1"/>
  <c r="L67" i="1"/>
  <c r="H67" i="1"/>
  <c r="I67" i="1" s="1"/>
  <c r="F67" i="1"/>
  <c r="C67" i="1"/>
  <c r="AC66" i="1"/>
  <c r="AD66" i="1" s="1"/>
  <c r="AA66" i="1"/>
  <c r="X66" i="1"/>
  <c r="W66" i="1"/>
  <c r="U66" i="1"/>
  <c r="R66" i="1"/>
  <c r="O66" i="1"/>
  <c r="N66" i="1"/>
  <c r="L66" i="1"/>
  <c r="H66" i="1"/>
  <c r="I66" i="1" s="1"/>
  <c r="F66" i="1"/>
  <c r="C66" i="1"/>
  <c r="AC65" i="1"/>
  <c r="AD65" i="1" s="1"/>
  <c r="AA65" i="1"/>
  <c r="W65" i="1"/>
  <c r="X65" i="1" s="1"/>
  <c r="U65" i="1"/>
  <c r="R65" i="1"/>
  <c r="O65" i="1"/>
  <c r="N65" i="1"/>
  <c r="L65" i="1"/>
  <c r="H65" i="1"/>
  <c r="I65" i="1" s="1"/>
  <c r="F65" i="1"/>
  <c r="C65" i="1"/>
  <c r="AC64" i="1"/>
  <c r="AD64" i="1" s="1"/>
  <c r="AA64" i="1"/>
  <c r="X64" i="1"/>
  <c r="W64" i="1"/>
  <c r="U64" i="1"/>
  <c r="R64" i="1"/>
  <c r="O64" i="1"/>
  <c r="N64" i="1"/>
  <c r="L64" i="1"/>
  <c r="H64" i="1"/>
  <c r="I64" i="1" s="1"/>
  <c r="F64" i="1"/>
  <c r="C64" i="1"/>
  <c r="Z62" i="1"/>
  <c r="AA62" i="1" s="1"/>
  <c r="T62" i="1"/>
  <c r="U62" i="1" s="1"/>
  <c r="Q62" i="1"/>
  <c r="W62" i="1" s="1"/>
  <c r="X62" i="1" s="1"/>
  <c r="K62" i="1"/>
  <c r="L62" i="1" s="1"/>
  <c r="E62" i="1"/>
  <c r="F62" i="1" s="1"/>
  <c r="B62" i="1"/>
  <c r="H62" i="1" s="1"/>
  <c r="I62" i="1" s="1"/>
  <c r="Z61" i="1"/>
  <c r="AA61" i="1" s="1"/>
  <c r="T61" i="1"/>
  <c r="W61" i="1" s="1"/>
  <c r="X61" i="1" s="1"/>
  <c r="Q61" i="1"/>
  <c r="R61" i="1" s="1"/>
  <c r="K61" i="1"/>
  <c r="L61" i="1" s="1"/>
  <c r="H61" i="1"/>
  <c r="I61" i="1" s="1"/>
  <c r="E61" i="1"/>
  <c r="F61" i="1" s="1"/>
  <c r="B61" i="1"/>
  <c r="N61" i="1" s="1"/>
  <c r="O61" i="1" s="1"/>
  <c r="AC60" i="1"/>
  <c r="AD60" i="1" s="1"/>
  <c r="AA60" i="1"/>
  <c r="X60" i="1"/>
  <c r="W60" i="1"/>
  <c r="U60" i="1"/>
  <c r="R60" i="1"/>
  <c r="N60" i="1"/>
  <c r="O60" i="1" s="1"/>
  <c r="L60" i="1"/>
  <c r="H60" i="1"/>
  <c r="I60" i="1" s="1"/>
  <c r="F60" i="1"/>
  <c r="C60" i="1"/>
  <c r="AC59" i="1"/>
  <c r="AD59" i="1" s="1"/>
  <c r="AA59" i="1"/>
  <c r="X59" i="1"/>
  <c r="W59" i="1"/>
  <c r="U59" i="1"/>
  <c r="R59" i="1"/>
  <c r="O59" i="1"/>
  <c r="N59" i="1"/>
  <c r="L59" i="1"/>
  <c r="H59" i="1"/>
  <c r="I59" i="1" s="1"/>
  <c r="F59" i="1"/>
  <c r="C59" i="1"/>
  <c r="AC58" i="1"/>
  <c r="AD58" i="1" s="1"/>
  <c r="AA58" i="1"/>
  <c r="W58" i="1"/>
  <c r="X58" i="1" s="1"/>
  <c r="U58" i="1"/>
  <c r="R58" i="1"/>
  <c r="O58" i="1"/>
  <c r="N58" i="1"/>
  <c r="L58" i="1"/>
  <c r="H58" i="1"/>
  <c r="I58" i="1" s="1"/>
  <c r="F58" i="1"/>
  <c r="C58" i="1"/>
  <c r="AC57" i="1"/>
  <c r="AD57" i="1" s="1"/>
  <c r="AA57" i="1"/>
  <c r="X57" i="1"/>
  <c r="W57" i="1"/>
  <c r="U57" i="1"/>
  <c r="R57" i="1"/>
  <c r="O57" i="1"/>
  <c r="N57" i="1"/>
  <c r="L57" i="1"/>
  <c r="H57" i="1"/>
  <c r="I57" i="1" s="1"/>
  <c r="F57" i="1"/>
  <c r="C57" i="1"/>
  <c r="AC56" i="1"/>
  <c r="AD56" i="1" s="1"/>
  <c r="AA56" i="1"/>
  <c r="X56" i="1"/>
  <c r="W56" i="1"/>
  <c r="U56" i="1"/>
  <c r="R56" i="1"/>
  <c r="N56" i="1"/>
  <c r="O56" i="1" s="1"/>
  <c r="L56" i="1"/>
  <c r="H56" i="1"/>
  <c r="I56" i="1" s="1"/>
  <c r="F56" i="1"/>
  <c r="C56" i="1"/>
  <c r="AC55" i="1"/>
  <c r="AD55" i="1" s="1"/>
  <c r="AA55" i="1"/>
  <c r="X55" i="1"/>
  <c r="W55" i="1"/>
  <c r="U55" i="1"/>
  <c r="R55" i="1"/>
  <c r="O55" i="1"/>
  <c r="N55" i="1"/>
  <c r="L55" i="1"/>
  <c r="H55" i="1"/>
  <c r="I55" i="1" s="1"/>
  <c r="F55" i="1"/>
  <c r="C55" i="1"/>
  <c r="AC54" i="1"/>
  <c r="AD54" i="1" s="1"/>
  <c r="AA54" i="1"/>
  <c r="W54" i="1"/>
  <c r="X54" i="1" s="1"/>
  <c r="U54" i="1"/>
  <c r="R54" i="1"/>
  <c r="O54" i="1"/>
  <c r="N54" i="1"/>
  <c r="L54" i="1"/>
  <c r="H54" i="1"/>
  <c r="I54" i="1" s="1"/>
  <c r="F54" i="1"/>
  <c r="C54" i="1"/>
  <c r="AC53" i="1"/>
  <c r="AD53" i="1" s="1"/>
  <c r="AA53" i="1"/>
  <c r="X53" i="1"/>
  <c r="W53" i="1"/>
  <c r="U53" i="1"/>
  <c r="R53" i="1"/>
  <c r="O53" i="1"/>
  <c r="N53" i="1"/>
  <c r="L53" i="1"/>
  <c r="I53" i="1"/>
  <c r="H53" i="1"/>
  <c r="F53" i="1"/>
  <c r="C53" i="1"/>
  <c r="AC52" i="1"/>
  <c r="AD52" i="1" s="1"/>
  <c r="AA52" i="1"/>
  <c r="X52" i="1"/>
  <c r="W52" i="1"/>
  <c r="U52" i="1"/>
  <c r="R52" i="1"/>
  <c r="N52" i="1"/>
  <c r="O52" i="1" s="1"/>
  <c r="L52" i="1"/>
  <c r="H52" i="1"/>
  <c r="I52" i="1" s="1"/>
  <c r="F52" i="1"/>
  <c r="C52" i="1"/>
  <c r="AC51" i="1"/>
  <c r="AD51" i="1" s="1"/>
  <c r="AA51" i="1"/>
  <c r="X51" i="1"/>
  <c r="W51" i="1"/>
  <c r="U51" i="1"/>
  <c r="R51" i="1"/>
  <c r="O51" i="1"/>
  <c r="N51" i="1"/>
  <c r="L51" i="1"/>
  <c r="H51" i="1"/>
  <c r="I51" i="1" s="1"/>
  <c r="F51" i="1"/>
  <c r="C51" i="1"/>
  <c r="AC50" i="1"/>
  <c r="AA50" i="1"/>
  <c r="W50" i="1"/>
  <c r="X50" i="1" s="1"/>
  <c r="U50" i="1"/>
  <c r="R50" i="1"/>
  <c r="O50" i="1"/>
  <c r="N50" i="1"/>
  <c r="L50" i="1"/>
  <c r="H50" i="1"/>
  <c r="I50" i="1" s="1"/>
  <c r="F50" i="1"/>
  <c r="C50" i="1"/>
  <c r="AC49" i="1"/>
  <c r="AD49" i="1" s="1"/>
  <c r="AA49" i="1"/>
  <c r="X49" i="1"/>
  <c r="W49" i="1"/>
  <c r="U49" i="1"/>
  <c r="R49" i="1"/>
  <c r="O49" i="1"/>
  <c r="N49" i="1"/>
  <c r="L49" i="1"/>
  <c r="I49" i="1"/>
  <c r="H49" i="1"/>
  <c r="F49" i="1"/>
  <c r="C49" i="1"/>
  <c r="AC48" i="1"/>
  <c r="AD48" i="1" s="1"/>
  <c r="AA48" i="1"/>
  <c r="X48" i="1"/>
  <c r="W48" i="1"/>
  <c r="U48" i="1"/>
  <c r="R48" i="1"/>
  <c r="N48" i="1"/>
  <c r="O48" i="1" s="1"/>
  <c r="L48" i="1"/>
  <c r="H48" i="1"/>
  <c r="I48" i="1" s="1"/>
  <c r="F48" i="1"/>
  <c r="C48" i="1"/>
  <c r="AC47" i="1"/>
  <c r="AD47" i="1" s="1"/>
  <c r="AA47" i="1"/>
  <c r="X47" i="1"/>
  <c r="W47" i="1"/>
  <c r="U47" i="1"/>
  <c r="R47" i="1"/>
  <c r="O47" i="1"/>
  <c r="N47" i="1"/>
  <c r="L47" i="1"/>
  <c r="H47" i="1"/>
  <c r="I47" i="1" s="1"/>
  <c r="F47" i="1"/>
  <c r="C47" i="1"/>
  <c r="AC46" i="1"/>
  <c r="AA46" i="1"/>
  <c r="W46" i="1"/>
  <c r="X46" i="1" s="1"/>
  <c r="U46" i="1"/>
  <c r="R46" i="1"/>
  <c r="O46" i="1"/>
  <c r="N46" i="1"/>
  <c r="L46" i="1"/>
  <c r="H46" i="1"/>
  <c r="I46" i="1" s="1"/>
  <c r="F46" i="1"/>
  <c r="C46" i="1"/>
  <c r="AC44" i="1"/>
  <c r="AD44" i="1" s="1"/>
  <c r="AA44" i="1"/>
  <c r="X44" i="1"/>
  <c r="W44" i="1"/>
  <c r="U44" i="1"/>
  <c r="R44" i="1"/>
  <c r="O44" i="1"/>
  <c r="N44" i="1"/>
  <c r="L44" i="1"/>
  <c r="I44" i="1"/>
  <c r="H44" i="1"/>
  <c r="F44" i="1"/>
  <c r="C44" i="1"/>
  <c r="AC43" i="1"/>
  <c r="AD43" i="1" s="1"/>
  <c r="AA43" i="1"/>
  <c r="X43" i="1"/>
  <c r="W43" i="1"/>
  <c r="U43" i="1"/>
  <c r="R43" i="1"/>
  <c r="N43" i="1"/>
  <c r="O43" i="1" s="1"/>
  <c r="L43" i="1"/>
  <c r="H43" i="1"/>
  <c r="I43" i="1" s="1"/>
  <c r="F43" i="1"/>
  <c r="C43" i="1"/>
  <c r="AC42" i="1"/>
  <c r="AD42" i="1" s="1"/>
  <c r="AA42" i="1"/>
  <c r="X42" i="1"/>
  <c r="W42" i="1"/>
  <c r="U42" i="1"/>
  <c r="R42" i="1"/>
  <c r="O42" i="1"/>
  <c r="N42" i="1"/>
  <c r="L42" i="1"/>
  <c r="H42" i="1"/>
  <c r="I42" i="1" s="1"/>
  <c r="F42" i="1"/>
  <c r="C42" i="1"/>
  <c r="Z40" i="1"/>
  <c r="AA40" i="1" s="1"/>
  <c r="T40" i="1"/>
  <c r="W40" i="1" s="1"/>
  <c r="X40" i="1" s="1"/>
  <c r="Q40" i="1"/>
  <c r="R40" i="1" s="1"/>
  <c r="K40" i="1"/>
  <c r="L40" i="1" s="1"/>
  <c r="H40" i="1"/>
  <c r="I40" i="1" s="1"/>
  <c r="E40" i="1"/>
  <c r="F40" i="1" s="1"/>
  <c r="B40" i="1"/>
  <c r="C40" i="1" s="1"/>
  <c r="AC39" i="1"/>
  <c r="AD39" i="1" s="1"/>
  <c r="AA39" i="1"/>
  <c r="X39" i="1"/>
  <c r="W39" i="1"/>
  <c r="U39" i="1"/>
  <c r="R39" i="1"/>
  <c r="N39" i="1"/>
  <c r="O39" i="1" s="1"/>
  <c r="L39" i="1"/>
  <c r="H39" i="1"/>
  <c r="I39" i="1" s="1"/>
  <c r="F39" i="1"/>
  <c r="C39" i="1"/>
  <c r="AC38" i="1"/>
  <c r="AD38" i="1" s="1"/>
  <c r="AA38" i="1"/>
  <c r="X38" i="1"/>
  <c r="W38" i="1"/>
  <c r="U38" i="1"/>
  <c r="R38" i="1"/>
  <c r="O38" i="1"/>
  <c r="N38" i="1"/>
  <c r="L38" i="1"/>
  <c r="H38" i="1"/>
  <c r="I38" i="1" s="1"/>
  <c r="F38" i="1"/>
  <c r="C38" i="1"/>
  <c r="AC37" i="1"/>
  <c r="AD37" i="1" s="1"/>
  <c r="AA37" i="1"/>
  <c r="W37" i="1"/>
  <c r="X37" i="1" s="1"/>
  <c r="U37" i="1"/>
  <c r="R37" i="1"/>
  <c r="O37" i="1"/>
  <c r="N37" i="1"/>
  <c r="L37" i="1"/>
  <c r="H37" i="1"/>
  <c r="I37" i="1" s="1"/>
  <c r="F37" i="1"/>
  <c r="C37" i="1"/>
  <c r="AC36" i="1"/>
  <c r="AD36" i="1" s="1"/>
  <c r="AA36" i="1"/>
  <c r="X36" i="1"/>
  <c r="W36" i="1"/>
  <c r="U36" i="1"/>
  <c r="R36" i="1"/>
  <c r="O36" i="1"/>
  <c r="N36" i="1"/>
  <c r="L36" i="1"/>
  <c r="H36" i="1"/>
  <c r="I36" i="1" s="1"/>
  <c r="F36" i="1"/>
  <c r="C36" i="1"/>
  <c r="AC35" i="1"/>
  <c r="AD35" i="1" s="1"/>
  <c r="AA35" i="1"/>
  <c r="X35" i="1"/>
  <c r="W35" i="1"/>
  <c r="U35" i="1"/>
  <c r="R35" i="1"/>
  <c r="N35" i="1"/>
  <c r="O35" i="1" s="1"/>
  <c r="L35" i="1"/>
  <c r="H35" i="1"/>
  <c r="I35" i="1" s="1"/>
  <c r="F35" i="1"/>
  <c r="C35" i="1"/>
  <c r="AC34" i="1"/>
  <c r="AD34" i="1" s="1"/>
  <c r="AA34" i="1"/>
  <c r="X34" i="1"/>
  <c r="W34" i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W33" i="1"/>
  <c r="X33" i="1" s="1"/>
  <c r="U33" i="1"/>
  <c r="R33" i="1"/>
  <c r="O33" i="1"/>
  <c r="N33" i="1"/>
  <c r="L33" i="1"/>
  <c r="H33" i="1"/>
  <c r="I33" i="1" s="1"/>
  <c r="F33" i="1"/>
  <c r="C33" i="1"/>
  <c r="AC32" i="1"/>
  <c r="AD32" i="1" s="1"/>
  <c r="AA32" i="1"/>
  <c r="X32" i="1"/>
  <c r="W32" i="1"/>
  <c r="U32" i="1"/>
  <c r="R32" i="1"/>
  <c r="O32" i="1"/>
  <c r="N32" i="1"/>
  <c r="L32" i="1"/>
  <c r="H32" i="1"/>
  <c r="I32" i="1" s="1"/>
  <c r="F32" i="1"/>
  <c r="C32" i="1"/>
  <c r="AC31" i="1"/>
  <c r="AD31" i="1" s="1"/>
  <c r="AA31" i="1"/>
  <c r="X31" i="1"/>
  <c r="W31" i="1"/>
  <c r="U31" i="1"/>
  <c r="R31" i="1"/>
  <c r="N31" i="1"/>
  <c r="O31" i="1" s="1"/>
  <c r="L31" i="1"/>
  <c r="H31" i="1"/>
  <c r="I31" i="1" s="1"/>
  <c r="F31" i="1"/>
  <c r="C31" i="1"/>
  <c r="Z29" i="1"/>
  <c r="AA29" i="1" s="1"/>
  <c r="W29" i="1"/>
  <c r="X29" i="1" s="1"/>
  <c r="T29" i="1"/>
  <c r="U29" i="1" s="1"/>
  <c r="Q29" i="1"/>
  <c r="AC29" i="1" s="1"/>
  <c r="AD29" i="1" s="1"/>
  <c r="K29" i="1"/>
  <c r="L29" i="1" s="1"/>
  <c r="E29" i="1"/>
  <c r="F29" i="1" s="1"/>
  <c r="B29" i="1"/>
  <c r="C29" i="1" s="1"/>
  <c r="AC28" i="1"/>
  <c r="AD28" i="1" s="1"/>
  <c r="AA28" i="1"/>
  <c r="X28" i="1"/>
  <c r="W28" i="1"/>
  <c r="U28" i="1"/>
  <c r="R28" i="1"/>
  <c r="O28" i="1"/>
  <c r="N28" i="1"/>
  <c r="L28" i="1"/>
  <c r="H28" i="1"/>
  <c r="I28" i="1" s="1"/>
  <c r="F28" i="1"/>
  <c r="C28" i="1"/>
  <c r="AC27" i="1"/>
  <c r="AD27" i="1" s="1"/>
  <c r="AA27" i="1"/>
  <c r="X27" i="1"/>
  <c r="W27" i="1"/>
  <c r="U27" i="1"/>
  <c r="R27" i="1"/>
  <c r="N27" i="1"/>
  <c r="O27" i="1" s="1"/>
  <c r="L27" i="1"/>
  <c r="H27" i="1"/>
  <c r="I27" i="1" s="1"/>
  <c r="F27" i="1"/>
  <c r="C27" i="1"/>
  <c r="AC26" i="1"/>
  <c r="AD26" i="1" s="1"/>
  <c r="AA26" i="1"/>
  <c r="X26" i="1"/>
  <c r="W26" i="1"/>
  <c r="U26" i="1"/>
  <c r="R26" i="1"/>
  <c r="O26" i="1"/>
  <c r="N26" i="1"/>
  <c r="L26" i="1"/>
  <c r="H26" i="1"/>
  <c r="I26" i="1" s="1"/>
  <c r="F26" i="1"/>
  <c r="C26" i="1"/>
  <c r="AC25" i="1"/>
  <c r="AD25" i="1" s="1"/>
  <c r="AA25" i="1"/>
  <c r="W25" i="1"/>
  <c r="X25" i="1" s="1"/>
  <c r="U25" i="1"/>
  <c r="R25" i="1"/>
  <c r="O25" i="1"/>
  <c r="N25" i="1"/>
  <c r="L25" i="1"/>
  <c r="H25" i="1"/>
  <c r="I25" i="1" s="1"/>
  <c r="F25" i="1"/>
  <c r="C25" i="1"/>
  <c r="AC24" i="1"/>
  <c r="AD24" i="1" s="1"/>
  <c r="AA24" i="1"/>
  <c r="X24" i="1"/>
  <c r="W24" i="1"/>
  <c r="U24" i="1"/>
  <c r="R24" i="1"/>
  <c r="O24" i="1"/>
  <c r="N24" i="1"/>
  <c r="L24" i="1"/>
  <c r="H24" i="1"/>
  <c r="I24" i="1" s="1"/>
  <c r="F24" i="1"/>
  <c r="C24" i="1"/>
  <c r="AC23" i="1"/>
  <c r="AD23" i="1" s="1"/>
  <c r="AA23" i="1"/>
  <c r="X23" i="1"/>
  <c r="W23" i="1"/>
  <c r="U23" i="1"/>
  <c r="R23" i="1"/>
  <c r="N23" i="1"/>
  <c r="O23" i="1" s="1"/>
  <c r="L23" i="1"/>
  <c r="H23" i="1"/>
  <c r="I23" i="1" s="1"/>
  <c r="F23" i="1"/>
  <c r="C23" i="1"/>
  <c r="AC22" i="1"/>
  <c r="AD22" i="1" s="1"/>
  <c r="AA22" i="1"/>
  <c r="X22" i="1"/>
  <c r="W22" i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W21" i="1"/>
  <c r="X21" i="1" s="1"/>
  <c r="U21" i="1"/>
  <c r="R21" i="1"/>
  <c r="O21" i="1"/>
  <c r="N21" i="1"/>
  <c r="L21" i="1"/>
  <c r="H21" i="1"/>
  <c r="I21" i="1" s="1"/>
  <c r="F21" i="1"/>
  <c r="C21" i="1"/>
  <c r="AC19" i="1"/>
  <c r="AD19" i="1" s="1"/>
  <c r="AA19" i="1"/>
  <c r="X19" i="1"/>
  <c r="W19" i="1"/>
  <c r="U19" i="1"/>
  <c r="R19" i="1"/>
  <c r="O19" i="1"/>
  <c r="N19" i="1"/>
  <c r="L19" i="1"/>
  <c r="H19" i="1"/>
  <c r="I19" i="1" s="1"/>
  <c r="F19" i="1"/>
  <c r="C19" i="1"/>
  <c r="Z18" i="1"/>
  <c r="AA18" i="1" s="1"/>
  <c r="T18" i="1"/>
  <c r="U18" i="1" s="1"/>
  <c r="Q18" i="1"/>
  <c r="AC18" i="1" s="1"/>
  <c r="AD18" i="1" s="1"/>
  <c r="K18" i="1"/>
  <c r="L18" i="1" s="1"/>
  <c r="E18" i="1"/>
  <c r="F18" i="1" s="1"/>
  <c r="B18" i="1"/>
  <c r="H18" i="1" s="1"/>
  <c r="I18" i="1" s="1"/>
  <c r="AC17" i="1"/>
  <c r="AD17" i="1" s="1"/>
  <c r="AA17" i="1"/>
  <c r="W17" i="1"/>
  <c r="X17" i="1" s="1"/>
  <c r="U17" i="1"/>
  <c r="R17" i="1"/>
  <c r="O17" i="1"/>
  <c r="N17" i="1"/>
  <c r="L17" i="1"/>
  <c r="H17" i="1"/>
  <c r="I17" i="1" s="1"/>
  <c r="F17" i="1"/>
  <c r="C17" i="1"/>
  <c r="AC16" i="1"/>
  <c r="AD16" i="1" s="1"/>
  <c r="AA16" i="1"/>
  <c r="X16" i="1"/>
  <c r="W16" i="1"/>
  <c r="U16" i="1"/>
  <c r="R16" i="1"/>
  <c r="O16" i="1"/>
  <c r="N16" i="1"/>
  <c r="L16" i="1"/>
  <c r="H16" i="1"/>
  <c r="I16" i="1" s="1"/>
  <c r="F16" i="1"/>
  <c r="C16" i="1"/>
  <c r="AC15" i="1"/>
  <c r="AD15" i="1" s="1"/>
  <c r="AA15" i="1"/>
  <c r="X15" i="1"/>
  <c r="W15" i="1"/>
  <c r="U15" i="1"/>
  <c r="R15" i="1"/>
  <c r="N15" i="1"/>
  <c r="O15" i="1" s="1"/>
  <c r="L15" i="1"/>
  <c r="H15" i="1"/>
  <c r="I15" i="1" s="1"/>
  <c r="F15" i="1"/>
  <c r="C15" i="1"/>
  <c r="AC14" i="1"/>
  <c r="AD14" i="1" s="1"/>
  <c r="AA14" i="1"/>
  <c r="X14" i="1"/>
  <c r="W14" i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W13" i="1"/>
  <c r="X13" i="1" s="1"/>
  <c r="U13" i="1"/>
  <c r="R13" i="1"/>
  <c r="O13" i="1"/>
  <c r="N13" i="1"/>
  <c r="L13" i="1"/>
  <c r="H13" i="1"/>
  <c r="I13" i="1" s="1"/>
  <c r="F13" i="1"/>
  <c r="C13" i="1"/>
  <c r="AC12" i="1"/>
  <c r="AD12" i="1" s="1"/>
  <c r="AA12" i="1"/>
  <c r="X12" i="1"/>
  <c r="W12" i="1"/>
  <c r="U12" i="1"/>
  <c r="R12" i="1"/>
  <c r="O12" i="1"/>
  <c r="N12" i="1"/>
  <c r="L12" i="1"/>
  <c r="H12" i="1"/>
  <c r="I12" i="1" s="1"/>
  <c r="F12" i="1"/>
  <c r="C12" i="1"/>
  <c r="AC11" i="1"/>
  <c r="AD11" i="1" s="1"/>
  <c r="AA11" i="1"/>
  <c r="X11" i="1"/>
  <c r="W11" i="1"/>
  <c r="U11" i="1"/>
  <c r="R11" i="1"/>
  <c r="N11" i="1"/>
  <c r="O11" i="1" s="1"/>
  <c r="L11" i="1"/>
  <c r="H11" i="1"/>
  <c r="I11" i="1" s="1"/>
  <c r="F11" i="1"/>
  <c r="C11" i="1"/>
  <c r="AC10" i="1"/>
  <c r="AD10" i="1" s="1"/>
  <c r="AA10" i="1"/>
  <c r="X10" i="1"/>
  <c r="W10" i="1"/>
  <c r="U10" i="1"/>
  <c r="R10" i="1"/>
  <c r="O10" i="1"/>
  <c r="N10" i="1"/>
  <c r="L10" i="1"/>
  <c r="H10" i="1"/>
  <c r="I10" i="1" s="1"/>
  <c r="F10" i="1"/>
  <c r="C10" i="1"/>
  <c r="AC8" i="1"/>
  <c r="AD8" i="1" s="1"/>
  <c r="AA8" i="1"/>
  <c r="W8" i="1"/>
  <c r="X8" i="1" s="1"/>
  <c r="U8" i="1"/>
  <c r="R8" i="1"/>
  <c r="O8" i="1"/>
  <c r="N8" i="1"/>
  <c r="L8" i="1"/>
  <c r="H8" i="1"/>
  <c r="I8" i="1" s="1"/>
  <c r="F8" i="1"/>
  <c r="C8" i="1"/>
  <c r="F198" i="1" l="1"/>
  <c r="E345" i="1"/>
  <c r="AA172" i="1"/>
  <c r="Z198" i="1"/>
  <c r="AC172" i="1"/>
  <c r="AD172" i="1" s="1"/>
  <c r="K198" i="1"/>
  <c r="L172" i="1"/>
  <c r="C172" i="1"/>
  <c r="N172" i="1"/>
  <c r="O172" i="1" s="1"/>
  <c r="B198" i="1"/>
  <c r="H172" i="1"/>
  <c r="I172" i="1" s="1"/>
  <c r="N62" i="1"/>
  <c r="O62" i="1" s="1"/>
  <c r="N124" i="1"/>
  <c r="O124" i="1" s="1"/>
  <c r="N149" i="1"/>
  <c r="O149" i="1" s="1"/>
  <c r="AC170" i="1"/>
  <c r="AD170" i="1" s="1"/>
  <c r="N193" i="1"/>
  <c r="O193" i="1" s="1"/>
  <c r="R122" i="2"/>
  <c r="W122" i="2"/>
  <c r="X122" i="2" s="1"/>
  <c r="R170" i="2"/>
  <c r="W170" i="2"/>
  <c r="X170" i="2" s="1"/>
  <c r="Q198" i="2"/>
  <c r="R172" i="2"/>
  <c r="R236" i="2"/>
  <c r="AC236" i="2"/>
  <c r="AD236" i="2" s="1"/>
  <c r="W236" i="2"/>
  <c r="X236" i="2" s="1"/>
  <c r="C263" i="2"/>
  <c r="N263" i="2"/>
  <c r="O263" i="2" s="1"/>
  <c r="C273" i="2"/>
  <c r="H273" i="2"/>
  <c r="I273" i="2" s="1"/>
  <c r="H324" i="2"/>
  <c r="I324" i="2" s="1"/>
  <c r="N324" i="2"/>
  <c r="O324" i="2" s="1"/>
  <c r="C324" i="2"/>
  <c r="C393" i="2"/>
  <c r="N393" i="2"/>
  <c r="O393" i="2" s="1"/>
  <c r="C18" i="1"/>
  <c r="U40" i="1"/>
  <c r="U61" i="1"/>
  <c r="C62" i="1"/>
  <c r="L73" i="1"/>
  <c r="U88" i="1"/>
  <c r="C118" i="1"/>
  <c r="F122" i="1"/>
  <c r="R122" i="1"/>
  <c r="C124" i="1"/>
  <c r="AA124" i="1"/>
  <c r="U148" i="1"/>
  <c r="C149" i="1"/>
  <c r="C158" i="1"/>
  <c r="C166" i="1"/>
  <c r="F170" i="1"/>
  <c r="R170" i="1"/>
  <c r="L171" i="1"/>
  <c r="F172" i="1"/>
  <c r="R172" i="1"/>
  <c r="F182" i="1"/>
  <c r="R182" i="1"/>
  <c r="C193" i="1"/>
  <c r="C196" i="1"/>
  <c r="U197" i="1"/>
  <c r="U209" i="1"/>
  <c r="U218" i="1"/>
  <c r="C227" i="1"/>
  <c r="F236" i="1"/>
  <c r="R236" i="1"/>
  <c r="AD254" i="1"/>
  <c r="F263" i="1"/>
  <c r="W263" i="1"/>
  <c r="X263" i="1" s="1"/>
  <c r="N273" i="1"/>
  <c r="O273" i="1" s="1"/>
  <c r="U284" i="1"/>
  <c r="AD289" i="1"/>
  <c r="N295" i="1"/>
  <c r="O295" i="1" s="1"/>
  <c r="AD301" i="1"/>
  <c r="AD306" i="1"/>
  <c r="AD313" i="1"/>
  <c r="AD322" i="1"/>
  <c r="N325" i="1"/>
  <c r="O325" i="1" s="1"/>
  <c r="AD329" i="1"/>
  <c r="AD339" i="1"/>
  <c r="AD347" i="1"/>
  <c r="AD357" i="1"/>
  <c r="R358" i="1"/>
  <c r="AD365" i="1"/>
  <c r="AD372" i="1"/>
  <c r="AD379" i="1"/>
  <c r="AD390" i="1"/>
  <c r="AD408" i="1"/>
  <c r="AD415" i="1"/>
  <c r="AD424" i="1"/>
  <c r="C428" i="1"/>
  <c r="AD440" i="1"/>
  <c r="R441" i="1"/>
  <c r="R29" i="2"/>
  <c r="C61" i="2"/>
  <c r="AC73" i="2"/>
  <c r="AD73" i="2" s="1"/>
  <c r="R118" i="2"/>
  <c r="AC118" i="2"/>
  <c r="AD118" i="2" s="1"/>
  <c r="F124" i="2"/>
  <c r="E172" i="2"/>
  <c r="AA124" i="2"/>
  <c r="Z172" i="2"/>
  <c r="AC172" i="2" s="1"/>
  <c r="AD172" i="2" s="1"/>
  <c r="H182" i="2"/>
  <c r="I182" i="2" s="1"/>
  <c r="N182" i="2"/>
  <c r="O182" i="2" s="1"/>
  <c r="W295" i="2"/>
  <c r="X295" i="2" s="1"/>
  <c r="C368" i="2"/>
  <c r="H368" i="2"/>
  <c r="I368" i="2" s="1"/>
  <c r="AC149" i="1"/>
  <c r="AD149" i="1" s="1"/>
  <c r="AC158" i="1"/>
  <c r="AD158" i="1" s="1"/>
  <c r="AC166" i="1"/>
  <c r="AD166" i="1" s="1"/>
  <c r="AC193" i="1"/>
  <c r="AD193" i="1" s="1"/>
  <c r="AC196" i="1"/>
  <c r="AD196" i="1" s="1"/>
  <c r="Q198" i="1"/>
  <c r="AC227" i="1"/>
  <c r="AD227" i="1" s="1"/>
  <c r="H358" i="1"/>
  <c r="I358" i="1" s="1"/>
  <c r="C358" i="1"/>
  <c r="H441" i="1"/>
  <c r="I441" i="1" s="1"/>
  <c r="C441" i="1"/>
  <c r="H29" i="2"/>
  <c r="I29" i="2" s="1"/>
  <c r="C29" i="2"/>
  <c r="R149" i="2"/>
  <c r="W149" i="2"/>
  <c r="X149" i="2" s="1"/>
  <c r="H263" i="2"/>
  <c r="I263" i="2" s="1"/>
  <c r="C295" i="2"/>
  <c r="H295" i="2"/>
  <c r="I295" i="2" s="1"/>
  <c r="AC442" i="2"/>
  <c r="AD442" i="2" s="1"/>
  <c r="W442" i="2"/>
  <c r="X442" i="2" s="1"/>
  <c r="R442" i="2"/>
  <c r="AC62" i="1"/>
  <c r="AD62" i="1" s="1"/>
  <c r="N141" i="1"/>
  <c r="O141" i="1" s="1"/>
  <c r="R124" i="1"/>
  <c r="R149" i="1"/>
  <c r="R158" i="1"/>
  <c r="R196" i="1"/>
  <c r="AC343" i="1"/>
  <c r="AD343" i="1" s="1"/>
  <c r="AD442" i="1"/>
  <c r="R158" i="2"/>
  <c r="W158" i="2"/>
  <c r="X158" i="2" s="1"/>
  <c r="W262" i="2"/>
  <c r="X262" i="2" s="1"/>
  <c r="AC262" i="2"/>
  <c r="AD262" i="2" s="1"/>
  <c r="N267" i="2"/>
  <c r="O267" i="2" s="1"/>
  <c r="N273" i="2"/>
  <c r="O273" i="2" s="1"/>
  <c r="R342" i="2"/>
  <c r="N343" i="2"/>
  <c r="O343" i="2" s="1"/>
  <c r="H393" i="2"/>
  <c r="I393" i="2" s="1"/>
  <c r="W441" i="2"/>
  <c r="X441" i="2" s="1"/>
  <c r="U441" i="2"/>
  <c r="AC118" i="1"/>
  <c r="AD118" i="1" s="1"/>
  <c r="AC124" i="1"/>
  <c r="AD124" i="1" s="1"/>
  <c r="H262" i="1"/>
  <c r="I262" i="1" s="1"/>
  <c r="C209" i="2"/>
  <c r="N209" i="2"/>
  <c r="O209" i="2" s="1"/>
  <c r="R262" i="2"/>
  <c r="W273" i="2"/>
  <c r="X273" i="2" s="1"/>
  <c r="AC273" i="2"/>
  <c r="AD273" i="2" s="1"/>
  <c r="R273" i="2"/>
  <c r="H403" i="2"/>
  <c r="I403" i="2" s="1"/>
  <c r="C403" i="2"/>
  <c r="N403" i="2"/>
  <c r="O403" i="2" s="1"/>
  <c r="N118" i="1"/>
  <c r="O118" i="1" s="1"/>
  <c r="N166" i="1"/>
  <c r="O166" i="1" s="1"/>
  <c r="N196" i="1"/>
  <c r="O196" i="1" s="1"/>
  <c r="N227" i="1"/>
  <c r="O227" i="1" s="1"/>
  <c r="H343" i="1"/>
  <c r="I343" i="1" s="1"/>
  <c r="C343" i="1"/>
  <c r="W18" i="2"/>
  <c r="X18" i="2" s="1"/>
  <c r="R18" i="2"/>
  <c r="R118" i="1"/>
  <c r="C171" i="1"/>
  <c r="R193" i="1"/>
  <c r="R227" i="1"/>
  <c r="R273" i="1"/>
  <c r="R295" i="1"/>
  <c r="N40" i="1"/>
  <c r="O40" i="1" s="1"/>
  <c r="AC73" i="1"/>
  <c r="AD73" i="1" s="1"/>
  <c r="W122" i="1"/>
  <c r="X122" i="1" s="1"/>
  <c r="H124" i="1"/>
  <c r="I124" i="1" s="1"/>
  <c r="N209" i="1"/>
  <c r="O209" i="1" s="1"/>
  <c r="AD335" i="1"/>
  <c r="AD362" i="1"/>
  <c r="W368" i="1"/>
  <c r="X368" i="1" s="1"/>
  <c r="AD369" i="1"/>
  <c r="W393" i="1"/>
  <c r="X393" i="1" s="1"/>
  <c r="AD394" i="1"/>
  <c r="AD401" i="1"/>
  <c r="AD421" i="1"/>
  <c r="W429" i="1"/>
  <c r="X429" i="1" s="1"/>
  <c r="R429" i="1"/>
  <c r="AD437" i="1"/>
  <c r="H18" i="2"/>
  <c r="I18" i="2" s="1"/>
  <c r="C40" i="2"/>
  <c r="W62" i="2"/>
  <c r="X62" i="2" s="1"/>
  <c r="R62" i="2"/>
  <c r="N88" i="2"/>
  <c r="O88" i="2" s="1"/>
  <c r="AC122" i="2"/>
  <c r="AD122" i="2" s="1"/>
  <c r="R141" i="2"/>
  <c r="W141" i="2"/>
  <c r="X141" i="2" s="1"/>
  <c r="C148" i="2"/>
  <c r="N148" i="2"/>
  <c r="O148" i="2" s="1"/>
  <c r="AC170" i="2"/>
  <c r="AD170" i="2" s="1"/>
  <c r="R29" i="1"/>
  <c r="C61" i="1"/>
  <c r="C88" i="1"/>
  <c r="R141" i="1"/>
  <c r="C148" i="1"/>
  <c r="R171" i="1"/>
  <c r="C197" i="1"/>
  <c r="C218" i="1"/>
  <c r="AD246" i="1"/>
  <c r="N263" i="1"/>
  <c r="O263" i="1" s="1"/>
  <c r="AD271" i="1"/>
  <c r="AC284" i="1"/>
  <c r="AD284" i="1" s="1"/>
  <c r="AD293" i="1"/>
  <c r="AD297" i="1"/>
  <c r="AD305" i="1"/>
  <c r="AD314" i="1"/>
  <c r="AD321" i="1"/>
  <c r="C325" i="1"/>
  <c r="AD330" i="1"/>
  <c r="AD338" i="1"/>
  <c r="N343" i="1"/>
  <c r="O343" i="1" s="1"/>
  <c r="AD349" i="1"/>
  <c r="AD356" i="1"/>
  <c r="AC358" i="1"/>
  <c r="AD358" i="1" s="1"/>
  <c r="AD364" i="1"/>
  <c r="AD371" i="1"/>
  <c r="AD380" i="1"/>
  <c r="AD389" i="1"/>
  <c r="AD407" i="1"/>
  <c r="AD416" i="1"/>
  <c r="AD423" i="1"/>
  <c r="N428" i="1"/>
  <c r="O428" i="1" s="1"/>
  <c r="AD432" i="1"/>
  <c r="AD439" i="1"/>
  <c r="AC441" i="1"/>
  <c r="AD441" i="1" s="1"/>
  <c r="AC18" i="2"/>
  <c r="AD18" i="2" s="1"/>
  <c r="AC29" i="2"/>
  <c r="AD29" i="2" s="1"/>
  <c r="N61" i="2"/>
  <c r="O61" i="2" s="1"/>
  <c r="R73" i="2"/>
  <c r="C118" i="2"/>
  <c r="H118" i="2"/>
  <c r="I118" i="2" s="1"/>
  <c r="AC149" i="2"/>
  <c r="AD149" i="2" s="1"/>
  <c r="U166" i="2"/>
  <c r="W166" i="2"/>
  <c r="X166" i="2" s="1"/>
  <c r="U196" i="2"/>
  <c r="W196" i="2"/>
  <c r="X196" i="2" s="1"/>
  <c r="W368" i="2"/>
  <c r="X368" i="2" s="1"/>
  <c r="AC368" i="2"/>
  <c r="AD368" i="2" s="1"/>
  <c r="R368" i="2"/>
  <c r="N18" i="1"/>
  <c r="O18" i="1" s="1"/>
  <c r="N171" i="1"/>
  <c r="O171" i="1" s="1"/>
  <c r="R18" i="1"/>
  <c r="R62" i="1"/>
  <c r="C141" i="1"/>
  <c r="H267" i="1"/>
  <c r="I267" i="1" s="1"/>
  <c r="W182" i="1"/>
  <c r="X182" i="1" s="1"/>
  <c r="T198" i="1"/>
  <c r="AC263" i="1"/>
  <c r="AD263" i="1" s="1"/>
  <c r="AD319" i="1"/>
  <c r="AD354" i="1"/>
  <c r="AD386" i="1"/>
  <c r="W18" i="1"/>
  <c r="X18" i="1" s="1"/>
  <c r="H29" i="1"/>
  <c r="I29" i="1" s="1"/>
  <c r="AC40" i="1"/>
  <c r="AD40" i="1" s="1"/>
  <c r="AC61" i="1"/>
  <c r="AD61" i="1" s="1"/>
  <c r="H73" i="1"/>
  <c r="I73" i="1" s="1"/>
  <c r="AC88" i="1"/>
  <c r="AD88" i="1" s="1"/>
  <c r="N122" i="1"/>
  <c r="O122" i="1" s="1"/>
  <c r="W166" i="1"/>
  <c r="X166" i="1" s="1"/>
  <c r="AD249" i="1"/>
  <c r="N262" i="1"/>
  <c r="O262" i="1" s="1"/>
  <c r="N267" i="1"/>
  <c r="O267" i="1" s="1"/>
  <c r="H273" i="1"/>
  <c r="I273" i="1" s="1"/>
  <c r="AD275" i="1"/>
  <c r="AD283" i="1"/>
  <c r="AD290" i="1"/>
  <c r="H295" i="1"/>
  <c r="I295" i="1" s="1"/>
  <c r="AD302" i="1"/>
  <c r="AD307" i="1"/>
  <c r="AD316" i="1"/>
  <c r="AD323" i="1"/>
  <c r="W324" i="1"/>
  <c r="X324" i="1" s="1"/>
  <c r="R324" i="1"/>
  <c r="AD332" i="1"/>
  <c r="AD340" i="1"/>
  <c r="AD351" i="1"/>
  <c r="AD366" i="1"/>
  <c r="AD373" i="1"/>
  <c r="AD382" i="1"/>
  <c r="AD391" i="1"/>
  <c r="AD398" i="1"/>
  <c r="AD409" i="1"/>
  <c r="AD418" i="1"/>
  <c r="AD425" i="1"/>
  <c r="AD434" i="1"/>
  <c r="H73" i="2"/>
  <c r="I73" i="2" s="1"/>
  <c r="C73" i="2"/>
  <c r="H148" i="2"/>
  <c r="I148" i="2" s="1"/>
  <c r="AC158" i="2"/>
  <c r="AD158" i="2" s="1"/>
  <c r="L172" i="2"/>
  <c r="K198" i="2"/>
  <c r="R182" i="2"/>
  <c r="AC182" i="2"/>
  <c r="AD182" i="2" s="1"/>
  <c r="AC218" i="2"/>
  <c r="AD218" i="2" s="1"/>
  <c r="W263" i="2"/>
  <c r="X263" i="2" s="1"/>
  <c r="N295" i="2"/>
  <c r="O295" i="2" s="1"/>
  <c r="AC342" i="2"/>
  <c r="AD342" i="2" s="1"/>
  <c r="W358" i="2"/>
  <c r="X358" i="2" s="1"/>
  <c r="W396" i="2"/>
  <c r="X396" i="2" s="1"/>
  <c r="AC396" i="2"/>
  <c r="AD396" i="2" s="1"/>
  <c r="AC236" i="1"/>
  <c r="AD236" i="1" s="1"/>
  <c r="N29" i="1"/>
  <c r="O29" i="1" s="1"/>
  <c r="AD281" i="1"/>
  <c r="W342" i="1"/>
  <c r="X342" i="1" s="1"/>
  <c r="AD46" i="1"/>
  <c r="AD50" i="1"/>
  <c r="AD77" i="1"/>
  <c r="AD123" i="1"/>
  <c r="AD129" i="1"/>
  <c r="AD133" i="1"/>
  <c r="AD137" i="1"/>
  <c r="AD145" i="1"/>
  <c r="AD153" i="1"/>
  <c r="AD157" i="1"/>
  <c r="AD161" i="1"/>
  <c r="AD165" i="1"/>
  <c r="AD168" i="1"/>
  <c r="AD175" i="1"/>
  <c r="AD180" i="1"/>
  <c r="AD183" i="1"/>
  <c r="AD188" i="1"/>
  <c r="AD192" i="1"/>
  <c r="AD195" i="1"/>
  <c r="AD202" i="1"/>
  <c r="AD206" i="1"/>
  <c r="AD215" i="1"/>
  <c r="AD222" i="1"/>
  <c r="AD226" i="1"/>
  <c r="AD230" i="1"/>
  <c r="AD234" i="1"/>
  <c r="AD238" i="1"/>
  <c r="AD242" i="1"/>
  <c r="AD252" i="1"/>
  <c r="AD255" i="1"/>
  <c r="AD258" i="1"/>
  <c r="AD261" i="1"/>
  <c r="AD266" i="1"/>
  <c r="AD280" i="1"/>
  <c r="AD287" i="1"/>
  <c r="AC295" i="1"/>
  <c r="AD295" i="1" s="1"/>
  <c r="AD299" i="1"/>
  <c r="AD309" i="1"/>
  <c r="AD318" i="1"/>
  <c r="AD334" i="1"/>
  <c r="AD342" i="1"/>
  <c r="AD353" i="1"/>
  <c r="N358" i="1"/>
  <c r="O358" i="1" s="1"/>
  <c r="AD361" i="1"/>
  <c r="AD368" i="1"/>
  <c r="AD375" i="1"/>
  <c r="AD385" i="1"/>
  <c r="AD393" i="1"/>
  <c r="AD400" i="1"/>
  <c r="AD411" i="1"/>
  <c r="AD420" i="1"/>
  <c r="AD427" i="1"/>
  <c r="N441" i="1"/>
  <c r="O441" i="1" s="1"/>
  <c r="N29" i="2"/>
  <c r="O29" i="2" s="1"/>
  <c r="AC141" i="2"/>
  <c r="AD141" i="2" s="1"/>
  <c r="C193" i="2"/>
  <c r="N193" i="2"/>
  <c r="O193" i="2" s="1"/>
  <c r="H193" i="2"/>
  <c r="I193" i="2" s="1"/>
  <c r="C197" i="2"/>
  <c r="N197" i="2"/>
  <c r="O197" i="2" s="1"/>
  <c r="H209" i="2"/>
  <c r="I209" i="2" s="1"/>
  <c r="C344" i="2"/>
  <c r="N344" i="2"/>
  <c r="O344" i="2" s="1"/>
  <c r="C358" i="2"/>
  <c r="H358" i="2"/>
  <c r="I358" i="2" s="1"/>
  <c r="H428" i="2"/>
  <c r="I428" i="2" s="1"/>
  <c r="F428" i="2"/>
  <c r="N122" i="2"/>
  <c r="O122" i="2" s="1"/>
  <c r="AC124" i="2"/>
  <c r="AD124" i="2" s="1"/>
  <c r="N149" i="2"/>
  <c r="O149" i="2" s="1"/>
  <c r="N158" i="2"/>
  <c r="O158" i="2" s="1"/>
  <c r="N166" i="2"/>
  <c r="O166" i="2" s="1"/>
  <c r="W171" i="2"/>
  <c r="X171" i="2" s="1"/>
  <c r="N196" i="2"/>
  <c r="O196" i="2" s="1"/>
  <c r="H218" i="2"/>
  <c r="I218" i="2" s="1"/>
  <c r="H236" i="2"/>
  <c r="I236" i="2" s="1"/>
  <c r="N262" i="2"/>
  <c r="O262" i="2" s="1"/>
  <c r="AC284" i="2"/>
  <c r="AD284" i="2" s="1"/>
  <c r="N396" i="2"/>
  <c r="O396" i="2" s="1"/>
  <c r="W428" i="2"/>
  <c r="X428" i="2" s="1"/>
  <c r="R428" i="2"/>
  <c r="N18" i="3"/>
  <c r="O18" i="3" s="1"/>
  <c r="H18" i="3"/>
  <c r="I18" i="3" s="1"/>
  <c r="C18" i="3"/>
  <c r="H88" i="3"/>
  <c r="I88" i="3" s="1"/>
  <c r="N88" i="3"/>
  <c r="O88" i="3" s="1"/>
  <c r="C88" i="3"/>
  <c r="AC325" i="1"/>
  <c r="AD325" i="1" s="1"/>
  <c r="N342" i="1"/>
  <c r="O342" i="1" s="1"/>
  <c r="N344" i="1"/>
  <c r="O344" i="1" s="1"/>
  <c r="N368" i="1"/>
  <c r="O368" i="1" s="1"/>
  <c r="N393" i="1"/>
  <c r="O393" i="1" s="1"/>
  <c r="N396" i="1"/>
  <c r="O396" i="1" s="1"/>
  <c r="N403" i="1"/>
  <c r="O403" i="1" s="1"/>
  <c r="AC428" i="1"/>
  <c r="AD428" i="1" s="1"/>
  <c r="N442" i="1"/>
  <c r="O442" i="1" s="1"/>
  <c r="AC40" i="2"/>
  <c r="AD40" i="2" s="1"/>
  <c r="AC61" i="2"/>
  <c r="AD61" i="2" s="1"/>
  <c r="AC88" i="2"/>
  <c r="AD88" i="2" s="1"/>
  <c r="B172" i="2"/>
  <c r="T172" i="2"/>
  <c r="U124" i="2"/>
  <c r="H170" i="2"/>
  <c r="I170" i="2" s="1"/>
  <c r="W197" i="2"/>
  <c r="X197" i="2" s="1"/>
  <c r="R218" i="2"/>
  <c r="N236" i="2"/>
  <c r="O236" i="2" s="1"/>
  <c r="W267" i="2"/>
  <c r="X267" i="2" s="1"/>
  <c r="W343" i="2"/>
  <c r="X343" i="2" s="1"/>
  <c r="C442" i="2"/>
  <c r="N442" i="2"/>
  <c r="O442" i="2" s="1"/>
  <c r="H442" i="2"/>
  <c r="I442" i="2" s="1"/>
  <c r="W124" i="2"/>
  <c r="X124" i="2" s="1"/>
  <c r="H149" i="2"/>
  <c r="I149" i="2" s="1"/>
  <c r="H158" i="2"/>
  <c r="I158" i="2" s="1"/>
  <c r="H166" i="2"/>
  <c r="I166" i="2" s="1"/>
  <c r="C170" i="2"/>
  <c r="H196" i="2"/>
  <c r="I196" i="2" s="1"/>
  <c r="R197" i="2"/>
  <c r="W209" i="2"/>
  <c r="X209" i="2" s="1"/>
  <c r="W227" i="2"/>
  <c r="X227" i="2" s="1"/>
  <c r="H284" i="2"/>
  <c r="I284" i="2" s="1"/>
  <c r="W284" i="2"/>
  <c r="X284" i="2" s="1"/>
  <c r="H325" i="2"/>
  <c r="I325" i="2" s="1"/>
  <c r="W344" i="2"/>
  <c r="X344" i="2" s="1"/>
  <c r="W393" i="2"/>
  <c r="X393" i="2" s="1"/>
  <c r="H61" i="3"/>
  <c r="I61" i="3" s="1"/>
  <c r="L198" i="3"/>
  <c r="K345" i="3"/>
  <c r="AC403" i="2"/>
  <c r="AD403" i="2" s="1"/>
  <c r="N429" i="2"/>
  <c r="O429" i="2" s="1"/>
  <c r="N29" i="3"/>
  <c r="O29" i="3" s="1"/>
  <c r="N40" i="3"/>
  <c r="O40" i="3" s="1"/>
  <c r="AC73" i="3"/>
  <c r="AD73" i="3" s="1"/>
  <c r="AC172" i="3"/>
  <c r="AD172" i="3" s="1"/>
  <c r="Q198" i="3"/>
  <c r="N342" i="3"/>
  <c r="O342" i="3" s="1"/>
  <c r="R403" i="2"/>
  <c r="C429" i="2"/>
  <c r="N73" i="3"/>
  <c r="O73" i="3" s="1"/>
  <c r="U166" i="3"/>
  <c r="F171" i="3"/>
  <c r="R172" i="3"/>
  <c r="F325" i="3"/>
  <c r="AC429" i="2"/>
  <c r="AD429" i="2" s="1"/>
  <c r="N441" i="2"/>
  <c r="O441" i="2" s="1"/>
  <c r="U18" i="3"/>
  <c r="C29" i="3"/>
  <c r="C40" i="3"/>
  <c r="R40" i="3"/>
  <c r="W40" i="3"/>
  <c r="X40" i="3" s="1"/>
  <c r="R73" i="3"/>
  <c r="E443" i="3"/>
  <c r="F443" i="3" s="1"/>
  <c r="F404" i="3"/>
  <c r="W124" i="3"/>
  <c r="X124" i="3" s="1"/>
  <c r="T172" i="3"/>
  <c r="R29" i="3"/>
  <c r="U124" i="3"/>
  <c r="F141" i="3"/>
  <c r="U158" i="3"/>
  <c r="AC171" i="3"/>
  <c r="AD171" i="3" s="1"/>
  <c r="U193" i="3"/>
  <c r="N197" i="3"/>
  <c r="O197" i="3" s="1"/>
  <c r="N209" i="3"/>
  <c r="O209" i="3" s="1"/>
  <c r="C273" i="3"/>
  <c r="C342" i="3"/>
  <c r="U343" i="3"/>
  <c r="H368" i="3"/>
  <c r="I368" i="3" s="1"/>
  <c r="C368" i="3"/>
  <c r="AC166" i="2"/>
  <c r="AD166" i="2" s="1"/>
  <c r="N171" i="2"/>
  <c r="O171" i="2" s="1"/>
  <c r="AC193" i="2"/>
  <c r="AD193" i="2" s="1"/>
  <c r="AC196" i="2"/>
  <c r="AD196" i="2" s="1"/>
  <c r="AC227" i="2"/>
  <c r="AD227" i="2" s="1"/>
  <c r="AC263" i="2"/>
  <c r="AD263" i="2" s="1"/>
  <c r="AC267" i="2"/>
  <c r="AD267" i="2" s="1"/>
  <c r="AC295" i="2"/>
  <c r="AD295" i="2" s="1"/>
  <c r="N325" i="2"/>
  <c r="O325" i="2" s="1"/>
  <c r="AC343" i="2"/>
  <c r="AD343" i="2" s="1"/>
  <c r="AC358" i="2"/>
  <c r="AD358" i="2" s="1"/>
  <c r="Z198" i="3"/>
  <c r="AA172" i="3"/>
  <c r="F198" i="3"/>
  <c r="I409" i="2"/>
  <c r="I413" i="2"/>
  <c r="I417" i="2"/>
  <c r="I421" i="2"/>
  <c r="I425" i="2"/>
  <c r="I433" i="2"/>
  <c r="R61" i="3"/>
  <c r="W61" i="3"/>
  <c r="X61" i="3" s="1"/>
  <c r="AC62" i="3"/>
  <c r="AD62" i="3" s="1"/>
  <c r="F172" i="3"/>
  <c r="C218" i="3"/>
  <c r="U227" i="3"/>
  <c r="N262" i="3"/>
  <c r="O262" i="3" s="1"/>
  <c r="N344" i="3"/>
  <c r="O344" i="3" s="1"/>
  <c r="W88" i="3"/>
  <c r="X88" i="3" s="1"/>
  <c r="H122" i="3"/>
  <c r="I122" i="3" s="1"/>
  <c r="AC124" i="3"/>
  <c r="AD124" i="3" s="1"/>
  <c r="W148" i="3"/>
  <c r="X148" i="3" s="1"/>
  <c r="H170" i="3"/>
  <c r="I170" i="3" s="1"/>
  <c r="H182" i="3"/>
  <c r="I182" i="3" s="1"/>
  <c r="W197" i="3"/>
  <c r="X197" i="3" s="1"/>
  <c r="W209" i="3"/>
  <c r="X209" i="3" s="1"/>
  <c r="W218" i="3"/>
  <c r="X218" i="3" s="1"/>
  <c r="H236" i="3"/>
  <c r="I236" i="3" s="1"/>
  <c r="W262" i="3"/>
  <c r="X262" i="3" s="1"/>
  <c r="W273" i="3"/>
  <c r="X273" i="3" s="1"/>
  <c r="H284" i="3"/>
  <c r="I284" i="3" s="1"/>
  <c r="H324" i="3"/>
  <c r="I324" i="3" s="1"/>
  <c r="W342" i="3"/>
  <c r="X342" i="3" s="1"/>
  <c r="W344" i="3"/>
  <c r="X344" i="3" s="1"/>
  <c r="W368" i="3"/>
  <c r="X368" i="3" s="1"/>
  <c r="W393" i="3"/>
  <c r="X393" i="3" s="1"/>
  <c r="W396" i="3"/>
  <c r="X396" i="3" s="1"/>
  <c r="W403" i="3"/>
  <c r="X403" i="3" s="1"/>
  <c r="H429" i="3"/>
  <c r="I429" i="3" s="1"/>
  <c r="U441" i="3"/>
  <c r="N18" i="4"/>
  <c r="O18" i="4" s="1"/>
  <c r="U29" i="4"/>
  <c r="R61" i="4"/>
  <c r="H62" i="4"/>
  <c r="I62" i="4" s="1"/>
  <c r="N124" i="4"/>
  <c r="O124" i="4" s="1"/>
  <c r="U141" i="4"/>
  <c r="W148" i="4"/>
  <c r="X148" i="4" s="1"/>
  <c r="H149" i="4"/>
  <c r="I149" i="4" s="1"/>
  <c r="L166" i="4"/>
  <c r="AC170" i="4"/>
  <c r="AD170" i="4" s="1"/>
  <c r="U171" i="4"/>
  <c r="L196" i="4"/>
  <c r="N209" i="4"/>
  <c r="O209" i="4" s="1"/>
  <c r="W227" i="4"/>
  <c r="X227" i="4" s="1"/>
  <c r="H267" i="4"/>
  <c r="I267" i="4" s="1"/>
  <c r="F267" i="4"/>
  <c r="H193" i="4"/>
  <c r="I193" i="4" s="1"/>
  <c r="W209" i="4"/>
  <c r="X209" i="4" s="1"/>
  <c r="N218" i="4"/>
  <c r="O218" i="4" s="1"/>
  <c r="AA442" i="4"/>
  <c r="AC442" i="4"/>
  <c r="AD442" i="4" s="1"/>
  <c r="U29" i="5"/>
  <c r="W29" i="5"/>
  <c r="X29" i="5" s="1"/>
  <c r="N124" i="5"/>
  <c r="O124" i="5" s="1"/>
  <c r="B172" i="5"/>
  <c r="H124" i="5"/>
  <c r="I124" i="5" s="1"/>
  <c r="C124" i="5"/>
  <c r="N393" i="3"/>
  <c r="O393" i="3" s="1"/>
  <c r="N396" i="3"/>
  <c r="O396" i="3" s="1"/>
  <c r="N403" i="3"/>
  <c r="O403" i="3" s="1"/>
  <c r="AC428" i="3"/>
  <c r="AD428" i="3" s="1"/>
  <c r="W442" i="3"/>
  <c r="X442" i="3" s="1"/>
  <c r="H29" i="4"/>
  <c r="I29" i="4" s="1"/>
  <c r="W61" i="4"/>
  <c r="X61" i="4" s="1"/>
  <c r="L62" i="4"/>
  <c r="W73" i="4"/>
  <c r="X73" i="4" s="1"/>
  <c r="H88" i="4"/>
  <c r="I88" i="4" s="1"/>
  <c r="T172" i="4"/>
  <c r="U124" i="4"/>
  <c r="L149" i="4"/>
  <c r="Q198" i="4"/>
  <c r="R172" i="4"/>
  <c r="H197" i="4"/>
  <c r="I197" i="4" s="1"/>
  <c r="AC284" i="4"/>
  <c r="AD284" i="4" s="1"/>
  <c r="W284" i="4"/>
  <c r="X284" i="4" s="1"/>
  <c r="R284" i="4"/>
  <c r="AC324" i="4"/>
  <c r="AD324" i="4" s="1"/>
  <c r="W324" i="4"/>
  <c r="X324" i="4" s="1"/>
  <c r="R324" i="4"/>
  <c r="C393" i="3"/>
  <c r="C396" i="3"/>
  <c r="C403" i="3"/>
  <c r="F428" i="3"/>
  <c r="R428" i="3"/>
  <c r="N441" i="3"/>
  <c r="O441" i="3" s="1"/>
  <c r="W18" i="4"/>
  <c r="X18" i="4" s="1"/>
  <c r="AC29" i="4"/>
  <c r="AD29" i="4" s="1"/>
  <c r="R40" i="4"/>
  <c r="W124" i="4"/>
  <c r="X124" i="4" s="1"/>
  <c r="H141" i="4"/>
  <c r="I141" i="4" s="1"/>
  <c r="H171" i="4"/>
  <c r="I171" i="4" s="1"/>
  <c r="W172" i="4"/>
  <c r="X172" i="4" s="1"/>
  <c r="C182" i="4"/>
  <c r="R218" i="4"/>
  <c r="L227" i="4"/>
  <c r="N442" i="4"/>
  <c r="O442" i="4" s="1"/>
  <c r="L442" i="4"/>
  <c r="AC88" i="3"/>
  <c r="AD88" i="3" s="1"/>
  <c r="N122" i="3"/>
  <c r="O122" i="3" s="1"/>
  <c r="AC148" i="3"/>
  <c r="AD148" i="3" s="1"/>
  <c r="N170" i="3"/>
  <c r="O170" i="3" s="1"/>
  <c r="B172" i="3"/>
  <c r="N182" i="3"/>
  <c r="O182" i="3" s="1"/>
  <c r="AC197" i="3"/>
  <c r="AD197" i="3" s="1"/>
  <c r="AC209" i="3"/>
  <c r="AD209" i="3" s="1"/>
  <c r="AC218" i="3"/>
  <c r="AD218" i="3" s="1"/>
  <c r="N236" i="3"/>
  <c r="O236" i="3" s="1"/>
  <c r="AC262" i="3"/>
  <c r="AD262" i="3" s="1"/>
  <c r="AC273" i="3"/>
  <c r="AD273" i="3" s="1"/>
  <c r="N284" i="3"/>
  <c r="O284" i="3" s="1"/>
  <c r="N324" i="3"/>
  <c r="O324" i="3" s="1"/>
  <c r="AC342" i="3"/>
  <c r="AD342" i="3" s="1"/>
  <c r="AC344" i="3"/>
  <c r="AD344" i="3" s="1"/>
  <c r="AC368" i="3"/>
  <c r="AD368" i="3" s="1"/>
  <c r="AC393" i="3"/>
  <c r="AD393" i="3" s="1"/>
  <c r="AC396" i="3"/>
  <c r="AD396" i="3" s="1"/>
  <c r="AC403" i="3"/>
  <c r="AD403" i="3" s="1"/>
  <c r="N429" i="3"/>
  <c r="O429" i="3" s="1"/>
  <c r="I439" i="3"/>
  <c r="AC441" i="3"/>
  <c r="AD441" i="3" s="1"/>
  <c r="L442" i="3"/>
  <c r="H61" i="4"/>
  <c r="I61" i="4" s="1"/>
  <c r="H73" i="4"/>
  <c r="I73" i="4" s="1"/>
  <c r="AC73" i="4"/>
  <c r="AD73" i="4" s="1"/>
  <c r="N88" i="4"/>
  <c r="O88" i="4" s="1"/>
  <c r="AA122" i="4"/>
  <c r="AC148" i="4"/>
  <c r="AD148" i="4" s="1"/>
  <c r="W166" i="4"/>
  <c r="X166" i="4" s="1"/>
  <c r="B172" i="4"/>
  <c r="Z172" i="4"/>
  <c r="AC172" i="4" s="1"/>
  <c r="AD172" i="4" s="1"/>
  <c r="AA182" i="4"/>
  <c r="N193" i="4"/>
  <c r="O193" i="4" s="1"/>
  <c r="W196" i="4"/>
  <c r="X196" i="4" s="1"/>
  <c r="N197" i="4"/>
  <c r="O197" i="4" s="1"/>
  <c r="AC325" i="4"/>
  <c r="AD325" i="4" s="1"/>
  <c r="W325" i="4"/>
  <c r="X325" i="4" s="1"/>
  <c r="R325" i="4"/>
  <c r="I407" i="3"/>
  <c r="I411" i="3"/>
  <c r="O440" i="3"/>
  <c r="H18" i="4"/>
  <c r="I18" i="4" s="1"/>
  <c r="N29" i="4"/>
  <c r="O29" i="4" s="1"/>
  <c r="W88" i="4"/>
  <c r="X88" i="4" s="1"/>
  <c r="H124" i="4"/>
  <c r="I124" i="4" s="1"/>
  <c r="H148" i="4"/>
  <c r="I148" i="4" s="1"/>
  <c r="W158" i="4"/>
  <c r="X158" i="4" s="1"/>
  <c r="H170" i="4"/>
  <c r="I170" i="4" s="1"/>
  <c r="W170" i="4"/>
  <c r="X170" i="4" s="1"/>
  <c r="W197" i="4"/>
  <c r="X197" i="4" s="1"/>
  <c r="K198" i="4"/>
  <c r="H209" i="4"/>
  <c r="I209" i="4" s="1"/>
  <c r="AC209" i="4"/>
  <c r="AD209" i="4" s="1"/>
  <c r="AC227" i="4"/>
  <c r="AD227" i="4" s="1"/>
  <c r="L40" i="5"/>
  <c r="N40" i="5"/>
  <c r="O40" i="5" s="1"/>
  <c r="X143" i="3"/>
  <c r="O145" i="3"/>
  <c r="X147" i="3"/>
  <c r="O153" i="3"/>
  <c r="X155" i="3"/>
  <c r="O157" i="3"/>
  <c r="O161" i="3"/>
  <c r="X163" i="3"/>
  <c r="O165" i="3"/>
  <c r="O168" i="3"/>
  <c r="O175" i="3"/>
  <c r="X178" i="3"/>
  <c r="O180" i="3"/>
  <c r="O183" i="3"/>
  <c r="X186" i="3"/>
  <c r="O188" i="3"/>
  <c r="X190" i="3"/>
  <c r="O192" i="3"/>
  <c r="O195" i="3"/>
  <c r="O202" i="3"/>
  <c r="X204" i="3"/>
  <c r="O206" i="3"/>
  <c r="X208" i="3"/>
  <c r="X213" i="3"/>
  <c r="O215" i="3"/>
  <c r="X217" i="3"/>
  <c r="X220" i="3"/>
  <c r="O222" i="3"/>
  <c r="X224" i="3"/>
  <c r="O226" i="3"/>
  <c r="O230" i="3"/>
  <c r="X232" i="3"/>
  <c r="O234" i="3"/>
  <c r="O238" i="3"/>
  <c r="X241" i="3"/>
  <c r="O243" i="3"/>
  <c r="X245" i="3"/>
  <c r="O247" i="3"/>
  <c r="X249" i="3"/>
  <c r="O251" i="3"/>
  <c r="X253" i="3"/>
  <c r="O255" i="3"/>
  <c r="X257" i="3"/>
  <c r="O259" i="3"/>
  <c r="X261" i="3"/>
  <c r="O266" i="3"/>
  <c r="O270" i="3"/>
  <c r="X272" i="3"/>
  <c r="X276" i="3"/>
  <c r="O278" i="3"/>
  <c r="X280" i="3"/>
  <c r="O282" i="3"/>
  <c r="O286" i="3"/>
  <c r="X288" i="3"/>
  <c r="O290" i="3"/>
  <c r="X292" i="3"/>
  <c r="O294" i="3"/>
  <c r="O298" i="3"/>
  <c r="X300" i="3"/>
  <c r="O302" i="3"/>
  <c r="X304" i="3"/>
  <c r="O306" i="3"/>
  <c r="X308" i="3"/>
  <c r="O310" i="3"/>
  <c r="X312" i="3"/>
  <c r="O314" i="3"/>
  <c r="X316" i="3"/>
  <c r="O318" i="3"/>
  <c r="X320" i="3"/>
  <c r="O322" i="3"/>
  <c r="X328" i="3"/>
  <c r="O330" i="3"/>
  <c r="X332" i="3"/>
  <c r="O334" i="3"/>
  <c r="X337" i="3"/>
  <c r="O339" i="3"/>
  <c r="X341" i="3"/>
  <c r="O349" i="3"/>
  <c r="X351" i="3"/>
  <c r="O353" i="3"/>
  <c r="X355" i="3"/>
  <c r="O357" i="3"/>
  <c r="O361" i="3"/>
  <c r="X363" i="3"/>
  <c r="O365" i="3"/>
  <c r="X367" i="3"/>
  <c r="X370" i="3"/>
  <c r="O372" i="3"/>
  <c r="X374" i="3"/>
  <c r="O376" i="3"/>
  <c r="X378" i="3"/>
  <c r="O380" i="3"/>
  <c r="X382" i="3"/>
  <c r="O385" i="3"/>
  <c r="X388" i="3"/>
  <c r="O390" i="3"/>
  <c r="X392" i="3"/>
  <c r="X395" i="3"/>
  <c r="X398" i="3"/>
  <c r="O400" i="3"/>
  <c r="X402" i="3"/>
  <c r="X410" i="3"/>
  <c r="X418" i="3"/>
  <c r="X422" i="3"/>
  <c r="X426" i="3"/>
  <c r="AC442" i="3"/>
  <c r="AD442" i="3" s="1"/>
  <c r="AC18" i="4"/>
  <c r="AD18" i="4" s="1"/>
  <c r="N61" i="4"/>
  <c r="O61" i="4" s="1"/>
  <c r="N118" i="4"/>
  <c r="O118" i="4" s="1"/>
  <c r="N122" i="4"/>
  <c r="O122" i="4" s="1"/>
  <c r="H166" i="4"/>
  <c r="I166" i="4" s="1"/>
  <c r="E172" i="4"/>
  <c r="N182" i="4"/>
  <c r="O182" i="4" s="1"/>
  <c r="H196" i="4"/>
  <c r="I196" i="4" s="1"/>
  <c r="H218" i="4"/>
  <c r="I218" i="4" s="1"/>
  <c r="AC218" i="4"/>
  <c r="AD218" i="4" s="1"/>
  <c r="AD432" i="4"/>
  <c r="AD427" i="4"/>
  <c r="AD420" i="4"/>
  <c r="AD416" i="4"/>
  <c r="AD412" i="4"/>
  <c r="AD408" i="4"/>
  <c r="AD400" i="4"/>
  <c r="AD390" i="4"/>
  <c r="AD385" i="4"/>
  <c r="AD380" i="4"/>
  <c r="AD376" i="4"/>
  <c r="AD372" i="4"/>
  <c r="AD365" i="4"/>
  <c r="AD361" i="4"/>
  <c r="AD357" i="4"/>
  <c r="AD353" i="4"/>
  <c r="AD349" i="4"/>
  <c r="AD436" i="4"/>
  <c r="AD414" i="4"/>
  <c r="AD409" i="4"/>
  <c r="AD401" i="4"/>
  <c r="AD391" i="4"/>
  <c r="AD378" i="4"/>
  <c r="AD373" i="4"/>
  <c r="AD360" i="4"/>
  <c r="AD319" i="4"/>
  <c r="AD308" i="4"/>
  <c r="AD303" i="4"/>
  <c r="AD288" i="4"/>
  <c r="AD279" i="4"/>
  <c r="AD258" i="4"/>
  <c r="AD245" i="4"/>
  <c r="AD241" i="4"/>
  <c r="AD232" i="4"/>
  <c r="AD224" i="4"/>
  <c r="AD220" i="4"/>
  <c r="AD217" i="4"/>
  <c r="AD213" i="4"/>
  <c r="AD208" i="4"/>
  <c r="AD204" i="4"/>
  <c r="AD423" i="4"/>
  <c r="AD407" i="4"/>
  <c r="AD399" i="4"/>
  <c r="AD389" i="4"/>
  <c r="AD371" i="4"/>
  <c r="AD363" i="4"/>
  <c r="AD356" i="4"/>
  <c r="AD340" i="4"/>
  <c r="AD328" i="4"/>
  <c r="AD317" i="4"/>
  <c r="AD301" i="4"/>
  <c r="AD277" i="4"/>
  <c r="AD252" i="4"/>
  <c r="AD249" i="4"/>
  <c r="AD410" i="4"/>
  <c r="AD402" i="4"/>
  <c r="AD392" i="4"/>
  <c r="AD374" i="4"/>
  <c r="AD320" i="4"/>
  <c r="AD304" i="4"/>
  <c r="AD280" i="4"/>
  <c r="AD435" i="4"/>
  <c r="AD341" i="4"/>
  <c r="AD440" i="4"/>
  <c r="AD422" i="4"/>
  <c r="AD398" i="4"/>
  <c r="AD388" i="4"/>
  <c r="AD370" i="4"/>
  <c r="AD355" i="4"/>
  <c r="AD316" i="4"/>
  <c r="AD311" i="4"/>
  <c r="AD300" i="4"/>
  <c r="AD291" i="4"/>
  <c r="AD276" i="4"/>
  <c r="AD269" i="4"/>
  <c r="AD250" i="4"/>
  <c r="AD243" i="4"/>
  <c r="AD415" i="4"/>
  <c r="AD394" i="4"/>
  <c r="AD379" i="4"/>
  <c r="AD366" i="4"/>
  <c r="AD347" i="4"/>
  <c r="AD337" i="4"/>
  <c r="AD331" i="4"/>
  <c r="AD309" i="4"/>
  <c r="AD289" i="4"/>
  <c r="AD272" i="4"/>
  <c r="AD260" i="4"/>
  <c r="AD257" i="4"/>
  <c r="AD438" i="4"/>
  <c r="AD418" i="4"/>
  <c r="AD382" i="4"/>
  <c r="AD351" i="4"/>
  <c r="AD312" i="4"/>
  <c r="AD292" i="4"/>
  <c r="AC262" i="4"/>
  <c r="AD262" i="4" s="1"/>
  <c r="N263" i="4"/>
  <c r="O263" i="4" s="1"/>
  <c r="AD294" i="4"/>
  <c r="N295" i="4"/>
  <c r="O295" i="4" s="1"/>
  <c r="AD298" i="4"/>
  <c r="AD314" i="4"/>
  <c r="H325" i="4"/>
  <c r="I325" i="4" s="1"/>
  <c r="N368" i="4"/>
  <c r="O368" i="4" s="1"/>
  <c r="N396" i="4"/>
  <c r="O396" i="4" s="1"/>
  <c r="X435" i="4"/>
  <c r="H141" i="5"/>
  <c r="I141" i="5" s="1"/>
  <c r="C141" i="5"/>
  <c r="N141" i="5"/>
  <c r="O141" i="5" s="1"/>
  <c r="N236" i="4"/>
  <c r="O236" i="4" s="1"/>
  <c r="AD247" i="4"/>
  <c r="AC263" i="4"/>
  <c r="AD263" i="4" s="1"/>
  <c r="N273" i="4"/>
  <c r="O273" i="4" s="1"/>
  <c r="AD339" i="4"/>
  <c r="AD424" i="4"/>
  <c r="AC227" i="5"/>
  <c r="AD227" i="5" s="1"/>
  <c r="W227" i="5"/>
  <c r="X227" i="5" s="1"/>
  <c r="R227" i="5"/>
  <c r="W267" i="5"/>
  <c r="X267" i="5" s="1"/>
  <c r="AC267" i="5"/>
  <c r="AD267" i="5" s="1"/>
  <c r="R267" i="5"/>
  <c r="C236" i="4"/>
  <c r="AD278" i="4"/>
  <c r="AD302" i="4"/>
  <c r="AD318" i="4"/>
  <c r="N343" i="4"/>
  <c r="O343" i="4" s="1"/>
  <c r="N344" i="4"/>
  <c r="O344" i="4" s="1"/>
  <c r="AC368" i="4"/>
  <c r="AD368" i="4" s="1"/>
  <c r="U393" i="4"/>
  <c r="AC396" i="4"/>
  <c r="AD396" i="4" s="1"/>
  <c r="U403" i="4"/>
  <c r="AD429" i="4"/>
  <c r="AD433" i="4"/>
  <c r="N18" i="5"/>
  <c r="O18" i="5" s="1"/>
  <c r="N209" i="5"/>
  <c r="O209" i="5" s="1"/>
  <c r="H209" i="5"/>
  <c r="I209" i="5" s="1"/>
  <c r="C209" i="5"/>
  <c r="AA273" i="5"/>
  <c r="AC273" i="5"/>
  <c r="AD273" i="5" s="1"/>
  <c r="C343" i="5"/>
  <c r="N343" i="5"/>
  <c r="O343" i="5" s="1"/>
  <c r="H343" i="5"/>
  <c r="I343" i="5" s="1"/>
  <c r="AC236" i="4"/>
  <c r="AD236" i="4" s="1"/>
  <c r="AD259" i="4"/>
  <c r="H262" i="4"/>
  <c r="I262" i="4" s="1"/>
  <c r="R263" i="4"/>
  <c r="C273" i="4"/>
  <c r="F324" i="4"/>
  <c r="N358" i="4"/>
  <c r="O358" i="4" s="1"/>
  <c r="AC18" i="5"/>
  <c r="AD18" i="5" s="1"/>
  <c r="U40" i="5"/>
  <c r="W124" i="5"/>
  <c r="X124" i="5" s="1"/>
  <c r="Q172" i="5"/>
  <c r="R124" i="5"/>
  <c r="AC124" i="5"/>
  <c r="AD124" i="5" s="1"/>
  <c r="C182" i="5"/>
  <c r="N182" i="5"/>
  <c r="O182" i="5" s="1"/>
  <c r="H182" i="5"/>
  <c r="I182" i="5" s="1"/>
  <c r="AC196" i="5"/>
  <c r="AD196" i="5" s="1"/>
  <c r="W196" i="5"/>
  <c r="X196" i="5" s="1"/>
  <c r="L198" i="5"/>
  <c r="C273" i="5"/>
  <c r="N273" i="5"/>
  <c r="O273" i="5" s="1"/>
  <c r="H273" i="5"/>
  <c r="I273" i="5" s="1"/>
  <c r="AA284" i="5"/>
  <c r="W262" i="4"/>
  <c r="X262" i="4" s="1"/>
  <c r="AD266" i="4"/>
  <c r="AD282" i="4"/>
  <c r="AD286" i="4"/>
  <c r="AD306" i="4"/>
  <c r="AD322" i="4"/>
  <c r="W343" i="4"/>
  <c r="X343" i="4" s="1"/>
  <c r="C344" i="4"/>
  <c r="X395" i="4"/>
  <c r="X411" i="4"/>
  <c r="AC428" i="4"/>
  <c r="AD428" i="4" s="1"/>
  <c r="W429" i="4"/>
  <c r="X429" i="4" s="1"/>
  <c r="I426" i="4"/>
  <c r="I423" i="4"/>
  <c r="I419" i="4"/>
  <c r="I415" i="4"/>
  <c r="I411" i="4"/>
  <c r="I407" i="4"/>
  <c r="I399" i="4"/>
  <c r="I389" i="4"/>
  <c r="I383" i="4"/>
  <c r="I379" i="4"/>
  <c r="I375" i="4"/>
  <c r="I371" i="4"/>
  <c r="I364" i="4"/>
  <c r="I360" i="4"/>
  <c r="I356" i="4"/>
  <c r="I352" i="4"/>
  <c r="I347" i="4"/>
  <c r="U61" i="5"/>
  <c r="T198" i="5"/>
  <c r="U172" i="5"/>
  <c r="R196" i="5"/>
  <c r="C263" i="5"/>
  <c r="H263" i="5"/>
  <c r="I263" i="5" s="1"/>
  <c r="N263" i="5"/>
  <c r="O263" i="5" s="1"/>
  <c r="AC263" i="5"/>
  <c r="AD263" i="5" s="1"/>
  <c r="H284" i="5"/>
  <c r="I284" i="5" s="1"/>
  <c r="N284" i="5"/>
  <c r="O284" i="5" s="1"/>
  <c r="AC62" i="4"/>
  <c r="AD62" i="4" s="1"/>
  <c r="N73" i="4"/>
  <c r="O73" i="4" s="1"/>
  <c r="AC118" i="4"/>
  <c r="AD118" i="4" s="1"/>
  <c r="AC124" i="4"/>
  <c r="AD124" i="4" s="1"/>
  <c r="N141" i="4"/>
  <c r="O141" i="4" s="1"/>
  <c r="AC149" i="4"/>
  <c r="AD149" i="4" s="1"/>
  <c r="AC158" i="4"/>
  <c r="AD158" i="4" s="1"/>
  <c r="AC166" i="4"/>
  <c r="AD166" i="4" s="1"/>
  <c r="N171" i="4"/>
  <c r="O171" i="4" s="1"/>
  <c r="AC193" i="4"/>
  <c r="AD193" i="4" s="1"/>
  <c r="AC196" i="4"/>
  <c r="AD196" i="4" s="1"/>
  <c r="AD255" i="4"/>
  <c r="AD330" i="4"/>
  <c r="W358" i="4"/>
  <c r="X358" i="4" s="1"/>
  <c r="X413" i="4"/>
  <c r="X418" i="4"/>
  <c r="AD425" i="4"/>
  <c r="X426" i="4"/>
  <c r="X438" i="4"/>
  <c r="AD439" i="4"/>
  <c r="W441" i="4"/>
  <c r="X441" i="4" s="1"/>
  <c r="R170" i="5"/>
  <c r="AC170" i="5"/>
  <c r="AD170" i="5" s="1"/>
  <c r="W170" i="5"/>
  <c r="X170" i="5" s="1"/>
  <c r="R209" i="5"/>
  <c r="AC209" i="5"/>
  <c r="AD209" i="5" s="1"/>
  <c r="W209" i="5"/>
  <c r="X209" i="5" s="1"/>
  <c r="C284" i="5"/>
  <c r="AA295" i="5"/>
  <c r="AC295" i="5"/>
  <c r="AD295" i="5" s="1"/>
  <c r="K404" i="5"/>
  <c r="AD290" i="4"/>
  <c r="AD310" i="4"/>
  <c r="N428" i="4"/>
  <c r="O428" i="4" s="1"/>
  <c r="AD434" i="4"/>
  <c r="W62" i="5"/>
  <c r="X62" i="5" s="1"/>
  <c r="R62" i="5"/>
  <c r="W73" i="5"/>
  <c r="X73" i="5" s="1"/>
  <c r="AC73" i="5"/>
  <c r="AD73" i="5" s="1"/>
  <c r="C295" i="5"/>
  <c r="N295" i="5"/>
  <c r="O295" i="5" s="1"/>
  <c r="H295" i="5"/>
  <c r="I295" i="5" s="1"/>
  <c r="W273" i="4"/>
  <c r="X273" i="4" s="1"/>
  <c r="H284" i="4"/>
  <c r="I284" i="4" s="1"/>
  <c r="AC295" i="4"/>
  <c r="AD295" i="4" s="1"/>
  <c r="N325" i="4"/>
  <c r="O325" i="4" s="1"/>
  <c r="W342" i="4"/>
  <c r="X342" i="4" s="1"/>
  <c r="AC343" i="4"/>
  <c r="AD343" i="4" s="1"/>
  <c r="W344" i="4"/>
  <c r="X344" i="4" s="1"/>
  <c r="AC358" i="4"/>
  <c r="AD358" i="4" s="1"/>
  <c r="AD437" i="4"/>
  <c r="AC122" i="5"/>
  <c r="AD122" i="5" s="1"/>
  <c r="N149" i="5"/>
  <c r="O149" i="5" s="1"/>
  <c r="AC166" i="5"/>
  <c r="AD166" i="5" s="1"/>
  <c r="AC171" i="5"/>
  <c r="AD171" i="5" s="1"/>
  <c r="H197" i="5"/>
  <c r="I197" i="5" s="1"/>
  <c r="W88" i="6"/>
  <c r="X88" i="6" s="1"/>
  <c r="AC88" i="6"/>
  <c r="AD88" i="6" s="1"/>
  <c r="R88" i="6"/>
  <c r="AC172" i="6"/>
  <c r="AD172" i="6" s="1"/>
  <c r="W172" i="6"/>
  <c r="X172" i="6" s="1"/>
  <c r="Q198" i="6"/>
  <c r="R172" i="6"/>
  <c r="W118" i="5"/>
  <c r="X118" i="5" s="1"/>
  <c r="R118" i="5"/>
  <c r="N158" i="5"/>
  <c r="O158" i="5" s="1"/>
  <c r="C196" i="5"/>
  <c r="H196" i="5"/>
  <c r="I196" i="5" s="1"/>
  <c r="N196" i="5"/>
  <c r="O196" i="5" s="1"/>
  <c r="H61" i="6"/>
  <c r="I61" i="6" s="1"/>
  <c r="F61" i="6"/>
  <c r="N148" i="5"/>
  <c r="O148" i="5" s="1"/>
  <c r="W149" i="5"/>
  <c r="X149" i="5" s="1"/>
  <c r="R149" i="5"/>
  <c r="Z172" i="5"/>
  <c r="N197" i="5"/>
  <c r="O197" i="5" s="1"/>
  <c r="C267" i="5"/>
  <c r="N267" i="5"/>
  <c r="O267" i="5" s="1"/>
  <c r="R122" i="5"/>
  <c r="AC141" i="5"/>
  <c r="AD141" i="5" s="1"/>
  <c r="C149" i="5"/>
  <c r="W158" i="5"/>
  <c r="X158" i="5" s="1"/>
  <c r="R158" i="5"/>
  <c r="H170" i="5"/>
  <c r="I170" i="5" s="1"/>
  <c r="E172" i="5"/>
  <c r="R193" i="5"/>
  <c r="C227" i="5"/>
  <c r="N227" i="5"/>
  <c r="O227" i="5" s="1"/>
  <c r="C262" i="5"/>
  <c r="N262" i="5"/>
  <c r="O262" i="5" s="1"/>
  <c r="R324" i="5"/>
  <c r="AC324" i="5"/>
  <c r="AD324" i="5" s="1"/>
  <c r="W324" i="5"/>
  <c r="X324" i="5" s="1"/>
  <c r="C441" i="5"/>
  <c r="H441" i="5"/>
  <c r="I441" i="5" s="1"/>
  <c r="N441" i="5"/>
  <c r="O441" i="5" s="1"/>
  <c r="AC273" i="4"/>
  <c r="AD273" i="4" s="1"/>
  <c r="N284" i="4"/>
  <c r="O284" i="4" s="1"/>
  <c r="N324" i="4"/>
  <c r="O324" i="4" s="1"/>
  <c r="AC342" i="4"/>
  <c r="AD342" i="4" s="1"/>
  <c r="AC344" i="4"/>
  <c r="AD344" i="4" s="1"/>
  <c r="H73" i="5"/>
  <c r="I73" i="5" s="1"/>
  <c r="C73" i="5"/>
  <c r="C171" i="5"/>
  <c r="AC218" i="5"/>
  <c r="AD218" i="5" s="1"/>
  <c r="W218" i="5"/>
  <c r="X218" i="5" s="1"/>
  <c r="H267" i="5"/>
  <c r="I267" i="5" s="1"/>
  <c r="R284" i="5"/>
  <c r="W284" i="5"/>
  <c r="X284" i="5" s="1"/>
  <c r="U343" i="5"/>
  <c r="W343" i="5"/>
  <c r="X343" i="5" s="1"/>
  <c r="W166" i="5"/>
  <c r="X166" i="5" s="1"/>
  <c r="C193" i="5"/>
  <c r="N193" i="5"/>
  <c r="O193" i="5" s="1"/>
  <c r="H193" i="5"/>
  <c r="I193" i="5" s="1"/>
  <c r="W193" i="5"/>
  <c r="X193" i="5" s="1"/>
  <c r="H227" i="5"/>
  <c r="I227" i="5" s="1"/>
  <c r="H262" i="5"/>
  <c r="I262" i="5" s="1"/>
  <c r="AC262" i="5"/>
  <c r="AD262" i="5" s="1"/>
  <c r="C403" i="5"/>
  <c r="N403" i="5"/>
  <c r="O403" i="5" s="1"/>
  <c r="H403" i="5"/>
  <c r="I403" i="5" s="1"/>
  <c r="W342" i="5"/>
  <c r="X342" i="5" s="1"/>
  <c r="O434" i="5"/>
  <c r="O426" i="5"/>
  <c r="O401" i="5"/>
  <c r="O398" i="5"/>
  <c r="O392" i="5"/>
  <c r="O377" i="5"/>
  <c r="O374" i="5"/>
  <c r="O366" i="5"/>
  <c r="O363" i="5"/>
  <c r="O357" i="5"/>
  <c r="O437" i="5"/>
  <c r="O418" i="5"/>
  <c r="O413" i="5"/>
  <c r="O410" i="5"/>
  <c r="O389" i="5"/>
  <c r="O385" i="5"/>
  <c r="O371" i="5"/>
  <c r="O360" i="5"/>
  <c r="O354" i="5"/>
  <c r="O351" i="5"/>
  <c r="O338" i="5"/>
  <c r="O333" i="5"/>
  <c r="O329" i="5"/>
  <c r="O321" i="5"/>
  <c r="O317" i="5"/>
  <c r="O313" i="5"/>
  <c r="O309" i="5"/>
  <c r="O402" i="5"/>
  <c r="O378" i="5"/>
  <c r="O367" i="5"/>
  <c r="O388" i="5"/>
  <c r="O370" i="5"/>
  <c r="W18" i="6"/>
  <c r="X18" i="6" s="1"/>
  <c r="AC18" i="6"/>
  <c r="AD18" i="6" s="1"/>
  <c r="R18" i="6"/>
  <c r="O281" i="5"/>
  <c r="O303" i="5"/>
  <c r="O323" i="5"/>
  <c r="C324" i="5"/>
  <c r="H325" i="5"/>
  <c r="I325" i="5" s="1"/>
  <c r="O341" i="5"/>
  <c r="R342" i="5"/>
  <c r="N344" i="5"/>
  <c r="O344" i="5" s="1"/>
  <c r="O362" i="5"/>
  <c r="AA368" i="5"/>
  <c r="R396" i="5"/>
  <c r="O400" i="5"/>
  <c r="O427" i="5"/>
  <c r="N428" i="5"/>
  <c r="O428" i="5" s="1"/>
  <c r="W442" i="5"/>
  <c r="X442" i="5" s="1"/>
  <c r="R442" i="5"/>
  <c r="R344" i="5"/>
  <c r="H396" i="5"/>
  <c r="I396" i="5" s="1"/>
  <c r="N396" i="5"/>
  <c r="O396" i="5" s="1"/>
  <c r="AA403" i="5"/>
  <c r="H18" i="6"/>
  <c r="I18" i="6" s="1"/>
  <c r="N18" i="6"/>
  <c r="O18" i="6" s="1"/>
  <c r="C18" i="6"/>
  <c r="W61" i="6"/>
  <c r="X61" i="6" s="1"/>
  <c r="U61" i="6"/>
  <c r="AC40" i="5"/>
  <c r="AD40" i="5" s="1"/>
  <c r="AC61" i="5"/>
  <c r="AD61" i="5" s="1"/>
  <c r="AC88" i="5"/>
  <c r="AD88" i="5" s="1"/>
  <c r="N122" i="5"/>
  <c r="O122" i="5" s="1"/>
  <c r="AC148" i="5"/>
  <c r="AD148" i="5" s="1"/>
  <c r="O201" i="5"/>
  <c r="O229" i="5"/>
  <c r="W236" i="5"/>
  <c r="X236" i="5" s="1"/>
  <c r="O287" i="5"/>
  <c r="H342" i="5"/>
  <c r="I342" i="5" s="1"/>
  <c r="AC342" i="5"/>
  <c r="AD342" i="5" s="1"/>
  <c r="O391" i="5"/>
  <c r="O395" i="5"/>
  <c r="C396" i="5"/>
  <c r="O409" i="5"/>
  <c r="O432" i="5"/>
  <c r="C442" i="5"/>
  <c r="K172" i="6"/>
  <c r="L124" i="6"/>
  <c r="N124" i="6"/>
  <c r="O124" i="6" s="1"/>
  <c r="L124" i="5"/>
  <c r="O194" i="5"/>
  <c r="O214" i="5"/>
  <c r="O242" i="5"/>
  <c r="O250" i="5"/>
  <c r="O258" i="5"/>
  <c r="O277" i="5"/>
  <c r="O299" i="5"/>
  <c r="O307" i="5"/>
  <c r="N324" i="5"/>
  <c r="O324" i="5" s="1"/>
  <c r="O340" i="5"/>
  <c r="AC343" i="5"/>
  <c r="AD343" i="5" s="1"/>
  <c r="R358" i="5"/>
  <c r="AC358" i="5"/>
  <c r="AD358" i="5" s="1"/>
  <c r="AC393" i="5"/>
  <c r="AD393" i="5" s="1"/>
  <c r="AC396" i="5"/>
  <c r="AD396" i="5" s="1"/>
  <c r="O411" i="5"/>
  <c r="O436" i="5"/>
  <c r="O417" i="5"/>
  <c r="R141" i="6"/>
  <c r="W141" i="6"/>
  <c r="X141" i="6" s="1"/>
  <c r="AC141" i="6"/>
  <c r="AD141" i="6" s="1"/>
  <c r="W158" i="6"/>
  <c r="X158" i="6" s="1"/>
  <c r="AC158" i="6"/>
  <c r="AD158" i="6" s="1"/>
  <c r="W170" i="6"/>
  <c r="X170" i="6" s="1"/>
  <c r="R170" i="6"/>
  <c r="H193" i="6"/>
  <c r="I193" i="6" s="1"/>
  <c r="F193" i="6"/>
  <c r="AC193" i="6"/>
  <c r="AD193" i="6" s="1"/>
  <c r="R40" i="6"/>
  <c r="L62" i="6"/>
  <c r="W124" i="6"/>
  <c r="X124" i="6" s="1"/>
  <c r="R124" i="6"/>
  <c r="E345" i="6"/>
  <c r="F198" i="6"/>
  <c r="W73" i="6"/>
  <c r="X73" i="6" s="1"/>
  <c r="U73" i="6"/>
  <c r="H88" i="6"/>
  <c r="I88" i="6" s="1"/>
  <c r="F88" i="6"/>
  <c r="AA171" i="6"/>
  <c r="L197" i="6"/>
  <c r="N197" i="6"/>
  <c r="O197" i="6" s="1"/>
  <c r="I409" i="5"/>
  <c r="H429" i="5"/>
  <c r="I429" i="5" s="1"/>
  <c r="N429" i="5"/>
  <c r="O429" i="5" s="1"/>
  <c r="N118" i="6"/>
  <c r="O118" i="6" s="1"/>
  <c r="L118" i="6"/>
  <c r="B172" i="6"/>
  <c r="H124" i="6"/>
  <c r="I124" i="6" s="1"/>
  <c r="W149" i="6"/>
  <c r="X149" i="6" s="1"/>
  <c r="W166" i="6"/>
  <c r="X166" i="6" s="1"/>
  <c r="R166" i="6"/>
  <c r="L171" i="6"/>
  <c r="R193" i="6"/>
  <c r="AC170" i="6"/>
  <c r="AD170" i="6" s="1"/>
  <c r="O415" i="5"/>
  <c r="O420" i="5"/>
  <c r="N122" i="6"/>
  <c r="O122" i="6" s="1"/>
  <c r="W263" i="6"/>
  <c r="X263" i="6" s="1"/>
  <c r="R263" i="6"/>
  <c r="Z172" i="6"/>
  <c r="H158" i="6"/>
  <c r="I158" i="6" s="1"/>
  <c r="N209" i="6"/>
  <c r="O209" i="6" s="1"/>
  <c r="U284" i="6"/>
  <c r="C325" i="6"/>
  <c r="H358" i="6"/>
  <c r="I358" i="6" s="1"/>
  <c r="R403" i="6"/>
  <c r="AC403" i="6"/>
  <c r="AD403" i="6" s="1"/>
  <c r="W403" i="6"/>
  <c r="X403" i="6" s="1"/>
  <c r="N227" i="6"/>
  <c r="O227" i="6" s="1"/>
  <c r="W267" i="6"/>
  <c r="X267" i="6" s="1"/>
  <c r="R267" i="6"/>
  <c r="R343" i="6"/>
  <c r="AC343" i="6"/>
  <c r="AD343" i="6" s="1"/>
  <c r="W343" i="6"/>
  <c r="X343" i="6" s="1"/>
  <c r="H368" i="6"/>
  <c r="I368" i="6" s="1"/>
  <c r="C368" i="6"/>
  <c r="N368" i="6"/>
  <c r="O368" i="6" s="1"/>
  <c r="AC342" i="6"/>
  <c r="AD342" i="6" s="1"/>
  <c r="AA342" i="6"/>
  <c r="N344" i="6"/>
  <c r="O344" i="6" s="1"/>
  <c r="L344" i="6"/>
  <c r="W40" i="7"/>
  <c r="X40" i="7" s="1"/>
  <c r="AC40" i="7"/>
  <c r="AD40" i="7" s="1"/>
  <c r="R40" i="7"/>
  <c r="C227" i="6"/>
  <c r="W227" i="6"/>
  <c r="X227" i="6" s="1"/>
  <c r="R227" i="6"/>
  <c r="H295" i="6"/>
  <c r="I295" i="6" s="1"/>
  <c r="C295" i="6"/>
  <c r="H325" i="6"/>
  <c r="I325" i="6" s="1"/>
  <c r="AC325" i="6"/>
  <c r="AD325" i="6" s="1"/>
  <c r="H343" i="6"/>
  <c r="I343" i="6" s="1"/>
  <c r="N343" i="6"/>
  <c r="O343" i="6" s="1"/>
  <c r="N196" i="6"/>
  <c r="O196" i="6" s="1"/>
  <c r="N218" i="6"/>
  <c r="O218" i="6" s="1"/>
  <c r="N284" i="6"/>
  <c r="O284" i="6" s="1"/>
  <c r="W295" i="6"/>
  <c r="X295" i="6" s="1"/>
  <c r="C343" i="6"/>
  <c r="N29" i="6"/>
  <c r="O29" i="6" s="1"/>
  <c r="R122" i="6"/>
  <c r="F124" i="6"/>
  <c r="N148" i="6"/>
  <c r="O148" i="6" s="1"/>
  <c r="F166" i="6"/>
  <c r="C171" i="6"/>
  <c r="U209" i="6"/>
  <c r="AC263" i="6"/>
  <c r="AD263" i="6" s="1"/>
  <c r="U368" i="6"/>
  <c r="W368" i="6"/>
  <c r="X368" i="6" s="1"/>
  <c r="O423" i="5"/>
  <c r="O439" i="5"/>
  <c r="AC441" i="5"/>
  <c r="AD441" i="5" s="1"/>
  <c r="H118" i="6"/>
  <c r="I118" i="6" s="1"/>
  <c r="N182" i="6"/>
  <c r="O182" i="6" s="1"/>
  <c r="W182" i="6"/>
  <c r="X182" i="6" s="1"/>
  <c r="AC197" i="6"/>
  <c r="AD197" i="6" s="1"/>
  <c r="T198" i="6"/>
  <c r="N273" i="6"/>
  <c r="O273" i="6" s="1"/>
  <c r="AC182" i="6"/>
  <c r="AD182" i="6" s="1"/>
  <c r="AC209" i="6"/>
  <c r="AD209" i="6" s="1"/>
  <c r="N262" i="6"/>
  <c r="O262" i="6" s="1"/>
  <c r="H342" i="6"/>
  <c r="I342" i="6" s="1"/>
  <c r="X386" i="6"/>
  <c r="X401" i="6"/>
  <c r="X419" i="6"/>
  <c r="AC442" i="6"/>
  <c r="AD442" i="6" s="1"/>
  <c r="O440" i="6"/>
  <c r="O436" i="6"/>
  <c r="O432" i="6"/>
  <c r="O424" i="6"/>
  <c r="O420" i="6"/>
  <c r="O416" i="6"/>
  <c r="O412" i="6"/>
  <c r="O433" i="6"/>
  <c r="O357" i="6"/>
  <c r="O339" i="6"/>
  <c r="O428" i="6"/>
  <c r="O408" i="6"/>
  <c r="O400" i="6"/>
  <c r="O390" i="6"/>
  <c r="C62" i="7"/>
  <c r="N62" i="7"/>
  <c r="O62" i="7" s="1"/>
  <c r="H62" i="7"/>
  <c r="I62" i="7" s="1"/>
  <c r="Q198" i="7"/>
  <c r="W172" i="7"/>
  <c r="X172" i="7" s="1"/>
  <c r="R172" i="7"/>
  <c r="C149" i="7"/>
  <c r="N149" i="7"/>
  <c r="O149" i="7" s="1"/>
  <c r="H149" i="7"/>
  <c r="I149" i="7" s="1"/>
  <c r="R393" i="6"/>
  <c r="AC393" i="6"/>
  <c r="AD393" i="6" s="1"/>
  <c r="X438" i="6"/>
  <c r="X434" i="6"/>
  <c r="X426" i="6"/>
  <c r="X422" i="6"/>
  <c r="X418" i="6"/>
  <c r="X414" i="6"/>
  <c r="X382" i="6"/>
  <c r="X312" i="6"/>
  <c r="X439" i="6"/>
  <c r="X424" i="6"/>
  <c r="X398" i="6"/>
  <c r="X388" i="6"/>
  <c r="X370" i="6"/>
  <c r="X316" i="6"/>
  <c r="X300" i="6"/>
  <c r="X288" i="6"/>
  <c r="X276" i="6"/>
  <c r="X410" i="6"/>
  <c r="C18" i="7"/>
  <c r="H18" i="7"/>
  <c r="I18" i="7" s="1"/>
  <c r="N18" i="7"/>
  <c r="O18" i="7" s="1"/>
  <c r="C158" i="7"/>
  <c r="N158" i="7"/>
  <c r="O158" i="7" s="1"/>
  <c r="H158" i="7"/>
  <c r="I158" i="7" s="1"/>
  <c r="AC358" i="6"/>
  <c r="AD358" i="6" s="1"/>
  <c r="X432" i="6"/>
  <c r="AA368" i="6"/>
  <c r="N429" i="6"/>
  <c r="O429" i="6" s="1"/>
  <c r="L429" i="6"/>
  <c r="X435" i="6"/>
  <c r="W196" i="6"/>
  <c r="X196" i="6" s="1"/>
  <c r="AC218" i="6"/>
  <c r="AD218" i="6" s="1"/>
  <c r="H273" i="6"/>
  <c r="I273" i="6" s="1"/>
  <c r="C273" i="6"/>
  <c r="X294" i="6"/>
  <c r="X303" i="6"/>
  <c r="X308" i="6"/>
  <c r="X318" i="6"/>
  <c r="X341" i="6"/>
  <c r="X364" i="6"/>
  <c r="W393" i="6"/>
  <c r="X393" i="6" s="1"/>
  <c r="AA396" i="6"/>
  <c r="O399" i="6"/>
  <c r="X400" i="6"/>
  <c r="X402" i="6"/>
  <c r="X420" i="6"/>
  <c r="O421" i="6"/>
  <c r="X433" i="6"/>
  <c r="R344" i="6"/>
  <c r="AC344" i="6"/>
  <c r="AD344" i="6" s="1"/>
  <c r="C358" i="6"/>
  <c r="N358" i="6"/>
  <c r="O358" i="6" s="1"/>
  <c r="I438" i="6"/>
  <c r="N442" i="6"/>
  <c r="O442" i="6" s="1"/>
  <c r="C61" i="7"/>
  <c r="H61" i="7"/>
  <c r="I61" i="7" s="1"/>
  <c r="I383" i="6"/>
  <c r="C396" i="6"/>
  <c r="I418" i="6"/>
  <c r="O423" i="6"/>
  <c r="I427" i="6"/>
  <c r="I433" i="6"/>
  <c r="X437" i="6"/>
  <c r="AA73" i="7"/>
  <c r="B172" i="7"/>
  <c r="C124" i="7"/>
  <c r="N124" i="7"/>
  <c r="O124" i="7" s="1"/>
  <c r="H124" i="7"/>
  <c r="I124" i="7" s="1"/>
  <c r="C166" i="7"/>
  <c r="N166" i="7"/>
  <c r="O166" i="7" s="1"/>
  <c r="H166" i="7"/>
  <c r="I166" i="7" s="1"/>
  <c r="R442" i="6"/>
  <c r="W442" i="6"/>
  <c r="X442" i="6" s="1"/>
  <c r="E198" i="7"/>
  <c r="F172" i="7"/>
  <c r="R170" i="7"/>
  <c r="AC170" i="7"/>
  <c r="AD170" i="7" s="1"/>
  <c r="W170" i="7"/>
  <c r="X170" i="7" s="1"/>
  <c r="I309" i="6"/>
  <c r="I379" i="6"/>
  <c r="I422" i="6"/>
  <c r="O427" i="6"/>
  <c r="W428" i="6"/>
  <c r="X428" i="6" s="1"/>
  <c r="C429" i="6"/>
  <c r="H429" i="6"/>
  <c r="I429" i="6" s="1"/>
  <c r="C442" i="6"/>
  <c r="F40" i="7"/>
  <c r="X421" i="6"/>
  <c r="O435" i="6"/>
  <c r="U29" i="7"/>
  <c r="W118" i="7"/>
  <c r="X118" i="7" s="1"/>
  <c r="N148" i="7"/>
  <c r="O148" i="7" s="1"/>
  <c r="AA263" i="7"/>
  <c r="AC263" i="7"/>
  <c r="AD263" i="7" s="1"/>
  <c r="AC295" i="7"/>
  <c r="AD295" i="7" s="1"/>
  <c r="W295" i="7"/>
  <c r="X295" i="7" s="1"/>
  <c r="R295" i="7"/>
  <c r="Z172" i="7"/>
  <c r="AC172" i="7" s="1"/>
  <c r="AD172" i="7" s="1"/>
  <c r="AA124" i="7"/>
  <c r="K172" i="7"/>
  <c r="L171" i="7"/>
  <c r="AC124" i="7"/>
  <c r="AD124" i="7" s="1"/>
  <c r="N141" i="7"/>
  <c r="O141" i="7" s="1"/>
  <c r="AC149" i="7"/>
  <c r="AD149" i="7" s="1"/>
  <c r="AC158" i="7"/>
  <c r="AD158" i="7" s="1"/>
  <c r="AC166" i="7"/>
  <c r="AD166" i="7" s="1"/>
  <c r="N171" i="7"/>
  <c r="O171" i="7" s="1"/>
  <c r="F182" i="7"/>
  <c r="H182" i="7"/>
  <c r="I182" i="7" s="1"/>
  <c r="H118" i="7"/>
  <c r="I118" i="7" s="1"/>
  <c r="N122" i="7"/>
  <c r="O122" i="7" s="1"/>
  <c r="W148" i="7"/>
  <c r="X148" i="7" s="1"/>
  <c r="H170" i="7"/>
  <c r="I170" i="7" s="1"/>
  <c r="R171" i="7"/>
  <c r="AC171" i="7"/>
  <c r="AD171" i="7" s="1"/>
  <c r="N182" i="7"/>
  <c r="O182" i="7" s="1"/>
  <c r="L182" i="7"/>
  <c r="R62" i="7"/>
  <c r="C73" i="7"/>
  <c r="AC118" i="7"/>
  <c r="AD118" i="7" s="1"/>
  <c r="H148" i="7"/>
  <c r="I148" i="7" s="1"/>
  <c r="W218" i="7"/>
  <c r="X218" i="7" s="1"/>
  <c r="AC218" i="7"/>
  <c r="AD218" i="7" s="1"/>
  <c r="R218" i="7"/>
  <c r="W122" i="7"/>
  <c r="X122" i="7" s="1"/>
  <c r="W124" i="7"/>
  <c r="X124" i="7" s="1"/>
  <c r="H141" i="7"/>
  <c r="I141" i="7" s="1"/>
  <c r="W149" i="7"/>
  <c r="X149" i="7" s="1"/>
  <c r="W158" i="7"/>
  <c r="X158" i="7" s="1"/>
  <c r="W166" i="7"/>
  <c r="X166" i="7" s="1"/>
  <c r="H171" i="7"/>
  <c r="I171" i="7" s="1"/>
  <c r="T172" i="7"/>
  <c r="W182" i="7"/>
  <c r="X182" i="7" s="1"/>
  <c r="U182" i="7"/>
  <c r="AC267" i="7"/>
  <c r="AD267" i="7" s="1"/>
  <c r="R267" i="7"/>
  <c r="W267" i="7"/>
  <c r="X267" i="7" s="1"/>
  <c r="H218" i="7"/>
  <c r="I218" i="7" s="1"/>
  <c r="W227" i="7"/>
  <c r="X227" i="7" s="1"/>
  <c r="AC227" i="7"/>
  <c r="AD227" i="7" s="1"/>
  <c r="H236" i="7"/>
  <c r="I236" i="7" s="1"/>
  <c r="W262" i="7"/>
  <c r="X262" i="7" s="1"/>
  <c r="N273" i="7"/>
  <c r="O273" i="7" s="1"/>
  <c r="L273" i="7"/>
  <c r="AA343" i="7"/>
  <c r="AC343" i="7"/>
  <c r="AD343" i="7" s="1"/>
  <c r="H227" i="7"/>
  <c r="I227" i="7" s="1"/>
  <c r="N358" i="7"/>
  <c r="O358" i="7" s="1"/>
  <c r="H358" i="7"/>
  <c r="I358" i="7" s="1"/>
  <c r="C358" i="7"/>
  <c r="AA197" i="7"/>
  <c r="H209" i="7"/>
  <c r="I209" i="7" s="1"/>
  <c r="F262" i="7"/>
  <c r="N295" i="7"/>
  <c r="O295" i="7" s="1"/>
  <c r="H295" i="7"/>
  <c r="I295" i="7" s="1"/>
  <c r="C295" i="7"/>
  <c r="AC182" i="7"/>
  <c r="AD182" i="7" s="1"/>
  <c r="H197" i="7"/>
  <c r="I197" i="7" s="1"/>
  <c r="C209" i="7"/>
  <c r="R209" i="7"/>
  <c r="R263" i="7"/>
  <c r="R342" i="7"/>
  <c r="AC342" i="7"/>
  <c r="AD342" i="7" s="1"/>
  <c r="W342" i="7"/>
  <c r="X342" i="7" s="1"/>
  <c r="W236" i="7"/>
  <c r="X236" i="7" s="1"/>
  <c r="AC236" i="7"/>
  <c r="AD236" i="7" s="1"/>
  <c r="H263" i="7"/>
  <c r="I263" i="7" s="1"/>
  <c r="N263" i="7"/>
  <c r="O263" i="7" s="1"/>
  <c r="N267" i="7"/>
  <c r="O267" i="7" s="1"/>
  <c r="L267" i="7"/>
  <c r="N218" i="7"/>
  <c r="O218" i="7" s="1"/>
  <c r="AC284" i="7"/>
  <c r="AD284" i="7" s="1"/>
  <c r="C324" i="7"/>
  <c r="H324" i="7"/>
  <c r="I324" i="7" s="1"/>
  <c r="N344" i="7"/>
  <c r="O344" i="7" s="1"/>
  <c r="C344" i="7"/>
  <c r="R284" i="7"/>
  <c r="H344" i="7"/>
  <c r="I344" i="7" s="1"/>
  <c r="R358" i="7"/>
  <c r="AC358" i="7"/>
  <c r="AD358" i="7" s="1"/>
  <c r="W358" i="7"/>
  <c r="X358" i="7" s="1"/>
  <c r="H342" i="7"/>
  <c r="I342" i="7" s="1"/>
  <c r="R393" i="7"/>
  <c r="W393" i="7"/>
  <c r="X393" i="7" s="1"/>
  <c r="AC393" i="7"/>
  <c r="AD393" i="7" s="1"/>
  <c r="AC273" i="7"/>
  <c r="AD273" i="7" s="1"/>
  <c r="N324" i="7"/>
  <c r="O324" i="7" s="1"/>
  <c r="H325" i="7"/>
  <c r="I325" i="7" s="1"/>
  <c r="C325" i="7"/>
  <c r="H343" i="7"/>
  <c r="I343" i="7" s="1"/>
  <c r="AC324" i="7"/>
  <c r="AD324" i="7" s="1"/>
  <c r="R344" i="7"/>
  <c r="AC344" i="7"/>
  <c r="AD344" i="7" s="1"/>
  <c r="C429" i="7"/>
  <c r="H429" i="7"/>
  <c r="I429" i="7" s="1"/>
  <c r="N368" i="7"/>
  <c r="O368" i="7" s="1"/>
  <c r="H403" i="7"/>
  <c r="I403" i="7" s="1"/>
  <c r="H441" i="7"/>
  <c r="I441" i="7" s="1"/>
  <c r="C441" i="7"/>
  <c r="R403" i="7"/>
  <c r="W403" i="7"/>
  <c r="X403" i="7" s="1"/>
  <c r="N429" i="7"/>
  <c r="O429" i="7" s="1"/>
  <c r="W343" i="7"/>
  <c r="X343" i="7" s="1"/>
  <c r="H396" i="7"/>
  <c r="I396" i="7" s="1"/>
  <c r="W429" i="7"/>
  <c r="X429" i="7" s="1"/>
  <c r="R429" i="7"/>
  <c r="N441" i="7"/>
  <c r="O441" i="7" s="1"/>
  <c r="H393" i="7"/>
  <c r="I393" i="7" s="1"/>
  <c r="R396" i="7"/>
  <c r="W396" i="7"/>
  <c r="X396" i="7" s="1"/>
  <c r="AC403" i="7"/>
  <c r="AD403" i="7" s="1"/>
  <c r="X394" i="7"/>
  <c r="X397" i="7"/>
  <c r="X401" i="7"/>
  <c r="N428" i="7"/>
  <c r="O428" i="7" s="1"/>
  <c r="AC441" i="7"/>
  <c r="AD441" i="7" s="1"/>
  <c r="W442" i="7"/>
  <c r="X442" i="7" s="1"/>
  <c r="N393" i="7"/>
  <c r="O393" i="7" s="1"/>
  <c r="N396" i="7"/>
  <c r="O396" i="7" s="1"/>
  <c r="X400" i="7"/>
  <c r="N403" i="7"/>
  <c r="O403" i="7" s="1"/>
  <c r="X408" i="7"/>
  <c r="X412" i="7"/>
  <c r="X416" i="7"/>
  <c r="X420" i="7"/>
  <c r="X424" i="7"/>
  <c r="AC428" i="7"/>
  <c r="AD428" i="7" s="1"/>
  <c r="X432" i="7"/>
  <c r="X436" i="7"/>
  <c r="N442" i="7"/>
  <c r="O442" i="7" s="1"/>
  <c r="AC442" i="7"/>
  <c r="AD442" i="7" s="1"/>
  <c r="T198" i="7" l="1"/>
  <c r="U172" i="7"/>
  <c r="K443" i="5"/>
  <c r="L443" i="5" s="1"/>
  <c r="L404" i="5"/>
  <c r="Q345" i="6"/>
  <c r="W198" i="6"/>
  <c r="X198" i="6" s="1"/>
  <c r="R198" i="6"/>
  <c r="H172" i="4"/>
  <c r="I172" i="4" s="1"/>
  <c r="C172" i="4"/>
  <c r="B198" i="4"/>
  <c r="N172" i="4"/>
  <c r="O172" i="4" s="1"/>
  <c r="Z198" i="7"/>
  <c r="AA172" i="7"/>
  <c r="E345" i="7"/>
  <c r="F198" i="7"/>
  <c r="E404" i="6"/>
  <c r="F345" i="6"/>
  <c r="F172" i="5"/>
  <c r="E198" i="5"/>
  <c r="R172" i="5"/>
  <c r="Q198" i="5"/>
  <c r="W172" i="5"/>
  <c r="X172" i="5" s="1"/>
  <c r="AC172" i="5"/>
  <c r="AD172" i="5" s="1"/>
  <c r="Z345" i="3"/>
  <c r="AA198" i="3"/>
  <c r="U172" i="2"/>
  <c r="T198" i="2"/>
  <c r="Q345" i="4"/>
  <c r="R198" i="4"/>
  <c r="B198" i="5"/>
  <c r="C172" i="5"/>
  <c r="H172" i="5"/>
  <c r="I172" i="5" s="1"/>
  <c r="N172" i="5"/>
  <c r="O172" i="5" s="1"/>
  <c r="H172" i="2"/>
  <c r="I172" i="2" s="1"/>
  <c r="C172" i="2"/>
  <c r="B198" i="2"/>
  <c r="N172" i="2"/>
  <c r="O172" i="2" s="1"/>
  <c r="W172" i="2"/>
  <c r="X172" i="2" s="1"/>
  <c r="K345" i="1"/>
  <c r="L198" i="1"/>
  <c r="Q345" i="7"/>
  <c r="R198" i="7"/>
  <c r="AC198" i="7"/>
  <c r="AD198" i="7" s="1"/>
  <c r="W198" i="7"/>
  <c r="X198" i="7" s="1"/>
  <c r="N172" i="6"/>
  <c r="O172" i="6" s="1"/>
  <c r="B198" i="6"/>
  <c r="H172" i="6"/>
  <c r="I172" i="6" s="1"/>
  <c r="C172" i="6"/>
  <c r="Z198" i="5"/>
  <c r="AA172" i="5"/>
  <c r="K345" i="4"/>
  <c r="L198" i="4"/>
  <c r="B198" i="3"/>
  <c r="C172" i="3"/>
  <c r="N172" i="3"/>
  <c r="O172" i="3" s="1"/>
  <c r="H172" i="3"/>
  <c r="I172" i="3" s="1"/>
  <c r="U172" i="3"/>
  <c r="T198" i="3"/>
  <c r="K345" i="2"/>
  <c r="L198" i="2"/>
  <c r="AA172" i="2"/>
  <c r="Z198" i="2"/>
  <c r="R198" i="2"/>
  <c r="Q345" i="2"/>
  <c r="AC198" i="2"/>
  <c r="AD198" i="2" s="1"/>
  <c r="W198" i="2"/>
  <c r="X198" i="2" s="1"/>
  <c r="Z345" i="1"/>
  <c r="AA198" i="1"/>
  <c r="K198" i="6"/>
  <c r="L172" i="6"/>
  <c r="U172" i="4"/>
  <c r="T198" i="4"/>
  <c r="W198" i="4" s="1"/>
  <c r="X198" i="4" s="1"/>
  <c r="W172" i="3"/>
  <c r="X172" i="3" s="1"/>
  <c r="E198" i="2"/>
  <c r="F172" i="2"/>
  <c r="B198" i="7"/>
  <c r="C172" i="7"/>
  <c r="N172" i="7"/>
  <c r="O172" i="7" s="1"/>
  <c r="H172" i="7"/>
  <c r="I172" i="7" s="1"/>
  <c r="T345" i="6"/>
  <c r="U198" i="6"/>
  <c r="Z198" i="6"/>
  <c r="AC198" i="6" s="1"/>
  <c r="AD198" i="6" s="1"/>
  <c r="AA172" i="6"/>
  <c r="T345" i="5"/>
  <c r="U198" i="5"/>
  <c r="E198" i="4"/>
  <c r="F172" i="4"/>
  <c r="L345" i="3"/>
  <c r="K404" i="3"/>
  <c r="N198" i="1"/>
  <c r="O198" i="1" s="1"/>
  <c r="H198" i="1"/>
  <c r="I198" i="1" s="1"/>
  <c r="B345" i="1"/>
  <c r="C198" i="1"/>
  <c r="E404" i="1"/>
  <c r="F345" i="1"/>
  <c r="L172" i="7"/>
  <c r="K198" i="7"/>
  <c r="AA172" i="4"/>
  <c r="Z198" i="4"/>
  <c r="AC198" i="4" s="1"/>
  <c r="AD198" i="4" s="1"/>
  <c r="W198" i="3"/>
  <c r="X198" i="3" s="1"/>
  <c r="Q345" i="3"/>
  <c r="AC198" i="3"/>
  <c r="AD198" i="3" s="1"/>
  <c r="R198" i="3"/>
  <c r="T345" i="1"/>
  <c r="U198" i="1"/>
  <c r="Q345" i="1"/>
  <c r="W198" i="1"/>
  <c r="X198" i="1" s="1"/>
  <c r="R198" i="1"/>
  <c r="AC198" i="1"/>
  <c r="AD198" i="1" s="1"/>
  <c r="Q404" i="3" l="1"/>
  <c r="AC345" i="3"/>
  <c r="AD345" i="3" s="1"/>
  <c r="R345" i="3"/>
  <c r="K345" i="6"/>
  <c r="L198" i="6"/>
  <c r="B345" i="3"/>
  <c r="N198" i="3"/>
  <c r="O198" i="3" s="1"/>
  <c r="H198" i="3"/>
  <c r="I198" i="3" s="1"/>
  <c r="C198" i="3"/>
  <c r="C198" i="2"/>
  <c r="B345" i="2"/>
  <c r="H198" i="2"/>
  <c r="I198" i="2" s="1"/>
  <c r="N198" i="2"/>
  <c r="O198" i="2" s="1"/>
  <c r="F345" i="7"/>
  <c r="E404" i="7"/>
  <c r="Z345" i="4"/>
  <c r="AA198" i="4"/>
  <c r="AA345" i="1"/>
  <c r="Z404" i="1"/>
  <c r="K404" i="2"/>
  <c r="L345" i="2"/>
  <c r="L345" i="4"/>
  <c r="K404" i="4"/>
  <c r="Q345" i="5"/>
  <c r="AC198" i="5"/>
  <c r="AD198" i="5" s="1"/>
  <c r="W198" i="5"/>
  <c r="X198" i="5" s="1"/>
  <c r="R198" i="5"/>
  <c r="Z345" i="6"/>
  <c r="AA198" i="6"/>
  <c r="F198" i="2"/>
  <c r="E345" i="2"/>
  <c r="T345" i="3"/>
  <c r="U198" i="3"/>
  <c r="W345" i="4"/>
  <c r="X345" i="4" s="1"/>
  <c r="Q404" i="4"/>
  <c r="AC345" i="4"/>
  <c r="AD345" i="4" s="1"/>
  <c r="R345" i="4"/>
  <c r="AA198" i="7"/>
  <c r="Z345" i="7"/>
  <c r="Q404" i="6"/>
  <c r="R345" i="6"/>
  <c r="AC345" i="6"/>
  <c r="AD345" i="6" s="1"/>
  <c r="W345" i="6"/>
  <c r="X345" i="6" s="1"/>
  <c r="H345" i="1"/>
  <c r="I345" i="1" s="1"/>
  <c r="C345" i="1"/>
  <c r="B404" i="1"/>
  <c r="N345" i="1"/>
  <c r="O345" i="1" s="1"/>
  <c r="C198" i="7"/>
  <c r="B345" i="7"/>
  <c r="N198" i="7"/>
  <c r="O198" i="7" s="1"/>
  <c r="H198" i="7"/>
  <c r="I198" i="7" s="1"/>
  <c r="W345" i="1"/>
  <c r="X345" i="1" s="1"/>
  <c r="R345" i="1"/>
  <c r="Q404" i="1"/>
  <c r="AC345" i="1"/>
  <c r="AD345" i="1" s="1"/>
  <c r="K345" i="7"/>
  <c r="L198" i="7"/>
  <c r="K443" i="3"/>
  <c r="L443" i="3" s="1"/>
  <c r="L404" i="3"/>
  <c r="AA198" i="5"/>
  <c r="Z345" i="5"/>
  <c r="R345" i="7"/>
  <c r="Q404" i="7"/>
  <c r="U198" i="2"/>
  <c r="T345" i="2"/>
  <c r="E345" i="5"/>
  <c r="F198" i="5"/>
  <c r="T404" i="6"/>
  <c r="U345" i="6"/>
  <c r="R345" i="2"/>
  <c r="Q404" i="2"/>
  <c r="W345" i="2"/>
  <c r="X345" i="2" s="1"/>
  <c r="C198" i="4"/>
  <c r="B345" i="4"/>
  <c r="H198" i="4"/>
  <c r="I198" i="4" s="1"/>
  <c r="N198" i="4"/>
  <c r="O198" i="4" s="1"/>
  <c r="T345" i="4"/>
  <c r="U198" i="4"/>
  <c r="K404" i="1"/>
  <c r="L345" i="1"/>
  <c r="U345" i="5"/>
  <c r="T404" i="5"/>
  <c r="U345" i="1"/>
  <c r="T404" i="1"/>
  <c r="E443" i="1"/>
  <c r="F443" i="1" s="1"/>
  <c r="F404" i="1"/>
  <c r="E345" i="4"/>
  <c r="F198" i="4"/>
  <c r="AA198" i="2"/>
  <c r="Z345" i="2"/>
  <c r="B345" i="6"/>
  <c r="H198" i="6"/>
  <c r="I198" i="6" s="1"/>
  <c r="C198" i="6"/>
  <c r="N198" i="6"/>
  <c r="O198" i="6" s="1"/>
  <c r="C198" i="5"/>
  <c r="N198" i="5"/>
  <c r="O198" i="5" s="1"/>
  <c r="B345" i="5"/>
  <c r="H198" i="5"/>
  <c r="I198" i="5" s="1"/>
  <c r="Z404" i="3"/>
  <c r="AA345" i="3"/>
  <c r="E443" i="6"/>
  <c r="F443" i="6" s="1"/>
  <c r="F404" i="6"/>
  <c r="T345" i="7"/>
  <c r="W345" i="7" s="1"/>
  <c r="X345" i="7" s="1"/>
  <c r="U198" i="7"/>
  <c r="R404" i="7" l="1"/>
  <c r="Q443" i="7"/>
  <c r="AC404" i="7"/>
  <c r="AD404" i="7" s="1"/>
  <c r="AA345" i="7"/>
  <c r="Z404" i="7"/>
  <c r="F345" i="2"/>
  <c r="E404" i="2"/>
  <c r="L404" i="4"/>
  <c r="K443" i="4"/>
  <c r="L443" i="4" s="1"/>
  <c r="F404" i="7"/>
  <c r="E443" i="7"/>
  <c r="F443" i="7" s="1"/>
  <c r="T443" i="6"/>
  <c r="U443" i="6" s="1"/>
  <c r="U404" i="6"/>
  <c r="W404" i="1"/>
  <c r="X404" i="1" s="1"/>
  <c r="AC404" i="1"/>
  <c r="AD404" i="1" s="1"/>
  <c r="R404" i="1"/>
  <c r="Q443" i="1"/>
  <c r="H404" i="1"/>
  <c r="I404" i="1" s="1"/>
  <c r="C404" i="1"/>
  <c r="B443" i="1"/>
  <c r="N404" i="1"/>
  <c r="O404" i="1" s="1"/>
  <c r="B404" i="3"/>
  <c r="N345" i="3"/>
  <c r="O345" i="3" s="1"/>
  <c r="C345" i="3"/>
  <c r="H345" i="3"/>
  <c r="I345" i="3" s="1"/>
  <c r="AA345" i="2"/>
  <c r="Z404" i="2"/>
  <c r="U404" i="5"/>
  <c r="T443" i="5"/>
  <c r="U443" i="5" s="1"/>
  <c r="B404" i="4"/>
  <c r="H345" i="4"/>
  <c r="I345" i="4" s="1"/>
  <c r="C345" i="4"/>
  <c r="N345" i="4"/>
  <c r="O345" i="4" s="1"/>
  <c r="AA345" i="5"/>
  <c r="Z404" i="5"/>
  <c r="F345" i="5"/>
  <c r="E404" i="5"/>
  <c r="AA345" i="6"/>
  <c r="Z404" i="6"/>
  <c r="K443" i="2"/>
  <c r="L443" i="2" s="1"/>
  <c r="L404" i="2"/>
  <c r="L345" i="6"/>
  <c r="K404" i="6"/>
  <c r="C345" i="6"/>
  <c r="N345" i="6"/>
  <c r="O345" i="6" s="1"/>
  <c r="B404" i="6"/>
  <c r="H345" i="6"/>
  <c r="I345" i="6" s="1"/>
  <c r="Q443" i="4"/>
  <c r="R404" i="4"/>
  <c r="AA404" i="1"/>
  <c r="Z443" i="1"/>
  <c r="AA443" i="1" s="1"/>
  <c r="C345" i="2"/>
  <c r="B404" i="2"/>
  <c r="H345" i="2"/>
  <c r="I345" i="2" s="1"/>
  <c r="N345" i="2"/>
  <c r="O345" i="2" s="1"/>
  <c r="Z443" i="3"/>
  <c r="AA443" i="3" s="1"/>
  <c r="AA404" i="3"/>
  <c r="B404" i="5"/>
  <c r="C345" i="5"/>
  <c r="N345" i="5"/>
  <c r="O345" i="5" s="1"/>
  <c r="H345" i="5"/>
  <c r="I345" i="5" s="1"/>
  <c r="U404" i="1"/>
  <c r="T443" i="1"/>
  <c r="U443" i="1" s="1"/>
  <c r="U345" i="2"/>
  <c r="T404" i="2"/>
  <c r="E404" i="4"/>
  <c r="F345" i="4"/>
  <c r="R404" i="2"/>
  <c r="AC404" i="2"/>
  <c r="AD404" i="2" s="1"/>
  <c r="Q443" i="2"/>
  <c r="H345" i="7"/>
  <c r="I345" i="7" s="1"/>
  <c r="C345" i="7"/>
  <c r="B404" i="7"/>
  <c r="N345" i="7"/>
  <c r="O345" i="7" s="1"/>
  <c r="W404" i="3"/>
  <c r="X404" i="3" s="1"/>
  <c r="R404" i="3"/>
  <c r="Q443" i="3"/>
  <c r="AC404" i="3"/>
  <c r="AD404" i="3" s="1"/>
  <c r="T404" i="7"/>
  <c r="W404" i="7" s="1"/>
  <c r="X404" i="7" s="1"/>
  <c r="U345" i="7"/>
  <c r="K443" i="1"/>
  <c r="L443" i="1" s="1"/>
  <c r="L404" i="1"/>
  <c r="AC345" i="2"/>
  <c r="AD345" i="2" s="1"/>
  <c r="T404" i="4"/>
  <c r="U345" i="4"/>
  <c r="AC345" i="7"/>
  <c r="AD345" i="7" s="1"/>
  <c r="L345" i="7"/>
  <c r="K404" i="7"/>
  <c r="Q443" i="6"/>
  <c r="W404" i="6"/>
  <c r="X404" i="6" s="1"/>
  <c r="R404" i="6"/>
  <c r="AC404" i="6"/>
  <c r="AD404" i="6" s="1"/>
  <c r="T404" i="3"/>
  <c r="U345" i="3"/>
  <c r="Q404" i="5"/>
  <c r="R345" i="5"/>
  <c r="AC345" i="5"/>
  <c r="AD345" i="5" s="1"/>
  <c r="W345" i="5"/>
  <c r="X345" i="5" s="1"/>
  <c r="AA345" i="4"/>
  <c r="Z404" i="4"/>
  <c r="W345" i="3"/>
  <c r="X345" i="3" s="1"/>
  <c r="C404" i="2" l="1"/>
  <c r="N404" i="2"/>
  <c r="O404" i="2" s="1"/>
  <c r="B443" i="2"/>
  <c r="H404" i="2"/>
  <c r="I404" i="2" s="1"/>
  <c r="Z443" i="6"/>
  <c r="AA443" i="6" s="1"/>
  <c r="AA404" i="6"/>
  <c r="F404" i="2"/>
  <c r="E443" i="2"/>
  <c r="F443" i="2" s="1"/>
  <c r="Z443" i="4"/>
  <c r="AA443" i="4" s="1"/>
  <c r="AA404" i="4"/>
  <c r="T443" i="4"/>
  <c r="U443" i="4" s="1"/>
  <c r="U404" i="4"/>
  <c r="B443" i="6"/>
  <c r="N404" i="6"/>
  <c r="O404" i="6" s="1"/>
  <c r="H404" i="6"/>
  <c r="I404" i="6" s="1"/>
  <c r="C404" i="6"/>
  <c r="B443" i="4"/>
  <c r="N404" i="4"/>
  <c r="O404" i="4" s="1"/>
  <c r="H404" i="4"/>
  <c r="I404" i="4" s="1"/>
  <c r="C404" i="4"/>
  <c r="N404" i="3"/>
  <c r="O404" i="3" s="1"/>
  <c r="H404" i="3"/>
  <c r="I404" i="3" s="1"/>
  <c r="B443" i="3"/>
  <c r="C404" i="3"/>
  <c r="E443" i="5"/>
  <c r="F443" i="5" s="1"/>
  <c r="F404" i="5"/>
  <c r="AA404" i="7"/>
  <c r="Z443" i="7"/>
  <c r="AA443" i="7" s="1"/>
  <c r="AC443" i="6"/>
  <c r="AD443" i="6" s="1"/>
  <c r="W443" i="6"/>
  <c r="X443" i="6" s="1"/>
  <c r="R443" i="6"/>
  <c r="H404" i="7"/>
  <c r="I404" i="7" s="1"/>
  <c r="C404" i="7"/>
  <c r="N404" i="7"/>
  <c r="O404" i="7" s="1"/>
  <c r="B443" i="7"/>
  <c r="E443" i="4"/>
  <c r="F443" i="4" s="1"/>
  <c r="F404" i="4"/>
  <c r="C404" i="5"/>
  <c r="N404" i="5"/>
  <c r="O404" i="5" s="1"/>
  <c r="H404" i="5"/>
  <c r="I404" i="5" s="1"/>
  <c r="B443" i="5"/>
  <c r="H443" i="1"/>
  <c r="I443" i="1" s="1"/>
  <c r="C443" i="1"/>
  <c r="N443" i="1"/>
  <c r="O443" i="1" s="1"/>
  <c r="L404" i="7"/>
  <c r="K443" i="7"/>
  <c r="L443" i="7" s="1"/>
  <c r="T443" i="2"/>
  <c r="U443" i="2" s="1"/>
  <c r="U404" i="2"/>
  <c r="L404" i="6"/>
  <c r="K443" i="6"/>
  <c r="L443" i="6" s="1"/>
  <c r="Z443" i="5"/>
  <c r="AA443" i="5" s="1"/>
  <c r="AA404" i="5"/>
  <c r="Z443" i="2"/>
  <c r="AA443" i="2" s="1"/>
  <c r="AA404" i="2"/>
  <c r="Q443" i="5"/>
  <c r="R404" i="5"/>
  <c r="AC404" i="5"/>
  <c r="AD404" i="5" s="1"/>
  <c r="W404" i="5"/>
  <c r="X404" i="5" s="1"/>
  <c r="U404" i="7"/>
  <c r="T443" i="7"/>
  <c r="U443" i="7" s="1"/>
  <c r="W404" i="2"/>
  <c r="X404" i="2" s="1"/>
  <c r="AC404" i="4"/>
  <c r="AD404" i="4" s="1"/>
  <c r="W443" i="1"/>
  <c r="X443" i="1" s="1"/>
  <c r="AC443" i="1"/>
  <c r="AD443" i="1" s="1"/>
  <c r="R443" i="1"/>
  <c r="R443" i="7"/>
  <c r="AC443" i="7"/>
  <c r="AD443" i="7" s="1"/>
  <c r="AC443" i="4"/>
  <c r="AD443" i="4" s="1"/>
  <c r="W443" i="4"/>
  <c r="X443" i="4" s="1"/>
  <c r="R443" i="4"/>
  <c r="U404" i="3"/>
  <c r="T443" i="3"/>
  <c r="U443" i="3" s="1"/>
  <c r="R443" i="3"/>
  <c r="AC443" i="3"/>
  <c r="AD443" i="3" s="1"/>
  <c r="R443" i="2"/>
  <c r="AC443" i="2"/>
  <c r="AD443" i="2" s="1"/>
  <c r="W404" i="4"/>
  <c r="X404" i="4" s="1"/>
  <c r="N443" i="3" l="1"/>
  <c r="O443" i="3" s="1"/>
  <c r="H443" i="3"/>
  <c r="I443" i="3" s="1"/>
  <c r="C443" i="3"/>
  <c r="N443" i="6"/>
  <c r="O443" i="6" s="1"/>
  <c r="H443" i="6"/>
  <c r="I443" i="6" s="1"/>
  <c r="C443" i="6"/>
  <c r="AC443" i="5"/>
  <c r="AD443" i="5" s="1"/>
  <c r="W443" i="5"/>
  <c r="X443" i="5" s="1"/>
  <c r="R443" i="5"/>
  <c r="W443" i="2"/>
  <c r="X443" i="2" s="1"/>
  <c r="H443" i="2"/>
  <c r="I443" i="2" s="1"/>
  <c r="C443" i="2"/>
  <c r="N443" i="2"/>
  <c r="O443" i="2" s="1"/>
  <c r="H443" i="7"/>
  <c r="I443" i="7" s="1"/>
  <c r="C443" i="7"/>
  <c r="N443" i="7"/>
  <c r="O443" i="7" s="1"/>
  <c r="W443" i="3"/>
  <c r="X443" i="3" s="1"/>
  <c r="W443" i="7"/>
  <c r="X443" i="7" s="1"/>
  <c r="H443" i="5"/>
  <c r="I443" i="5" s="1"/>
  <c r="C443" i="5"/>
  <c r="N443" i="5"/>
  <c r="O443" i="5" s="1"/>
  <c r="N443" i="4"/>
  <c r="O443" i="4" s="1"/>
  <c r="H443" i="4"/>
  <c r="I443" i="4" s="1"/>
  <c r="C443" i="4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<sst xmlns="http://schemas.openxmlformats.org/spreadsheetml/2006/main" count="3934" uniqueCount="417">
  <si>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</si>
  <si>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09/28/2025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</si>
  <si>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</si>
  <si>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</si>
  <si>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</si>
  <si>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</si>
  <si>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</si>
  <si>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</si>
  <si>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</si>
  <si>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</si>
  <si>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</si>
  <si>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</si>
  <si>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</si>
  <si>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</si>
  <si>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</si>
  <si>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</si>
  <si>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</si>
  <si>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</si>
  <si>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</si>
  <si>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</si>
  <si>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</si>
  <si>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</si>
  <si>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</si>
  <si>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</si>
  <si>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</si>
  <si>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</si>
  <si>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</si>
  <si>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</si>
  <si>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</si>
  <si>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</si>
  <si>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</si>
  <si>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</si>
  <si>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</si>
  <si>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</si>
  <si>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</si>
  <si>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</si>
  <si>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</si>
  <si>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</si>
  <si>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</si>
  <si>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</si>
  <si>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</si>
  <si>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</si>
  <si>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</si>
  <si>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</si>
  <si>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</si>
  <si>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</si>
  <si>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</si>
  <si>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</si>
  <si>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</si>
  <si>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</si>
  <si>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</si>
  <si>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</si>
  <si>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</si>
  <si>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</si>
  <si>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</si>
  <si>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</si>
  <si>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</si>
  <si>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</si>
  <si>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</si>
  <si>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</si>
  <si>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</si>
  <si>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</si>
  <si>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</si>
  <si>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</si>
  <si>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</si>
  <si>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</si>
  <si>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</si>
  <si>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</si>
  <si>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</si>
  <si>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</si>
  <si>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</si>
  <si>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</si>
  <si>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</si>
  <si>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</si>
  <si>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</si>
  <si>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</si>
  <si>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</si>
  <si>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</si>
  <si>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</si>
  <si>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</si>
  <si>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</si>
  <si>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</si>
  <si>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</si>
  <si>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</si>
  <si>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</si>
  <si>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</si>
  <si>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</si>
  <si>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</si>
  <si>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</si>
  <si>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</si>
  <si>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</si>
  <si>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</si>
  <si>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</si>
  <si>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</si>
  <si>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</si>
  <si>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</si>
  <si>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</si>
  <si>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</si>
  <si>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</si>
  <si>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</si>
  <si>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</si>
  <si>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</si>
  <si>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</si>
  <si>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</si>
  <si>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</si>
  <si>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</si>
  <si>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</si>
  <si>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</si>
  <si>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</si>
  <si>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</si>
  <si>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</si>
  <si>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</si>
  <si>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</si>
  <si>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</si>
  <si>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</si>
  <si>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</si>
  <si>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</si>
  <si>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</si>
  <si>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</si>
  <si>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</si>
  <si>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</si>
  <si>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</si>
  <si>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</si>
  <si>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</si>
  <si>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</si>
  <si>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</si>
  <si>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</si>
  <si>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</si>
  <si>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</si>
  <si>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</si>
  <si>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</si>
  <si>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</si>
  <si>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</si>
  <si>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</si>
  <si>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</si>
  <si>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</si>
  <si>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</si>
  <si>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</si>
  <si>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</si>
  <si>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</si>
  <si>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</si>
  <si>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</si>
  <si>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</si>
  <si>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</si>
  <si>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</si>
  <si>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</si>
  <si>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</si>
  <si>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</si>
  <si>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</si>
  <si>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</si>
  <si>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</si>
  <si>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</si>
  <si>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</si>
  <si>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</si>
  <si>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</si>
  <si>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</si>
  <si>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</si>
  <si>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</si>
  <si>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</si>
  <si>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</si>
  <si>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</si>
  <si>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</si>
  <si>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</si>
  <si>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</si>
  <si>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</si>
  <si>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</si>
  <si>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</si>
  <si>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</si>
  <si>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</si>
  <si>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</si>
  <si>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</si>
  <si>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</si>
  <si>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</si>
  <si>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</si>
  <si>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</si>
  <si>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</si>
  <si>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</si>
  <si>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</si>
  <si>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</si>
  <si>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</si>
  <si>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</si>
  <si>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</si>
  <si>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</si>
  <si>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</si>
  <si>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</si>
  <si>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</si>
  <si>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</si>
  <si>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</si>
  <si>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</si>
  <si>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</si>
  <si>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</si>
  <si>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</si>
  <si>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</si>
  <si>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</si>
  <si>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</si>
  <si>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</si>
  <si>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</si>
  <si>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</si>
  <si>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</si>
  <si>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</si>
  <si>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</si>
  <si>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</si>
  <si>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</si>
  <si>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</si>
  <si>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</si>
  <si>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</si>
  <si>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</si>
  <si>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</si>
  <si>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</si>
  <si>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</si>
  <si>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</si>
  <si>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</si>
  <si>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</si>
  <si>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</si>
  <si>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</si>
  <si>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</si>
  <si>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</si>
  <si>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</si>
  <si>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</si>
  <si>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</si>
  <si>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</si>
  <si>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</si>
  <si>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</si>
  <si>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</si>
  <si>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</si>
  <si>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</si>
  <si>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</si>
  <si>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</si>
  <si>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</si>
  <si>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</si>
  <si>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</si>
  <si>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</si>
  <si>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</si>
  <si>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</si>
  <si>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</si>
  <si>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</si>
  <si>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</si>
  <si>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</si>
  <si>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</si>
  <si>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</si>
  <si>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</si>
  <si>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</si>
  <si>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</si>
  <si>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</si>
  <si>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</si>
  <si>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</si>
  <si>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</si>
  <si>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</si>
  <si>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</si>
  <si>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</si>
  <si>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</si>
  <si>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</si>
  <si>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</si>
  <si>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</si>
  <si>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</si>
  <si>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</si>
  <si>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</si>
  <si>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</si>
  <si>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</si>
  <si>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</si>
  <si>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</si>
  <si>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</si>
  <si>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</si>
  <si>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</si>
  <si>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</si>
  <si>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</si>
  <si>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</si>
  <si>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</si>
  <si>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</si>
  <si>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</si>
  <si>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</si>
  <si>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</si>
  <si>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</si>
  <si>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</si>
  <si>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</si>
  <si>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</si>
  <si>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</si>
  <si>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</si>
  <si>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</si>
  <si>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</si>
  <si>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</si>
  <si>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</si>
  <si>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</si>
  <si>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</si>
  <si>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</si>
  <si>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</si>
  <si>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</si>
  <si>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</si>
  <si>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</si>
  <si>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</si>
  <si>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</si>
  <si>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</si>
  <si>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</si>
  <si>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</si>
  <si>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</si>
  <si>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</si>
  <si>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</si>
  <si>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</si>
  <si>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</si>
  <si>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</si>
  <si>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</si>
  <si>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</si>
  <si>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</si>
  <si>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</si>
  <si>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</si>
  <si>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</si>
  <si>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</si>
  <si>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</si>
  <si>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</si>
  <si>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</si>
  <si>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</si>
  <si>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</si>
  <si>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</si>
  <si>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</si>
  <si>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</si>
  <si>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</si>
  <si>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</si>
  <si>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</si>
  <si>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</si>
  <si>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</si>
  <si>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</si>
  <si>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</si>
  <si>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</si>
  <si>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</si>
  <si>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</si>
  <si>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</si>
  <si>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</si>
  <si>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</si>
  <si>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</si>
  <si>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</si>
  <si>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</si>
  <si>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</si>
  <si>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</si>
  <si>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</si>
  <si>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</si>
  <si>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</si>
  <si>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</si>
  <si>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</si>
  <si>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</si>
  <si>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</si>
  <si>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</si>
  <si>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</si>
  <si>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</si>
  <si>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</si>
  <si>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</si>
  <si>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</si>
  <si>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</si>
  <si>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</si>
  <si>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</si>
  <si>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</si>
  <si>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</si>
  <si>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</si>
  <si>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</si>
  <si>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</si>
  <si>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</si>
  <si>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</si>
  <si>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</si>
  <si>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</si>
  <si>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</si>
  <si>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</si>
  <si>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</si>
  <si>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</si>
  <si>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</si>
  <si>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</si>
  <si>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</si>
  <si>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</si>
  <si>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</si>
  <si>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</si>
  <si>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</si>
  <si>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</si>
  <si>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</si>
  <si>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</si>
  <si>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</si>
  <si>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</si>
  <si>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</si>
  <si>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</si>
  <si>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</si>
  <si>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</si>
  <si>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</si>
  <si>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</si>
  <si>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</si>
  <si>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</si>
  <si>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</si>
  <si>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</si>
  <si>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</si>
  <si>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</si>
  <si>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</si>
  <si>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</si>
  <si>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</si>
  <si>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</si>
  <si>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</si>
  <si>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</si>
  <si>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</si>
  <si>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</si>
  <si>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</si>
  <si>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</si>
  <si>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</si>
  <si>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</si>
  <si>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</si>
  <si>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</si>
  <si>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</si>
  <si>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</si>
  <si>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</si>
  <si>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</si>
  <si>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</si>
  <si>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</si>
  <si>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</si>
  <si>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</si>
  <si>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</si>
  <si>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</si>
  <si>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07:00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</si>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</sst>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389360.05000000005</v>
      </c>
      <c r="F10" s="8">
        <f>IFERROR(E10/E444, "NA")</f>
        <v>0.44346687588970135</v>
      </c>
      <c r="G10" s="9"/>
      <c r="H10" s="10">
        <f t="shared" ref="H10:H19" si="0">IFERROR(B10-E10, "NA")</f>
        <v>-389360.05000000005</v>
      </c>
      <c r="I10" s="8">
        <f>IFERROR(H10/H444, "NA")</f>
        <v>2.7625018517898372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2587720.5700000003</v>
      </c>
      <c r="U10" s="8">
        <f>IFERROR(T10/T444, "NA")</f>
        <v>0.45876239066778102</v>
      </c>
      <c r="V10" s="9"/>
      <c r="W10" s="10">
        <f t="shared" ref="W10:W19" si="2">IFERROR(Q10-T10, "NA")</f>
        <v>-2587720.5700000003</v>
      </c>
      <c r="X10" s="8">
        <f>IFERROR(W10/W444, "NA")</f>
        <v>9.1529027703254116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298247.82</v>
      </c>
      <c r="C11" s="8">
        <f>IFERROR(B11/B444, "NA")</f>
        <v>0.4046526178753212</v>
      </c>
      <c r="D11" s="9"/>
      <c r="E11" s="7">
        <v>0</v>
      </c>
      <c r="F11" s="8">
        <f>IFERROR(E11/E444, "NA")</f>
        <v>0</v>
      </c>
      <c r="G11" s="9"/>
      <c r="H11" s="10">
        <f t="shared" si="0"/>
        <v>298247.82</v>
      </c>
      <c r="I11" s="8">
        <f>IFERROR(H11/H444, "NA")</f>
        <v>-2.1160623824716533</v>
      </c>
      <c r="J11" s="9"/>
      <c r="K11" s="7">
        <v>286038.08</v>
      </c>
      <c r="L11" s="8">
        <f>IFERROR(K11/K444, "NA")</f>
        <v>0.35453214457095894</v>
      </c>
      <c r="M11" s="9"/>
      <c r="N11" s="10">
        <f t="shared" si="1"/>
        <v>12209.739999999991</v>
      </c>
      <c r="O11" s="8">
        <f>IFERROR(N11/N444, "NA")</f>
        <v>-0.17503046254325685</v>
      </c>
      <c r="P11" s="9"/>
      <c r="Q11" s="7">
        <v>2233902.14</v>
      </c>
      <c r="R11" s="8">
        <f>IFERROR(Q11/Q444, "NA")</f>
        <v>0.41693348327893687</v>
      </c>
      <c r="S11" s="9"/>
      <c r="T11" s="7">
        <v>0</v>
      </c>
      <c r="U11" s="8">
        <f>IFERROR(T11/T444, "NA")</f>
        <v>0</v>
      </c>
      <c r="V11" s="9"/>
      <c r="W11" s="10">
        <f t="shared" si="2"/>
        <v>2233902.14</v>
      </c>
      <c r="X11" s="8">
        <f>IFERROR(W11/W444, "NA")</f>
        <v>-7.9014285092775172</v>
      </c>
      <c r="Y11" s="9"/>
      <c r="Z11" s="7">
        <v>2195547.94</v>
      </c>
      <c r="AA11" s="8">
        <f>IFERROR(Z11/Z444, "NA")</f>
        <v>0.43929899000234357</v>
      </c>
      <c r="AB11" s="9"/>
      <c r="AC11" s="10">
        <f t="shared" si="3"/>
        <v>38354.200000000186</v>
      </c>
      <c r="AD11" s="8">
        <f>IFERROR(AC11/AC444, "NA")</f>
        <v>0.10651285765169881</v>
      </c>
    </row>
    <row r="12" spans="1:30" ht="16.5" customHeight="1" x14ac:dyDescent="0.45">
      <c r="A12" s="12" t="s">
        <v>14</v>
      </c>
      <c r="B12" s="7">
        <v>30819.549999999996</v>
      </c>
      <c r="C12" s="8">
        <f>IFERROR(B12/B444, "NA")</f>
        <v>4.1814929575141081E-2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30819.549999999996</v>
      </c>
      <c r="I12" s="8">
        <f>IFERROR(H12/H444, "NA")</f>
        <v>-0.21866409752703048</v>
      </c>
      <c r="J12" s="9"/>
      <c r="K12" s="7">
        <v>28936.75</v>
      </c>
      <c r="L12" s="8">
        <f>IFERROR(K12/K444, "NA")</f>
        <v>3.5865882033656836E-2</v>
      </c>
      <c r="M12" s="9"/>
      <c r="N12" s="10">
        <f t="shared" si="1"/>
        <v>1882.7999999999956</v>
      </c>
      <c r="O12" s="8">
        <f>IFERROR(N12/N444, "NA")</f>
        <v>-2.6990530091258576E-2</v>
      </c>
      <c r="P12" s="9"/>
      <c r="Q12" s="7">
        <v>237420.43999999997</v>
      </c>
      <c r="R12" s="8">
        <f>IFERROR(Q12/Q444, "NA")</f>
        <v>4.4311937071163654E-2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237420.43999999997</v>
      </c>
      <c r="X12" s="8">
        <f>IFERROR(W12/W444, "NA")</f>
        <v>-0.83976849285851518</v>
      </c>
      <c r="Y12" s="9"/>
      <c r="Z12" s="7">
        <v>222922.05000000002</v>
      </c>
      <c r="AA12" s="8">
        <f>IFERROR(Z12/Z444, "NA")</f>
        <v>4.4603640681265169E-2</v>
      </c>
      <c r="AB12" s="9"/>
      <c r="AC12" s="10">
        <f t="shared" si="3"/>
        <v>14498.389999999956</v>
      </c>
      <c r="AD12" s="8">
        <f>IFERROR(AC12/AC444, "NA")</f>
        <v>4.026325539963814E-2</v>
      </c>
    </row>
    <row r="13" spans="1:30" ht="16.5" customHeight="1" x14ac:dyDescent="0.45">
      <c r="A13" s="12" t="s">
        <v>15</v>
      </c>
      <c r="B13" s="7">
        <v>1246</v>
      </c>
      <c r="C13" s="8">
        <f>IFERROR(B13/B444, "NA")</f>
        <v>1.6905309211401787E-3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1246</v>
      </c>
      <c r="I13" s="8">
        <f>IFERROR(H13/H444, "NA")</f>
        <v>-8.8403453495810285E-3</v>
      </c>
      <c r="J13" s="9"/>
      <c r="K13" s="7">
        <v>1076</v>
      </c>
      <c r="L13" s="8">
        <f>IFERROR(K13/K444, "NA")</f>
        <v>1.3336566500458673E-3</v>
      </c>
      <c r="M13" s="9"/>
      <c r="N13" s="10">
        <f t="shared" si="1"/>
        <v>170</v>
      </c>
      <c r="O13" s="8">
        <f>IFERROR(N13/N444, "NA")</f>
        <v>-2.4370034605449165E-3</v>
      </c>
      <c r="P13" s="9"/>
      <c r="Q13" s="7">
        <v>10822</v>
      </c>
      <c r="R13" s="8">
        <f>IFERROR(Q13/Q444, "NA")</f>
        <v>2.0198083323581285E-3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10822</v>
      </c>
      <c r="X13" s="8">
        <f>IFERROR(W13/W444, "NA")</f>
        <v>-3.8277979055699046E-2</v>
      </c>
      <c r="Y13" s="9"/>
      <c r="Z13" s="7">
        <v>9668.26</v>
      </c>
      <c r="AA13" s="8">
        <f>IFERROR(Z13/Z444, "NA")</f>
        <v>1.9344860459207548E-3</v>
      </c>
      <c r="AB13" s="9"/>
      <c r="AC13" s="10">
        <f t="shared" si="3"/>
        <v>1153.7399999999998</v>
      </c>
      <c r="AD13" s="8">
        <f>IFERROR(AC13/AC444, "NA")</f>
        <v>3.2040335709536466E-3</v>
      </c>
    </row>
    <row r="14" spans="1:30" ht="16.5" customHeight="1" x14ac:dyDescent="0.45">
      <c r="A14" s="12" t="s">
        <v>16</v>
      </c>
      <c r="B14" s="7">
        <v>570</v>
      </c>
      <c r="C14" s="8">
        <f>IFERROR(B14/B444, "NA")</f>
        <v>7.7335684193411054E-4</v>
      </c>
      <c r="D14" s="9"/>
      <c r="E14" s="7">
        <v>0</v>
      </c>
      <c r="F14" s="8">
        <f>IFERROR(E14/E444, "NA")</f>
        <v>0</v>
      </c>
      <c r="G14" s="9"/>
      <c r="H14" s="10">
        <f t="shared" si="0"/>
        <v>570</v>
      </c>
      <c r="I14" s="8">
        <f>IFERROR(H14/H444, "NA")</f>
        <v>-4.0441387233235843E-3</v>
      </c>
      <c r="J14" s="9"/>
      <c r="K14" s="7">
        <v>2825</v>
      </c>
      <c r="L14" s="8">
        <f>IFERROR(K14/K444, "NA")</f>
        <v>3.5014684352970031E-3</v>
      </c>
      <c r="M14" s="9"/>
      <c r="N14" s="10">
        <f t="shared" si="1"/>
        <v>-2255</v>
      </c>
      <c r="O14" s="8">
        <f>IFERROR(N14/N444, "NA")</f>
        <v>3.2326134138404627E-2</v>
      </c>
      <c r="P14" s="9"/>
      <c r="Q14" s="7">
        <v>13290</v>
      </c>
      <c r="R14" s="8">
        <f>IFERROR(Q14/Q444, "NA")</f>
        <v>2.4804336293697588E-3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13290</v>
      </c>
      <c r="X14" s="8">
        <f>IFERROR(W14/W444, "NA")</f>
        <v>-4.7007423918891178E-2</v>
      </c>
      <c r="Y14" s="9"/>
      <c r="Z14" s="7">
        <v>26981.989999999998</v>
      </c>
      <c r="AA14" s="8">
        <f>IFERROR(Z14/Z444, "NA")</f>
        <v>5.3987256389643372E-3</v>
      </c>
      <c r="AB14" s="9"/>
      <c r="AC14" s="10">
        <f t="shared" si="3"/>
        <v>-13691.989999999998</v>
      </c>
      <c r="AD14" s="8">
        <f>IFERROR(AC14/AC444, "NA")</f>
        <v>-3.8023814388997192E-2</v>
      </c>
    </row>
    <row r="15" spans="1:30" ht="16.5" customHeight="1" x14ac:dyDescent="0.45">
      <c r="A15" s="12" t="s">
        <v>17</v>
      </c>
      <c r="B15" s="7">
        <v>430</v>
      </c>
      <c r="C15" s="8">
        <f>IFERROR(B15/B444, "NA")</f>
        <v>5.8340954742397812E-4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430</v>
      </c>
      <c r="I15" s="8">
        <f>IFERROR(H15/H444, "NA")</f>
        <v>-3.0508414930335813E-3</v>
      </c>
      <c r="J15" s="9"/>
      <c r="K15" s="7">
        <v>266</v>
      </c>
      <c r="L15" s="8">
        <f>IFERROR(K15/K444, "NA")</f>
        <v>3.2969578895185943E-4</v>
      </c>
      <c r="M15" s="9"/>
      <c r="N15" s="10">
        <f t="shared" si="1"/>
        <v>164</v>
      </c>
      <c r="O15" s="8">
        <f>IFERROR(N15/N444, "NA")</f>
        <v>-2.3509915737021546E-3</v>
      </c>
      <c r="P15" s="9"/>
      <c r="Q15" s="7">
        <v>2419</v>
      </c>
      <c r="R15" s="8">
        <f>IFERROR(Q15/Q444, "NA")</f>
        <v>4.5147998114713665E-4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2419</v>
      </c>
      <c r="X15" s="8">
        <f>IFERROR(W15/W444, "NA")</f>
        <v>-8.5561293047251887E-3</v>
      </c>
      <c r="Y15" s="9"/>
      <c r="Z15" s="7">
        <v>3100</v>
      </c>
      <c r="AA15" s="8">
        <f>IFERROR(Z15/Z444, "NA")</f>
        <v>6.202674258195725E-4</v>
      </c>
      <c r="AB15" s="9"/>
      <c r="AC15" s="10">
        <f t="shared" si="3"/>
        <v>-681</v>
      </c>
      <c r="AD15" s="8">
        <f>IFERROR(AC15/AC444, "NA")</f>
        <v>-1.8911946034803628E-3</v>
      </c>
    </row>
    <row r="16" spans="1:30" ht="16.5" customHeight="1" x14ac:dyDescent="0.45">
      <c r="A16" s="12" t="s">
        <v>18</v>
      </c>
      <c r="B16" s="7">
        <v>3</v>
      </c>
      <c r="C16" s="8">
        <f>IFERROR(B16/B444, "NA")</f>
        <v>4.0702991680742663E-6</v>
      </c>
      <c r="D16" s="9"/>
      <c r="E16" s="7">
        <v>0</v>
      </c>
      <c r="F16" s="8">
        <f>IFERROR(E16/E444, "NA")</f>
        <v>0</v>
      </c>
      <c r="G16" s="9"/>
      <c r="H16" s="10">
        <f t="shared" si="0"/>
        <v>3</v>
      </c>
      <c r="I16" s="8">
        <f>IFERROR(H16/H444, "NA")</f>
        <v>-2.1284940649071498E-5</v>
      </c>
      <c r="J16" s="9"/>
      <c r="K16" s="7">
        <v>1</v>
      </c>
      <c r="L16" s="8">
        <f>IFERROR(K16/K444, "NA")</f>
        <v>1.239457853202479E-6</v>
      </c>
      <c r="M16" s="9"/>
      <c r="N16" s="10">
        <f t="shared" si="1"/>
        <v>2</v>
      </c>
      <c r="O16" s="8">
        <f>IFERROR(N16/N444, "NA")</f>
        <v>-2.8670628947587254E-5</v>
      </c>
      <c r="P16" s="9"/>
      <c r="Q16" s="7">
        <v>6.0500000000000007</v>
      </c>
      <c r="R16" s="8">
        <f>IFERROR(Q16/Q444, "NA")</f>
        <v>1.1291665506160303E-6</v>
      </c>
      <c r="S16" s="9"/>
      <c r="T16" s="7">
        <v>0</v>
      </c>
      <c r="U16" s="8">
        <f>IFERROR(T16/T444, "NA")</f>
        <v>0</v>
      </c>
      <c r="V16" s="9"/>
      <c r="W16" s="10">
        <f t="shared" si="2"/>
        <v>6.0500000000000007</v>
      </c>
      <c r="X16" s="8">
        <f>IFERROR(W16/W444, "NA")</f>
        <v>-2.1399165892347002E-5</v>
      </c>
      <c r="Y16" s="9"/>
      <c r="Z16" s="7">
        <v>1</v>
      </c>
      <c r="AA16" s="8">
        <f>IFERROR(Z16/Z444, "NA")</f>
        <v>2.0008626639341048E-7</v>
      </c>
      <c r="AB16" s="9"/>
      <c r="AC16" s="10">
        <f t="shared" si="3"/>
        <v>5.0500000000000007</v>
      </c>
      <c r="AD16" s="8">
        <f>IFERROR(AC16/AC444, "NA")</f>
        <v>1.4024277162372737E-5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331316.37</v>
      </c>
      <c r="C18" s="15">
        <f>IFERROR(B18/B444, "NA")</f>
        <v>0.44951891506012859</v>
      </c>
      <c r="D18" s="2"/>
      <c r="E18" s="14">
        <f>IFERROR(E10+E11+E12+E13+E14+E15+E16+E17, "NA")</f>
        <v>389360.05000000005</v>
      </c>
      <c r="F18" s="15">
        <f>IFERROR(E18/E444, "NA")</f>
        <v>0.44346687588970135</v>
      </c>
      <c r="G18" s="2"/>
      <c r="H18" s="14">
        <f t="shared" si="0"/>
        <v>-58043.680000000051</v>
      </c>
      <c r="I18" s="15">
        <f>IFERROR(H18/H444, "NA")</f>
        <v>0.41181876128456646</v>
      </c>
      <c r="J18" s="2"/>
      <c r="K18" s="14">
        <f>IFERROR(K10+K11+K12+K13+K14+K15+K16+K17, "NA")</f>
        <v>319142.83</v>
      </c>
      <c r="L18" s="15">
        <f>IFERROR(K18/K444, "NA")</f>
        <v>0.3955640869367637</v>
      </c>
      <c r="M18" s="2"/>
      <c r="N18" s="14">
        <f t="shared" si="1"/>
        <v>12173.539999999979</v>
      </c>
      <c r="O18" s="15">
        <f>IFERROR(N18/N444, "NA")</f>
        <v>-0.17451152415930535</v>
      </c>
      <c r="P18" s="2"/>
      <c r="Q18" s="14">
        <f>IFERROR(Q10+Q11+Q12+Q13+Q14+Q15+Q16+Q17, "NA")</f>
        <v>2497859.63</v>
      </c>
      <c r="R18" s="15">
        <f>IFERROR(Q18/Q444, "NA")</f>
        <v>0.46619827145952614</v>
      </c>
      <c r="S18" s="2"/>
      <c r="T18" s="14">
        <f>IFERROR(T10+T11+T12+T13+T14+T15+T16+T17, "NA")</f>
        <v>2587720.5700000003</v>
      </c>
      <c r="U18" s="15">
        <f>IFERROR(T18/T444, "NA")</f>
        <v>0.45876239066778102</v>
      </c>
      <c r="V18" s="2"/>
      <c r="W18" s="14">
        <f t="shared" si="2"/>
        <v>-89860.94000000041</v>
      </c>
      <c r="X18" s="15">
        <f>IFERROR(W18/W444, "NA")</f>
        <v>0.31784283674417341</v>
      </c>
      <c r="Y18" s="2"/>
      <c r="Z18" s="14">
        <f>IFERROR(Z10+Z11+Z12+Z13+Z14+Z15+Z16+Z17, "NA")</f>
        <v>2458221.2399999998</v>
      </c>
      <c r="AA18" s="15">
        <f>IFERROR(Z18/Z444, "NA")</f>
        <v>0.49185630988057977</v>
      </c>
      <c r="AB18" s="2"/>
      <c r="AC18" s="14">
        <f t="shared" si="3"/>
        <v>39638.39000000013</v>
      </c>
      <c r="AD18" s="15">
        <f>IFERROR(AC18/AC444, "NA")</f>
        <v>0.11007916190697536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70781.58</v>
      </c>
      <c r="F21" s="8">
        <f>IFERROR(E21/E444, "NA")</f>
        <v>8.0617634380150113E-2</v>
      </c>
      <c r="G21" s="9"/>
      <c r="H21" s="10">
        <f t="shared" ref="H21:H29" si="4">IFERROR(B21-E21, "NA")</f>
        <v>-70781.58</v>
      </c>
      <c r="I21" s="8">
        <f>IFERROR(H21/H444, "NA")</f>
        <v>0.50219390978250211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465761.62000000005</v>
      </c>
      <c r="U21" s="8">
        <f>IFERROR(T21/T444, "NA")</f>
        <v>8.2572251714372144E-2</v>
      </c>
      <c r="V21" s="9"/>
      <c r="W21" s="10">
        <f t="shared" ref="W21:W29" si="6">IFERROR(Q21-T21, "NA")</f>
        <v>-465761.62000000005</v>
      </c>
      <c r="X21" s="8">
        <f>IFERROR(W21/W444, "NA")</f>
        <v>1.6474231690360803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41737.15</v>
      </c>
      <c r="C22" s="8">
        <f>IFERROR(B22/B444, "NA")</f>
        <v>5.6627562307596954E-2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41737.15</v>
      </c>
      <c r="I22" s="8">
        <f>IFERROR(H22/H444, "NA")</f>
        <v>-0.29612425353713151</v>
      </c>
      <c r="J22" s="9"/>
      <c r="K22" s="7">
        <v>49899.649999999994</v>
      </c>
      <c r="L22" s="8">
        <f>IFERROR(K22/K444, "NA")</f>
        <v>6.184851306455507E-2</v>
      </c>
      <c r="M22" s="9"/>
      <c r="N22" s="10">
        <f t="shared" si="5"/>
        <v>-8162.4999999999927</v>
      </c>
      <c r="O22" s="8">
        <f>IFERROR(N22/N444, "NA")</f>
        <v>0.11701200439234037</v>
      </c>
      <c r="P22" s="9"/>
      <c r="Q22" s="7">
        <v>354310.47</v>
      </c>
      <c r="R22" s="8">
        <f>IFERROR(Q22/Q444, "NA")</f>
        <v>6.6128186984635434E-2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354310.47</v>
      </c>
      <c r="X22" s="8">
        <f>IFERROR(W22/W444, "NA")</f>
        <v>-1.25321463221908</v>
      </c>
      <c r="Y22" s="9"/>
      <c r="Z22" s="7">
        <v>338193.85</v>
      </c>
      <c r="AA22" s="8">
        <f>IFERROR(Z22/Z444, "NA")</f>
        <v>6.76679447637131E-2</v>
      </c>
      <c r="AB22" s="9"/>
      <c r="AC22" s="10">
        <f t="shared" si="7"/>
        <v>16116.619999999995</v>
      </c>
      <c r="AD22" s="8">
        <f>IFERROR(AC22/AC444, "NA")</f>
        <v>4.4757216990225661E-2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4867.83</v>
      </c>
      <c r="C24" s="8">
        <f>IFERROR(B24/B444, "NA")</f>
        <v>6.604508133108985E-3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4867.83</v>
      </c>
      <c r="I24" s="8">
        <f>IFERROR(H24/H444, "NA")</f>
        <v>-3.4537157546589904E-2</v>
      </c>
      <c r="J24" s="9"/>
      <c r="K24" s="7">
        <v>5228.17</v>
      </c>
      <c r="L24" s="8">
        <f>IFERROR(K24/K444, "NA")</f>
        <v>6.4800963643776048E-3</v>
      </c>
      <c r="M24" s="9"/>
      <c r="N24" s="10">
        <f t="shared" si="5"/>
        <v>-360.34000000000015</v>
      </c>
      <c r="O24" s="8">
        <f>IFERROR(N24/N444, "NA")</f>
        <v>5.1655872174867969E-3</v>
      </c>
      <c r="P24" s="9"/>
      <c r="Q24" s="7">
        <v>46405.850000000006</v>
      </c>
      <c r="R24" s="8">
        <f>IFERROR(Q24/Q444, "NA")</f>
        <v>8.6611460451082485E-3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46405.850000000006</v>
      </c>
      <c r="X24" s="8">
        <f>IFERROR(W24/W444, "NA")</f>
        <v>-0.16413991446700349</v>
      </c>
      <c r="Y24" s="9"/>
      <c r="Z24" s="7">
        <v>21446.04</v>
      </c>
      <c r="AA24" s="8">
        <f>IFERROR(Z24/Z444, "NA")</f>
        <v>4.2910580725237365E-3</v>
      </c>
      <c r="AB24" s="9"/>
      <c r="AC24" s="10">
        <f t="shared" si="7"/>
        <v>24959.810000000005</v>
      </c>
      <c r="AD24" s="8">
        <f>IFERROR(AC24/AC444, "NA")</f>
        <v>6.9315503635675776E-2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1009.22</v>
      </c>
      <c r="C26" s="8">
        <f>IFERROR(B26/B444, "NA")</f>
        <v>1.3692757754679703E-3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1009.22</v>
      </c>
      <c r="I26" s="8">
        <f>IFERROR(H26/H444, "NA")</f>
        <v>-7.1603959339519791E-3</v>
      </c>
      <c r="J26" s="9"/>
      <c r="K26" s="7">
        <v>8218.81</v>
      </c>
      <c r="L26" s="8">
        <f>IFERROR(K26/K444, "NA")</f>
        <v>1.0186868598479067E-2</v>
      </c>
      <c r="M26" s="9"/>
      <c r="N26" s="10">
        <f t="shared" si="5"/>
        <v>-7209.5899999999992</v>
      </c>
      <c r="O26" s="8">
        <f>IFERROR(N26/N444, "NA")</f>
        <v>0.10335173987711778</v>
      </c>
      <c r="P26" s="9"/>
      <c r="Q26" s="7">
        <v>18906.11</v>
      </c>
      <c r="R26" s="8">
        <f>IFERROR(Q26/Q444, "NA")</f>
        <v>3.5286193412011955E-3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18906.11</v>
      </c>
      <c r="X26" s="8">
        <f>IFERROR(W26/W444, "NA")</f>
        <v>-6.687189822627447E-2</v>
      </c>
      <c r="Y26" s="9"/>
      <c r="Z26" s="7">
        <v>14793.73</v>
      </c>
      <c r="AA26" s="8">
        <f>IFERROR(Z26/Z444, "NA")</f>
        <v>2.9600222017321883E-3</v>
      </c>
      <c r="AB26" s="9"/>
      <c r="AC26" s="10">
        <f t="shared" si="7"/>
        <v>4112.380000000001</v>
      </c>
      <c r="AD26" s="8">
        <f>IFERROR(AC26/AC444, "NA")</f>
        <v>1.142042711227691E-2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156.68</v>
      </c>
      <c r="L27" s="8">
        <f>IFERROR(K27/K444, "NA")</f>
        <v>1.9419825643976442E-4</v>
      </c>
      <c r="M27" s="9"/>
      <c r="N27" s="10">
        <f t="shared" si="5"/>
        <v>-156.68</v>
      </c>
      <c r="O27" s="8">
        <f>IFERROR(N27/N444, "NA")</f>
        <v>2.2460570717539852E-3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4664.1000000000004</v>
      </c>
      <c r="AA27" s="8">
        <f>IFERROR(Z27/Z444, "NA")</f>
        <v>9.3322235508550586E-4</v>
      </c>
      <c r="AB27" s="9"/>
      <c r="AC27" s="10">
        <f t="shared" si="7"/>
        <v>-4664.1000000000004</v>
      </c>
      <c r="AD27" s="8">
        <f>IFERROR(AC27/AC444, "NA")</f>
        <v>-1.2952600220400529E-2</v>
      </c>
    </row>
    <row r="28" spans="1:30" ht="16.5" customHeight="1" x14ac:dyDescent="0.45">
      <c r="A28" s="12" t="s">
        <v>29</v>
      </c>
      <c r="B28" s="7">
        <v>4312.8</v>
      </c>
      <c r="C28" s="8">
        <f>IFERROR(B28/B444, "NA")</f>
        <v>5.851462084023565E-3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4312.8</v>
      </c>
      <c r="I28" s="8">
        <f>IFERROR(H28/H444, "NA")</f>
        <v>-3.0599230677105186E-2</v>
      </c>
      <c r="J28" s="9"/>
      <c r="K28" s="7">
        <v>4157.6000000000004</v>
      </c>
      <c r="L28" s="8">
        <f>IFERROR(K28/K444, "NA")</f>
        <v>5.1531699704746269E-3</v>
      </c>
      <c r="M28" s="9"/>
      <c r="N28" s="10">
        <f t="shared" si="5"/>
        <v>155.19999999999982</v>
      </c>
      <c r="O28" s="8">
        <f>IFERROR(N28/N444, "NA")</f>
        <v>-2.224840806332768E-3</v>
      </c>
      <c r="P28" s="9"/>
      <c r="Q28" s="7">
        <v>38825.86</v>
      </c>
      <c r="R28" s="8">
        <f>IFERROR(Q28/Q444, "NA")</f>
        <v>7.2464235389918842E-3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38825.86</v>
      </c>
      <c r="X28" s="8">
        <f>IFERROR(W28/W444, "NA")</f>
        <v>-0.13732909405835367</v>
      </c>
      <c r="Y28" s="9"/>
      <c r="Z28" s="7">
        <v>37327.47</v>
      </c>
      <c r="AA28" s="8">
        <f>IFERROR(Z28/Z444, "NA")</f>
        <v>7.4687141062120379E-3</v>
      </c>
      <c r="AB28" s="9"/>
      <c r="AC28" s="10">
        <f t="shared" si="7"/>
        <v>1498.3899999999994</v>
      </c>
      <c r="AD28" s="8">
        <f>IFERROR(AC28/AC444, "NA")</f>
        <v>4.1611557737282522E-3</v>
      </c>
    </row>
    <row r="29" spans="1:30" ht="16.5" customHeight="1" x14ac:dyDescent="0.45">
      <c r="A29" s="13" t="s">
        <v>30</v>
      </c>
      <c r="B29" s="14">
        <f>IFERROR(B21+B22+B23+B24+B25+B26+B27+B28, "NA")</f>
        <v>51927.000000000007</v>
      </c>
      <c r="C29" s="15">
        <f>IFERROR(B29/B444, "NA")</f>
        <v>7.0452808300197484E-2</v>
      </c>
      <c r="D29" s="2"/>
      <c r="E29" s="14">
        <f>IFERROR(E21+E22+E23+E24+E25+E26+E27+E28, "NA")</f>
        <v>70781.58</v>
      </c>
      <c r="F29" s="15">
        <f>IFERROR(E29/E444, "NA")</f>
        <v>8.0617634380150113E-2</v>
      </c>
      <c r="G29" s="2"/>
      <c r="H29" s="14">
        <f t="shared" si="4"/>
        <v>-18854.579999999994</v>
      </c>
      <c r="I29" s="15">
        <f>IFERROR(H29/H444, "NA")</f>
        <v>0.13377287208772345</v>
      </c>
      <c r="J29" s="2"/>
      <c r="K29" s="14">
        <f>IFERROR(K21+K22+K23+K24+K25+K26+K27+K28, "NA")</f>
        <v>67660.909999999989</v>
      </c>
      <c r="L29" s="15">
        <f>IFERROR(K29/K444, "NA")</f>
        <v>8.3862846254326134E-2</v>
      </c>
      <c r="M29" s="2"/>
      <c r="N29" s="14">
        <f t="shared" si="5"/>
        <v>-15733.909999999982</v>
      </c>
      <c r="O29" s="15">
        <f>IFERROR(N29/N444, "NA")</f>
        <v>0.22555054775236599</v>
      </c>
      <c r="P29" s="2"/>
      <c r="Q29" s="14">
        <f>IFERROR(Q21+Q22+Q23+Q24+Q25+Q26+Q27+Q28, "NA")</f>
        <v>458448.28999999992</v>
      </c>
      <c r="R29" s="15">
        <f>IFERROR(Q29/Q444, "NA")</f>
        <v>8.5564375909936749E-2</v>
      </c>
      <c r="S29" s="2"/>
      <c r="T29" s="14">
        <f>IFERROR(T21+T22+T23+T24+T25+T26+T27+T28, "NA")</f>
        <v>465761.62000000005</v>
      </c>
      <c r="U29" s="15">
        <f>IFERROR(T29/T444, "NA")</f>
        <v>8.2572251714372144E-2</v>
      </c>
      <c r="V29" s="2"/>
      <c r="W29" s="14">
        <f t="shared" si="6"/>
        <v>-7313.3300000001327</v>
      </c>
      <c r="X29" s="15">
        <f>IFERROR(W29/W444, "NA")</f>
        <v>2.5867630065368748E-2</v>
      </c>
      <c r="Y29" s="2"/>
      <c r="Z29" s="14">
        <f>IFERROR(Z21+Z22+Z23+Z24+Z25+Z26+Z27+Z28, "NA")</f>
        <v>416425.18999999994</v>
      </c>
      <c r="AA29" s="15">
        <f>IFERROR(Z29/Z444, "NA")</f>
        <v>8.3320961499266558E-2</v>
      </c>
      <c r="AB29" s="2"/>
      <c r="AC29" s="14">
        <f t="shared" si="7"/>
        <v>42023.099999999977</v>
      </c>
      <c r="AD29" s="15">
        <f>IFERROR(AC29/AC444, "NA")</f>
        <v>0.116701703291506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194862.18</v>
      </c>
      <c r="F31" s="8">
        <f>IFERROR(E31/E444, "NA")</f>
        <v>0.22194090583678688</v>
      </c>
      <c r="G31" s="9"/>
      <c r="H31" s="10">
        <f t="shared" ref="H31:H40" si="8">IFERROR(B31-E31, "NA")</f>
        <v>-194862.18</v>
      </c>
      <c r="I31" s="8">
        <f>IFERROR(H31/H444, "NA")</f>
        <v>1.3825433120162289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1228866.3</v>
      </c>
      <c r="U31" s="8">
        <f>IFERROR(T31/T444, "NA")</f>
        <v>0.21785877815975724</v>
      </c>
      <c r="V31" s="9"/>
      <c r="W31" s="10">
        <f t="shared" ref="W31:W40" si="10">IFERROR(Q31-T31, "NA")</f>
        <v>-1228866.3</v>
      </c>
      <c r="X31" s="8">
        <f>IFERROR(W31/W444, "NA")</f>
        <v>4.346564266647051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53279.459999999992</v>
      </c>
      <c r="C33" s="8">
        <f>IFERROR(B33/B444, "NA")</f>
        <v>7.2287780571148708E-2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53279.459999999992</v>
      </c>
      <c r="I33" s="8">
        <f>IFERROR(H33/H444, "NA")</f>
        <v>-0.37801671463819292</v>
      </c>
      <c r="J33" s="9"/>
      <c r="K33" s="7">
        <v>71261.740000000005</v>
      </c>
      <c r="L33" s="8">
        <f>IFERROR(K33/K444, "NA")</f>
        <v>8.8325923275873228E-2</v>
      </c>
      <c r="M33" s="9"/>
      <c r="N33" s="10">
        <f t="shared" si="9"/>
        <v>-17982.280000000013</v>
      </c>
      <c r="O33" s="8">
        <f>IFERROR(N33/N444, "NA")</f>
        <v>0.25778163875580984</v>
      </c>
      <c r="P33" s="9"/>
      <c r="Q33" s="7">
        <v>471421.24</v>
      </c>
      <c r="R33" s="8">
        <f>IFERROR(Q33/Q444, "NA")</f>
        <v>8.7985635612881266E-2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471421.24</v>
      </c>
      <c r="X33" s="8">
        <f>IFERROR(W33/W444, "NA")</f>
        <v>-1.6674415404852776</v>
      </c>
      <c r="Y33" s="9"/>
      <c r="Z33" s="7">
        <v>357474.39</v>
      </c>
      <c r="AA33" s="8">
        <f>IFERROR(Z33/Z444, "NA")</f>
        <v>7.1525716026361916E-2</v>
      </c>
      <c r="AB33" s="9"/>
      <c r="AC33" s="10">
        <f t="shared" si="11"/>
        <v>113946.84999999998</v>
      </c>
      <c r="AD33" s="8">
        <f>IFERROR(AC33/AC444, "NA")</f>
        <v>0.31644004082758642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4160.5599999999995</v>
      </c>
      <c r="C35" s="8">
        <f>IFERROR(B35/B444, "NA")</f>
        <v>5.6449079689076887E-3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4160.5599999999995</v>
      </c>
      <c r="I35" s="8">
        <f>IFERROR(H35/H444, "NA")</f>
        <v>-2.9519090888966967E-2</v>
      </c>
      <c r="J35" s="9"/>
      <c r="K35" s="7">
        <v>8539.5</v>
      </c>
      <c r="L35" s="8">
        <f>IFERROR(K35/K444, "NA")</f>
        <v>1.058435033742257E-2</v>
      </c>
      <c r="M35" s="9"/>
      <c r="N35" s="10">
        <f t="shared" si="9"/>
        <v>-4378.9400000000005</v>
      </c>
      <c r="O35" s="8">
        <f>IFERROR(N35/N444, "NA")</f>
        <v>6.2773481961873864E-2</v>
      </c>
      <c r="P35" s="9"/>
      <c r="Q35" s="7">
        <v>55590.09</v>
      </c>
      <c r="R35" s="8">
        <f>IFERROR(Q35/Q444, "NA")</f>
        <v>1.0375284326237135E-2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55590.09</v>
      </c>
      <c r="X35" s="8">
        <f>IFERROR(W35/W444, "NA")</f>
        <v>-0.19662505088933885</v>
      </c>
      <c r="Y35" s="9"/>
      <c r="Z35" s="7">
        <v>16312.8</v>
      </c>
      <c r="AA35" s="8">
        <f>IFERROR(Z35/Z444, "NA")</f>
        <v>3.2639672464224263E-3</v>
      </c>
      <c r="AB35" s="9"/>
      <c r="AC35" s="10">
        <f t="shared" si="11"/>
        <v>39277.289999999994</v>
      </c>
      <c r="AD35" s="8">
        <f>IFERROR(AC35/AC444, "NA")</f>
        <v>0.10907635666275067</v>
      </c>
    </row>
    <row r="36" spans="1:30" ht="16.5" customHeight="1" x14ac:dyDescent="0.45">
      <c r="A36" s="12" t="s">
        <v>36</v>
      </c>
      <c r="B36" s="7">
        <v>49800.08</v>
      </c>
      <c r="C36" s="8">
        <f>IFERROR(B36/B444, "NA")</f>
        <v>6.7567074731343976E-2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49800.08</v>
      </c>
      <c r="I36" s="8">
        <f>IFERROR(H36/H444, "NA")</f>
        <v>-0.35333058237300419</v>
      </c>
      <c r="J36" s="9"/>
      <c r="K36" s="7">
        <v>162977.28000000003</v>
      </c>
      <c r="L36" s="8">
        <f>IFERROR(K36/K444, "NA")</f>
        <v>0.20200346958957935</v>
      </c>
      <c r="M36" s="9"/>
      <c r="N36" s="10">
        <f t="shared" si="9"/>
        <v>-113177.20000000003</v>
      </c>
      <c r="O36" s="8">
        <f>IFERROR(N36/N444, "NA")</f>
        <v>1.6224307532634363</v>
      </c>
      <c r="P36" s="9"/>
      <c r="Q36" s="7">
        <v>518408.45</v>
      </c>
      <c r="R36" s="8">
        <f>IFERROR(Q36/Q444, "NA")</f>
        <v>9.6755286164744256E-2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518408.45</v>
      </c>
      <c r="X36" s="8">
        <f>IFERROR(W36/W444, "NA")</f>
        <v>-1.8336377556271861</v>
      </c>
      <c r="Y36" s="9"/>
      <c r="Z36" s="7">
        <v>546485.68999999994</v>
      </c>
      <c r="AA36" s="8">
        <f>IFERROR(Z36/Z444, "NA")</f>
        <v>0.10934428134952673</v>
      </c>
      <c r="AB36" s="9"/>
      <c r="AC36" s="10">
        <f t="shared" si="11"/>
        <v>-28077.239999999932</v>
      </c>
      <c r="AD36" s="8">
        <f>IFERROR(AC36/AC444, "NA")</f>
        <v>-7.7972870438506398E-2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5939.75</v>
      </c>
      <c r="C39" s="8">
        <f>IFERROR(B39/B444, "NA")</f>
        <v>8.0588531611897069E-3</v>
      </c>
      <c r="D39" s="9"/>
      <c r="E39" s="7">
        <v>0</v>
      </c>
      <c r="F39" s="8">
        <f>IFERROR(E39/E444, "NA")</f>
        <v>0</v>
      </c>
      <c r="G39" s="9"/>
      <c r="H39" s="10">
        <f t="shared" si="8"/>
        <v>5939.75</v>
      </c>
      <c r="I39" s="8">
        <f>IFERROR(H39/H444, "NA")</f>
        <v>-4.2142408740107475E-2</v>
      </c>
      <c r="J39" s="9"/>
      <c r="K39" s="7">
        <v>6047.08</v>
      </c>
      <c r="L39" s="8">
        <f>IFERROR(K39/K444, "NA")</f>
        <v>7.4951007949436467E-3</v>
      </c>
      <c r="M39" s="9"/>
      <c r="N39" s="10">
        <f t="shared" si="9"/>
        <v>-107.32999999999993</v>
      </c>
      <c r="O39" s="8">
        <f>IFERROR(N39/N444, "NA")</f>
        <v>1.5386093024722688E-3</v>
      </c>
      <c r="P39" s="9"/>
      <c r="Q39" s="7">
        <v>51115.65</v>
      </c>
      <c r="R39" s="8">
        <f>IFERROR(Q39/Q444, "NA")</f>
        <v>9.5401788748754185E-3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51115.65</v>
      </c>
      <c r="X39" s="8">
        <f>IFERROR(W39/W444, "NA")</f>
        <v>-0.18079872298266891</v>
      </c>
      <c r="Y39" s="9"/>
      <c r="Z39" s="7">
        <v>53607.61</v>
      </c>
      <c r="AA39" s="8">
        <f>IFERROR(Z39/Z444, "NA")</f>
        <v>1.0726146535174055E-2</v>
      </c>
      <c r="AB39" s="9"/>
      <c r="AC39" s="10">
        <f t="shared" si="11"/>
        <v>-2491.9599999999991</v>
      </c>
      <c r="AD39" s="8">
        <f>IFERROR(AC39/AC444, "NA")</f>
        <v>-6.9203837064448215E-3</v>
      </c>
    </row>
    <row r="40" spans="1:30" ht="16.5" customHeight="1" x14ac:dyDescent="0.45">
      <c r="A40" s="13" t="s">
        <v>40</v>
      </c>
      <c r="B40" s="14">
        <f>IFERROR(B31+B32+B33+B34+B35+B36+B37+B38+B39, "NA")</f>
        <v>113179.84999999999</v>
      </c>
      <c r="C40" s="15">
        <f>IFERROR(B40/B444, "NA")</f>
        <v>0.15355861643259006</v>
      </c>
      <c r="D40" s="2"/>
      <c r="E40" s="14">
        <f>IFERROR(E31+E32+E33+E34+E35+E36+E37+E38+E39, "NA")</f>
        <v>194862.18</v>
      </c>
      <c r="F40" s="15">
        <f>IFERROR(E40/E444, "NA")</f>
        <v>0.22194090583678688</v>
      </c>
      <c r="G40" s="2"/>
      <c r="H40" s="14">
        <f t="shared" si="8"/>
        <v>-81682.33</v>
      </c>
      <c r="I40" s="15">
        <f>IFERROR(H40/H444, "NA")</f>
        <v>0.57953451537595746</v>
      </c>
      <c r="J40" s="2"/>
      <c r="K40" s="14">
        <f>IFERROR(K31+K32+K33+K34+K35+K36+K37+K38+K39, "NA")</f>
        <v>248825.60000000001</v>
      </c>
      <c r="L40" s="15">
        <f>IFERROR(K40/K444, "NA")</f>
        <v>0.30840884399781876</v>
      </c>
      <c r="M40" s="2"/>
      <c r="N40" s="14">
        <f t="shared" si="9"/>
        <v>-135645.75</v>
      </c>
      <c r="O40" s="15">
        <f>IFERROR(N40/N444, "NA")</f>
        <v>1.9445244832835917</v>
      </c>
      <c r="P40" s="2"/>
      <c r="Q40" s="14">
        <f>IFERROR(Q31+Q32+Q33+Q34+Q35+Q36+Q37+Q38+Q39, "NA")</f>
        <v>1096535.43</v>
      </c>
      <c r="R40" s="15">
        <f>IFERROR(Q40/Q444, "NA")</f>
        <v>0.20465638497873806</v>
      </c>
      <c r="S40" s="2"/>
      <c r="T40" s="14">
        <f>IFERROR(T31+T32+T33+T34+T35+T36+T37+T38+T39, "NA")</f>
        <v>1228866.3</v>
      </c>
      <c r="U40" s="15">
        <f>IFERROR(T40/T444, "NA")</f>
        <v>0.21785877815975724</v>
      </c>
      <c r="V40" s="2"/>
      <c r="W40" s="14">
        <f t="shared" si="10"/>
        <v>-132330.87000000011</v>
      </c>
      <c r="X40" s="15">
        <f>IFERROR(W40/W444, "NA")</f>
        <v>0.46806119666257973</v>
      </c>
      <c r="Y40" s="2"/>
      <c r="Z40" s="14">
        <f>IFERROR(Z31+Z32+Z33+Z34+Z35+Z36+Z37+Z38+Z39, "NA")</f>
        <v>973880.48999999987</v>
      </c>
      <c r="AA40" s="15">
        <f>IFERROR(Z40/Z444, "NA")</f>
        <v>0.19486011115748511</v>
      </c>
      <c r="AB40" s="2"/>
      <c r="AC40" s="14">
        <f t="shared" si="11"/>
        <v>122654.94000000006</v>
      </c>
      <c r="AD40" s="15">
        <f>IFERROR(AC40/AC444, "NA")</f>
        <v>0.3406231433453859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52380.28</v>
      </c>
      <c r="C43" s="8">
        <f>IFERROR(B43/B444, "NA")</f>
        <v>7.1067803369165711E-2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52380.28</v>
      </c>
      <c r="I43" s="8">
        <f>IFERROR(H43/H444, "NA")</f>
        <v>-0.37163705032724892</v>
      </c>
      <c r="J43" s="9"/>
      <c r="K43" s="7">
        <v>19305.48</v>
      </c>
      <c r="L43" s="8">
        <f>IFERROR(K43/K444, "NA")</f>
        <v>2.3928328795843393E-2</v>
      </c>
      <c r="M43" s="9"/>
      <c r="N43" s="10">
        <f>IFERROR(B43-K43, "NA")</f>
        <v>33074.800000000003</v>
      </c>
      <c r="O43" s="8">
        <f>IFERROR(N43/N444, "NA")</f>
        <v>-0.47413765915782946</v>
      </c>
      <c r="P43" s="9"/>
      <c r="Q43" s="7">
        <v>290069.63</v>
      </c>
      <c r="R43" s="8">
        <f>IFERROR(Q43/Q444, "NA")</f>
        <v>5.4138334470341838E-2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290069.63</v>
      </c>
      <c r="X43" s="8">
        <f>IFERROR(W43/W444, "NA")</f>
        <v>-1.0259914268928454</v>
      </c>
      <c r="Y43" s="9"/>
      <c r="Z43" s="7">
        <v>48923.199999999997</v>
      </c>
      <c r="AA43" s="8">
        <f>IFERROR(Z43/Z444, "NA")</f>
        <v>9.7888604280180983E-3</v>
      </c>
      <c r="AB43" s="9"/>
      <c r="AC43" s="10">
        <f>IFERROR(Q43-Z43, "NA")</f>
        <v>241146.43</v>
      </c>
      <c r="AD43" s="8">
        <f>IFERROR(AC43/AC444, "NA")</f>
        <v>0.66968403386865649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239250.27000000002</v>
      </c>
      <c r="F46" s="8">
        <f>IFERROR(E46/E444, "NA")</f>
        <v>0.27249731910777064</v>
      </c>
      <c r="G46" s="9"/>
      <c r="H46" s="10">
        <f t="shared" ref="H46:H62" si="12">IFERROR(B46-E46, "NA")</f>
        <v>-239250.27000000002</v>
      </c>
      <c r="I46" s="8">
        <f>IFERROR(H46/H444, "NA")</f>
        <v>1.6974759324081106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1468214.71</v>
      </c>
      <c r="U46" s="8">
        <f>IFERROR(T46/T444, "NA")</f>
        <v>0.26029150835756687</v>
      </c>
      <c r="V46" s="9"/>
      <c r="W46" s="10">
        <f t="shared" ref="W46:W62" si="14">IFERROR(Q46-T46, "NA")</f>
        <v>-1468214.71</v>
      </c>
      <c r="X46" s="8">
        <f>IFERROR(W46/W444, "NA")</f>
        <v>5.193152090061842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591.54999999999995</v>
      </c>
      <c r="C47" s="8">
        <f>IFERROR(B47/B444, "NA")</f>
        <v>8.0259515762477729E-4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591.54999999999995</v>
      </c>
      <c r="I47" s="8">
        <f>IFERROR(H47/H444, "NA")</f>
        <v>-4.1970355469860814E-3</v>
      </c>
      <c r="J47" s="9"/>
      <c r="K47" s="7">
        <v>0</v>
      </c>
      <c r="L47" s="8">
        <f>IFERROR(K47/K444, "NA")</f>
        <v>0</v>
      </c>
      <c r="M47" s="9"/>
      <c r="N47" s="10">
        <f t="shared" si="13"/>
        <v>591.54999999999995</v>
      </c>
      <c r="O47" s="8">
        <f>IFERROR(N47/N444, "NA")</f>
        <v>-8.4800552769726187E-3</v>
      </c>
      <c r="P47" s="9"/>
      <c r="Q47" s="7">
        <v>7103.39</v>
      </c>
      <c r="R47" s="8">
        <f>IFERROR(Q47/Q444, "NA")</f>
        <v>1.3257703114017193E-3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7103.39</v>
      </c>
      <c r="X47" s="8">
        <f>IFERROR(W47/W444, "NA")</f>
        <v>-2.5125061323642773E-2</v>
      </c>
      <c r="Y47" s="9"/>
      <c r="Z47" s="7">
        <v>4473.6000000000004</v>
      </c>
      <c r="AA47" s="8">
        <f>IFERROR(Z47/Z444, "NA")</f>
        <v>8.9510592133756114E-4</v>
      </c>
      <c r="AB47" s="9"/>
      <c r="AC47" s="10">
        <f t="shared" si="15"/>
        <v>2629.79</v>
      </c>
      <c r="AD47" s="8">
        <f>IFERROR(AC47/AC444, "NA")</f>
        <v>7.3031492750170682E-3</v>
      </c>
    </row>
    <row r="48" spans="1:30" ht="16.5" customHeight="1" x14ac:dyDescent="0.45">
      <c r="A48" s="17" t="s">
        <v>46</v>
      </c>
      <c r="B48" s="7">
        <v>110258.57999999999</v>
      </c>
      <c r="C48" s="8">
        <f>IFERROR(B48/B444, "NA")</f>
        <v>0.14959513548234996</v>
      </c>
      <c r="D48" s="9"/>
      <c r="E48" s="7">
        <v>0</v>
      </c>
      <c r="F48" s="8">
        <f>IFERROR(E48/E444, "NA")</f>
        <v>0</v>
      </c>
      <c r="G48" s="9"/>
      <c r="H48" s="10">
        <f t="shared" si="12"/>
        <v>110258.57999999999</v>
      </c>
      <c r="I48" s="8">
        <f>IFERROR(H48/H444, "NA")</f>
        <v>-0.78228244378363376</v>
      </c>
      <c r="J48" s="9"/>
      <c r="K48" s="7">
        <v>136462.69</v>
      </c>
      <c r="L48" s="8">
        <f>IFERROR(K48/K444, "NA")</f>
        <v>0.16913975278963539</v>
      </c>
      <c r="M48" s="9"/>
      <c r="N48" s="10">
        <f t="shared" si="13"/>
        <v>-26204.110000000015</v>
      </c>
      <c r="O48" s="8">
        <f>IFERROR(N48/N444, "NA")</f>
        <v>0.37564415735588053</v>
      </c>
      <c r="P48" s="9"/>
      <c r="Q48" s="7">
        <v>720074.56</v>
      </c>
      <c r="R48" s="8">
        <f>IFERROR(Q48/Q444, "NA")</f>
        <v>0.13439406728951334</v>
      </c>
      <c r="S48" s="9"/>
      <c r="T48" s="7">
        <v>0</v>
      </c>
      <c r="U48" s="8">
        <f>IFERROR(T48/T444, "NA")</f>
        <v>0</v>
      </c>
      <c r="V48" s="9"/>
      <c r="W48" s="10">
        <f t="shared" si="14"/>
        <v>720074.56</v>
      </c>
      <c r="X48" s="8">
        <f>IFERROR(W48/W444, "NA")</f>
        <v>-2.5469413164130206</v>
      </c>
      <c r="Y48" s="9"/>
      <c r="Z48" s="7">
        <v>973125.16</v>
      </c>
      <c r="AA48" s="8">
        <f>IFERROR(Z48/Z444, "NA")</f>
        <v>0.19470897999789019</v>
      </c>
      <c r="AB48" s="9"/>
      <c r="AC48" s="10">
        <f t="shared" si="15"/>
        <v>-253050.59999999998</v>
      </c>
      <c r="AD48" s="8">
        <f>IFERROR(AC48/AC444, "NA")</f>
        <v>-0.70274292089202328</v>
      </c>
    </row>
    <row r="49" spans="1:30" ht="16.5" customHeight="1" x14ac:dyDescent="0.45">
      <c r="A49" s="17" t="s">
        <v>47</v>
      </c>
      <c r="B49" s="7">
        <v>311.69</v>
      </c>
      <c r="C49" s="8">
        <f>IFERROR(B49/B444, "NA")</f>
        <v>4.2289051589902271E-4</v>
      </c>
      <c r="D49" s="9"/>
      <c r="E49" s="7">
        <v>0</v>
      </c>
      <c r="F49" s="8">
        <f>IFERROR(E49/E444, "NA")</f>
        <v>0</v>
      </c>
      <c r="G49" s="9"/>
      <c r="H49" s="10">
        <f t="shared" si="12"/>
        <v>311.69</v>
      </c>
      <c r="I49" s="8">
        <f>IFERROR(H49/H444, "NA")</f>
        <v>-2.2114343836363653E-3</v>
      </c>
      <c r="J49" s="9"/>
      <c r="K49" s="7">
        <v>1800</v>
      </c>
      <c r="L49" s="8">
        <f>IFERROR(K49/K444, "NA")</f>
        <v>2.231024135764462E-3</v>
      </c>
      <c r="M49" s="9"/>
      <c r="N49" s="10">
        <f t="shared" si="13"/>
        <v>-1488.31</v>
      </c>
      <c r="O49" s="8">
        <f>IFERROR(N49/N444, "NA")</f>
        <v>2.1335391884491791E-2</v>
      </c>
      <c r="P49" s="9"/>
      <c r="Q49" s="7">
        <v>42152.29</v>
      </c>
      <c r="R49" s="8">
        <f>IFERROR(Q49/Q444, "NA")</f>
        <v>7.8672654379944758E-3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42152.29</v>
      </c>
      <c r="X49" s="8">
        <f>IFERROR(W49/W444, "NA")</f>
        <v>-0.14909485065327596</v>
      </c>
      <c r="Y49" s="9"/>
      <c r="Z49" s="7">
        <v>3890.27</v>
      </c>
      <c r="AA49" s="8">
        <f>IFERROR(Z49/Z444, "NA")</f>
        <v>7.7838959956229292E-4</v>
      </c>
      <c r="AB49" s="9"/>
      <c r="AC49" s="10">
        <f t="shared" si="15"/>
        <v>38262.020000000004</v>
      </c>
      <c r="AD49" s="8">
        <f>IFERROR(AC49/AC444, "NA")</f>
        <v>0.10625686599450473</v>
      </c>
    </row>
    <row r="50" spans="1:30" ht="16.5" customHeight="1" x14ac:dyDescent="0.45">
      <c r="A50" s="17" t="s">
        <v>48</v>
      </c>
      <c r="B50" s="7">
        <v>5098</v>
      </c>
      <c r="C50" s="8">
        <f>IFERROR(B50/B444, "NA")</f>
        <v>6.9167950529475369E-3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5098</v>
      </c>
      <c r="I50" s="8">
        <f>IFERROR(H50/H444, "NA")</f>
        <v>-3.6170209142988831E-2</v>
      </c>
      <c r="J50" s="9"/>
      <c r="K50" s="7">
        <v>642.5</v>
      </c>
      <c r="L50" s="8">
        <f>IFERROR(K50/K444, "NA")</f>
        <v>7.9635167068259273E-4</v>
      </c>
      <c r="M50" s="9"/>
      <c r="N50" s="10">
        <f t="shared" si="13"/>
        <v>4455.5</v>
      </c>
      <c r="O50" s="8">
        <f>IFERROR(N50/N444, "NA")</f>
        <v>-6.3870993637987497E-2</v>
      </c>
      <c r="P50" s="9"/>
      <c r="Q50" s="7">
        <v>20827.07</v>
      </c>
      <c r="R50" s="8">
        <f>IFERROR(Q50/Q444, "NA")</f>
        <v>3.8871455853452235E-3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20827.07</v>
      </c>
      <c r="X50" s="8">
        <f>IFERROR(W50/W444, "NA")</f>
        <v>-7.3666434046532794E-2</v>
      </c>
      <c r="Y50" s="9"/>
      <c r="Z50" s="7">
        <v>24107.59</v>
      </c>
      <c r="AA50" s="8">
        <f>IFERROR(Z50/Z444, "NA")</f>
        <v>4.8235976748431187E-3</v>
      </c>
      <c r="AB50" s="9"/>
      <c r="AC50" s="10">
        <f t="shared" si="15"/>
        <v>-3280.5200000000004</v>
      </c>
      <c r="AD50" s="8">
        <f>IFERROR(AC50/AC444, "NA")</f>
        <v>-9.1102815280607943E-3</v>
      </c>
    </row>
    <row r="51" spans="1:30" ht="16.5" customHeight="1" x14ac:dyDescent="0.45">
      <c r="A51" s="17" t="s">
        <v>49</v>
      </c>
      <c r="B51" s="7">
        <v>3084.89</v>
      </c>
      <c r="C51" s="8">
        <f>IFERROR(B51/B444, "NA")</f>
        <v>4.1854750668668741E-3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3084.89</v>
      </c>
      <c r="I51" s="8">
        <f>IFERROR(H51/H444, "NA")</f>
        <v>-2.1887233519638057E-2</v>
      </c>
      <c r="J51" s="9"/>
      <c r="K51" s="7">
        <v>5445.96</v>
      </c>
      <c r="L51" s="8">
        <f>IFERROR(K51/K444, "NA")</f>
        <v>6.7500378902265725E-3</v>
      </c>
      <c r="M51" s="9"/>
      <c r="N51" s="10">
        <f t="shared" si="13"/>
        <v>-2361.0700000000002</v>
      </c>
      <c r="O51" s="8">
        <f>IFERROR(N51/N444, "NA")</f>
        <v>3.3846680944639919E-2</v>
      </c>
      <c r="P51" s="9"/>
      <c r="Q51" s="7">
        <v>27575.08</v>
      </c>
      <c r="R51" s="8">
        <f>IFERROR(Q51/Q444, "NA")</f>
        <v>5.1465880936464601E-3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27575.08</v>
      </c>
      <c r="X51" s="8">
        <f>IFERROR(W51/W444, "NA")</f>
        <v>-9.7534497754502472E-2</v>
      </c>
      <c r="Y51" s="9"/>
      <c r="Z51" s="7">
        <v>62089.78</v>
      </c>
      <c r="AA51" s="8">
        <f>IFERROR(Z51/Z444, "NA")</f>
        <v>1.242331226138825E-2</v>
      </c>
      <c r="AB51" s="9"/>
      <c r="AC51" s="10">
        <f t="shared" si="15"/>
        <v>-34514.699999999997</v>
      </c>
      <c r="AD51" s="8">
        <f>IFERROR(AC51/AC444, "NA")</f>
        <v>-9.5850241381415083E-2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1074.8</v>
      </c>
      <c r="C53" s="8">
        <f>IFERROR(B53/B444, "NA")</f>
        <v>1.4582525152820737E-3</v>
      </c>
      <c r="D53" s="9"/>
      <c r="E53" s="7">
        <v>0</v>
      </c>
      <c r="F53" s="8">
        <f>IFERROR(E53/E444, "NA")</f>
        <v>0</v>
      </c>
      <c r="G53" s="9"/>
      <c r="H53" s="10">
        <f t="shared" si="12"/>
        <v>1074.8</v>
      </c>
      <c r="I53" s="8">
        <f>IFERROR(H53/H444, "NA")</f>
        <v>-7.6256847365406815E-3</v>
      </c>
      <c r="J53" s="9"/>
      <c r="K53" s="7">
        <v>0</v>
      </c>
      <c r="L53" s="8">
        <f>IFERROR(K53/K444, "NA")</f>
        <v>0</v>
      </c>
      <c r="M53" s="9"/>
      <c r="N53" s="10">
        <f t="shared" si="13"/>
        <v>1074.8</v>
      </c>
      <c r="O53" s="8">
        <f>IFERROR(N53/N444, "NA")</f>
        <v>-1.5407595996433389E-2</v>
      </c>
      <c r="P53" s="9"/>
      <c r="Q53" s="7">
        <v>11074.8</v>
      </c>
      <c r="R53" s="8">
        <f>IFERROR(Q53/Q444, "NA")</f>
        <v>2.0669906966549437E-3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11074.8</v>
      </c>
      <c r="X53" s="8">
        <f>IFERROR(W53/W444, "NA")</f>
        <v>-3.9172145855299927E-2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11074.8</v>
      </c>
      <c r="AD53" s="8">
        <f>IFERROR(AC53/AC444, "NA")</f>
        <v>3.0755656379771398E-2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77.75</v>
      </c>
      <c r="R54" s="8">
        <f>IFERROR(Q54/Q444, "NA")</f>
        <v>1.4511189968660552E-5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-2.7500580960826106E-4</v>
      </c>
      <c r="Y54" s="9"/>
      <c r="Z54" s="7">
        <v>1377.7</v>
      </c>
      <c r="AA54" s="8">
        <f>IFERROR(Z54/Z444, "NA")</f>
        <v>2.7565884921020164E-4</v>
      </c>
      <c r="AB54" s="9"/>
      <c r="AC54" s="10">
        <f t="shared" si="15"/>
        <v>-1299.95</v>
      </c>
      <c r="AD54" s="8">
        <f>IFERROR(AC54/AC444, "NA")</f>
        <v>-3.6100711083616706E-3</v>
      </c>
    </row>
    <row r="55" spans="1:30" ht="16.5" customHeight="1" x14ac:dyDescent="0.45">
      <c r="A55" s="17" t="s">
        <v>53</v>
      </c>
      <c r="B55" s="7">
        <v>3437.3599999999997</v>
      </c>
      <c r="C55" s="8">
        <f>IFERROR(B55/B444, "NA")</f>
        <v>4.6636945161239191E-3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3437.3599999999997</v>
      </c>
      <c r="I55" s="8">
        <f>IFERROR(H55/H444, "NA")</f>
        <v>-2.4388001196497467E-2</v>
      </c>
      <c r="J55" s="9"/>
      <c r="K55" s="7">
        <v>317.22000000000003</v>
      </c>
      <c r="L55" s="8">
        <f>IFERROR(K55/K444, "NA")</f>
        <v>3.9318082019289041E-4</v>
      </c>
      <c r="M55" s="9"/>
      <c r="N55" s="10">
        <f t="shared" si="13"/>
        <v>3120.1399999999994</v>
      </c>
      <c r="O55" s="8">
        <f>IFERROR(N55/N444, "NA")</f>
        <v>-4.4728188102262437E-2</v>
      </c>
      <c r="P55" s="9"/>
      <c r="Q55" s="7">
        <v>6427.6900000000005</v>
      </c>
      <c r="R55" s="8">
        <f>IFERROR(Q55/Q444, "NA")</f>
        <v>1.1996582720213472E-3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6427.6900000000005</v>
      </c>
      <c r="X55" s="8">
        <f>IFERROR(W55/W444, "NA")</f>
        <v>-2.2735075142905768E-2</v>
      </c>
      <c r="Y55" s="9"/>
      <c r="Z55" s="7">
        <v>6579.05</v>
      </c>
      <c r="AA55" s="8">
        <f>IFERROR(Z55/Z444, "NA")</f>
        <v>1.3163775509155672E-3</v>
      </c>
      <c r="AB55" s="9"/>
      <c r="AC55" s="10">
        <f t="shared" si="15"/>
        <v>-151.35999999999967</v>
      </c>
      <c r="AD55" s="8">
        <f>IFERROR(AC55/AC444, "NA")</f>
        <v>-4.2033952302905593E-4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364.46000000000004</v>
      </c>
      <c r="L56" s="8">
        <f>IFERROR(K56/K444, "NA")</f>
        <v>4.5173280917817552E-4</v>
      </c>
      <c r="M56" s="9"/>
      <c r="N56" s="10">
        <f t="shared" si="13"/>
        <v>-364.46000000000004</v>
      </c>
      <c r="O56" s="8">
        <f>IFERROR(N56/N444, "NA")</f>
        <v>5.2246487131188254E-3</v>
      </c>
      <c r="P56" s="9"/>
      <c r="Q56" s="7">
        <v>155.60000000000002</v>
      </c>
      <c r="R56" s="8">
        <f>IFERROR(Q56/Q444, "NA")</f>
        <v>2.9041043847248645E-5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-5.5036532443788328E-4</v>
      </c>
      <c r="Y56" s="9"/>
      <c r="Z56" s="7">
        <v>3452.37</v>
      </c>
      <c r="AA56" s="8">
        <f>IFERROR(Z56/Z444, "NA")</f>
        <v>6.9077182350861847E-4</v>
      </c>
      <c r="AB56" s="9"/>
      <c r="AC56" s="10">
        <f t="shared" si="15"/>
        <v>-3296.77</v>
      </c>
      <c r="AD56" s="8">
        <f>IFERROR(AC56/AC444, "NA")</f>
        <v>-9.1554091525931809E-3</v>
      </c>
    </row>
    <row r="57" spans="1:30" ht="16.5" customHeight="1" x14ac:dyDescent="0.45">
      <c r="A57" s="17" t="s">
        <v>55</v>
      </c>
      <c r="B57" s="7">
        <v>1067.29</v>
      </c>
      <c r="C57" s="8">
        <f>IFERROR(B57/B444, "NA")</f>
        <v>1.4480631996979946E-3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1067.29</v>
      </c>
      <c r="I57" s="8">
        <f>IFERROR(H57/H444, "NA")</f>
        <v>-7.5724014351158395E-3</v>
      </c>
      <c r="J57" s="9"/>
      <c r="K57" s="7">
        <v>0</v>
      </c>
      <c r="L57" s="8">
        <f>IFERROR(K57/K444, "NA")</f>
        <v>0</v>
      </c>
      <c r="M57" s="9"/>
      <c r="N57" s="10">
        <f t="shared" si="13"/>
        <v>1067.29</v>
      </c>
      <c r="O57" s="8">
        <f>IFERROR(N57/N444, "NA")</f>
        <v>-1.5299937784735198E-2</v>
      </c>
      <c r="P57" s="9"/>
      <c r="Q57" s="7">
        <v>8515.83</v>
      </c>
      <c r="R57" s="8">
        <f>IFERROR(Q57/Q444, "NA")</f>
        <v>1.5893868407822326E-3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8515.83</v>
      </c>
      <c r="X57" s="8">
        <f>IFERROR(W57/W444, "NA")</f>
        <v>-3.0120935352235596E-2</v>
      </c>
      <c r="Y57" s="9"/>
      <c r="Z57" s="7">
        <v>14356.41</v>
      </c>
      <c r="AA57" s="8">
        <f>IFERROR(Z57/Z444, "NA")</f>
        <v>2.8725204757130219E-3</v>
      </c>
      <c r="AB57" s="9"/>
      <c r="AC57" s="10">
        <f t="shared" si="15"/>
        <v>-5840.58</v>
      </c>
      <c r="AD57" s="8">
        <f>IFERROR(AC57/AC444, "NA")</f>
        <v>-1.6219784694853651E-2</v>
      </c>
    </row>
    <row r="58" spans="1:30" ht="16.5" customHeight="1" x14ac:dyDescent="0.45">
      <c r="A58" s="17" t="s">
        <v>56</v>
      </c>
      <c r="B58" s="7">
        <v>225.44</v>
      </c>
      <c r="C58" s="8">
        <f>IFERROR(B58/B444, "NA")</f>
        <v>3.058694148168875E-4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225.44</v>
      </c>
      <c r="I58" s="8">
        <f>IFERROR(H58/H444, "NA")</f>
        <v>-1.5994923399755595E-3</v>
      </c>
      <c r="J58" s="9"/>
      <c r="K58" s="7">
        <v>1113.8</v>
      </c>
      <c r="L58" s="8">
        <f>IFERROR(K58/K444, "NA")</f>
        <v>1.3805081568969211E-3</v>
      </c>
      <c r="M58" s="9"/>
      <c r="N58" s="10">
        <f t="shared" si="13"/>
        <v>-888.3599999999999</v>
      </c>
      <c r="O58" s="8">
        <f>IFERROR(N58/N444, "NA")</f>
        <v>1.2734919965939303E-2</v>
      </c>
      <c r="P58" s="9"/>
      <c r="Q58" s="7">
        <v>1789.66</v>
      </c>
      <c r="R58" s="8">
        <f>IFERROR(Q58/Q444, "NA")</f>
        <v>3.3402053040917099E-4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1789.66</v>
      </c>
      <c r="X58" s="8">
        <f>IFERROR(W58/W444, "NA")</f>
        <v>-6.3301208646111959E-3</v>
      </c>
      <c r="Y58" s="9"/>
      <c r="Z58" s="7">
        <v>5464.25</v>
      </c>
      <c r="AA58" s="8">
        <f>IFERROR(Z58/Z444, "NA")</f>
        <v>1.0933213811401932E-3</v>
      </c>
      <c r="AB58" s="9"/>
      <c r="AC58" s="10">
        <f t="shared" si="15"/>
        <v>-3674.59</v>
      </c>
      <c r="AD58" s="8">
        <f>IFERROR(AC58/AC444, "NA")</f>
        <v>-1.020464725110559E-2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9.5785897706652634E-4</v>
      </c>
      <c r="AB59" s="9"/>
      <c r="AC59" s="10">
        <f t="shared" si="15"/>
        <v>-4787.2299999999996</v>
      </c>
      <c r="AD59" s="8">
        <f>IFERROR(AC59/AC444, "NA")</f>
        <v>-1.3294542645549627E-2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2.3983124256885929E-6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-4.5451120944902303E-5</v>
      </c>
      <c r="Y60" s="9"/>
      <c r="Z60" s="7">
        <v>319.54000000000002</v>
      </c>
      <c r="AA60" s="8">
        <f>IFERROR(Z60/Z444, "NA")</f>
        <v>6.3935565563350387E-5</v>
      </c>
      <c r="AB60" s="9"/>
      <c r="AC60" s="10">
        <f t="shared" si="15"/>
        <v>-306.69</v>
      </c>
      <c r="AD60" s="8">
        <f>IFERROR(AC60/AC444, "NA")</f>
        <v>-8.5170407186694935E-4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125149.59999999999</v>
      </c>
      <c r="C61" s="15">
        <f>IFERROR(B61/B444, "NA")</f>
        <v>0.16979877092160905</v>
      </c>
      <c r="D61" s="2"/>
      <c r="E61" s="14">
        <f>IFERROR(E46+E47+E48+E49+E50+E51+E52+E53+E54+E55+E56+E57+E58+E59+E60, "NA")</f>
        <v>239250.27000000002</v>
      </c>
      <c r="F61" s="15">
        <f>IFERROR(E61/E444, "NA")</f>
        <v>0.27249731910777064</v>
      </c>
      <c r="G61" s="2"/>
      <c r="H61" s="14">
        <f t="shared" si="12"/>
        <v>-114100.67000000003</v>
      </c>
      <c r="I61" s="15">
        <f>IFERROR(H61/H444, "NA")</f>
        <v>0.80954199632309776</v>
      </c>
      <c r="J61" s="2"/>
      <c r="K61" s="14">
        <f>IFERROR(K46+K47+K48+K49+K50+K51+K52+K53+K54+K55+K56+K57+K58+K59+K60, "NA")</f>
        <v>146146.62999999998</v>
      </c>
      <c r="L61" s="15">
        <f>IFERROR(K61/K444, "NA")</f>
        <v>0.18114258827257698</v>
      </c>
      <c r="M61" s="2"/>
      <c r="N61" s="14">
        <f t="shared" si="13"/>
        <v>-20997.029999999984</v>
      </c>
      <c r="O61" s="15">
        <f>IFERROR(N61/N444, "NA")</f>
        <v>0.30099902806567874</v>
      </c>
      <c r="P61" s="2"/>
      <c r="Q61" s="14">
        <f>IFERROR(Q46+Q47+Q48+Q49+Q50+Q51+Q52+Q53+Q54+Q55+Q56+Q57+Q58+Q59+Q60, "NA")</f>
        <v>845786.57</v>
      </c>
      <c r="R61" s="15">
        <f>IFERROR(Q61/Q444, "NA")</f>
        <v>0.15785684360401048</v>
      </c>
      <c r="S61" s="2"/>
      <c r="T61" s="14">
        <f>IFERROR(T46+T47+T48+T49+T50+T51+T52+T53+T54+T55+T56+T57+T58+T59+T60, "NA")</f>
        <v>1468214.71</v>
      </c>
      <c r="U61" s="15">
        <f>IFERROR(T61/T444, "NA")</f>
        <v>0.26029150835756687</v>
      </c>
      <c r="V61" s="2"/>
      <c r="W61" s="14">
        <f t="shared" si="14"/>
        <v>-622428.14</v>
      </c>
      <c r="X61" s="15">
        <f>IFERROR(W61/W444, "NA")</f>
        <v>2.2015608304008238</v>
      </c>
      <c r="Y61" s="2"/>
      <c r="Z61" s="14">
        <f>IFERROR(Z46+Z47+Z48+Z49+Z50+Z51+Z52+Z53+Z54+Z55+Z56+Z57+Z58+Z59+Z60, "NA")</f>
        <v>1104022.95</v>
      </c>
      <c r="AA61" s="15">
        <f>IFERROR(Z61/Z444, "NA")</f>
        <v>0.22089983007813888</v>
      </c>
      <c r="AB61" s="2"/>
      <c r="AC61" s="14">
        <f t="shared" si="15"/>
        <v>-258236.38</v>
      </c>
      <c r="AD61" s="15">
        <f>IFERROR(AC61/AC444, "NA")</f>
        <v>-0.71714427059956576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177529.87999999998</v>
      </c>
      <c r="C62" s="15">
        <f>IFERROR(B62/B444, "NA")</f>
        <v>0.24086657429077474</v>
      </c>
      <c r="D62" s="2"/>
      <c r="E62" s="14">
        <f>IFERROR(E42+E43+E44+E46+E47+E48+E49+E50+E51+E52+E53+E54+E55+E56+E57+E58+E59+E60, "NA")</f>
        <v>239250.27000000002</v>
      </c>
      <c r="F62" s="15">
        <f>IFERROR(E62/E444, "NA")</f>
        <v>0.27249731910777064</v>
      </c>
      <c r="G62" s="2"/>
      <c r="H62" s="14">
        <f t="shared" si="12"/>
        <v>-61720.390000000043</v>
      </c>
      <c r="I62" s="15">
        <f>IFERROR(H62/H444, "NA")</f>
        <v>0.437904945995849</v>
      </c>
      <c r="J62" s="2"/>
      <c r="K62" s="14">
        <f>IFERROR(K42+K43+K44+K46+K47+K48+K49+K50+K51+K52+K53+K54+K55+K56+K57+K58+K59+K60, "NA")</f>
        <v>165452.10999999999</v>
      </c>
      <c r="L62" s="15">
        <f>IFERROR(K62/K444, "NA")</f>
        <v>0.2050709170684204</v>
      </c>
      <c r="M62" s="2"/>
      <c r="N62" s="14">
        <f t="shared" si="13"/>
        <v>12077.76999999999</v>
      </c>
      <c r="O62" s="15">
        <f>IFERROR(N62/N444, "NA")</f>
        <v>-0.1731386310921503</v>
      </c>
      <c r="P62" s="2"/>
      <c r="Q62" s="14">
        <f>IFERROR(Q42+Q43+Q44+Q46+Q47+Q48+Q49+Q50+Q51+Q52+Q53+Q54+Q55+Q56+Q57+Q58+Q59+Q60, "NA")</f>
        <v>1135856.2000000004</v>
      </c>
      <c r="R62" s="15">
        <f>IFERROR(Q62/Q444, "NA")</f>
        <v>0.21199517807435242</v>
      </c>
      <c r="S62" s="2"/>
      <c r="T62" s="14">
        <f>IFERROR(T42+T43+T44+T46+T47+T48+T49+T50+T51+T52+T53+T54+T55+T56+T57+T58+T59+T60, "NA")</f>
        <v>1468214.71</v>
      </c>
      <c r="U62" s="15">
        <f>IFERROR(T62/T444, "NA")</f>
        <v>0.26029150835756687</v>
      </c>
      <c r="V62" s="2"/>
      <c r="W62" s="14">
        <f t="shared" si="14"/>
        <v>-332358.50999999954</v>
      </c>
      <c r="X62" s="15">
        <f>IFERROR(W62/W444, "NA")</f>
        <v>1.1755694035079769</v>
      </c>
      <c r="Y62" s="2"/>
      <c r="Z62" s="14">
        <f>IFERROR(Z42+Z43+Z44+Z46+Z47+Z48+Z49+Z50+Z51+Z52+Z53+Z54+Z55+Z56+Z57+Z58+Z59+Z60, "NA")</f>
        <v>1152946.1500000001</v>
      </c>
      <c r="AA62" s="15">
        <f>IFERROR(Z62/Z444, "NA")</f>
        <v>0.23068869050615701</v>
      </c>
      <c r="AB62" s="2"/>
      <c r="AC62" s="14">
        <f t="shared" si="15"/>
        <v>-17089.949999999721</v>
      </c>
      <c r="AD62" s="15">
        <f>IFERROR(AC62/AC444, "NA")</f>
        <v>-4.7460236730908517E-2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26998.35</v>
      </c>
      <c r="C65" s="8">
        <f>IFERROR(B65/B444, "NA")</f>
        <v>3.6630453848125952E-2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26998.35</v>
      </c>
      <c r="I65" s="8">
        <f>IFERROR(H65/H444, "NA")</f>
        <v>-0.19155275912428649</v>
      </c>
      <c r="J65" s="9"/>
      <c r="K65" s="7">
        <v>691.89</v>
      </c>
      <c r="L65" s="8">
        <f>IFERROR(K65/K444, "NA")</f>
        <v>8.5756849405226314E-4</v>
      </c>
      <c r="M65" s="9"/>
      <c r="N65" s="10">
        <f t="shared" si="17"/>
        <v>26306.46</v>
      </c>
      <c r="O65" s="8">
        <f>IFERROR(N65/N444, "NA")</f>
        <v>-0.37711137679227308</v>
      </c>
      <c r="P65" s="9"/>
      <c r="Q65" s="7">
        <v>109068.02</v>
      </c>
      <c r="R65" s="8">
        <f>IFERROR(Q65/Q444, "NA")</f>
        <v>2.035635701254879E-2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109068.02</v>
      </c>
      <c r="X65" s="8">
        <f>IFERROR(W65/W444, "NA")</f>
        <v>-0.38577928157517694</v>
      </c>
      <c r="Y65" s="9"/>
      <c r="Z65" s="7">
        <v>5322.2699999999995</v>
      </c>
      <c r="AA65" s="8">
        <f>IFERROR(Z65/Z444, "NA")</f>
        <v>1.0649131330376566E-3</v>
      </c>
      <c r="AB65" s="9"/>
      <c r="AC65" s="10">
        <f t="shared" si="19"/>
        <v>103745.75</v>
      </c>
      <c r="AD65" s="8">
        <f>IFERROR(AC65/AC444, "NA")</f>
        <v>0.2881107232511349</v>
      </c>
    </row>
    <row r="66" spans="1:30" ht="16.5" customHeight="1" x14ac:dyDescent="0.45">
      <c r="A66" s="12" t="s">
        <v>63</v>
      </c>
      <c r="B66" s="7">
        <v>29525.360000000001</v>
      </c>
      <c r="C66" s="8">
        <f>IFERROR(B66/B444, "NA")</f>
        <v>4.0059016081697742E-2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29525.360000000001</v>
      </c>
      <c r="I66" s="8">
        <f>IFERROR(H66/H444, "NA")</f>
        <v>-0.20948184508082321</v>
      </c>
      <c r="J66" s="9"/>
      <c r="K66" s="7">
        <v>16310.24</v>
      </c>
      <c r="L66" s="8">
        <f>IFERROR(K66/K444, "NA")</f>
        <v>2.02158550556172E-2</v>
      </c>
      <c r="M66" s="9"/>
      <c r="N66" s="10">
        <f t="shared" si="17"/>
        <v>13215.12</v>
      </c>
      <c r="O66" s="8">
        <f>IFERROR(N66/N444, "NA")</f>
        <v>-0.18944290100891964</v>
      </c>
      <c r="P66" s="9"/>
      <c r="Q66" s="7">
        <v>177832.31000000003</v>
      </c>
      <c r="R66" s="8">
        <f>IFERROR(Q66/Q444, "NA")</f>
        <v>3.3190462160459601E-2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177832.31000000003</v>
      </c>
      <c r="X66" s="8">
        <f>IFERROR(W66/W444, "NA")</f>
        <v>-0.62900216573707091</v>
      </c>
      <c r="Y66" s="9"/>
      <c r="Z66" s="7">
        <v>121626.46</v>
      </c>
      <c r="AA66" s="8">
        <f>IFERROR(Z66/Z444, "NA")</f>
        <v>2.4335784276047483E-2</v>
      </c>
      <c r="AB66" s="9"/>
      <c r="AC66" s="10">
        <f t="shared" si="19"/>
        <v>56205.85000000002</v>
      </c>
      <c r="AD66" s="8">
        <f>IFERROR(AC66/AC444, "NA")</f>
        <v>0.15608839971222729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1.8445075583637309E-3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-3.4955802764064847E-2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2.7445232698304782E-2</v>
      </c>
    </row>
    <row r="68" spans="1:30" ht="16.5" customHeight="1" x14ac:dyDescent="0.45">
      <c r="A68" s="12" t="s">
        <v>65</v>
      </c>
      <c r="B68" s="7">
        <v>9780.35</v>
      </c>
      <c r="C68" s="8">
        <f>IFERROR(B68/B444, "NA")</f>
        <v>1.3269650156158384E-2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9780.35</v>
      </c>
      <c r="I68" s="8">
        <f>IFERROR(H68/H444, "NA")</f>
        <v>-6.9391389759048808E-2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9780.35</v>
      </c>
      <c r="O68" s="8">
        <f>IFERROR(N68/N444, "NA")</f>
        <v>-0.14020439291376749</v>
      </c>
      <c r="P68" s="9"/>
      <c r="Q68" s="7">
        <v>41509.97</v>
      </c>
      <c r="R68" s="8">
        <f>IFERROR(Q68/Q444, "NA")</f>
        <v>7.7473834117479162E-3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41509.97</v>
      </c>
      <c r="X68" s="8">
        <f>IFERROR(W68/W444, "NA")</f>
        <v>-0.14682293127542931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41509.97</v>
      </c>
      <c r="AD68" s="8">
        <f>IFERROR(AC68/AC444, "NA")</f>
        <v>0.11527669787757967</v>
      </c>
    </row>
    <row r="69" spans="1:30" ht="16.5" customHeight="1" x14ac:dyDescent="0.45">
      <c r="A69" s="12" t="s">
        <v>66</v>
      </c>
      <c r="B69" s="7">
        <v>5862</v>
      </c>
      <c r="C69" s="8">
        <f>IFERROR(B69/B444, "NA")</f>
        <v>7.9533645744171155E-3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5862</v>
      </c>
      <c r="I69" s="8">
        <f>IFERROR(H69/H444, "NA")</f>
        <v>-4.1590774028285711E-2</v>
      </c>
      <c r="J69" s="9"/>
      <c r="K69" s="7">
        <v>0</v>
      </c>
      <c r="L69" s="8">
        <f>IFERROR(K69/K444, "NA")</f>
        <v>0</v>
      </c>
      <c r="M69" s="9"/>
      <c r="N69" s="10">
        <f t="shared" si="17"/>
        <v>5862</v>
      </c>
      <c r="O69" s="8">
        <f>IFERROR(N69/N444, "NA")</f>
        <v>-8.4033613445378241E-2</v>
      </c>
      <c r="P69" s="9"/>
      <c r="Q69" s="7">
        <v>5862</v>
      </c>
      <c r="R69" s="8">
        <f>IFERROR(Q69/Q444, "NA")</f>
        <v>1.0940783999522593E-3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5862</v>
      </c>
      <c r="X69" s="8">
        <f>IFERROR(W69/W444, "NA")</f>
        <v>-2.073420007618812E-2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5862</v>
      </c>
      <c r="AD69" s="8">
        <f>IFERROR(AC69/AC444, "NA")</f>
        <v>1.6279269846698807E-2</v>
      </c>
    </row>
    <row r="70" spans="1:30" ht="16.5" customHeight="1" x14ac:dyDescent="0.45">
      <c r="A70" s="12" t="s">
        <v>67</v>
      </c>
      <c r="B70" s="7">
        <v>13479.54</v>
      </c>
      <c r="C70" s="8">
        <f>IFERROR(B70/B444, "NA")</f>
        <v>1.8288586816007934E-2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13479.54</v>
      </c>
      <c r="I70" s="8">
        <f>IFERROR(H70/H444, "NA")</f>
        <v>-9.5637069625595081E-2</v>
      </c>
      <c r="J70" s="9"/>
      <c r="K70" s="7">
        <v>0</v>
      </c>
      <c r="L70" s="8">
        <f>IFERROR(K70/K444, "NA")</f>
        <v>0</v>
      </c>
      <c r="M70" s="9"/>
      <c r="N70" s="10">
        <f t="shared" si="17"/>
        <v>13479.54</v>
      </c>
      <c r="O70" s="8">
        <f>IFERROR(N70/N444, "NA")</f>
        <v>-0.19323344486208013</v>
      </c>
      <c r="P70" s="9"/>
      <c r="Q70" s="7">
        <v>13479.54</v>
      </c>
      <c r="R70" s="8">
        <f>IFERROR(Q70/Q444, "NA")</f>
        <v>2.5158092042464135E-3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13479.54</v>
      </c>
      <c r="X70" s="8">
        <f>IFERROR(W70/W444, "NA")</f>
        <v>-4.7677836795459026E-2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13479.54</v>
      </c>
      <c r="AD70" s="8">
        <f>IFERROR(AC70/AC444, "NA")</f>
        <v>3.7433822768572232E-2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85645.6</v>
      </c>
      <c r="C73" s="15">
        <f>IFERROR(B73/B444, "NA")</f>
        <v>0.11620107147640714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85645.6</v>
      </c>
      <c r="I73" s="15">
        <f>IFERROR(H73/H444, "NA")</f>
        <v>-0.60765383761803937</v>
      </c>
      <c r="J73" s="2"/>
      <c r="K73" s="14">
        <f>IFERROR(K64+K65+K66+K67+K68+K69+K70+K71+K72, "NA")</f>
        <v>17002.13</v>
      </c>
      <c r="L73" s="15">
        <f>IFERROR(K73/K444, "NA")</f>
        <v>2.1073423549669467E-2</v>
      </c>
      <c r="M73" s="2"/>
      <c r="N73" s="14">
        <f t="shared" si="17"/>
        <v>68643.47</v>
      </c>
      <c r="O73" s="15">
        <f>IFERROR(N73/N444, "NA")</f>
        <v>-0.98402572902241858</v>
      </c>
      <c r="P73" s="2"/>
      <c r="Q73" s="14">
        <f>IFERROR(Q64+Q65+Q66+Q67+Q68+Q69+Q70+Q71+Q72, "NA")</f>
        <v>357634.59</v>
      </c>
      <c r="R73" s="15">
        <f>IFERROR(Q73/Q444, "NA")</f>
        <v>6.6748597747318714E-2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357634.59</v>
      </c>
      <c r="X73" s="15">
        <f>IFERROR(W73/W444, "NA")</f>
        <v>-1.2649722182233891</v>
      </c>
      <c r="Y73" s="2"/>
      <c r="Z73" s="14">
        <f>IFERROR(Z64+Z65+Z66+Z67+Z68+Z69+Z70+Z71+Z72, "NA")</f>
        <v>126948.73000000001</v>
      </c>
      <c r="AA73" s="15">
        <f>IFERROR(Z73/Z444, "NA")</f>
        <v>2.5400697409085141E-2</v>
      </c>
      <c r="AB73" s="2"/>
      <c r="AC73" s="14">
        <f t="shared" si="19"/>
        <v>230685.86000000002</v>
      </c>
      <c r="AD73" s="15">
        <f>IFERROR(AC73/AC444, "NA")</f>
        <v>0.64063414615451764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16361.54</v>
      </c>
      <c r="F75" s="8">
        <f>IFERROR(E75/E444, "NA")</f>
        <v>1.8635196468010481E-2</v>
      </c>
      <c r="G75" s="9"/>
      <c r="H75" s="10">
        <f t="shared" ref="H75:H92" si="20">IFERROR(B75-E75, "NA")</f>
        <v>-16361.54</v>
      </c>
      <c r="I75" s="8">
        <f>IFERROR(H75/H444, "NA")</f>
        <v>0.11608480260913644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100863.5</v>
      </c>
      <c r="U75" s="8">
        <f>IFERROR(T75/T444, "NA")</f>
        <v>1.7881521261439649E-2</v>
      </c>
      <c r="V75" s="9"/>
      <c r="W75" s="10">
        <f t="shared" ref="W75:W92" si="22">IFERROR(Q75-T75, "NA")</f>
        <v>-100863.5</v>
      </c>
      <c r="X75" s="8">
        <f>IFERROR(W75/W444, "NA")</f>
        <v>0.35675946594756058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3231.9399999999996</v>
      </c>
      <c r="C77" s="8">
        <f>IFERROR(B77/B444, "NA")</f>
        <v>4.3849875644219804E-3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3231.9399999999996</v>
      </c>
      <c r="I77" s="8">
        <f>IFERROR(H77/H444, "NA")</f>
        <v>-2.2930550360453376E-2</v>
      </c>
      <c r="J77" s="9"/>
      <c r="K77" s="7">
        <v>670.1</v>
      </c>
      <c r="L77" s="8">
        <f>IFERROR(K77/K444, "NA")</f>
        <v>8.3056070743098124E-4</v>
      </c>
      <c r="M77" s="9"/>
      <c r="N77" s="10">
        <f t="shared" si="21"/>
        <v>2561.8399999999997</v>
      </c>
      <c r="O77" s="8">
        <f>IFERROR(N77/N444, "NA")</f>
        <v>-3.672478203154346E-2</v>
      </c>
      <c r="P77" s="9"/>
      <c r="Q77" s="7">
        <v>23722.99</v>
      </c>
      <c r="R77" s="8">
        <f>IFERROR(Q77/Q444, "NA")</f>
        <v>4.4276374857187733E-3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23722.99</v>
      </c>
      <c r="X77" s="8">
        <f>IFERROR(W77/W444, "NA")</f>
        <v>-8.390945429297339E-2</v>
      </c>
      <c r="Y77" s="9"/>
      <c r="Z77" s="7">
        <v>4383.6799999999994</v>
      </c>
      <c r="AA77" s="8">
        <f>IFERROR(Z77/Z444, "NA")</f>
        <v>8.7711416426346548E-4</v>
      </c>
      <c r="AB77" s="9"/>
      <c r="AC77" s="10">
        <f t="shared" si="23"/>
        <v>19339.310000000001</v>
      </c>
      <c r="AD77" s="8">
        <f>IFERROR(AC77/AC444, "NA")</f>
        <v>5.3706899716642907E-2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400</v>
      </c>
      <c r="R78" s="8">
        <f>IFERROR(Q78/Q444, "NA")</f>
        <v>7.4655639710150746E-5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400</v>
      </c>
      <c r="X78" s="8">
        <f>IFERROR(W78/W444, "NA")</f>
        <v>-1.4148208854444298E-3</v>
      </c>
      <c r="Y78" s="9"/>
      <c r="Z78" s="7">
        <v>300</v>
      </c>
      <c r="AA78" s="8">
        <f>IFERROR(Z78/Z444, "NA")</f>
        <v>6.0025879918023144E-5</v>
      </c>
      <c r="AB78" s="9"/>
      <c r="AC78" s="10">
        <f t="shared" si="23"/>
        <v>100</v>
      </c>
      <c r="AD78" s="8">
        <f>IFERROR(AC78/AC444, "NA")</f>
        <v>2.7770845866084622E-4</v>
      </c>
    </row>
    <row r="79" spans="1:30" ht="16.5" customHeight="1" x14ac:dyDescent="0.45">
      <c r="A79" s="12" t="s">
        <v>75</v>
      </c>
      <c r="B79" s="7">
        <v>11.96</v>
      </c>
      <c r="C79" s="8">
        <f>IFERROR(B79/B444, "NA")</f>
        <v>1.6226926016722741E-5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11.96</v>
      </c>
      <c r="I79" s="8">
        <f>IFERROR(H79/H444, "NA")</f>
        <v>-8.4855963387631714E-5</v>
      </c>
      <c r="J79" s="9"/>
      <c r="K79" s="7">
        <v>0</v>
      </c>
      <c r="L79" s="8">
        <f>IFERROR(K79/K444, "NA")</f>
        <v>0</v>
      </c>
      <c r="M79" s="9"/>
      <c r="N79" s="10">
        <f t="shared" si="21"/>
        <v>11.96</v>
      </c>
      <c r="O79" s="8">
        <f>IFERROR(N79/N444, "NA")</f>
        <v>-1.7145036110657178E-4</v>
      </c>
      <c r="P79" s="9"/>
      <c r="Q79" s="7">
        <v>26.04</v>
      </c>
      <c r="R79" s="8">
        <f>IFERROR(Q79/Q444, "NA")</f>
        <v>4.8600821451308134E-6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26.04</v>
      </c>
      <c r="X79" s="8">
        <f>IFERROR(W79/W444, "NA")</f>
        <v>-9.2104839642432376E-5</v>
      </c>
      <c r="Y79" s="9"/>
      <c r="Z79" s="7">
        <v>272.09000000000003</v>
      </c>
      <c r="AA79" s="8">
        <f>IFERROR(Z79/Z444, "NA")</f>
        <v>5.4441472222983064E-5</v>
      </c>
      <c r="AB79" s="9"/>
      <c r="AC79" s="10">
        <f t="shared" si="23"/>
        <v>-246.05000000000004</v>
      </c>
      <c r="AD79" s="8">
        <f>IFERROR(AC79/AC444, "NA")</f>
        <v>-6.8330166253501229E-4</v>
      </c>
    </row>
    <row r="80" spans="1:30" ht="16.5" customHeight="1" x14ac:dyDescent="0.45">
      <c r="A80" s="12" t="s">
        <v>76</v>
      </c>
      <c r="B80" s="7">
        <v>10790.439999999999</v>
      </c>
      <c r="C80" s="8">
        <f>IFERROR(B80/B444, "NA")</f>
        <v>1.4640106318385094E-2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10790.439999999999</v>
      </c>
      <c r="I80" s="8">
        <f>IFERROR(H80/H444, "NA")</f>
        <v>-7.6557958325789016E-2</v>
      </c>
      <c r="J80" s="9"/>
      <c r="K80" s="7">
        <v>13258.29</v>
      </c>
      <c r="L80" s="8">
        <f>IFERROR(K80/K444, "NA")</f>
        <v>1.6433091660535897E-2</v>
      </c>
      <c r="M80" s="9"/>
      <c r="N80" s="10">
        <f t="shared" si="21"/>
        <v>-2467.8500000000022</v>
      </c>
      <c r="O80" s="8">
        <f>IFERROR(N80/N444, "NA")</f>
        <v>3.537740582415163E-2</v>
      </c>
      <c r="P80" s="9"/>
      <c r="Q80" s="7">
        <v>66819.03</v>
      </c>
      <c r="R80" s="8">
        <f>IFERROR(Q80/Q444, "NA")</f>
        <v>1.2471043573654386E-2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66819.03</v>
      </c>
      <c r="X80" s="8">
        <f>IFERROR(W80/W444, "NA")</f>
        <v>-0.23634239797284479</v>
      </c>
      <c r="Y80" s="9"/>
      <c r="Z80" s="7">
        <v>83147.179999999993</v>
      </c>
      <c r="AA80" s="8">
        <f>IFERROR(Z80/Z444, "NA")</f>
        <v>1.6636608807340851E-2</v>
      </c>
      <c r="AB80" s="9"/>
      <c r="AC80" s="10">
        <f t="shared" si="23"/>
        <v>-16328.149999999994</v>
      </c>
      <c r="AD80" s="8">
        <f>IFERROR(AC80/AC444, "NA")</f>
        <v>-4.5344653692830951E-2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50</v>
      </c>
      <c r="R82" s="8">
        <f>IFERROR(Q82/Q444, "NA")</f>
        <v>9.3319549637688433E-6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-1.7685261068055373E-4</v>
      </c>
      <c r="Y82" s="9"/>
      <c r="Z82" s="7">
        <v>125</v>
      </c>
      <c r="AA82" s="8">
        <f>IFERROR(Z82/Z444, "NA")</f>
        <v>2.5010783299176307E-5</v>
      </c>
      <c r="AB82" s="9"/>
      <c r="AC82" s="10">
        <f t="shared" si="23"/>
        <v>-75</v>
      </c>
      <c r="AD82" s="8">
        <f>IFERROR(AC82/AC444, "NA")</f>
        <v>-2.0828134399563468E-4</v>
      </c>
    </row>
    <row r="83" spans="1:30" ht="16.5" customHeight="1" x14ac:dyDescent="0.45">
      <c r="A83" s="12" t="s">
        <v>79</v>
      </c>
      <c r="B83" s="7">
        <v>176.82</v>
      </c>
      <c r="C83" s="8">
        <f>IFERROR(B83/B444, "NA")</f>
        <v>2.3990343296629725E-4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176.82</v>
      </c>
      <c r="I83" s="8">
        <f>IFERROR(H83/H444, "NA")</f>
        <v>-1.254534401856274E-3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176.82</v>
      </c>
      <c r="O83" s="8">
        <f>IFERROR(N83/N444, "NA")</f>
        <v>-2.5347703052561888E-3</v>
      </c>
      <c r="P83" s="9"/>
      <c r="Q83" s="7">
        <v>176.82</v>
      </c>
      <c r="R83" s="8">
        <f>IFERROR(Q83/Q444, "NA")</f>
        <v>3.3001525533872135E-5</v>
      </c>
      <c r="S83" s="9"/>
      <c r="T83" s="7">
        <v>0</v>
      </c>
      <c r="U83" s="8">
        <f>IFERROR(T83/T444, "NA")</f>
        <v>0</v>
      </c>
      <c r="V83" s="9"/>
      <c r="W83" s="10">
        <f t="shared" si="22"/>
        <v>176.82</v>
      </c>
      <c r="X83" s="8">
        <f>IFERROR(W83/W444, "NA")</f>
        <v>-6.2542157241071011E-4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176.82</v>
      </c>
      <c r="AD83" s="8">
        <f>IFERROR(AC83/AC444, "NA")</f>
        <v>4.9104409660410834E-4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3.7183735596074368E-5</v>
      </c>
      <c r="M85" s="9"/>
      <c r="N85" s="10">
        <f t="shared" si="21"/>
        <v>-30</v>
      </c>
      <c r="O85" s="8">
        <f>IFERROR(N85/N444, "NA")</f>
        <v>4.3005943421380879E-4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295.98</v>
      </c>
      <c r="AA85" s="8">
        <f>IFERROR(Z85/Z444, "NA")</f>
        <v>5.9221533127121633E-5</v>
      </c>
      <c r="AB85" s="9"/>
      <c r="AC85" s="10">
        <f t="shared" si="23"/>
        <v>-295.98</v>
      </c>
      <c r="AD85" s="8">
        <f>IFERROR(AC85/AC444, "NA")</f>
        <v>-8.2196149594437277E-4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3.3919159733952219E-5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-1.7737450540892914E-4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-3.5838286184484064E-4</v>
      </c>
      <c r="P86" s="9"/>
      <c r="Q86" s="7">
        <v>150</v>
      </c>
      <c r="R86" s="8">
        <f>IFERROR(Q86/Q444, "NA")</f>
        <v>2.7995864891306532E-5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150</v>
      </c>
      <c r="X86" s="8">
        <f>IFERROR(W86/W444, "NA")</f>
        <v>-5.3055783204166112E-4</v>
      </c>
      <c r="Y86" s="9"/>
      <c r="Z86" s="7">
        <v>820</v>
      </c>
      <c r="AA86" s="8">
        <f>IFERROR(Z86/Z444, "NA")</f>
        <v>1.6407073844259659E-4</v>
      </c>
      <c r="AB86" s="9"/>
      <c r="AC86" s="10">
        <f t="shared" si="23"/>
        <v>-670</v>
      </c>
      <c r="AD86" s="8">
        <f>IFERROR(AC86/AC444, "NA")</f>
        <v>-1.8606466730276697E-3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1.8445168903186946E-4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-3.4955979616675525E-3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2.7445371552534113E-3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14236.159999999998</v>
      </c>
      <c r="C88" s="15">
        <f>IFERROR(B88/B444, "NA")</f>
        <v>1.9315143401524047E-2</v>
      </c>
      <c r="D88" s="2"/>
      <c r="E88" s="14">
        <f>IFERROR(E75+E76+E77+E78+E79+E80+E81+E82+E83+E84+E85+E86+E87, "NA")</f>
        <v>16361.54</v>
      </c>
      <c r="F88" s="15">
        <f>IFERROR(E88/E444, "NA")</f>
        <v>1.8635196468010481E-2</v>
      </c>
      <c r="G88" s="2"/>
      <c r="H88" s="14">
        <f t="shared" si="20"/>
        <v>-2125.3800000000028</v>
      </c>
      <c r="I88" s="15">
        <f>IFERROR(H88/H444, "NA")</f>
        <v>1.5079529052241214E-2</v>
      </c>
      <c r="J88" s="2"/>
      <c r="K88" s="14">
        <f>IFERROR(K75+K76+K77+K78+K79+K80+K81+K82+K83+K84+K85+K86+K87, "NA")</f>
        <v>13958.390000000001</v>
      </c>
      <c r="L88" s="15">
        <f>IFERROR(K88/K444, "NA")</f>
        <v>1.7300836103562953E-2</v>
      </c>
      <c r="M88" s="2"/>
      <c r="N88" s="14">
        <f t="shared" si="21"/>
        <v>277.7699999999968</v>
      </c>
      <c r="O88" s="15">
        <f>IFERROR(N88/N444, "NA")</f>
        <v>-3.9819203013856099E-3</v>
      </c>
      <c r="P88" s="2"/>
      <c r="Q88" s="14">
        <f>IFERROR(Q75+Q76+Q77+Q78+Q79+Q80+Q81+Q82+Q83+Q84+Q85+Q86+Q87, "NA")</f>
        <v>92333.16</v>
      </c>
      <c r="R88" s="15">
        <f>IFERROR(Q88/Q444, "NA")</f>
        <v>1.7232977815649256E-2</v>
      </c>
      <c r="S88" s="2"/>
      <c r="T88" s="14">
        <f>IFERROR(T75+T76+T77+T78+T79+T80+T81+T82+T83+T84+T85+T86+T87, "NA")</f>
        <v>100863.5</v>
      </c>
      <c r="U88" s="15">
        <f>IFERROR(T88/T444, "NA")</f>
        <v>1.7881521261439649E-2</v>
      </c>
      <c r="V88" s="2"/>
      <c r="W88" s="14">
        <f t="shared" si="22"/>
        <v>-8530.3399999999965</v>
      </c>
      <c r="X88" s="15">
        <f>IFERROR(W88/W444, "NA")</f>
        <v>3.017225797985508E-2</v>
      </c>
      <c r="Y88" s="2"/>
      <c r="Z88" s="14">
        <f>IFERROR(Z75+Z76+Z77+Z78+Z79+Z80+Z81+Z82+Z83+Z84+Z85+Z86+Z87, "NA")</f>
        <v>89343.93</v>
      </c>
      <c r="AA88" s="15">
        <f>IFERROR(Z88/Z444, "NA")</f>
        <v>1.7876493378614217E-2</v>
      </c>
      <c r="AB88" s="2"/>
      <c r="AC88" s="14">
        <f t="shared" si="23"/>
        <v>2989.2300000000105</v>
      </c>
      <c r="AD88" s="15">
        <f>IFERROR(AC88/AC444, "NA")</f>
        <v>8.3013445588276426E-3</v>
      </c>
    </row>
    <row r="89" spans="1:30" ht="16.5" customHeight="1" x14ac:dyDescent="0.45">
      <c r="A89" s="6" t="s">
        <v>85</v>
      </c>
      <c r="B89" s="7">
        <v>-51.2</v>
      </c>
      <c r="C89" s="8">
        <f>IFERROR(B89/B444, "NA")</f>
        <v>-6.9466439135134142E-5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-51.2</v>
      </c>
      <c r="I89" s="8">
        <f>IFERROR(H89/H444, "NA")</f>
        <v>3.6326298707748691E-4</v>
      </c>
      <c r="J89" s="9"/>
      <c r="K89" s="7">
        <v>2367.5500000000002</v>
      </c>
      <c r="L89" s="8">
        <f>IFERROR(K89/K444, "NA")</f>
        <v>2.9344784403495293E-3</v>
      </c>
      <c r="M89" s="9"/>
      <c r="N89" s="10">
        <f t="shared" si="21"/>
        <v>-2418.75</v>
      </c>
      <c r="O89" s="8">
        <f>IFERROR(N89/N444, "NA")</f>
        <v>3.4673541883488333E-2</v>
      </c>
      <c r="P89" s="9"/>
      <c r="Q89" s="7">
        <v>-480.3900000000001</v>
      </c>
      <c r="R89" s="8">
        <f>IFERROR(Q89/Q444, "NA")</f>
        <v>-8.9659556900898311E-5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-480.3900000000001</v>
      </c>
      <c r="X89" s="8">
        <f>IFERROR(W89/W444, "NA")</f>
        <v>1.6991645128966244E-3</v>
      </c>
      <c r="Y89" s="9"/>
      <c r="Z89" s="7">
        <v>6.5600000000002581</v>
      </c>
      <c r="AA89" s="8">
        <f>IFERROR(Z89/Z444, "NA")</f>
        <v>1.3125659075408244E-6</v>
      </c>
      <c r="AB89" s="9"/>
      <c r="AC89" s="10">
        <f t="shared" si="23"/>
        <v>-486.95000000000039</v>
      </c>
      <c r="AD89" s="8">
        <f>IFERROR(AC89/AC444, "NA")</f>
        <v>-1.3523013394489919E-3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-32624.34</v>
      </c>
      <c r="F94" s="8">
        <f>IFERROR(E94/E444, "NA")</f>
        <v>-3.7157931682419439E-2</v>
      </c>
      <c r="G94" s="9"/>
      <c r="H94" s="10">
        <f t="shared" ref="H94:H124" si="24">IFERROR(B94-E94, "NA")</f>
        <v>32624.34</v>
      </c>
      <c r="I94" s="8">
        <f>IFERROR(H94/H444, "NA")</f>
        <v>-0.23146904687170974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-210771.27000000002</v>
      </c>
      <c r="U94" s="8">
        <f>IFERROR(T94/T444, "NA")</f>
        <v>-3.7366450160916852E-2</v>
      </c>
      <c r="V94" s="9"/>
      <c r="W94" s="10">
        <f t="shared" ref="W94:W124" si="26">IFERROR(Q94-T94, "NA")</f>
        <v>210771.27000000002</v>
      </c>
      <c r="X94" s="8">
        <f>IFERROR(W94/W444, "NA")</f>
        <v>-0.74550898711911751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-10223.050000000001</v>
      </c>
      <c r="C96" s="8">
        <f>IFERROR(B96/B444, "NA")</f>
        <v>-1.3870290636727211E-2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-10223.050000000001</v>
      </c>
      <c r="I96" s="8">
        <f>IFERROR(H96/H444, "NA")</f>
        <v>7.253233750083013E-2</v>
      </c>
      <c r="J96" s="9"/>
      <c r="K96" s="7">
        <v>-2016.69</v>
      </c>
      <c r="L96" s="8">
        <f>IFERROR(K96/K444, "NA")</f>
        <v>-2.4996022579749076E-3</v>
      </c>
      <c r="M96" s="9"/>
      <c r="N96" s="10">
        <f t="shared" si="25"/>
        <v>-8206.36</v>
      </c>
      <c r="O96" s="8">
        <f>IFERROR(N96/N444, "NA")</f>
        <v>0.11764075128516106</v>
      </c>
      <c r="P96" s="9"/>
      <c r="Q96" s="7">
        <v>-73025.33</v>
      </c>
      <c r="R96" s="8">
        <f>IFERROR(Q96/Q444, "NA")</f>
        <v>-1.3629381815487158E-2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-73025.33</v>
      </c>
      <c r="X96" s="8">
        <f>IFERROR(W96/W444, "NA")</f>
        <v>0.25829440512617918</v>
      </c>
      <c r="Y96" s="9"/>
      <c r="Z96" s="7">
        <v>-21997.14</v>
      </c>
      <c r="AA96" s="8">
        <f>IFERROR(Z96/Z444, "NA")</f>
        <v>-4.401325613933145E-3</v>
      </c>
      <c r="AB96" s="9"/>
      <c r="AC96" s="10">
        <f t="shared" si="27"/>
        <v>-51028.19</v>
      </c>
      <c r="AD96" s="8">
        <f>IFERROR(AC96/AC444, "NA")</f>
        <v>-0.14170959993152807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-13132</v>
      </c>
      <c r="C98" s="8">
        <f>IFERROR(B98/B444, "NA")</f>
        <v>-1.7817056225050421E-2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-13132</v>
      </c>
      <c r="I98" s="8">
        <f>IFERROR(H98/H444, "NA")</f>
        <v>9.31712802012023E-2</v>
      </c>
      <c r="J98" s="9"/>
      <c r="K98" s="7">
        <v>-17488.09</v>
      </c>
      <c r="L98" s="8">
        <f>IFERROR(K98/K444, "NA")</f>
        <v>-2.1675750488011743E-2</v>
      </c>
      <c r="M98" s="9"/>
      <c r="N98" s="10">
        <f t="shared" si="25"/>
        <v>4356.09</v>
      </c>
      <c r="O98" s="8">
        <f>IFERROR(N98/N444, "NA")</f>
        <v>-6.2445920026147676E-2</v>
      </c>
      <c r="P98" s="9"/>
      <c r="Q98" s="7">
        <v>-105295.29</v>
      </c>
      <c r="R98" s="8">
        <f>IFERROR(Q98/Q444, "NA")</f>
        <v>-1.9652218083539598E-2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-105295.29</v>
      </c>
      <c r="X98" s="8">
        <f>IFERROR(W98/W444, "NA")</f>
        <v>0.37243493857732002</v>
      </c>
      <c r="Y98" s="9"/>
      <c r="Z98" s="7">
        <v>-102142.93000000001</v>
      </c>
      <c r="AA98" s="8">
        <f>IFERROR(Z98/Z444, "NA")</f>
        <v>-2.0437397502183478E-2</v>
      </c>
      <c r="AB98" s="9"/>
      <c r="AC98" s="10">
        <f t="shared" si="27"/>
        <v>-3152.359999999986</v>
      </c>
      <c r="AD98" s="8">
        <f>IFERROR(AC98/AC444, "NA")</f>
        <v>-8.7543703674410143E-3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-1526.2600000000002</v>
      </c>
      <c r="C100" s="8">
        <f>IFERROR(B100/B444, "NA")</f>
        <v>-2.0707782694216769E-3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-1526.2600000000002</v>
      </c>
      <c r="I100" s="8">
        <f>IFERROR(H100/H444, "NA")</f>
        <v>1.0828784505017289E-2</v>
      </c>
      <c r="J100" s="9"/>
      <c r="K100" s="7">
        <v>-724.48</v>
      </c>
      <c r="L100" s="8">
        <f>IFERROR(K100/K444, "NA")</f>
        <v>-8.9796242548813201E-4</v>
      </c>
      <c r="M100" s="9"/>
      <c r="N100" s="10">
        <f t="shared" si="25"/>
        <v>-801.7800000000002</v>
      </c>
      <c r="O100" s="8">
        <f>IFERROR(N100/N444, "NA")</f>
        <v>1.1493768438798256E-2</v>
      </c>
      <c r="P100" s="9"/>
      <c r="Q100" s="7">
        <v>-17953.78</v>
      </c>
      <c r="R100" s="8">
        <f>IFERROR(Q100/Q444, "NA")</f>
        <v>-3.3508773277882756E-3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-17953.78</v>
      </c>
      <c r="X100" s="8">
        <f>IFERROR(W100/W444, "NA")</f>
        <v>6.350345729168623E-2</v>
      </c>
      <c r="Y100" s="9"/>
      <c r="Z100" s="7">
        <v>-20663.359999999997</v>
      </c>
      <c r="AA100" s="8">
        <f>IFERROR(Z100/Z444, "NA")</f>
        <v>-4.1344545535429416E-3</v>
      </c>
      <c r="AB100" s="9"/>
      <c r="AC100" s="10">
        <f t="shared" si="27"/>
        <v>2709.5799999999981</v>
      </c>
      <c r="AD100" s="8">
        <f>IFERROR(AC100/AC444, "NA")</f>
        <v>7.5247328541825521E-3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-6125.4299999999994</v>
      </c>
      <c r="C102" s="8">
        <f>IFERROR(B102/B444, "NA")</f>
        <v>-8.3107775443657175E-3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-6125.4299999999994</v>
      </c>
      <c r="I102" s="8">
        <f>IFERROR(H102/H444, "NA")</f>
        <v>4.3459804666680674E-2</v>
      </c>
      <c r="J102" s="9"/>
      <c r="K102" s="7">
        <v>-2183.2400000000002</v>
      </c>
      <c r="L102" s="8">
        <f>IFERROR(K102/K444, "NA")</f>
        <v>-2.7060339634257806E-3</v>
      </c>
      <c r="M102" s="9"/>
      <c r="N102" s="10">
        <f t="shared" si="25"/>
        <v>-3942.1899999999991</v>
      </c>
      <c r="O102" s="8">
        <f>IFERROR(N102/N444, "NA")</f>
        <v>5.6512533365444484E-2</v>
      </c>
      <c r="P102" s="9"/>
      <c r="Q102" s="7">
        <v>-46901.560000000005</v>
      </c>
      <c r="R102" s="8">
        <f>IFERROR(Q102/Q444, "NA")</f>
        <v>-8.7536649130100456E-3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-46901.560000000005</v>
      </c>
      <c r="X102" s="8">
        <f>IFERROR(W102/W444, "NA")</f>
        <v>0.16589326661981263</v>
      </c>
      <c r="Y102" s="9"/>
      <c r="Z102" s="7">
        <v>-17434.71</v>
      </c>
      <c r="AA102" s="8">
        <f>IFERROR(Z102/Z444, "NA")</f>
        <v>-3.4884460295518571E-3</v>
      </c>
      <c r="AB102" s="9"/>
      <c r="AC102" s="10">
        <f t="shared" si="27"/>
        <v>-29466.850000000006</v>
      </c>
      <c r="AD102" s="8">
        <f>IFERROR(AC102/AC444, "NA")</f>
        <v>-8.1831934950903587E-2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-5463.8700000000008</v>
      </c>
      <c r="C104" s="8">
        <f>IFERROR(B104/B444, "NA")</f>
        <v>-7.4131951718219811E-3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-5463.8700000000008</v>
      </c>
      <c r="I104" s="8">
        <f>IFERROR(H104/H444, "NA")</f>
        <v>3.8766049554747432E-2</v>
      </c>
      <c r="J104" s="9"/>
      <c r="K104" s="7">
        <v>-4279.2199999999993</v>
      </c>
      <c r="L104" s="8">
        <f>IFERROR(K104/K444, "NA")</f>
        <v>-5.3039128345811117E-3</v>
      </c>
      <c r="M104" s="9"/>
      <c r="N104" s="10">
        <f t="shared" si="25"/>
        <v>-1184.6500000000015</v>
      </c>
      <c r="O104" s="8">
        <f>IFERROR(N104/N444, "NA")</f>
        <v>1.698233029137964E-2</v>
      </c>
      <c r="P104" s="9"/>
      <c r="Q104" s="7">
        <v>-32576.600000000002</v>
      </c>
      <c r="R104" s="8">
        <f>IFERROR(Q104/Q444, "NA")</f>
        <v>-6.0800672814542425E-3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-32576.600000000002</v>
      </c>
      <c r="X104" s="8">
        <f>IFERROR(W104/W444, "NA")</f>
        <v>0.11522513514192254</v>
      </c>
      <c r="Y104" s="9"/>
      <c r="Z104" s="7">
        <v>-30525</v>
      </c>
      <c r="AA104" s="8">
        <f>IFERROR(Z104/Z444, "NA")</f>
        <v>-6.1076332816588546E-3</v>
      </c>
      <c r="AB104" s="9"/>
      <c r="AC104" s="10">
        <f t="shared" si="27"/>
        <v>-2051.6000000000022</v>
      </c>
      <c r="AD104" s="8">
        <f>IFERROR(AC104/AC444, "NA")</f>
        <v>-5.6974667378859277E-3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-266.49</v>
      </c>
      <c r="C106" s="8">
        <f>IFERROR(B106/B444, "NA")</f>
        <v>-3.6156467510003711E-4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-266.49</v>
      </c>
      <c r="I106" s="8">
        <f>IFERROR(H106/H444, "NA")</f>
        <v>1.8907412778570213E-3</v>
      </c>
      <c r="J106" s="9"/>
      <c r="K106" s="7">
        <v>-913.44</v>
      </c>
      <c r="L106" s="8">
        <f>IFERROR(K106/K444, "NA")</f>
        <v>-1.1321703814292725E-3</v>
      </c>
      <c r="M106" s="9"/>
      <c r="N106" s="10">
        <f t="shared" si="25"/>
        <v>646.95000000000005</v>
      </c>
      <c r="O106" s="8">
        <f>IFERROR(N106/N444, "NA")</f>
        <v>-9.2742316988207868E-3</v>
      </c>
      <c r="P106" s="9"/>
      <c r="Q106" s="7">
        <v>-4500.22</v>
      </c>
      <c r="R106" s="8">
        <f>IFERROR(Q106/Q444, "NA")</f>
        <v>-8.3991700734103655E-4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-4500.22</v>
      </c>
      <c r="X106" s="8">
        <f>IFERROR(W106/W444, "NA")</f>
        <v>1.5917513112736831E-2</v>
      </c>
      <c r="Y106" s="9"/>
      <c r="Z106" s="7">
        <v>-26855.550000000003</v>
      </c>
      <c r="AA106" s="8">
        <f>IFERROR(Z106/Z444, "NA")</f>
        <v>-5.3734267314415555E-3</v>
      </c>
      <c r="AB106" s="9"/>
      <c r="AC106" s="10">
        <f t="shared" si="27"/>
        <v>22355.33</v>
      </c>
      <c r="AD106" s="8">
        <f>IFERROR(AC106/AC444, "NA")</f>
        <v>6.208264237154576E-2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-297.77999999999997</v>
      </c>
      <c r="AA108" s="8">
        <f>IFERROR(Z108/Z444, "NA")</f>
        <v>-5.9581688406629767E-5</v>
      </c>
      <c r="AB108" s="9"/>
      <c r="AC108" s="10">
        <f t="shared" si="27"/>
        <v>297.77999999999997</v>
      </c>
      <c r="AD108" s="8">
        <f>IFERROR(AC108/AC444, "NA")</f>
        <v>8.269602482002678E-4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-2.3109963768438913E-6</v>
      </c>
      <c r="AB111" s="9"/>
      <c r="AC111" s="10">
        <f t="shared" si="27"/>
        <v>11.55</v>
      </c>
      <c r="AD111" s="8">
        <f>IFERROR(AC111/AC444, "NA")</f>
        <v>3.2075326975327741E-5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-36737.100000000006</v>
      </c>
      <c r="C118" s="15">
        <f>IFERROR(B118/B444, "NA")</f>
        <v>-4.9843662522487051E-2</v>
      </c>
      <c r="D118" s="2"/>
      <c r="E118" s="14">
        <f>IFERROR(E94+E95+E96+E97+E98+E99+E100+E101+E102+E103+E104+E105+E106+E107+E108+E109+E110+E111+E112+E113+E114+E115+E116+E117, "NA")</f>
        <v>-32624.34</v>
      </c>
      <c r="F118" s="15">
        <f>IFERROR(E118/E444, "NA")</f>
        <v>-3.7157931682419439E-2</v>
      </c>
      <c r="G118" s="2"/>
      <c r="H118" s="14">
        <f t="shared" si="24"/>
        <v>-4112.7600000000057</v>
      </c>
      <c r="I118" s="15">
        <f>IFERROR(H118/H444, "NA")</f>
        <v>2.9179950834625139E-2</v>
      </c>
      <c r="J118" s="2"/>
      <c r="K118" s="14">
        <f>IFERROR(K94+K95+K96+K97+K98+K99+K100+K101+K102+K103+K104+K105+K106+K107+K108+K109+K110+K111+K112+K113+K114+K115+K116+K117, "NA")</f>
        <v>-27605.16</v>
      </c>
      <c r="L118" s="15">
        <f>IFERROR(K118/K444, "NA")</f>
        <v>-3.4215432350910943E-2</v>
      </c>
      <c r="M118" s="2"/>
      <c r="N118" s="14">
        <f t="shared" si="25"/>
        <v>-9131.940000000006</v>
      </c>
      <c r="O118" s="15">
        <f>IFERROR(N118/N444, "NA")</f>
        <v>0.13090923165581506</v>
      </c>
      <c r="P118" s="2"/>
      <c r="Q118" s="14">
        <f>IFERROR(Q94+Q95+Q96+Q97+Q98+Q99+Q100+Q101+Q102+Q103+Q104+Q105+Q106+Q107+Q108+Q109+Q110+Q111+Q112+Q113+Q114+Q115+Q116+Q117, "NA")</f>
        <v>-280252.77999999997</v>
      </c>
      <c r="R118" s="15">
        <f>IFERROR(Q118/Q444, "NA")</f>
        <v>-5.2306126428620349E-2</v>
      </c>
      <c r="S118" s="2"/>
      <c r="T118" s="14">
        <f>IFERROR(T94+T95+T96+T97+T98+T99+T100+T101+T102+T103+T104+T105+T106+T107+T108+T109+T110+T111+T112+T113+T114+T115+T116+T117, "NA")</f>
        <v>-210771.27000000002</v>
      </c>
      <c r="U118" s="15">
        <f>IFERROR(T118/T444, "NA")</f>
        <v>-3.7366450160916852E-2</v>
      </c>
      <c r="V118" s="2"/>
      <c r="W118" s="14">
        <f t="shared" si="26"/>
        <v>-69481.509999999951</v>
      </c>
      <c r="X118" s="15">
        <f>IFERROR(W118/W444, "NA")</f>
        <v>0.24575972875053984</v>
      </c>
      <c r="Y118" s="2"/>
      <c r="Z118" s="14">
        <f>IFERROR(Z94+Z95+Z96+Z97+Z98+Z99+Z100+Z101+Z102+Z103+Z104+Z105+Z106+Z107+Z108+Z109+Z110+Z111+Z112+Z113+Z114+Z115+Z116+Z117, "NA")</f>
        <v>-219928.02</v>
      </c>
      <c r="AA118" s="15">
        <f>IFERROR(Z118/Z444, "NA")</f>
        <v>-4.4004576397095305E-2</v>
      </c>
      <c r="AB118" s="2"/>
      <c r="AC118" s="14">
        <f t="shared" si="27"/>
        <v>-60324.75999999998</v>
      </c>
      <c r="AD118" s="15">
        <f>IFERROR(AC118/AC444, "NA")</f>
        <v>-0.16752696118685464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737046.55999999971</v>
      </c>
      <c r="C122" s="15">
        <f>IFERROR(B122/B444, "NA")</f>
        <v>0.99999999999999956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877991.28000000014</v>
      </c>
      <c r="F122" s="15">
        <f>IFERROR(E122/E444, "NA")</f>
        <v>1.0000000000000002</v>
      </c>
      <c r="G122" s="2"/>
      <c r="H122" s="14">
        <f t="shared" si="24"/>
        <v>-140944.72000000044</v>
      </c>
      <c r="I122" s="15">
        <f>IFERROR(H122/H444, "NA")</f>
        <v>1.0000000000000033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806804.36000000022</v>
      </c>
      <c r="L122" s="15">
        <f>IFERROR(K122/K444, "NA")</f>
        <v>1.0000000000000002</v>
      </c>
      <c r="M122" s="2"/>
      <c r="N122" s="14">
        <f t="shared" si="25"/>
        <v>-69757.800000000512</v>
      </c>
      <c r="O122" s="15">
        <f>IFERROR(N122/N444, "NA")</f>
        <v>1.0000000000000084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5357934.1300000008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5640655.4299999997</v>
      </c>
      <c r="U122" s="15">
        <f>IFERROR(T122/T444, "NA")</f>
        <v>1</v>
      </c>
      <c r="V122" s="2"/>
      <c r="W122" s="14">
        <f t="shared" si="26"/>
        <v>-282721.29999999888</v>
      </c>
      <c r="X122" s="15">
        <f>IFERROR(W122/W444, "NA")</f>
        <v>0.99999999999999667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4997844.2699999996</v>
      </c>
      <c r="AA122" s="15">
        <f>IFERROR(Z122/Z444, "NA")</f>
        <v>1</v>
      </c>
      <c r="AB122" s="2"/>
      <c r="AC122" s="14">
        <f t="shared" si="27"/>
        <v>360089.86000000127</v>
      </c>
      <c r="AD122" s="15">
        <f>IFERROR(AC122/AC444, "NA")</f>
        <v>1.0000000000000027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737046.55999999971</v>
      </c>
      <c r="C124" s="15">
        <f>IFERROR(B124/B444, "NA")</f>
        <v>0.99999999999999956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877991.28000000014</v>
      </c>
      <c r="F124" s="15">
        <f>IFERROR(E124/E444, "NA")</f>
        <v>1.0000000000000002</v>
      </c>
      <c r="G124" s="2"/>
      <c r="H124" s="14">
        <f t="shared" si="24"/>
        <v>-140944.72000000044</v>
      </c>
      <c r="I124" s="15">
        <f>IFERROR(H124/H444, "NA")</f>
        <v>1.0000000000000033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806804.36000000022</v>
      </c>
      <c r="L124" s="15">
        <f>IFERROR(K124/K444, "NA")</f>
        <v>1.0000000000000002</v>
      </c>
      <c r="M124" s="2"/>
      <c r="N124" s="14">
        <f t="shared" si="25"/>
        <v>-69757.800000000512</v>
      </c>
      <c r="O124" s="15">
        <f>IFERROR(N124/N444, "NA")</f>
        <v>1.0000000000000084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5357934.1300000008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5640655.4299999997</v>
      </c>
      <c r="U124" s="15">
        <f>IFERROR(T124/T444, "NA")</f>
        <v>1</v>
      </c>
      <c r="V124" s="2"/>
      <c r="W124" s="14">
        <f t="shared" si="26"/>
        <v>-282721.29999999888</v>
      </c>
      <c r="X124" s="15">
        <f>IFERROR(W124/W444, "NA")</f>
        <v>0.99999999999999667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4997844.2699999996</v>
      </c>
      <c r="AA124" s="15">
        <f>IFERROR(Z124/Z444, "NA")</f>
        <v>1</v>
      </c>
      <c r="AB124" s="2"/>
      <c r="AC124" s="14">
        <f t="shared" si="27"/>
        <v>360089.86000000127</v>
      </c>
      <c r="AD124" s="15">
        <f>IFERROR(AC124/AC444, "NA")</f>
        <v>1.0000000000000027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194954.56</v>
      </c>
      <c r="F129" s="8">
        <f>IFERROR(E129/E444, "NA")</f>
        <v>0.22204612328268225</v>
      </c>
      <c r="G129" s="9"/>
      <c r="H129" s="10">
        <f t="shared" ref="H129:H141" si="28">IFERROR(-(B129-E129), "NA")</f>
        <v>194954.56</v>
      </c>
      <c r="I129" s="8">
        <f>IFERROR(H129/H444, "NA")</f>
        <v>-1.3831987462886162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1295806.1299999999</v>
      </c>
      <c r="U129" s="8">
        <f>IFERROR(T129/T444, "NA")</f>
        <v>0.22972616322355291</v>
      </c>
      <c r="V129" s="9"/>
      <c r="W129" s="10">
        <f t="shared" ref="W129:W141" si="30">IFERROR(-(Q129-T129), "NA")</f>
        <v>1295806.1299999999</v>
      </c>
      <c r="X129" s="8">
        <f>IFERROR(W129/W444, "NA")</f>
        <v>-4.5833339405272993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35680.22</v>
      </c>
      <c r="C130" s="8">
        <f>IFERROR(B130/B444, "NA")</f>
        <v>4.8409723260902267E-2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-35680.22</v>
      </c>
      <c r="I130" s="8">
        <f>IFERROR(H130/H444, "NA")</f>
        <v>0.25315045501527128</v>
      </c>
      <c r="J130" s="9"/>
      <c r="K130" s="7">
        <v>49349.729999999996</v>
      </c>
      <c r="L130" s="8">
        <f>IFERROR(K130/K444, "NA")</f>
        <v>6.1166910401921966E-2</v>
      </c>
      <c r="M130" s="9"/>
      <c r="N130" s="10">
        <f t="shared" si="29"/>
        <v>13669.509999999995</v>
      </c>
      <c r="O130" s="8">
        <f>IFERROR(N130/N444, "NA")</f>
        <v>-0.19595672455266663</v>
      </c>
      <c r="P130" s="9"/>
      <c r="Q130" s="7">
        <v>283411.3</v>
      </c>
      <c r="R130" s="8">
        <f>IFERROR(Q130/Q444, "NA")</f>
        <v>5.2895629756463614E-2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-283411.3</v>
      </c>
      <c r="X130" s="8">
        <f>IFERROR(W130/W444, "NA")</f>
        <v>1.0024405660273923</v>
      </c>
      <c r="Y130" s="9"/>
      <c r="Z130" s="7">
        <v>319309.46999999997</v>
      </c>
      <c r="AA130" s="8">
        <f>IFERROR(Z130/Z444, "NA")</f>
        <v>6.3889439676358697E-2</v>
      </c>
      <c r="AB130" s="9"/>
      <c r="AC130" s="10">
        <f t="shared" si="31"/>
        <v>35898.169999999984</v>
      </c>
      <c r="AD130" s="8">
        <f>IFERROR(AC130/AC444, "NA")</f>
        <v>9.9692254594450261E-2</v>
      </c>
    </row>
    <row r="131" spans="1:30" ht="16.5" customHeight="1" x14ac:dyDescent="0.45">
      <c r="A131" s="12" t="s">
        <v>123</v>
      </c>
      <c r="B131" s="7">
        <v>18678.580000000002</v>
      </c>
      <c r="C131" s="8">
        <f>IFERROR(B131/B444, "NA")</f>
        <v>2.534246954493621E-2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-18678.580000000002</v>
      </c>
      <c r="I131" s="8">
        <f>IFERROR(H131/H444, "NA")</f>
        <v>0.13252415556964464</v>
      </c>
      <c r="J131" s="9"/>
      <c r="K131" s="7">
        <v>22300.61</v>
      </c>
      <c r="L131" s="8">
        <f>IFERROR(K131/K444, "NA")</f>
        <v>2.7640666195705738E-2</v>
      </c>
      <c r="M131" s="9"/>
      <c r="N131" s="10">
        <f t="shared" si="29"/>
        <v>3622.0299999999988</v>
      </c>
      <c r="O131" s="8">
        <f>IFERROR(N131/N444, "NA")</f>
        <v>-5.192293908351471E-2</v>
      </c>
      <c r="P131" s="9"/>
      <c r="Q131" s="7">
        <v>157171.34999999998</v>
      </c>
      <c r="R131" s="8">
        <f>IFERROR(Q131/Q444, "NA")</f>
        <v>2.9334319195894999E-2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-157171.34999999998</v>
      </c>
      <c r="X131" s="8">
        <f>IFERROR(W131/W444, "NA")</f>
        <v>0.55592327143374087</v>
      </c>
      <c r="Y131" s="9"/>
      <c r="Z131" s="7">
        <v>155673.07999999999</v>
      </c>
      <c r="AA131" s="8">
        <f>IFERROR(Z131/Z444, "NA")</f>
        <v>3.1148045355162697E-2</v>
      </c>
      <c r="AB131" s="9"/>
      <c r="AC131" s="10">
        <f t="shared" si="31"/>
        <v>-1498.2699999999895</v>
      </c>
      <c r="AD131" s="8">
        <f>IFERROR(AC131/AC444, "NA")</f>
        <v>-4.1608225235778319E-3</v>
      </c>
    </row>
    <row r="132" spans="1:30" ht="16.5" customHeight="1" x14ac:dyDescent="0.45">
      <c r="A132" s="12" t="s">
        <v>124</v>
      </c>
      <c r="B132" s="7">
        <v>36627.31</v>
      </c>
      <c r="C132" s="8">
        <f>IFERROR(B132/B444, "NA")</f>
        <v>4.9694703140599414E-2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-36627.31</v>
      </c>
      <c r="I132" s="8">
        <f>IFERROR(H132/H444, "NA")</f>
        <v>0.25987003982838097</v>
      </c>
      <c r="J132" s="9"/>
      <c r="K132" s="7">
        <v>29307.43</v>
      </c>
      <c r="L132" s="8">
        <f>IFERROR(K132/K444, "NA")</f>
        <v>3.6325324270681927E-2</v>
      </c>
      <c r="M132" s="9"/>
      <c r="N132" s="10">
        <f t="shared" si="29"/>
        <v>-7319.8799999999974</v>
      </c>
      <c r="O132" s="8">
        <f>IFERROR(N132/N444, "NA")</f>
        <v>0.10493278171043245</v>
      </c>
      <c r="P132" s="9"/>
      <c r="Q132" s="7">
        <v>249082.76</v>
      </c>
      <c r="R132" s="8">
        <f>IFERROR(Q132/Q444, "NA")</f>
        <v>4.6488581971424872E-2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-249082.76</v>
      </c>
      <c r="X132" s="8">
        <f>IFERROR(W132/W444, "NA")</f>
        <v>0.88101872763035605</v>
      </c>
      <c r="Y132" s="9"/>
      <c r="Z132" s="7">
        <v>178231.80999999997</v>
      </c>
      <c r="AA132" s="8">
        <f>IFERROR(Z132/Z444, "NA")</f>
        <v>3.5661737415439716E-2</v>
      </c>
      <c r="AB132" s="9"/>
      <c r="AC132" s="10">
        <f t="shared" si="31"/>
        <v>-70850.950000000041</v>
      </c>
      <c r="AD132" s="8">
        <f>IFERROR(AC132/AC444, "NA")</f>
        <v>-0.19675908119156696</v>
      </c>
    </row>
    <row r="133" spans="1:30" ht="16.5" customHeight="1" x14ac:dyDescent="0.45">
      <c r="A133" s="12" t="s">
        <v>125</v>
      </c>
      <c r="B133" s="7">
        <v>16296.77</v>
      </c>
      <c r="C133" s="8">
        <f>IFERROR(B133/B444, "NA")</f>
        <v>2.2110909791099222E-2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-16296.77</v>
      </c>
      <c r="I133" s="8">
        <f>IFERROR(H133/H444, "NA")</f>
        <v>0.11562526074052298</v>
      </c>
      <c r="J133" s="9"/>
      <c r="K133" s="7">
        <v>17361.580000000002</v>
      </c>
      <c r="L133" s="8">
        <f>IFERROR(K133/K444, "NA")</f>
        <v>2.1518946675003099E-2</v>
      </c>
      <c r="M133" s="9"/>
      <c r="N133" s="10">
        <f t="shared" si="29"/>
        <v>1064.8100000000013</v>
      </c>
      <c r="O133" s="8">
        <f>IFERROR(N133/N444, "NA")</f>
        <v>-1.526438620484021E-2</v>
      </c>
      <c r="P133" s="9"/>
      <c r="Q133" s="7">
        <v>127070.18000000001</v>
      </c>
      <c r="R133" s="8">
        <f>IFERROR(Q133/Q444, "NA")</f>
        <v>2.371626393996001E-2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-127070.18000000001</v>
      </c>
      <c r="X133" s="8">
        <f>IFERROR(W133/W444, "NA")</f>
        <v>0.44945386145295768</v>
      </c>
      <c r="Y133" s="9"/>
      <c r="Z133" s="7">
        <v>104678.26000000001</v>
      </c>
      <c r="AA133" s="8">
        <f>IFERROR(Z133/Z444, "NA")</f>
        <v>2.0944682215958684E-2</v>
      </c>
      <c r="AB133" s="9"/>
      <c r="AC133" s="10">
        <f t="shared" si="31"/>
        <v>-22391.919999999998</v>
      </c>
      <c r="AD133" s="8">
        <f>IFERROR(AC133/AC444, "NA")</f>
        <v>-6.2184255896569757E-2</v>
      </c>
    </row>
    <row r="134" spans="1:30" ht="16.5" customHeight="1" x14ac:dyDescent="0.45">
      <c r="A134" s="12" t="s">
        <v>126</v>
      </c>
      <c r="B134" s="7">
        <v>7392.7900000000009</v>
      </c>
      <c r="C134" s="8">
        <f>IFERROR(B134/B444, "NA")</f>
        <v>1.0030288995582587E-2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-7392.7900000000009</v>
      </c>
      <c r="I134" s="8">
        <f>IFERROR(H134/H444, "NA")</f>
        <v>5.2451698793683103E-2</v>
      </c>
      <c r="J134" s="9"/>
      <c r="K134" s="7">
        <v>7710.7599999999993</v>
      </c>
      <c r="L134" s="8">
        <f>IFERROR(K134/K444, "NA")</f>
        <v>9.5571620361595468E-3</v>
      </c>
      <c r="M134" s="9"/>
      <c r="N134" s="10">
        <f t="shared" si="29"/>
        <v>317.96999999999844</v>
      </c>
      <c r="O134" s="8">
        <f>IFERROR(N134/N444, "NA")</f>
        <v>-4.5581999432321371E-3</v>
      </c>
      <c r="P134" s="9"/>
      <c r="Q134" s="7">
        <v>47618.11</v>
      </c>
      <c r="R134" s="8">
        <f>IFERROR(Q134/Q444, "NA")</f>
        <v>8.8874011595958171E-3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-47618.11</v>
      </c>
      <c r="X134" s="8">
        <f>IFERROR(W134/W444, "NA")</f>
        <v>0.16842774138347563</v>
      </c>
      <c r="Y134" s="9"/>
      <c r="Z134" s="7">
        <v>52813.610000000008</v>
      </c>
      <c r="AA134" s="8">
        <f>IFERROR(Z134/Z444, "NA")</f>
        <v>1.0567278039657688E-2</v>
      </c>
      <c r="AB134" s="9"/>
      <c r="AC134" s="10">
        <f t="shared" si="31"/>
        <v>5195.5000000000073</v>
      </c>
      <c r="AD134" s="8">
        <f>IFERROR(AC134/AC444, "NA")</f>
        <v>1.4428342969724285E-2</v>
      </c>
    </row>
    <row r="135" spans="1:30" ht="16.5" customHeight="1" x14ac:dyDescent="0.45">
      <c r="A135" s="12" t="s">
        <v>127</v>
      </c>
      <c r="B135" s="7">
        <v>6929.7500000000009</v>
      </c>
      <c r="C135" s="8">
        <f>IFERROR(B135/B444, "NA")</f>
        <v>9.4020518866542169E-3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-6929.7500000000009</v>
      </c>
      <c r="I135" s="8">
        <f>IFERROR(H135/H444, "NA")</f>
        <v>4.9166439154301078E-2</v>
      </c>
      <c r="J135" s="9"/>
      <c r="K135" s="7">
        <v>5896.36</v>
      </c>
      <c r="L135" s="8">
        <f>IFERROR(K135/K444, "NA")</f>
        <v>7.3082897073089683E-3</v>
      </c>
      <c r="M135" s="9"/>
      <c r="N135" s="10">
        <f t="shared" si="29"/>
        <v>-1033.3900000000012</v>
      </c>
      <c r="O135" s="8">
        <f>IFERROR(N135/N444, "NA")</f>
        <v>1.4813970624073613E-2</v>
      </c>
      <c r="P135" s="9"/>
      <c r="Q135" s="7">
        <v>45278.12</v>
      </c>
      <c r="R135" s="8">
        <f>IFERROR(Q135/Q444, "NA")</f>
        <v>8.4506675336824284E-3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-45278.12</v>
      </c>
      <c r="X135" s="8">
        <f>IFERROR(W135/W444, "NA")</f>
        <v>0.16015107457414787</v>
      </c>
      <c r="Y135" s="9"/>
      <c r="Z135" s="7">
        <v>42786.879999999997</v>
      </c>
      <c r="AA135" s="8">
        <f>IFERROR(Z135/Z444, "NA")</f>
        <v>8.5610670698228857E-3</v>
      </c>
      <c r="AB135" s="9"/>
      <c r="AC135" s="10">
        <f t="shared" si="31"/>
        <v>-2491.2400000000052</v>
      </c>
      <c r="AD135" s="8">
        <f>IFERROR(AC135/AC444, "NA")</f>
        <v>-6.9183842055424803E-3</v>
      </c>
    </row>
    <row r="136" spans="1:30" ht="16.5" customHeight="1" x14ac:dyDescent="0.45">
      <c r="A136" s="12" t="s">
        <v>128</v>
      </c>
      <c r="B136" s="7">
        <v>82</v>
      </c>
      <c r="C136" s="8">
        <f>IFERROR(B136/B444, "NA")</f>
        <v>1.1125484392736328E-4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-82</v>
      </c>
      <c r="I136" s="8">
        <f>IFERROR(H136/H444, "NA")</f>
        <v>5.8178837774128765E-4</v>
      </c>
      <c r="J136" s="9"/>
      <c r="K136" s="7">
        <v>6456.02</v>
      </c>
      <c r="L136" s="8">
        <f>IFERROR(K136/K444, "NA")</f>
        <v>8.0019646894322685E-3</v>
      </c>
      <c r="M136" s="9"/>
      <c r="N136" s="10">
        <f t="shared" si="29"/>
        <v>6374.02</v>
      </c>
      <c r="O136" s="8">
        <f>IFERROR(N136/N444, "NA")</f>
        <v>-9.1373581162250056E-2</v>
      </c>
      <c r="P136" s="9"/>
      <c r="Q136" s="7">
        <v>25124.32</v>
      </c>
      <c r="R136" s="8">
        <f>IFERROR(Q136/Q444, "NA")</f>
        <v>4.6891804547063371E-3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-25124.32</v>
      </c>
      <c r="X136" s="8">
        <f>IFERROR(W136/W444, "NA")</f>
        <v>8.8866031671472986E-2</v>
      </c>
      <c r="Y136" s="9"/>
      <c r="Z136" s="7">
        <v>43307.320000000007</v>
      </c>
      <c r="AA136" s="8">
        <f>IFERROR(Z136/Z444, "NA")</f>
        <v>8.6651999663046753E-3</v>
      </c>
      <c r="AB136" s="9"/>
      <c r="AC136" s="10">
        <f t="shared" si="31"/>
        <v>18183.000000000007</v>
      </c>
      <c r="AD136" s="8">
        <f>IFERROR(AC136/AC444, "NA")</f>
        <v>5.0495729038301691E-2</v>
      </c>
    </row>
    <row r="137" spans="1:30" ht="16.5" customHeight="1" x14ac:dyDescent="0.45">
      <c r="A137" s="12" t="s">
        <v>129</v>
      </c>
      <c r="B137" s="7">
        <v>2989.35</v>
      </c>
      <c r="C137" s="8">
        <f>IFERROR(B137/B444, "NA")</f>
        <v>4.0558496060276025E-3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-2989.35</v>
      </c>
      <c r="I137" s="8">
        <f>IFERROR(H137/H444, "NA")</f>
        <v>2.1209379109767293E-2</v>
      </c>
      <c r="J137" s="9"/>
      <c r="K137" s="7">
        <v>3700.5300000000007</v>
      </c>
      <c r="L137" s="8">
        <f>IFERROR(K137/K444, "NA")</f>
        <v>4.5866509695113708E-3</v>
      </c>
      <c r="M137" s="9"/>
      <c r="N137" s="10">
        <f t="shared" si="29"/>
        <v>711.18000000000075</v>
      </c>
      <c r="O137" s="8">
        <f>IFERROR(N137/N444, "NA")</f>
        <v>-1.0194988947472561E-2</v>
      </c>
      <c r="P137" s="9"/>
      <c r="Q137" s="7">
        <v>28136.22</v>
      </c>
      <c r="R137" s="8">
        <f>IFERROR(Q137/Q444, "NA")</f>
        <v>5.2513187578138443E-3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-28136.22</v>
      </c>
      <c r="X137" s="8">
        <f>IFERROR(W137/W444, "NA")</f>
        <v>9.9519279233648186E-2</v>
      </c>
      <c r="Y137" s="9"/>
      <c r="Z137" s="7">
        <v>25843.949999999997</v>
      </c>
      <c r="AA137" s="8">
        <f>IFERROR(Z137/Z444, "NA")</f>
        <v>5.1710194643579798E-3</v>
      </c>
      <c r="AB137" s="9"/>
      <c r="AC137" s="10">
        <f t="shared" si="31"/>
        <v>-2292.2700000000041</v>
      </c>
      <c r="AD137" s="8">
        <f>IFERROR(AC137/AC444, "NA")</f>
        <v>-6.3658276853449909E-3</v>
      </c>
    </row>
    <row r="138" spans="1:30" ht="16.5" customHeight="1" x14ac:dyDescent="0.45">
      <c r="A138" s="12" t="s">
        <v>130</v>
      </c>
      <c r="B138" s="7">
        <v>43286.270000000004</v>
      </c>
      <c r="C138" s="8">
        <f>IFERROR(B138/B444, "NA")</f>
        <v>5.8729356256679362E-2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-43286.270000000004</v>
      </c>
      <c r="I138" s="8">
        <f>IFERROR(H138/H444, "NA")</f>
        <v>0.30711522928989476</v>
      </c>
      <c r="J138" s="9"/>
      <c r="K138" s="7">
        <v>40070.399999999994</v>
      </c>
      <c r="L138" s="8">
        <f>IFERROR(K138/K444, "NA")</f>
        <v>4.9665571960964605E-2</v>
      </c>
      <c r="M138" s="9"/>
      <c r="N138" s="10">
        <f t="shared" si="29"/>
        <v>-3215.8700000000099</v>
      </c>
      <c r="O138" s="8">
        <f>IFERROR(N138/N444, "NA")</f>
        <v>4.6100507756838847E-2</v>
      </c>
      <c r="P138" s="9"/>
      <c r="Q138" s="7">
        <v>311570.24</v>
      </c>
      <c r="R138" s="8">
        <f>IFERROR(Q138/Q444, "NA")</f>
        <v>5.8151188954612999E-2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-311570.24</v>
      </c>
      <c r="X138" s="8">
        <f>IFERROR(W138/W444, "NA")</f>
        <v>1.1020402070873336</v>
      </c>
      <c r="Y138" s="9"/>
      <c r="Z138" s="7">
        <v>244919.67999999999</v>
      </c>
      <c r="AA138" s="8">
        <f>IFERROR(Z138/Z444, "NA")</f>
        <v>4.9005064337468845E-2</v>
      </c>
      <c r="AB138" s="9"/>
      <c r="AC138" s="10">
        <f t="shared" si="31"/>
        <v>-66650.559999999998</v>
      </c>
      <c r="AD138" s="8">
        <f>IFERROR(AC138/AC444, "NA")</f>
        <v>-0.18509424286482251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10.89</v>
      </c>
      <c r="C140" s="8">
        <f>IFERROR(B140/B444, "NA")</f>
        <v>1.4775185980109587E-5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-10.89</v>
      </c>
      <c r="I140" s="8">
        <f>IFERROR(H140/H444, "NA")</f>
        <v>7.7264334556129542E-5</v>
      </c>
      <c r="J140" s="9"/>
      <c r="K140" s="7">
        <v>75.180000000000007</v>
      </c>
      <c r="L140" s="8">
        <f>IFERROR(K140/K444, "NA")</f>
        <v>9.3182441403762381E-5</v>
      </c>
      <c r="M140" s="9"/>
      <c r="N140" s="10">
        <f t="shared" si="29"/>
        <v>64.290000000000006</v>
      </c>
      <c r="O140" s="8">
        <f>IFERROR(N140/N444, "NA")</f>
        <v>-9.2161736752019235E-4</v>
      </c>
      <c r="P140" s="9"/>
      <c r="Q140" s="7">
        <v>98.29</v>
      </c>
      <c r="R140" s="8">
        <f>IFERROR(Q140/Q444, "NA")</f>
        <v>1.8344757067776795E-5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-98.29</v>
      </c>
      <c r="X140" s="8">
        <f>IFERROR(W140/W444, "NA")</f>
        <v>3.4765686207583255E-4</v>
      </c>
      <c r="Y140" s="9"/>
      <c r="Z140" s="7">
        <v>332.87</v>
      </c>
      <c r="AA140" s="8">
        <f>IFERROR(Z140/Z444, "NA")</f>
        <v>6.6602715494374547E-5</v>
      </c>
      <c r="AB140" s="9"/>
      <c r="AC140" s="10">
        <f t="shared" si="31"/>
        <v>234.57999999999998</v>
      </c>
      <c r="AD140" s="8">
        <f>IFERROR(AC140/AC444, "NA")</f>
        <v>6.5144850232661303E-4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167973.93000000005</v>
      </c>
      <c r="C141" s="15">
        <f>IFERROR(B141/B444, "NA")</f>
        <v>0.22790138251238842</v>
      </c>
      <c r="D141" s="2"/>
      <c r="E141" s="14">
        <f>IFERROR(E129+E130+E131+E132+E133+E134+E135+E136+E137+E138+E139+E140, "NA")</f>
        <v>194954.56</v>
      </c>
      <c r="F141" s="15">
        <f>IFERROR(E141/E444, "NA")</f>
        <v>0.22204612328268225</v>
      </c>
      <c r="G141" s="2"/>
      <c r="H141" s="14">
        <f t="shared" si="28"/>
        <v>26980.629999999946</v>
      </c>
      <c r="I141" s="15">
        <f>IFERROR(H141/H444, "NA")</f>
        <v>-0.19142703607485226</v>
      </c>
      <c r="J141" s="2"/>
      <c r="K141" s="14">
        <f>IFERROR(K129+K130+K131+K132+K133+K134+K135+K136+K137+K138+K139+K140, "NA")</f>
        <v>182228.59999999995</v>
      </c>
      <c r="L141" s="15">
        <f>IFERROR(K141/K444, "NA")</f>
        <v>0.22586466934809321</v>
      </c>
      <c r="M141" s="2"/>
      <c r="N141" s="14">
        <f t="shared" si="29"/>
        <v>14254.669999999896</v>
      </c>
      <c r="O141" s="15">
        <f>IFERROR(N141/N444, "NA")</f>
        <v>-0.2043451771701503</v>
      </c>
      <c r="P141" s="2"/>
      <c r="Q141" s="14">
        <f>IFERROR(Q129+Q130+Q131+Q132+Q133+Q134+Q135+Q136+Q137+Q138+Q139+Q140, "NA")</f>
        <v>1274560.8899999999</v>
      </c>
      <c r="R141" s="15">
        <f>IFERROR(Q141/Q444, "NA")</f>
        <v>0.23788289648122268</v>
      </c>
      <c r="S141" s="2"/>
      <c r="T141" s="14">
        <f>IFERROR(T129+T130+T131+T132+T133+T134+T135+T136+T137+T138+T139+T140, "NA")</f>
        <v>1295806.1299999999</v>
      </c>
      <c r="U141" s="15">
        <f>IFERROR(T141/T444, "NA")</f>
        <v>0.22972616322355291</v>
      </c>
      <c r="V141" s="2"/>
      <c r="W141" s="14">
        <f t="shared" si="30"/>
        <v>21245.239999999991</v>
      </c>
      <c r="X141" s="15">
        <f>IFERROR(W141/W444, "NA")</f>
        <v>-7.5145523170698517E-2</v>
      </c>
      <c r="Y141" s="2"/>
      <c r="Z141" s="14">
        <f>IFERROR(Z129+Z130+Z131+Z132+Z133+Z134+Z135+Z136+Z137+Z138+Z139+Z140, "NA")</f>
        <v>1167896.93</v>
      </c>
      <c r="AA141" s="15">
        <f>IFERROR(Z141/Z444, "NA")</f>
        <v>0.23368013625602624</v>
      </c>
      <c r="AB141" s="2"/>
      <c r="AC141" s="14">
        <f t="shared" si="31"/>
        <v>-106663.95999999996</v>
      </c>
      <c r="AD141" s="15">
        <f>IFERROR(AC141/AC444, "NA")</f>
        <v>-0.29621483926262143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9383.99</v>
      </c>
      <c r="C144" s="8">
        <f>IFERROR(B144/B444, "NA")</f>
        <v>1.2731882230072411E-2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-9383.99</v>
      </c>
      <c r="I144" s="8">
        <f>IFERROR(H144/H444, "NA")</f>
        <v>6.6579223400493479E-2</v>
      </c>
      <c r="J144" s="9"/>
      <c r="K144" s="7">
        <v>7087.84</v>
      </c>
      <c r="L144" s="8">
        <f>IFERROR(K144/K444, "NA")</f>
        <v>8.7850789502426588E-3</v>
      </c>
      <c r="M144" s="9"/>
      <c r="N144" s="10">
        <f t="shared" si="33"/>
        <v>-2296.1499999999996</v>
      </c>
      <c r="O144" s="8">
        <f>IFERROR(N144/N444, "NA")</f>
        <v>3.2916032329001227E-2</v>
      </c>
      <c r="P144" s="9"/>
      <c r="Q144" s="7">
        <v>68697.31</v>
      </c>
      <c r="R144" s="8">
        <f>IFERROR(Q144/Q444, "NA")</f>
        <v>1.2821604061041341E-2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-68697.31</v>
      </c>
      <c r="X144" s="8">
        <f>IFERROR(W144/W444, "NA")</f>
        <v>0.24298597240462619</v>
      </c>
      <c r="Y144" s="9"/>
      <c r="Z144" s="7">
        <v>51308.790000000008</v>
      </c>
      <c r="AA144" s="8">
        <f>IFERROR(Z144/Z444, "NA")</f>
        <v>1.0266184224263557E-2</v>
      </c>
      <c r="AB144" s="9"/>
      <c r="AC144" s="10">
        <f t="shared" si="35"/>
        <v>-17388.51999999999</v>
      </c>
      <c r="AD144" s="8">
        <f>IFERROR(AC144/AC444, "NA")</f>
        <v>-4.8289390875932953E-2</v>
      </c>
    </row>
    <row r="145" spans="1:30" ht="16.5" customHeight="1" x14ac:dyDescent="0.45">
      <c r="A145" s="12" t="s">
        <v>136</v>
      </c>
      <c r="B145" s="7">
        <v>488.22</v>
      </c>
      <c r="C145" s="8">
        <f>IFERROR(B145/B444, "NA")</f>
        <v>6.6240048661240613E-4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-488.22</v>
      </c>
      <c r="I145" s="8">
        <f>IFERROR(H145/H444, "NA")</f>
        <v>3.4639112412298959E-3</v>
      </c>
      <c r="J145" s="9"/>
      <c r="K145" s="7">
        <v>673.11</v>
      </c>
      <c r="L145" s="8">
        <f>IFERROR(K145/K444, "NA")</f>
        <v>8.3429147556912068E-4</v>
      </c>
      <c r="M145" s="9"/>
      <c r="N145" s="10">
        <f t="shared" si="33"/>
        <v>184.89</v>
      </c>
      <c r="O145" s="8">
        <f>IFERROR(N145/N444, "NA")</f>
        <v>-2.6504562930597035E-3</v>
      </c>
      <c r="P145" s="9"/>
      <c r="Q145" s="7">
        <v>3847.79</v>
      </c>
      <c r="R145" s="8">
        <f>IFERROR(Q145/Q444, "NA")</f>
        <v>7.1814805980080238E-4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-3847.79</v>
      </c>
      <c r="X145" s="8">
        <f>IFERROR(W145/W444, "NA")</f>
        <v>1.3609834137010555E-2</v>
      </c>
      <c r="Y145" s="9"/>
      <c r="Z145" s="7">
        <v>4241.2900000000009</v>
      </c>
      <c r="AA145" s="8">
        <f>IFERROR(Z145/Z444, "NA")</f>
        <v>8.4862388079170808E-4</v>
      </c>
      <c r="AB145" s="9"/>
      <c r="AC145" s="10">
        <f t="shared" si="35"/>
        <v>393.50000000000091</v>
      </c>
      <c r="AD145" s="8">
        <f>IFERROR(AC145/AC444, "NA")</f>
        <v>1.0927827848304325E-3</v>
      </c>
    </row>
    <row r="146" spans="1:30" ht="16.5" customHeight="1" x14ac:dyDescent="0.45">
      <c r="A146" s="12" t="s">
        <v>137</v>
      </c>
      <c r="B146" s="7">
        <v>126.32000000000002</v>
      </c>
      <c r="C146" s="8">
        <f>IFERROR(B146/B444, "NA")</f>
        <v>1.7138673030371381E-4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-126.32000000000002</v>
      </c>
      <c r="I146" s="8">
        <f>IFERROR(H146/H444, "NA")</f>
        <v>8.9623790093023735E-4</v>
      </c>
      <c r="J146" s="9"/>
      <c r="K146" s="7">
        <v>1313.09</v>
      </c>
      <c r="L146" s="8">
        <f>IFERROR(K146/K444, "NA")</f>
        <v>1.6275197124616431E-3</v>
      </c>
      <c r="M146" s="9"/>
      <c r="N146" s="10">
        <f t="shared" si="33"/>
        <v>1186.77</v>
      </c>
      <c r="O146" s="8">
        <f>IFERROR(N146/N444, "NA")</f>
        <v>-1.701272115806406E-2</v>
      </c>
      <c r="P146" s="9"/>
      <c r="Q146" s="7">
        <v>4306.04</v>
      </c>
      <c r="R146" s="8">
        <f>IFERROR(Q146/Q444, "NA")</f>
        <v>8.036754270437438E-4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-4306.04</v>
      </c>
      <c r="X146" s="8">
        <f>IFERROR(W146/W444, "NA")</f>
        <v>1.5230688313897831E-2</v>
      </c>
      <c r="Y146" s="9"/>
      <c r="Z146" s="7">
        <v>15931.359999999999</v>
      </c>
      <c r="AA146" s="8">
        <f>IFERROR(Z146/Z444, "NA")</f>
        <v>3.1876463409693237E-3</v>
      </c>
      <c r="AB146" s="9"/>
      <c r="AC146" s="10">
        <f t="shared" si="35"/>
        <v>11625.32</v>
      </c>
      <c r="AD146" s="8">
        <f>IFERROR(AC146/AC444, "NA")</f>
        <v>3.228449698639109E-2</v>
      </c>
    </row>
    <row r="147" spans="1:30" ht="16.5" customHeight="1" x14ac:dyDescent="0.45">
      <c r="A147" s="12" t="s">
        <v>138</v>
      </c>
      <c r="B147" s="7">
        <v>218.63</v>
      </c>
      <c r="C147" s="8">
        <f>IFERROR(B147/B444, "NA")</f>
        <v>2.9662983570535894E-4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-218.63</v>
      </c>
      <c r="I147" s="8">
        <f>IFERROR(H147/H444, "NA")</f>
        <v>1.5511755247021673E-3</v>
      </c>
      <c r="J147" s="9"/>
      <c r="K147" s="7">
        <v>186.67000000000002</v>
      </c>
      <c r="L147" s="8">
        <f>IFERROR(K147/K444, "NA")</f>
        <v>2.3136959745730679E-4</v>
      </c>
      <c r="M147" s="9"/>
      <c r="N147" s="10">
        <f t="shared" si="33"/>
        <v>-31.95999999999998</v>
      </c>
      <c r="O147" s="8">
        <f>IFERROR(N147/N444, "NA")</f>
        <v>4.5815665058244402E-4</v>
      </c>
      <c r="P147" s="9"/>
      <c r="Q147" s="7">
        <v>1005.9599999999999</v>
      </c>
      <c r="R147" s="8">
        <f>IFERROR(Q147/Q444, "NA")</f>
        <v>1.8775146830705812E-4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-1005.9599999999999</v>
      </c>
      <c r="X147" s="8">
        <f>IFERROR(W147/W444, "NA")</f>
        <v>3.5581330448041962E-3</v>
      </c>
      <c r="Y147" s="9"/>
      <c r="Z147" s="7">
        <v>886.76</v>
      </c>
      <c r="AA147" s="8">
        <f>IFERROR(Z147/Z444, "NA")</f>
        <v>1.7742849758702067E-4</v>
      </c>
      <c r="AB147" s="9"/>
      <c r="AC147" s="10">
        <f t="shared" si="35"/>
        <v>-119.19999999999993</v>
      </c>
      <c r="AD147" s="8">
        <f>IFERROR(AC147/AC444, "NA")</f>
        <v>-3.3102848272372853E-4</v>
      </c>
    </row>
    <row r="148" spans="1:30" ht="16.5" customHeight="1" x14ac:dyDescent="0.45">
      <c r="A148" s="13" t="s">
        <v>139</v>
      </c>
      <c r="B148" s="14">
        <f>IFERROR(B143+B144+B145+B146+B147, "NA")</f>
        <v>10217.159999999998</v>
      </c>
      <c r="C148" s="15">
        <f>IFERROR(B148/B444, "NA")</f>
        <v>1.3862299282693887E-2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-10217.159999999998</v>
      </c>
      <c r="I148" s="15">
        <f>IFERROR(H148/H444, "NA")</f>
        <v>7.2490548067355776E-2</v>
      </c>
      <c r="J148" s="2"/>
      <c r="K148" s="14">
        <f>IFERROR(K143+K144+K145+K146+K147, "NA")</f>
        <v>9260.7099999999991</v>
      </c>
      <c r="L148" s="15">
        <f>IFERROR(K148/K444, "NA")</f>
        <v>1.1478259735730727E-2</v>
      </c>
      <c r="M148" s="2"/>
      <c r="N148" s="14">
        <f t="shared" si="33"/>
        <v>-956.44999999999891</v>
      </c>
      <c r="O148" s="15">
        <f>IFERROR(N148/N444, "NA")</f>
        <v>1.3711011528459898E-2</v>
      </c>
      <c r="P148" s="2"/>
      <c r="Q148" s="14">
        <f>IFERROR(Q143+Q144+Q145+Q146+Q147, "NA")</f>
        <v>77857.099999999991</v>
      </c>
      <c r="R148" s="15">
        <f>IFERROR(Q148/Q444, "NA")</f>
        <v>1.4531179016192943E-2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-77857.099999999991</v>
      </c>
      <c r="X148" s="15">
        <f>IFERROR(W148/W444, "NA")</f>
        <v>0.27538462790033874</v>
      </c>
      <c r="Y148" s="2"/>
      <c r="Z148" s="14">
        <f>IFERROR(Z143+Z144+Z145+Z146+Z147, "NA")</f>
        <v>72368.2</v>
      </c>
      <c r="AA148" s="15">
        <f>IFERROR(Z148/Z444, "NA")</f>
        <v>1.4479882943611607E-2</v>
      </c>
      <c r="AB148" s="2"/>
      <c r="AC148" s="14">
        <f t="shared" si="35"/>
        <v>-5488.8999999999942</v>
      </c>
      <c r="AD148" s="15">
        <f>IFERROR(AC148/AC444, "NA")</f>
        <v>-1.5243139587435173E-2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178191.09000000005</v>
      </c>
      <c r="C149" s="15">
        <f>IFERROR(B149/B444, "NA")</f>
        <v>0.24176368179508231</v>
      </c>
      <c r="D149" s="2"/>
      <c r="E149" s="14">
        <f>IFERROR(E127+E129+E130+E131+E132+E133+E134+E135+E136+E137+E138+E139+E140+E143+E144+E145+E146+E147, "NA")</f>
        <v>194954.56</v>
      </c>
      <c r="F149" s="15">
        <f>IFERROR(E149/E444, "NA")</f>
        <v>0.22204612328268225</v>
      </c>
      <c r="G149" s="2"/>
      <c r="H149" s="14">
        <f t="shared" si="32"/>
        <v>16763.469999999943</v>
      </c>
      <c r="I149" s="15">
        <f>IFERROR(H149/H444, "NA")</f>
        <v>-0.11893648800749645</v>
      </c>
      <c r="J149" s="2"/>
      <c r="K149" s="14">
        <f>IFERROR(K127+K129+K130+K131+K132+K133+K134+K135+K136+K137+K138+K139+K140+K143+K144+K145+K146+K147, "NA")</f>
        <v>191489.30999999994</v>
      </c>
      <c r="L149" s="15">
        <f>IFERROR(K149/K444, "NA")</f>
        <v>0.23734292908382393</v>
      </c>
      <c r="M149" s="2"/>
      <c r="N149" s="14">
        <f t="shared" si="33"/>
        <v>13298.219999999885</v>
      </c>
      <c r="O149" s="15">
        <f>IFERROR(N149/N444, "NA")</f>
        <v>-0.19063416564169022</v>
      </c>
      <c r="P149" s="2"/>
      <c r="Q149" s="14">
        <f>IFERROR(Q127+Q129+Q130+Q131+Q132+Q133+Q134+Q135+Q136+Q137+Q138+Q139+Q140+Q143+Q144+Q145+Q146+Q147, "NA")</f>
        <v>1352417.99</v>
      </c>
      <c r="R149" s="15">
        <f>IFERROR(Q149/Q444, "NA")</f>
        <v>0.25241407549741562</v>
      </c>
      <c r="S149" s="2"/>
      <c r="T149" s="14">
        <f>IFERROR(T127+T129+T130+T131+T132+T133+T134+T135+T136+T137+T138+T139+T140+T143+T144+T145+T146+T147, "NA")</f>
        <v>1295806.1299999999</v>
      </c>
      <c r="U149" s="15">
        <f>IFERROR(T149/T444, "NA")</f>
        <v>0.22972616322355291</v>
      </c>
      <c r="V149" s="2"/>
      <c r="W149" s="14">
        <f t="shared" si="34"/>
        <v>-56611.860000000102</v>
      </c>
      <c r="X149" s="15">
        <f>IFERROR(W149/W444, "NA")</f>
        <v>0.2002391047296406</v>
      </c>
      <c r="Y149" s="2"/>
      <c r="Z149" s="14">
        <f>IFERROR(Z127+Z129+Z130+Z131+Z132+Z133+Z134+Z135+Z136+Z137+Z138+Z139+Z140+Z143+Z144+Z145+Z146+Z147, "NA")</f>
        <v>1240265.1300000001</v>
      </c>
      <c r="AA149" s="15">
        <f>IFERROR(Z149/Z444, "NA")</f>
        <v>0.2481600191996379</v>
      </c>
      <c r="AB149" s="2"/>
      <c r="AC149" s="14">
        <f t="shared" si="35"/>
        <v>-112152.85999999987</v>
      </c>
      <c r="AD149" s="15">
        <f>IFERROR(AC149/AC444, "NA")</f>
        <v>-0.31145797885005638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14506.23</v>
      </c>
      <c r="F153" s="8">
        <f>IFERROR(E153/E444, "NA")</f>
        <v>1.6522066141704733E-2</v>
      </c>
      <c r="G153" s="9"/>
      <c r="H153" s="10">
        <f t="shared" ref="H153:H158" si="36">IFERROR(-(B153-E153), "NA")</f>
        <v>14506.23</v>
      </c>
      <c r="I153" s="8">
        <f>IFERROR(H153/H444, "NA")</f>
        <v>-0.10292141486392681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97971.010000000009</v>
      </c>
      <c r="U153" s="8">
        <f>IFERROR(T153/T444, "NA")</f>
        <v>1.7368728016772337E-2</v>
      </c>
      <c r="V153" s="9"/>
      <c r="W153" s="10">
        <f t="shared" ref="W153:W158" si="38">IFERROR(-(Q153-T153), "NA")</f>
        <v>97971.010000000009</v>
      </c>
      <c r="X153" s="8">
        <f>IFERROR(W153/W444, "NA")</f>
        <v>-0.34652857779021273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22235.06</v>
      </c>
      <c r="C154" s="8">
        <f>IFERROR(B154/B444, "NA")</f>
        <v>3.0167782073360468E-2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-22235.06</v>
      </c>
      <c r="I154" s="8">
        <f>IFERROR(H154/H444, "NA")</f>
        <v>0.15775731080951458</v>
      </c>
      <c r="J154" s="9"/>
      <c r="K154" s="7">
        <v>24000.82</v>
      </c>
      <c r="L154" s="8">
        <f>IFERROR(K154/K444, "NA")</f>
        <v>2.974800483229912E-2</v>
      </c>
      <c r="M154" s="9"/>
      <c r="N154" s="10">
        <f t="shared" si="37"/>
        <v>1765.7599999999984</v>
      </c>
      <c r="O154" s="8">
        <f>IFERROR(N154/N444, "NA")</f>
        <v>-2.5312724885245809E-2</v>
      </c>
      <c r="P154" s="9"/>
      <c r="Q154" s="7">
        <v>171945.58999999997</v>
      </c>
      <c r="R154" s="8">
        <f>IFERROR(Q154/Q444, "NA")</f>
        <v>3.2091770041973243E-2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-171945.58999999997</v>
      </c>
      <c r="X154" s="8">
        <f>IFERROR(W154/W444, "NA")</f>
        <v>0.60818052973016212</v>
      </c>
      <c r="Y154" s="9"/>
      <c r="Z154" s="7">
        <v>162822.00999999998</v>
      </c>
      <c r="AA154" s="8">
        <f>IFERROR(Z154/Z444, "NA")</f>
        <v>3.2578448067570542E-2</v>
      </c>
      <c r="AB154" s="9"/>
      <c r="AC154" s="10">
        <f t="shared" si="39"/>
        <v>-9123.5799999999872</v>
      </c>
      <c r="AD154" s="8">
        <f>IFERROR(AC154/AC444, "NA")</f>
        <v>-2.5336953392689199E-2</v>
      </c>
    </row>
    <row r="155" spans="1:30" ht="16.5" customHeight="1" x14ac:dyDescent="0.45">
      <c r="A155" s="12" t="s">
        <v>144</v>
      </c>
      <c r="B155" s="7">
        <v>9825.9</v>
      </c>
      <c r="C155" s="8">
        <f>IFERROR(B155/B444, "NA")</f>
        <v>1.3331450865193644E-2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-9825.9</v>
      </c>
      <c r="I155" s="8">
        <f>IFERROR(H155/H444, "NA")</f>
        <v>6.9714566107903872E-2</v>
      </c>
      <c r="J155" s="9"/>
      <c r="K155" s="7">
        <v>8377.6400000000012</v>
      </c>
      <c r="L155" s="8">
        <f>IFERROR(K155/K444, "NA")</f>
        <v>1.0383731689303217E-2</v>
      </c>
      <c r="M155" s="9"/>
      <c r="N155" s="10">
        <f t="shared" si="37"/>
        <v>-1448.2599999999984</v>
      </c>
      <c r="O155" s="8">
        <f>IFERROR(N155/N444, "NA")</f>
        <v>2.0761262539816333E-2</v>
      </c>
      <c r="P155" s="9"/>
      <c r="Q155" s="7">
        <v>59267.560000000005</v>
      </c>
      <c r="R155" s="8">
        <f>IFERROR(Q155/Q444, "NA")</f>
        <v>1.1061644014649357E-2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-59267.560000000005</v>
      </c>
      <c r="X155" s="8">
        <f>IFERROR(W155/W444, "NA")</f>
        <v>0.20963245429332719</v>
      </c>
      <c r="Y155" s="9"/>
      <c r="Z155" s="7">
        <v>60359.96</v>
      </c>
      <c r="AA155" s="8">
        <f>IFERROR(Z155/Z444, "NA")</f>
        <v>1.20771990360556E-2</v>
      </c>
      <c r="AB155" s="9"/>
      <c r="AC155" s="10">
        <f t="shared" si="39"/>
        <v>1092.3999999999942</v>
      </c>
      <c r="AD155" s="8">
        <f>IFERROR(AC155/AC444, "NA")</f>
        <v>3.0336872024110681E-3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401.78999999999996</v>
      </c>
      <c r="AA156" s="8">
        <f>IFERROR(Z156/Z444, "NA")</f>
        <v>8.0392660974208389E-5</v>
      </c>
      <c r="AB156" s="9"/>
      <c r="AC156" s="10">
        <f t="shared" si="39"/>
        <v>401.78999999999996</v>
      </c>
      <c r="AD156" s="8">
        <f>IFERROR(AC156/AC444, "NA")</f>
        <v>1.1158048160534141E-3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32060.959999999999</v>
      </c>
      <c r="C158" s="15">
        <f>IFERROR(B158/B444, "NA")</f>
        <v>4.3499232938554108E-2</v>
      </c>
      <c r="D158" s="2"/>
      <c r="E158" s="14">
        <f>IFERROR(E153+E154+E155+E156+E157, "NA")</f>
        <v>14506.23</v>
      </c>
      <c r="F158" s="15">
        <f>IFERROR(E158/E444, "NA")</f>
        <v>1.6522066141704733E-2</v>
      </c>
      <c r="G158" s="2"/>
      <c r="H158" s="14">
        <f t="shared" si="36"/>
        <v>-17554.73</v>
      </c>
      <c r="I158" s="15">
        <f>IFERROR(H158/H444, "NA")</f>
        <v>0.12455046205349163</v>
      </c>
      <c r="J158" s="2"/>
      <c r="K158" s="14">
        <f>IFERROR(K153+K154+K155+K156+K157, "NA")</f>
        <v>32378.46</v>
      </c>
      <c r="L158" s="15">
        <f>IFERROR(K158/K444, "NA")</f>
        <v>4.0131736521602339E-2</v>
      </c>
      <c r="M158" s="2"/>
      <c r="N158" s="14">
        <f t="shared" si="37"/>
        <v>317.5</v>
      </c>
      <c r="O158" s="15">
        <f>IFERROR(N158/N444, "NA")</f>
        <v>-4.5514623454294759E-3</v>
      </c>
      <c r="P158" s="2"/>
      <c r="Q158" s="14">
        <f>IFERROR(Q153+Q154+Q155+Q156+Q157, "NA")</f>
        <v>231213.14999999997</v>
      </c>
      <c r="R158" s="15">
        <f>IFERROR(Q158/Q444, "NA")</f>
        <v>4.3153414056622597E-2</v>
      </c>
      <c r="S158" s="2"/>
      <c r="T158" s="14">
        <f>IFERROR(T153+T154+T155+T156+T157, "NA")</f>
        <v>97971.010000000009</v>
      </c>
      <c r="U158" s="15">
        <f>IFERROR(T158/T444, "NA")</f>
        <v>1.7368728016772337E-2</v>
      </c>
      <c r="V158" s="2"/>
      <c r="W158" s="14">
        <f t="shared" si="38"/>
        <v>-133242.13999999996</v>
      </c>
      <c r="X158" s="15">
        <f>IFERROR(W158/W444, "NA")</f>
        <v>0.47128440623327655</v>
      </c>
      <c r="Y158" s="2"/>
      <c r="Z158" s="14">
        <f>IFERROR(Z153+Z154+Z155+Z156+Z157, "NA")</f>
        <v>223583.75999999998</v>
      </c>
      <c r="AA158" s="15">
        <f>IFERROR(Z158/Z444, "NA")</f>
        <v>4.4736039764600347E-2</v>
      </c>
      <c r="AB158" s="2"/>
      <c r="AC158" s="14">
        <f t="shared" si="39"/>
        <v>-7629.3899999999849</v>
      </c>
      <c r="AD158" s="15">
        <f>IFERROR(AC158/AC444, "NA")</f>
        <v>-2.1187461374224694E-2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1769.8700000000001</v>
      </c>
      <c r="C161" s="8">
        <f>IFERROR(B161/B444, "NA")</f>
        <v>2.4013001295332009E-3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-1769.8700000000001</v>
      </c>
      <c r="I161" s="8">
        <f>IFERROR(H161/H444, "NA")</f>
        <v>1.2557192635524059E-2</v>
      </c>
      <c r="J161" s="9"/>
      <c r="K161" s="7">
        <v>2048.7800000000002</v>
      </c>
      <c r="L161" s="8">
        <f>IFERROR(K161/K444, "NA")</f>
        <v>2.539376460484175E-3</v>
      </c>
      <c r="M161" s="9"/>
      <c r="N161" s="10">
        <f t="shared" si="41"/>
        <v>278.91000000000008</v>
      </c>
      <c r="O161" s="8">
        <f>IFERROR(N161/N444, "NA")</f>
        <v>-3.9982625598857817E-3</v>
      </c>
      <c r="P161" s="9"/>
      <c r="Q161" s="7">
        <v>13209.29</v>
      </c>
      <c r="R161" s="8">
        <f>IFERROR(Q161/Q444, "NA")</f>
        <v>2.4653699876672429E-3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-13209.29</v>
      </c>
      <c r="X161" s="8">
        <f>IFERROR(W161/W444, "NA")</f>
        <v>4.6721948434730633E-2</v>
      </c>
      <c r="Y161" s="9"/>
      <c r="Z161" s="7">
        <v>15342.989999999998</v>
      </c>
      <c r="AA161" s="8">
        <f>IFERROR(Z161/Z444, "NA")</f>
        <v>3.0699215844114326E-3</v>
      </c>
      <c r="AB161" s="9"/>
      <c r="AC161" s="10">
        <f t="shared" si="43"/>
        <v>2133.6999999999971</v>
      </c>
      <c r="AD161" s="8">
        <f>IFERROR(AC161/AC444, "NA")</f>
        <v>5.9254653824464681E-3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5.4423464459007651E-7</v>
      </c>
      <c r="AB162" s="9"/>
      <c r="AC162" s="10">
        <f t="shared" si="43"/>
        <v>2.72</v>
      </c>
      <c r="AD162" s="8">
        <f>IFERROR(AC162/AC444, "NA")</f>
        <v>7.5536700755750178E-6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1769.8700000000001</v>
      </c>
      <c r="C166" s="15">
        <f>IFERROR(B166/B444, "NA")</f>
        <v>2.4013001295332009E-3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-1769.8700000000001</v>
      </c>
      <c r="I166" s="15">
        <f>IFERROR(H166/H444, "NA")</f>
        <v>1.2557192635524059E-2</v>
      </c>
      <c r="J166" s="2"/>
      <c r="K166" s="14">
        <f>IFERROR(K160+K161+K162+K163+K164+K165, "NA")</f>
        <v>2048.7800000000002</v>
      </c>
      <c r="L166" s="15">
        <f>IFERROR(K166/K444, "NA")</f>
        <v>2.539376460484175E-3</v>
      </c>
      <c r="M166" s="2"/>
      <c r="N166" s="14">
        <f t="shared" si="41"/>
        <v>278.91000000000008</v>
      </c>
      <c r="O166" s="15">
        <f>IFERROR(N166/N444, "NA")</f>
        <v>-3.9982625598857817E-3</v>
      </c>
      <c r="P166" s="2"/>
      <c r="Q166" s="14">
        <f>IFERROR(Q160+Q161+Q162+Q163+Q164+Q165, "NA")</f>
        <v>13209.29</v>
      </c>
      <c r="R166" s="15">
        <f>IFERROR(Q166/Q444, "NA")</f>
        <v>2.4653699876672429E-3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-13209.29</v>
      </c>
      <c r="X166" s="15">
        <f>IFERROR(W166/W444, "NA")</f>
        <v>4.6721948434730633E-2</v>
      </c>
      <c r="Y166" s="2"/>
      <c r="Z166" s="14">
        <f>IFERROR(Z160+Z161+Z162+Z163+Z164+Z165, "NA")</f>
        <v>15345.709999999997</v>
      </c>
      <c r="AA166" s="15">
        <f>IFERROR(Z166/Z444, "NA")</f>
        <v>3.0704658190560223E-3</v>
      </c>
      <c r="AB166" s="2"/>
      <c r="AC166" s="14">
        <f t="shared" si="43"/>
        <v>2136.4199999999964</v>
      </c>
      <c r="AD166" s="15">
        <f>IFERROR(AC166/AC444, "NA")</f>
        <v>5.9330190525220408E-3</v>
      </c>
    </row>
    <row r="167" spans="1:30" ht="16.5" customHeight="1" x14ac:dyDescent="0.45">
      <c r="A167" s="6" t="s">
        <v>155</v>
      </c>
      <c r="B167" s="7">
        <v>1032.76</v>
      </c>
      <c r="C167" s="8">
        <f>IFERROR(B167/B444, "NA")</f>
        <v>1.4012140562734597E-3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-1032.76</v>
      </c>
      <c r="I167" s="8">
        <f>IFERROR(H167/H444, "NA")</f>
        <v>7.3274117682450264E-3</v>
      </c>
      <c r="J167" s="9"/>
      <c r="K167" s="7">
        <v>917.35000000000014</v>
      </c>
      <c r="L167" s="8">
        <f>IFERROR(K167/K444, "NA")</f>
        <v>1.1370166616352943E-3</v>
      </c>
      <c r="M167" s="9"/>
      <c r="N167" s="10">
        <f t="shared" si="41"/>
        <v>-115.40999999999985</v>
      </c>
      <c r="O167" s="8">
        <f>IFERROR(N167/N444, "NA")</f>
        <v>1.6544386434205203E-3</v>
      </c>
      <c r="P167" s="9"/>
      <c r="Q167" s="7">
        <v>7453.87</v>
      </c>
      <c r="R167" s="8">
        <f>IFERROR(Q167/Q444, "NA")</f>
        <v>1.3911835829157535E-3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-7453.87</v>
      </c>
      <c r="X167" s="8">
        <f>IFERROR(W167/W444, "NA")</f>
        <v>2.6364727383469178E-2</v>
      </c>
      <c r="Y167" s="9"/>
      <c r="Z167" s="7">
        <v>8050.5</v>
      </c>
      <c r="AA167" s="8">
        <f>IFERROR(Z167/Z444, "NA")</f>
        <v>1.610794487600151E-3</v>
      </c>
      <c r="AB167" s="9"/>
      <c r="AC167" s="10">
        <f t="shared" si="43"/>
        <v>596.63000000000011</v>
      </c>
      <c r="AD167" s="8">
        <f>IFERROR(AC167/AC444, "NA")</f>
        <v>1.6568919769082071E-3</v>
      </c>
    </row>
    <row r="168" spans="1:30" ht="16.5" customHeight="1" x14ac:dyDescent="0.45">
      <c r="A168" s="6" t="s">
        <v>156</v>
      </c>
      <c r="B168" s="7">
        <v>916.30000000000007</v>
      </c>
      <c r="C168" s="8">
        <f>IFERROR(B168/B444, "NA")</f>
        <v>1.2432050425688168E-3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-916.30000000000007</v>
      </c>
      <c r="I168" s="8">
        <f>IFERROR(H168/H444, "NA")</f>
        <v>6.5011303722480717E-3</v>
      </c>
      <c r="J168" s="9"/>
      <c r="K168" s="7">
        <v>348.6</v>
      </c>
      <c r="L168" s="8">
        <f>IFERROR(K168/K444, "NA")</f>
        <v>4.320750076263842E-4</v>
      </c>
      <c r="M168" s="9"/>
      <c r="N168" s="10">
        <f t="shared" si="41"/>
        <v>-567.70000000000005</v>
      </c>
      <c r="O168" s="8">
        <f>IFERROR(N168/N444, "NA")</f>
        <v>8.1381580267726426E-3</v>
      </c>
      <c r="P168" s="9"/>
      <c r="Q168" s="7">
        <v>2492.81</v>
      </c>
      <c r="R168" s="8">
        <f>IFERROR(Q168/Q444, "NA")</f>
        <v>4.652558130646522E-4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-2492.81</v>
      </c>
      <c r="X168" s="8">
        <f>IFERROR(W168/W444, "NA")</f>
        <v>8.8171991286118221E-3</v>
      </c>
      <c r="Y168" s="9"/>
      <c r="Z168" s="7">
        <v>2212.39</v>
      </c>
      <c r="AA168" s="8">
        <f>IFERROR(Z168/Z444, "NA")</f>
        <v>4.4266885490611737E-4</v>
      </c>
      <c r="AB168" s="9"/>
      <c r="AC168" s="10">
        <f t="shared" si="43"/>
        <v>-280.42000000000007</v>
      </c>
      <c r="AD168" s="8">
        <f>IFERROR(AC168/AC444, "NA")</f>
        <v>-7.7875005977674522E-4</v>
      </c>
    </row>
    <row r="169" spans="1:30" ht="16.5" customHeight="1" x14ac:dyDescent="0.45">
      <c r="A169" s="6" t="s">
        <v>157</v>
      </c>
      <c r="B169" s="7">
        <v>-9150.16</v>
      </c>
      <c r="C169" s="8">
        <f>IFERROR(B169/B444, "NA")</f>
        <v>-1.241462954524881E-2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9150.16</v>
      </c>
      <c r="I169" s="8">
        <f>IFERROR(H169/H444, "NA")</f>
        <v>-6.4920204176502683E-2</v>
      </c>
      <c r="J169" s="9"/>
      <c r="K169" s="7">
        <v>-13763.93</v>
      </c>
      <c r="L169" s="8">
        <f>IFERROR(K169/K444, "NA")</f>
        <v>-1.7059811129429198E-2</v>
      </c>
      <c r="M169" s="9"/>
      <c r="N169" s="10">
        <f t="shared" si="41"/>
        <v>-4613.7700000000004</v>
      </c>
      <c r="O169" s="8">
        <f>IFERROR(N169/N444, "NA")</f>
        <v>6.6139843859754827E-2</v>
      </c>
      <c r="P169" s="9"/>
      <c r="Q169" s="7">
        <v>-86600.959999999992</v>
      </c>
      <c r="R169" s="8">
        <f>IFERROR(Q169/Q444, "NA")</f>
        <v>-1.616312517078294E-2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86600.959999999992</v>
      </c>
      <c r="X169" s="8">
        <f>IFERROR(W169/W444, "NA")</f>
        <v>-0.30631211726884411</v>
      </c>
      <c r="Y169" s="9"/>
      <c r="Z169" s="7">
        <v>-115877.96</v>
      </c>
      <c r="AA169" s="8">
        <f>IFERROR(Z169/Z444, "NA")</f>
        <v>-2.3185588373684965E-2</v>
      </c>
      <c r="AB169" s="9"/>
      <c r="AC169" s="10">
        <f t="shared" si="43"/>
        <v>-29277.000000000015</v>
      </c>
      <c r="AD169" s="8">
        <f>IFERROR(AC169/AC444, "NA")</f>
        <v>-8.1304705442135985E-2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26629.730000000007</v>
      </c>
      <c r="C170" s="15">
        <f>IFERROR(B170/B444, "NA")</f>
        <v>3.6130322621680783E-2</v>
      </c>
      <c r="D170" s="2"/>
      <c r="E170" s="14">
        <f>IFERROR(E151+E153+E154+E155+E156+E157+E160+E161+E162+E163+E164+E165+E167+E168+E169, "NA")</f>
        <v>14506.23</v>
      </c>
      <c r="F170" s="15">
        <f>IFERROR(E170/E444, "NA")</f>
        <v>1.6522066141704733E-2</v>
      </c>
      <c r="G170" s="2"/>
      <c r="H170" s="14">
        <f t="shared" si="40"/>
        <v>-12123.500000000007</v>
      </c>
      <c r="I170" s="15">
        <f>IFERROR(H170/H444, "NA")</f>
        <v>8.6015992653006149E-2</v>
      </c>
      <c r="J170" s="2"/>
      <c r="K170" s="14">
        <f>IFERROR(K151+K153+K154+K155+K156+K157+K160+K161+K162+K163+K164+K165+K167+K168+K169, "NA")</f>
        <v>21929.259999999995</v>
      </c>
      <c r="L170" s="15">
        <f>IFERROR(K170/K444, "NA")</f>
        <v>2.7180393521918988E-2</v>
      </c>
      <c r="M170" s="2"/>
      <c r="N170" s="14">
        <f t="shared" si="41"/>
        <v>-4700.4700000000121</v>
      </c>
      <c r="O170" s="15">
        <f>IFERROR(N170/N444, "NA")</f>
        <v>6.7382715624632897E-2</v>
      </c>
      <c r="P170" s="2"/>
      <c r="Q170" s="14">
        <f>IFERROR(Q151+Q153+Q154+Q155+Q156+Q157+Q160+Q161+Q162+Q163+Q164+Q165+Q167+Q168+Q169, "NA")</f>
        <v>167768.15999999997</v>
      </c>
      <c r="R170" s="15">
        <f>IFERROR(Q170/Q444, "NA")</f>
        <v>3.1312098269487304E-2</v>
      </c>
      <c r="S170" s="2"/>
      <c r="T170" s="14">
        <f>IFERROR(T151+T153+T154+T155+T156+T157+T160+T161+T162+T163+T164+T165+T167+T168+T169, "NA")</f>
        <v>97971.010000000009</v>
      </c>
      <c r="U170" s="15">
        <f>IFERROR(T170/T444, "NA")</f>
        <v>1.7368728016772337E-2</v>
      </c>
      <c r="V170" s="2"/>
      <c r="W170" s="14">
        <f t="shared" si="42"/>
        <v>-69797.149999999965</v>
      </c>
      <c r="X170" s="15">
        <f>IFERROR(W170/W444, "NA")</f>
        <v>0.24687616391124409</v>
      </c>
      <c r="Y170" s="2"/>
      <c r="Z170" s="14">
        <f>IFERROR(Z151+Z153+Z154+Z155+Z156+Z157+Z160+Z161+Z162+Z163+Z164+Z165+Z167+Z168+Z169, "NA")</f>
        <v>133314.39999999997</v>
      </c>
      <c r="AA170" s="15">
        <f>IFERROR(Z170/Z444, "NA")</f>
        <v>2.6674380552477672E-2</v>
      </c>
      <c r="AB170" s="2"/>
      <c r="AC170" s="14">
        <f t="shared" si="43"/>
        <v>-34453.760000000009</v>
      </c>
      <c r="AD170" s="15">
        <f>IFERROR(AC170/AC444, "NA")</f>
        <v>-9.5681005846707204E-2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204820.82000000004</v>
      </c>
      <c r="C171" s="15">
        <f>IFERROR(B171/B444, "NA")</f>
        <v>0.27789400441676304</v>
      </c>
      <c r="D171" s="2"/>
      <c r="E171" s="14">
        <f>IFERROR(E127+E129+E130+E131+E132+E133+E134+E135+E136+E137+E138+E139+E140+E143+E144+E145+E146+E147+E151+E153+E154+E155+E156+E157+E160+E161+E162+E163+E164+E165+E167+E168+E169, "NA")</f>
        <v>209460.79</v>
      </c>
      <c r="F171" s="15">
        <f>IFERROR(E171/E444, "NA")</f>
        <v>0.23856818942438698</v>
      </c>
      <c r="G171" s="2"/>
      <c r="H171" s="14">
        <f t="shared" si="40"/>
        <v>4639.9699999999721</v>
      </c>
      <c r="I171" s="15">
        <f>IFERROR(H171/H444, "NA")</f>
        <v>-3.2920495354490563E-2</v>
      </c>
      <c r="J171" s="2"/>
      <c r="K171" s="14">
        <f>IFERROR(K127+K129+K130+K131+K132+K133+K134+K135+K136+K137+K138+K139+K140+K143+K144+K145+K146+K147+K151+K153+K154+K155+K156+K157+K160+K161+K162+K163+K164+K165+K167+K168+K169, "NA")</f>
        <v>213418.56999999998</v>
      </c>
      <c r="L171" s="15">
        <f>IFERROR(K171/K444, "NA")</f>
        <v>0.26452332260574296</v>
      </c>
      <c r="M171" s="2"/>
      <c r="N171" s="14">
        <f t="shared" si="41"/>
        <v>8597.7499999999418</v>
      </c>
      <c r="O171" s="15">
        <f>IFERROR(N171/N444, "NA")</f>
        <v>-0.12325145001705831</v>
      </c>
      <c r="P171" s="2"/>
      <c r="Q171" s="14">
        <f>IFERROR(Q127+Q129+Q130+Q131+Q132+Q133+Q134+Q135+Q136+Q137+Q138+Q139+Q140+Q143+Q144+Q145+Q146+Q147+Q151+Q153+Q154+Q155+Q156+Q157+Q160+Q161+Q162+Q163+Q164+Q165+Q167+Q168+Q169, "NA")</f>
        <v>1520186.1500000004</v>
      </c>
      <c r="R171" s="15">
        <f>IFERROR(Q171/Q444, "NA")</f>
        <v>0.28372617376690301</v>
      </c>
      <c r="S171" s="2"/>
      <c r="T171" s="14">
        <f>IFERROR(T127+T129+T130+T131+T132+T133+T134+T135+T136+T137+T138+T139+T140+T143+T144+T145+T146+T147+T151+T153+T154+T155+T156+T157+T160+T161+T162+T163+T164+T165+T167+T168+T169, "NA")</f>
        <v>1393777.14</v>
      </c>
      <c r="U171" s="15">
        <f>IFERROR(T171/T444, "NA")</f>
        <v>0.24709489124032524</v>
      </c>
      <c r="V171" s="2"/>
      <c r="W171" s="14">
        <f t="shared" si="42"/>
        <v>-126409.01000000047</v>
      </c>
      <c r="X171" s="15">
        <f>IFERROR(W171/W444, "NA")</f>
        <v>0.44711526864088613</v>
      </c>
      <c r="Y171" s="2"/>
      <c r="Z171" s="14">
        <f>IFERROR(Z127+Z129+Z130+Z131+Z132+Z133+Z134+Z135+Z136+Z137+Z138+Z139+Z140+Z143+Z144+Z145+Z146+Z147+Z151+Z153+Z154+Z155+Z156+Z157+Z160+Z161+Z162+Z163+Z164+Z165+Z167+Z168+Z169, "NA")</f>
        <v>1373579.53</v>
      </c>
      <c r="AA171" s="15">
        <f>IFERROR(Z171/Z444, "NA")</f>
        <v>0.27483439975211554</v>
      </c>
      <c r="AB171" s="2"/>
      <c r="AC171" s="14">
        <f t="shared" si="43"/>
        <v>-146606.62000000034</v>
      </c>
      <c r="AD171" s="15">
        <f>IFERROR(AC171/AC444, "NA")</f>
        <v>-0.40713898469676491</v>
      </c>
    </row>
    <row r="172" spans="1:30" ht="16.5" customHeight="1" x14ac:dyDescent="0.45">
      <c r="A172" s="22" t="s">
        <v>160</v>
      </c>
      <c r="B172" s="23">
        <f>IFERROR(B124-B171, "NA")</f>
        <v>532225.73999999964</v>
      </c>
      <c r="C172" s="24">
        <f>IFERROR(B172/B444, "NA")</f>
        <v>0.7221059955832364</v>
      </c>
      <c r="D172" s="25"/>
      <c r="E172" s="23">
        <f>IFERROR(E124-E171, "NA")</f>
        <v>668530.49000000011</v>
      </c>
      <c r="F172" s="24">
        <f>IFERROR(E172/E444, "NA")</f>
        <v>0.76143181057561315</v>
      </c>
      <c r="G172" s="25"/>
      <c r="H172" s="23">
        <f>IFERROR(B172-E172, "NA")</f>
        <v>-136304.75000000047</v>
      </c>
      <c r="I172" s="24">
        <f>IFERROR(H172/H444, "NA")</f>
        <v>0.96707950464551273</v>
      </c>
      <c r="J172" s="25"/>
      <c r="K172" s="23">
        <f>IFERROR(K124-K171, "NA")</f>
        <v>593385.79000000027</v>
      </c>
      <c r="L172" s="24">
        <f>IFERROR(K172/K444, "NA")</f>
        <v>0.73547667739425737</v>
      </c>
      <c r="M172" s="25"/>
      <c r="N172" s="23">
        <f>IFERROR(B172-K172, "NA")</f>
        <v>-61160.050000000629</v>
      </c>
      <c r="O172" s="24">
        <f>IFERROR(N172/N444, "NA")</f>
        <v>0.87674854998295082</v>
      </c>
      <c r="P172" s="25"/>
      <c r="Q172" s="23">
        <f>IFERROR(Q124-Q171, "NA")</f>
        <v>3837747.9800000004</v>
      </c>
      <c r="R172" s="24">
        <f>IFERROR(Q172/Q444, "NA")</f>
        <v>0.7162738262330971</v>
      </c>
      <c r="S172" s="25"/>
      <c r="T172" s="23">
        <f>IFERROR(T124-T171, "NA")</f>
        <v>4246878.29</v>
      </c>
      <c r="U172" s="24">
        <f>IFERROR(T172/T444, "NA")</f>
        <v>0.75290510875967476</v>
      </c>
      <c r="V172" s="25"/>
      <c r="W172" s="23">
        <f>IFERROR(Q172-T172, "NA")</f>
        <v>-409130.30999999959</v>
      </c>
      <c r="X172" s="24">
        <f>IFERROR(W172/W444, "NA")</f>
        <v>1.4471152686408837</v>
      </c>
      <c r="Y172" s="25"/>
      <c r="Z172" s="23">
        <f>IFERROR(Z124-Z171, "NA")</f>
        <v>3624264.7399999993</v>
      </c>
      <c r="AA172" s="24">
        <f>IFERROR(Z172/Z444, "NA")</f>
        <v>0.72516560024788435</v>
      </c>
      <c r="AB172" s="25"/>
      <c r="AC172" s="23">
        <f>IFERROR(Q172-Z172, "NA")</f>
        <v>213483.24000000115</v>
      </c>
      <c r="AD172" s="24">
        <f>IFERROR(AC172/AC444, "NA")</f>
        <v>0.59286101530323831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39790.400000000001</v>
      </c>
      <c r="C178" s="8">
        <f>IFERROR(B178/B444, "NA")</f>
        <v>5.3986277339114097E-2</v>
      </c>
      <c r="D178" s="9"/>
      <c r="E178" s="7">
        <v>40048.07</v>
      </c>
      <c r="F178" s="8">
        <f>IFERROR(E178/E444, "NA")</f>
        <v>4.5613289006697193E-2</v>
      </c>
      <c r="G178" s="9"/>
      <c r="H178" s="10">
        <f t="shared" si="44"/>
        <v>257.66999999999825</v>
      </c>
      <c r="I178" s="8">
        <f>IFERROR(H178/H444, "NA")</f>
        <v>-1.8281635523487386E-3</v>
      </c>
      <c r="J178" s="9"/>
      <c r="K178" s="7">
        <v>32451.950000000004</v>
      </c>
      <c r="L178" s="8">
        <f>IFERROR(K178/K444, "NA")</f>
        <v>4.0222824279234196E-2</v>
      </c>
      <c r="M178" s="9"/>
      <c r="N178" s="10">
        <f t="shared" si="45"/>
        <v>-7338.4499999999971</v>
      </c>
      <c r="O178" s="8">
        <f>IFERROR(N178/N444, "NA")</f>
        <v>0.1051989885002108</v>
      </c>
      <c r="P178" s="9"/>
      <c r="Q178" s="7">
        <v>305990.24</v>
      </c>
      <c r="R178" s="8">
        <f>IFERROR(Q178/Q444, "NA")</f>
        <v>5.7109742780656392E-2</v>
      </c>
      <c r="S178" s="9"/>
      <c r="T178" s="7">
        <v>312374.96999999997</v>
      </c>
      <c r="U178" s="8">
        <f>IFERROR(T178/T444, "NA")</f>
        <v>5.5379197307217895E-2</v>
      </c>
      <c r="V178" s="9"/>
      <c r="W178" s="10">
        <f t="shared" si="46"/>
        <v>6384.7299999999814</v>
      </c>
      <c r="X178" s="8">
        <f>IFERROR(W178/W444, "NA")</f>
        <v>-2.2583123379808969E-2</v>
      </c>
      <c r="Y178" s="9"/>
      <c r="Z178" s="7">
        <v>253125.21</v>
      </c>
      <c r="AA178" s="8">
        <f>IFERROR(Z178/Z444, "NA")</f>
        <v>5.0646878198947969E-2</v>
      </c>
      <c r="AB178" s="9"/>
      <c r="AC178" s="10">
        <f t="shared" si="47"/>
        <v>-52865.03</v>
      </c>
      <c r="AD178" s="8">
        <f>IFERROR(AC178/AC444, "NA")</f>
        <v>-0.14681065998359397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133860.15999999997</v>
      </c>
      <c r="C180" s="8">
        <f>IFERROR(B180/B444, "NA")</f>
        <v>0.18161696596209603</v>
      </c>
      <c r="D180" s="9"/>
      <c r="E180" s="7">
        <v>156857.82</v>
      </c>
      <c r="F180" s="8">
        <f>IFERROR(E180/E444, "NA")</f>
        <v>0.17865532787523813</v>
      </c>
      <c r="G180" s="9"/>
      <c r="H180" s="10">
        <f t="shared" si="44"/>
        <v>22997.660000000033</v>
      </c>
      <c r="I180" s="8">
        <f>IFERROR(H180/H444, "NA")</f>
        <v>-0.16316794272250879</v>
      </c>
      <c r="J180" s="9"/>
      <c r="K180" s="7">
        <v>137768.22</v>
      </c>
      <c r="L180" s="8">
        <f>IFERROR(K180/K444, "NA")</f>
        <v>0.17075790220072684</v>
      </c>
      <c r="M180" s="9"/>
      <c r="N180" s="10">
        <f t="shared" si="45"/>
        <v>3908.0600000000268</v>
      </c>
      <c r="O180" s="8">
        <f>IFERROR(N180/N444, "NA")</f>
        <v>-5.6023269082454301E-2</v>
      </c>
      <c r="P180" s="9"/>
      <c r="Q180" s="7">
        <v>1011135.9299999999</v>
      </c>
      <c r="R180" s="8">
        <f>IFERROR(Q180/Q444, "NA")</f>
        <v>0.1887174992201705</v>
      </c>
      <c r="S180" s="9"/>
      <c r="T180" s="7">
        <v>1051127.44</v>
      </c>
      <c r="U180" s="8">
        <f>IFERROR(T180/T444, "NA")</f>
        <v>0.18634845773587699</v>
      </c>
      <c r="V180" s="9"/>
      <c r="W180" s="10">
        <f t="shared" si="46"/>
        <v>39991.510000000009</v>
      </c>
      <c r="X180" s="8">
        <f>IFERROR(W180/W444, "NA")</f>
        <v>-0.14145205897114946</v>
      </c>
      <c r="Y180" s="9"/>
      <c r="Z180" s="7">
        <v>992845.89000000013</v>
      </c>
      <c r="AA180" s="8">
        <f>IFERROR(Z180/Z444, "NA")</f>
        <v>0.19865482723414274</v>
      </c>
      <c r="AB180" s="9"/>
      <c r="AC180" s="10">
        <f t="shared" si="47"/>
        <v>-18290.039999999804</v>
      </c>
      <c r="AD180" s="8">
        <f>IFERROR(AC180/AC444, "NA")</f>
        <v>-5.0792988172451696E-2</v>
      </c>
    </row>
    <row r="181" spans="1:30" ht="16.5" customHeight="1" x14ac:dyDescent="0.45">
      <c r="A181" s="12" t="s">
        <v>166</v>
      </c>
      <c r="B181" s="7">
        <v>2054.92</v>
      </c>
      <c r="C181" s="8">
        <f>IFERROR(B181/B444, "NA")</f>
        <v>2.788046388819724E-3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-2054.92</v>
      </c>
      <c r="I181" s="8">
        <f>IFERROR(H181/H444, "NA")</f>
        <v>1.4579616746196669E-2</v>
      </c>
      <c r="J181" s="9"/>
      <c r="K181" s="7">
        <v>2332.04</v>
      </c>
      <c r="L181" s="8">
        <f>IFERROR(K181/K444, "NA")</f>
        <v>2.890465291982309E-3</v>
      </c>
      <c r="M181" s="9"/>
      <c r="N181" s="10">
        <f t="shared" si="45"/>
        <v>277.11999999999989</v>
      </c>
      <c r="O181" s="8">
        <f>IFERROR(N181/N444, "NA")</f>
        <v>-3.9726023469776883E-3</v>
      </c>
      <c r="P181" s="9"/>
      <c r="Q181" s="7">
        <v>14903.44</v>
      </c>
      <c r="R181" s="8">
        <f>IFERROR(Q181/Q444, "NA")</f>
        <v>2.781564617704623E-3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-14903.44</v>
      </c>
      <c r="X181" s="8">
        <f>IFERROR(W181/W444, "NA")</f>
        <v>5.271424544241983E-2</v>
      </c>
      <c r="Y181" s="9"/>
      <c r="Z181" s="7">
        <v>10997.919999999998</v>
      </c>
      <c r="AA181" s="8">
        <f>IFERROR(Z181/Z444, "NA")</f>
        <v>2.2005327508934167E-3</v>
      </c>
      <c r="AB181" s="9"/>
      <c r="AC181" s="10">
        <f t="shared" si="47"/>
        <v>-3905.5200000000023</v>
      </c>
      <c r="AD181" s="8">
        <f>IFERROR(AC181/AC444, "NA")</f>
        <v>-1.0845959394691088E-2</v>
      </c>
    </row>
    <row r="182" spans="1:30" ht="16.5" customHeight="1" x14ac:dyDescent="0.45">
      <c r="A182" s="13" t="s">
        <v>167</v>
      </c>
      <c r="B182" s="14">
        <f>IFERROR(B177+B178+B179+B180+B181, "NA")</f>
        <v>175705.47999999998</v>
      </c>
      <c r="C182" s="15">
        <f>IFERROR(B182/B444, "NA")</f>
        <v>0.23839128969002985</v>
      </c>
      <c r="D182" s="2"/>
      <c r="E182" s="14">
        <f>IFERROR(E177+E178+E179+E180+E181, "NA")</f>
        <v>196905.89</v>
      </c>
      <c r="F182" s="15">
        <f>IFERROR(E182/E444, "NA")</f>
        <v>0.22426861688193533</v>
      </c>
      <c r="G182" s="2"/>
      <c r="H182" s="14">
        <f t="shared" si="44"/>
        <v>21200.410000000033</v>
      </c>
      <c r="I182" s="15">
        <f>IFERROR(H182/H444, "NA")</f>
        <v>-0.15041648952866085</v>
      </c>
      <c r="J182" s="2"/>
      <c r="K182" s="14">
        <f>IFERROR(K177+K178+K179+K180+K181, "NA")</f>
        <v>172552.21000000002</v>
      </c>
      <c r="L182" s="15">
        <f>IFERROR(K182/K444, "NA")</f>
        <v>0.21387119177194336</v>
      </c>
      <c r="M182" s="2"/>
      <c r="N182" s="14">
        <f t="shared" si="45"/>
        <v>-3153.2699999999604</v>
      </c>
      <c r="O182" s="15">
        <f>IFERROR(N182/N444, "NA")</f>
        <v>4.5203117070778662E-2</v>
      </c>
      <c r="P182" s="2"/>
      <c r="Q182" s="14">
        <f>IFERROR(Q177+Q178+Q179+Q180+Q181, "NA")</f>
        <v>1332029.6099999999</v>
      </c>
      <c r="R182" s="15">
        <f>IFERROR(Q182/Q444, "NA")</f>
        <v>0.24860880661853152</v>
      </c>
      <c r="S182" s="2"/>
      <c r="T182" s="14">
        <f>IFERROR(T177+T178+T179+T180+T181, "NA")</f>
        <v>1363502.41</v>
      </c>
      <c r="U182" s="15">
        <f>IFERROR(T182/T444, "NA")</f>
        <v>0.24172765504309487</v>
      </c>
      <c r="V182" s="2"/>
      <c r="W182" s="14">
        <f t="shared" si="46"/>
        <v>31472.800000000047</v>
      </c>
      <c r="X182" s="15">
        <f>IFERROR(W182/W444, "NA")</f>
        <v>-0.1113209369085388</v>
      </c>
      <c r="Y182" s="2"/>
      <c r="Z182" s="14">
        <f>IFERROR(Z177+Z178+Z179+Z180+Z181, "NA")</f>
        <v>1256969.02</v>
      </c>
      <c r="AA182" s="15">
        <f>IFERROR(Z182/Z444, "NA")</f>
        <v>0.25150223818398409</v>
      </c>
      <c r="AB182" s="2"/>
      <c r="AC182" s="14">
        <f t="shared" si="47"/>
        <v>-75060.589999999851</v>
      </c>
      <c r="AD182" s="15">
        <f>IFERROR(AC182/AC444, "NA")</f>
        <v>-0.20844960755073685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4.0024608486063616E-3</v>
      </c>
      <c r="D184" s="9"/>
      <c r="E184" s="7">
        <v>2950</v>
      </c>
      <c r="F184" s="8">
        <f>IFERROR(E184/E444, "NA")</f>
        <v>3.3599422536406054E-3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2500</v>
      </c>
      <c r="L184" s="8">
        <f>IFERROR(K184/K444, "NA")</f>
        <v>3.0986446330061976E-3</v>
      </c>
      <c r="M184" s="9"/>
      <c r="N184" s="10">
        <f t="shared" si="45"/>
        <v>-450</v>
      </c>
      <c r="O184" s="8">
        <f>IFERROR(N184/N444, "NA")</f>
        <v>6.4508915132071316E-3</v>
      </c>
      <c r="P184" s="9"/>
      <c r="Q184" s="7">
        <v>14000</v>
      </c>
      <c r="R184" s="8">
        <f>IFERROR(Q184/Q444, "NA")</f>
        <v>2.6129473898552761E-3</v>
      </c>
      <c r="S184" s="9"/>
      <c r="T184" s="7">
        <v>26550</v>
      </c>
      <c r="U184" s="8">
        <f>IFERROR(T184/T444, "NA")</f>
        <v>4.7068998150096185E-3</v>
      </c>
      <c r="V184" s="9"/>
      <c r="W184" s="10">
        <f t="shared" si="46"/>
        <v>12550</v>
      </c>
      <c r="X184" s="8">
        <f>IFERROR(W184/W444, "NA")</f>
        <v>-4.4390005280818982E-2</v>
      </c>
      <c r="Y184" s="9"/>
      <c r="Z184" s="7">
        <v>12750</v>
      </c>
      <c r="AA184" s="8">
        <f>IFERROR(Z184/Z444, "NA")</f>
        <v>2.5510998965159837E-3</v>
      </c>
      <c r="AB184" s="9"/>
      <c r="AC184" s="10">
        <f t="shared" si="47"/>
        <v>-1250</v>
      </c>
      <c r="AD184" s="8">
        <f>IFERROR(AC184/AC444, "NA")</f>
        <v>-3.4713557332605779E-3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16389.39</v>
      </c>
      <c r="C186" s="8">
        <f>IFERROR(B186/B444, "NA")</f>
        <v>2.2236573494081566E-2</v>
      </c>
      <c r="D186" s="9"/>
      <c r="E186" s="7">
        <v>19003.97</v>
      </c>
      <c r="F186" s="8">
        <f>IFERROR(E186/E444, "NA")</f>
        <v>2.1644827725396089E-2</v>
      </c>
      <c r="G186" s="9"/>
      <c r="H186" s="10">
        <f t="shared" ref="H186:H197" si="48">IFERROR(-(B186-E186), "NA")</f>
        <v>2614.5800000000017</v>
      </c>
      <c r="I186" s="8">
        <f>IFERROR(H186/H444, "NA")</f>
        <v>-1.8550393374083131E-2</v>
      </c>
      <c r="J186" s="9"/>
      <c r="K186" s="7">
        <v>16133</v>
      </c>
      <c r="L186" s="8">
        <f>IFERROR(K186/K444, "NA")</f>
        <v>1.9996173545715593E-2</v>
      </c>
      <c r="M186" s="9"/>
      <c r="N186" s="10">
        <f t="shared" ref="N186:N197" si="49">IFERROR(-(B186-K186), "NA")</f>
        <v>-256.38999999999942</v>
      </c>
      <c r="O186" s="8">
        <f>IFERROR(N186/N444, "NA")</f>
        <v>3.6754312779359393E-3</v>
      </c>
      <c r="P186" s="9"/>
      <c r="Q186" s="7">
        <v>131648.76</v>
      </c>
      <c r="R186" s="8">
        <f>IFERROR(Q186/Q444, "NA")</f>
        <v>2.4570805987120265E-2</v>
      </c>
      <c r="S186" s="9"/>
      <c r="T186" s="7">
        <v>149871.78</v>
      </c>
      <c r="U186" s="8">
        <f>IFERROR(T186/T444, "NA")</f>
        <v>2.656992292117372E-2</v>
      </c>
      <c r="V186" s="9"/>
      <c r="W186" s="10">
        <f t="shared" ref="W186:W197" si="50">IFERROR(-(Q186-T186), "NA")</f>
        <v>18223.01999999999</v>
      </c>
      <c r="X186" s="8">
        <f>IFERROR(W186/W444, "NA")</f>
        <v>-6.4455773229678839E-2</v>
      </c>
      <c r="Y186" s="9"/>
      <c r="Z186" s="7">
        <v>129668.03</v>
      </c>
      <c r="AA186" s="8">
        <f>IFERROR(Z186/Z444, "NA")</f>
        <v>2.5944791993288741E-2</v>
      </c>
      <c r="AB186" s="9"/>
      <c r="AC186" s="10">
        <f t="shared" ref="AC186:AC197" si="51">IFERROR(-(Q186-Z186), "NA")</f>
        <v>-1980.7300000000105</v>
      </c>
      <c r="AD186" s="8">
        <f>IFERROR(AC186/AC444, "NA")</f>
        <v>-5.5006547532330087E-3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1.4006038647538734E-8</v>
      </c>
      <c r="AB187" s="9"/>
      <c r="AC187" s="10">
        <f t="shared" si="51"/>
        <v>7.0000000000000007E-2</v>
      </c>
      <c r="AD187" s="8">
        <f>IFERROR(AC187/AC444, "NA")</f>
        <v>1.9439592106259239E-7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16389.39</v>
      </c>
      <c r="C193" s="15">
        <f>IFERROR(B193/B444, "NA")</f>
        <v>2.2236573494081566E-2</v>
      </c>
      <c r="D193" s="2"/>
      <c r="E193" s="14">
        <f>IFERROR(E186+E187+E188+E189+E190+E191+E192, "NA")</f>
        <v>19003.97</v>
      </c>
      <c r="F193" s="15">
        <f>IFERROR(E193/E444, "NA")</f>
        <v>2.1644827725396089E-2</v>
      </c>
      <c r="G193" s="2"/>
      <c r="H193" s="14">
        <f t="shared" si="48"/>
        <v>2614.5800000000017</v>
      </c>
      <c r="I193" s="15">
        <f>IFERROR(H193/H444, "NA")</f>
        <v>-1.8550393374083131E-2</v>
      </c>
      <c r="J193" s="2"/>
      <c r="K193" s="14">
        <f>IFERROR(K186+K187+K188+K189+K190+K191+K192, "NA")</f>
        <v>16133</v>
      </c>
      <c r="L193" s="15">
        <f>IFERROR(K193/K444, "NA")</f>
        <v>1.9996173545715593E-2</v>
      </c>
      <c r="M193" s="2"/>
      <c r="N193" s="14">
        <f t="shared" si="49"/>
        <v>-256.38999999999942</v>
      </c>
      <c r="O193" s="15">
        <f>IFERROR(N193/N444, "NA")</f>
        <v>3.6754312779359393E-3</v>
      </c>
      <c r="P193" s="2"/>
      <c r="Q193" s="14">
        <f>IFERROR(Q186+Q187+Q188+Q189+Q190+Q191+Q192, "NA")</f>
        <v>131648.76</v>
      </c>
      <c r="R193" s="15">
        <f>IFERROR(Q193/Q444, "NA")</f>
        <v>2.4570805987120265E-2</v>
      </c>
      <c r="S193" s="2"/>
      <c r="T193" s="14">
        <f>IFERROR(T186+T187+T188+T189+T190+T191+T192, "NA")</f>
        <v>149871.78</v>
      </c>
      <c r="U193" s="15">
        <f>IFERROR(T193/T444, "NA")</f>
        <v>2.656992292117372E-2</v>
      </c>
      <c r="V193" s="2"/>
      <c r="W193" s="14">
        <f t="shared" si="50"/>
        <v>18223.01999999999</v>
      </c>
      <c r="X193" s="15">
        <f>IFERROR(W193/W444, "NA")</f>
        <v>-6.4455773229678839E-2</v>
      </c>
      <c r="Y193" s="2"/>
      <c r="Z193" s="14">
        <f>IFERROR(Z186+Z187+Z188+Z189+Z190+Z191+Z192, "NA")</f>
        <v>129668.1</v>
      </c>
      <c r="AA193" s="15">
        <f>IFERROR(Z193/Z444, "NA")</f>
        <v>2.594480599932739E-2</v>
      </c>
      <c r="AB193" s="2"/>
      <c r="AC193" s="14">
        <f t="shared" si="51"/>
        <v>-1980.6600000000035</v>
      </c>
      <c r="AD193" s="15">
        <f>IFERROR(AC193/AC444, "NA")</f>
        <v>-5.500460357311927E-3</v>
      </c>
    </row>
    <row r="194" spans="1:30" ht="16.5" customHeight="1" x14ac:dyDescent="0.45">
      <c r="A194" s="6" t="s">
        <v>178</v>
      </c>
      <c r="B194" s="7">
        <v>1235.92</v>
      </c>
      <c r="C194" s="8">
        <f>IFERROR(B194/B444, "NA")</f>
        <v>1.6768547159354491E-3</v>
      </c>
      <c r="D194" s="9"/>
      <c r="E194" s="7">
        <v>1598.8400000000001</v>
      </c>
      <c r="F194" s="8">
        <f>IFERROR(E194/E444, "NA")</f>
        <v>1.8210203636646598E-3</v>
      </c>
      <c r="G194" s="9"/>
      <c r="H194" s="10">
        <f t="shared" si="48"/>
        <v>362.92000000000007</v>
      </c>
      <c r="I194" s="8">
        <f>IFERROR(H194/H444, "NA")</f>
        <v>-2.5749102201203431E-3</v>
      </c>
      <c r="J194" s="9"/>
      <c r="K194" s="7">
        <v>1273.3600000000001</v>
      </c>
      <c r="L194" s="8">
        <f>IFERROR(K194/K444, "NA")</f>
        <v>1.5782760519539088E-3</v>
      </c>
      <c r="M194" s="9"/>
      <c r="N194" s="10">
        <f t="shared" si="49"/>
        <v>37.440000000000055</v>
      </c>
      <c r="O194" s="8">
        <f>IFERROR(N194/N444, "NA")</f>
        <v>-5.3671417389883412E-4</v>
      </c>
      <c r="P194" s="9"/>
      <c r="Q194" s="7">
        <v>11565.76</v>
      </c>
      <c r="R194" s="8">
        <f>IFERROR(Q194/Q444, "NA")</f>
        <v>2.1586230288351831E-3</v>
      </c>
      <c r="S194" s="9"/>
      <c r="T194" s="7">
        <v>11120.45</v>
      </c>
      <c r="U194" s="8">
        <f>IFERROR(T194/T444, "NA")</f>
        <v>1.9714818850404413E-3</v>
      </c>
      <c r="V194" s="9"/>
      <c r="W194" s="10">
        <f t="shared" si="50"/>
        <v>-445.30999999999949</v>
      </c>
      <c r="X194" s="8">
        <f>IFERROR(W194/W444, "NA")</f>
        <v>1.5750847212431458E-3</v>
      </c>
      <c r="Y194" s="9"/>
      <c r="Z194" s="7">
        <v>10238.629999999999</v>
      </c>
      <c r="AA194" s="8">
        <f>IFERROR(Z194/Z444, "NA")</f>
        <v>2.048609249683564E-3</v>
      </c>
      <c r="AB194" s="9"/>
      <c r="AC194" s="10">
        <f t="shared" si="51"/>
        <v>-1327.130000000001</v>
      </c>
      <c r="AD194" s="8">
        <f>IFERROR(AC194/AC444, "NA")</f>
        <v>-3.6855522674256913E-3</v>
      </c>
    </row>
    <row r="195" spans="1:30" ht="16.5" customHeight="1" x14ac:dyDescent="0.45">
      <c r="A195" s="6" t="s">
        <v>179</v>
      </c>
      <c r="B195" s="7">
        <v>1051.5999999999999</v>
      </c>
      <c r="C195" s="8">
        <f>IFERROR(B195/B444, "NA")</f>
        <v>1.426775535048966E-3</v>
      </c>
      <c r="D195" s="9"/>
      <c r="E195" s="7">
        <v>734.85</v>
      </c>
      <c r="F195" s="8">
        <f>IFERROR(E195/E444, "NA")</f>
        <v>8.3696731019925396E-4</v>
      </c>
      <c r="G195" s="9"/>
      <c r="H195" s="10">
        <f t="shared" si="48"/>
        <v>-316.74999999999989</v>
      </c>
      <c r="I195" s="8">
        <f>IFERROR(H195/H444, "NA")</f>
        <v>2.2473349835311317E-3</v>
      </c>
      <c r="J195" s="9"/>
      <c r="K195" s="7">
        <v>783.17</v>
      </c>
      <c r="L195" s="8">
        <f>IFERROR(K195/K444, "NA")</f>
        <v>9.7070620689258542E-4</v>
      </c>
      <c r="M195" s="9"/>
      <c r="N195" s="10">
        <f t="shared" si="49"/>
        <v>-268.42999999999995</v>
      </c>
      <c r="O195" s="8">
        <f>IFERROR(N195/N444, "NA")</f>
        <v>3.8480284642004223E-3</v>
      </c>
      <c r="P195" s="9"/>
      <c r="Q195" s="7">
        <v>11624.05</v>
      </c>
      <c r="R195" s="8">
        <f>IFERROR(Q195/Q444, "NA")</f>
        <v>2.1695022219319444E-3</v>
      </c>
      <c r="S195" s="9"/>
      <c r="T195" s="7">
        <v>5411.04</v>
      </c>
      <c r="U195" s="8">
        <f>IFERROR(T195/T444, "NA")</f>
        <v>9.5929277495328236E-4</v>
      </c>
      <c r="V195" s="9"/>
      <c r="W195" s="10">
        <f t="shared" si="50"/>
        <v>-6213.0099999999993</v>
      </c>
      <c r="X195" s="8">
        <f>IFERROR(W195/W444, "NA")</f>
        <v>2.1975740773687739E-2</v>
      </c>
      <c r="Y195" s="9"/>
      <c r="Z195" s="7">
        <v>10030.6</v>
      </c>
      <c r="AA195" s="8">
        <f>IFERROR(Z195/Z444, "NA")</f>
        <v>2.006985303685743E-3</v>
      </c>
      <c r="AB195" s="9"/>
      <c r="AC195" s="10">
        <f t="shared" si="51"/>
        <v>-1593.4499999999989</v>
      </c>
      <c r="AD195" s="8">
        <f>IFERROR(AC195/AC444, "NA")</f>
        <v>-4.4251454345312514E-3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197332.39</v>
      </c>
      <c r="C196" s="15">
        <f>IFERROR(B196/B444, "NA")</f>
        <v>0.26773395428370222</v>
      </c>
      <c r="D196" s="2"/>
      <c r="E196" s="14">
        <f>IFERROR(E175+E177+E178+E179+E180+E181+E183+E184+E186+E187+E188+E189+E190+E191+E192+E194+E195, "NA")</f>
        <v>221193.55000000002</v>
      </c>
      <c r="F196" s="15">
        <f>IFERROR(E196/E444, "NA")</f>
        <v>0.25193137453483594</v>
      </c>
      <c r="G196" s="2"/>
      <c r="H196" s="14">
        <f t="shared" si="48"/>
        <v>23861.160000000003</v>
      </c>
      <c r="I196" s="15">
        <f>IFERROR(H196/H444, "NA")</f>
        <v>-0.16929445813933297</v>
      </c>
      <c r="J196" s="2"/>
      <c r="K196" s="14">
        <f>IFERROR(K175+K177+K178+K179+K180+K181+K183+K184+K186+K187+K188+K189+K190+K191+K192+K194+K195, "NA")</f>
        <v>193241.74000000002</v>
      </c>
      <c r="L196" s="15">
        <f>IFERROR(K196/K444, "NA")</f>
        <v>0.23951499220951164</v>
      </c>
      <c r="M196" s="2"/>
      <c r="N196" s="14">
        <f t="shared" si="49"/>
        <v>-4090.6499999999942</v>
      </c>
      <c r="O196" s="15">
        <f>IFERROR(N196/N444, "NA")</f>
        <v>5.8640754152223813E-2</v>
      </c>
      <c r="P196" s="2"/>
      <c r="Q196" s="14">
        <f>IFERROR(Q175+Q177+Q178+Q179+Q180+Q181+Q183+Q184+Q186+Q187+Q188+Q189+Q190+Q191+Q192+Q194+Q195, "NA")</f>
        <v>1500868.18</v>
      </c>
      <c r="R196" s="15">
        <f>IFERROR(Q196/Q444, "NA")</f>
        <v>0.2801206852462742</v>
      </c>
      <c r="S196" s="2"/>
      <c r="T196" s="14">
        <f>IFERROR(T175+T177+T178+T179+T180+T181+T183+T184+T186+T187+T188+T189+T190+T191+T192+T194+T195, "NA")</f>
        <v>1556455.68</v>
      </c>
      <c r="U196" s="15">
        <f>IFERROR(T196/T444, "NA")</f>
        <v>0.27593525243927192</v>
      </c>
      <c r="V196" s="2"/>
      <c r="W196" s="14">
        <f t="shared" si="50"/>
        <v>55587.5</v>
      </c>
      <c r="X196" s="15">
        <f>IFERROR(W196/W444, "NA")</f>
        <v>-0.19661588992410561</v>
      </c>
      <c r="Y196" s="2"/>
      <c r="Z196" s="14">
        <f>IFERROR(Z175+Z177+Z178+Z179+Z180+Z181+Z183+Z184+Z186+Z187+Z188+Z189+Z190+Z191+Z192+Z194+Z195, "NA")</f>
        <v>1419656.35</v>
      </c>
      <c r="AA196" s="15">
        <f>IFERROR(Z196/Z444, "NA")</f>
        <v>0.28405373863319677</v>
      </c>
      <c r="AB196" s="2"/>
      <c r="AC196" s="14">
        <f t="shared" si="51"/>
        <v>-81211.829999999842</v>
      </c>
      <c r="AD196" s="15">
        <f>IFERROR(AC196/AC444, "NA")</f>
        <v>-0.22553212134326628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197332.39</v>
      </c>
      <c r="C197" s="15">
        <f>IFERROR(B197/B444, "NA")</f>
        <v>0.26773395428370222</v>
      </c>
      <c r="D197" s="2"/>
      <c r="E197" s="14">
        <f>IFERROR(E175+E177+E178+E179+E180+E181+E183+E184+E186+E187+E188+E189+E190+E191+E192+E194+E195, "NA")</f>
        <v>221193.55000000002</v>
      </c>
      <c r="F197" s="15">
        <f>IFERROR(E197/E444, "NA")</f>
        <v>0.25193137453483594</v>
      </c>
      <c r="G197" s="2"/>
      <c r="H197" s="14">
        <f t="shared" si="48"/>
        <v>23861.160000000003</v>
      </c>
      <c r="I197" s="15">
        <f>IFERROR(H197/H444, "NA")</f>
        <v>-0.16929445813933297</v>
      </c>
      <c r="J197" s="2"/>
      <c r="K197" s="14">
        <f>IFERROR(K175+K177+K178+K179+K180+K181+K183+K184+K186+K187+K188+K189+K190+K191+K192+K194+K195, "NA")</f>
        <v>193241.74000000002</v>
      </c>
      <c r="L197" s="15">
        <f>IFERROR(K197/K444, "NA")</f>
        <v>0.23951499220951164</v>
      </c>
      <c r="M197" s="2"/>
      <c r="N197" s="14">
        <f t="shared" si="49"/>
        <v>-4090.6499999999942</v>
      </c>
      <c r="O197" s="15">
        <f>IFERROR(N197/N444, "NA")</f>
        <v>5.8640754152223813E-2</v>
      </c>
      <c r="P197" s="2"/>
      <c r="Q197" s="14">
        <f>IFERROR(Q175+Q177+Q178+Q179+Q180+Q181+Q183+Q184+Q186+Q187+Q188+Q189+Q190+Q191+Q192+Q194+Q195, "NA")</f>
        <v>1500868.18</v>
      </c>
      <c r="R197" s="15">
        <f>IFERROR(Q197/Q444, "NA")</f>
        <v>0.2801206852462742</v>
      </c>
      <c r="S197" s="2"/>
      <c r="T197" s="14">
        <f>IFERROR(T175+T177+T178+T179+T180+T181+T183+T184+T186+T187+T188+T189+T190+T191+T192+T194+T195, "NA")</f>
        <v>1556455.68</v>
      </c>
      <c r="U197" s="15">
        <f>IFERROR(T197/T444, "NA")</f>
        <v>0.27593525243927192</v>
      </c>
      <c r="V197" s="2"/>
      <c r="W197" s="14">
        <f t="shared" si="50"/>
        <v>55587.5</v>
      </c>
      <c r="X197" s="15">
        <f>IFERROR(W197/W444, "NA")</f>
        <v>-0.19661588992410561</v>
      </c>
      <c r="Y197" s="2"/>
      <c r="Z197" s="14">
        <f>IFERROR(Z175+Z177+Z178+Z179+Z180+Z181+Z183+Z184+Z186+Z187+Z188+Z189+Z190+Z191+Z192+Z194+Z195, "NA")</f>
        <v>1419656.35</v>
      </c>
      <c r="AA197" s="15">
        <f>IFERROR(Z197/Z444, "NA")</f>
        <v>0.28405373863319677</v>
      </c>
      <c r="AB197" s="2"/>
      <c r="AC197" s="14">
        <f t="shared" si="51"/>
        <v>-81211.829999999842</v>
      </c>
      <c r="AD197" s="15">
        <f>IFERROR(AC197/AC444, "NA")</f>
        <v>-0.22553212134326628</v>
      </c>
    </row>
    <row r="198" spans="1:30" ht="16.5" customHeight="1" x14ac:dyDescent="0.45">
      <c r="A198" s="22" t="s">
        <v>181</v>
      </c>
      <c r="B198" s="23">
        <f>IFERROR(B172-B197, "NA")</f>
        <v>334893.34999999963</v>
      </c>
      <c r="C198" s="24">
        <f>IFERROR(B198/B444, "NA")</f>
        <v>0.45437204129953418</v>
      </c>
      <c r="D198" s="25"/>
      <c r="E198" s="23">
        <f>IFERROR(E172-E197, "NA")</f>
        <v>447336.94000000006</v>
      </c>
      <c r="F198" s="24">
        <f>IFERROR(E198/E444, "NA")</f>
        <v>0.5095004360407771</v>
      </c>
      <c r="G198" s="25"/>
      <c r="H198" s="23">
        <f>IFERROR(B198-E198, "NA")</f>
        <v>-112443.59000000043</v>
      </c>
      <c r="I198" s="24">
        <f>IFERROR(H198/H444, "NA")</f>
        <v>0.79778504650617954</v>
      </c>
      <c r="J198" s="25"/>
      <c r="K198" s="23">
        <f>IFERROR(K172-K197, "NA")</f>
        <v>400144.05000000028</v>
      </c>
      <c r="L198" s="24">
        <f>IFERROR(K198/K444, "NA")</f>
        <v>0.49596168518474576</v>
      </c>
      <c r="M198" s="25"/>
      <c r="N198" s="23">
        <f>IFERROR(B198-K198, "NA")</f>
        <v>-65250.700000000652</v>
      </c>
      <c r="O198" s="24">
        <f>IFERROR(N198/N444, "NA")</f>
        <v>0.93538930413517507</v>
      </c>
      <c r="P198" s="25"/>
      <c r="Q198" s="23">
        <f>IFERROR(Q172-Q197, "NA")</f>
        <v>2336879.8000000007</v>
      </c>
      <c r="R198" s="24">
        <f>IFERROR(Q198/Q444, "NA")</f>
        <v>0.43615314098682301</v>
      </c>
      <c r="S198" s="25"/>
      <c r="T198" s="23">
        <f>IFERROR(T172-T197, "NA")</f>
        <v>2690422.6100000003</v>
      </c>
      <c r="U198" s="24">
        <f>IFERROR(T198/T444, "NA")</f>
        <v>0.4769698563204029</v>
      </c>
      <c r="V198" s="25"/>
      <c r="W198" s="23">
        <f>IFERROR(Q198-T198, "NA")</f>
        <v>-353542.80999999959</v>
      </c>
      <c r="X198" s="24">
        <f>IFERROR(W198/W444, "NA")</f>
        <v>1.250499378716778</v>
      </c>
      <c r="Y198" s="25"/>
      <c r="Z198" s="23">
        <f>IFERROR(Z172-Z197, "NA")</f>
        <v>2204608.3899999992</v>
      </c>
      <c r="AA198" s="24">
        <f>IFERROR(Z198/Z444, "NA")</f>
        <v>0.44111186161468763</v>
      </c>
      <c r="AB198" s="25"/>
      <c r="AC198" s="23">
        <f>IFERROR(Q198-Z198, "NA")</f>
        <v>132271.41000000155</v>
      </c>
      <c r="AD198" s="24">
        <f>IFERROR(AC198/AC444, "NA")</f>
        <v>0.3673288939599727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16800.25</v>
      </c>
      <c r="F201" s="8">
        <f>IFERROR(E201/E444, "NA")</f>
        <v>1.9134871134483249E-2</v>
      </c>
      <c r="G201" s="9"/>
      <c r="H201" s="10">
        <f t="shared" ref="H201:H209" si="52">IFERROR(-(B201-E201), "NA")</f>
        <v>16800.25</v>
      </c>
      <c r="I201" s="8">
        <f>IFERROR(H201/H444, "NA")</f>
        <v>-0.11919744137985448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109946.76999999999</v>
      </c>
      <c r="U201" s="8">
        <f>IFERROR(T201/T444, "NA")</f>
        <v>1.9491842989600945E-2</v>
      </c>
      <c r="V201" s="9"/>
      <c r="W201" s="10">
        <f t="shared" ref="W201:W209" si="54">IFERROR(-(Q201-T201), "NA")</f>
        <v>109946.76999999999</v>
      </c>
      <c r="X201" s="8">
        <f>IFERROR(W201/W444, "NA")</f>
        <v>-0.38888746620788761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6926.26</v>
      </c>
      <c r="C202" s="8">
        <f>IFERROR(B202/B444, "NA")</f>
        <v>9.3973167719553566E-3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-6926.26</v>
      </c>
      <c r="I202" s="8">
        <f>IFERROR(H202/H444, "NA")</f>
        <v>4.9141677673345985E-2</v>
      </c>
      <c r="J202" s="9"/>
      <c r="K202" s="7">
        <v>5894.63</v>
      </c>
      <c r="L202" s="8">
        <f>IFERROR(K202/K444, "NA")</f>
        <v>7.3061454452229288E-3</v>
      </c>
      <c r="M202" s="9"/>
      <c r="N202" s="10">
        <f t="shared" si="53"/>
        <v>-1031.6300000000001</v>
      </c>
      <c r="O202" s="8">
        <f>IFERROR(N202/N444, "NA")</f>
        <v>1.4788740470599721E-2</v>
      </c>
      <c r="P202" s="9"/>
      <c r="Q202" s="7">
        <v>54003.42</v>
      </c>
      <c r="R202" s="8">
        <f>IFERROR(Q202/Q444, "NA")</f>
        <v>1.0079149666589873E-2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-54003.42</v>
      </c>
      <c r="X202" s="8">
        <f>IFERROR(W202/W444, "NA")</f>
        <v>0.19101291625356856</v>
      </c>
      <c r="Y202" s="9"/>
      <c r="Z202" s="7">
        <v>45937.46</v>
      </c>
      <c r="AA202" s="8">
        <f>IFERROR(Z202/Z444, "NA")</f>
        <v>9.1914548589966377E-3</v>
      </c>
      <c r="AB202" s="9"/>
      <c r="AC202" s="10">
        <f t="shared" si="55"/>
        <v>-8065.9599999999991</v>
      </c>
      <c r="AD202" s="8">
        <f>IFERROR(AC202/AC444, "NA")</f>
        <v>-2.2399853192200392E-2</v>
      </c>
    </row>
    <row r="203" spans="1:30" ht="16.5" customHeight="1" x14ac:dyDescent="0.45">
      <c r="A203" s="6" t="s">
        <v>185</v>
      </c>
      <c r="B203" s="7">
        <v>4976.4400000000005</v>
      </c>
      <c r="C203" s="8">
        <f>IFERROR(B203/B444, "NA")</f>
        <v>6.751866530657168E-3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-4976.4400000000005</v>
      </c>
      <c r="I203" s="8">
        <f>IFERROR(H203/H444, "NA")</f>
        <v>3.5307743347888457E-2</v>
      </c>
      <c r="J203" s="9"/>
      <c r="K203" s="7">
        <v>4637.5300000000007</v>
      </c>
      <c r="L203" s="8">
        <f>IFERROR(K203/K444, "NA")</f>
        <v>5.7480229779620935E-3</v>
      </c>
      <c r="M203" s="9"/>
      <c r="N203" s="10">
        <f t="shared" si="53"/>
        <v>-338.90999999999985</v>
      </c>
      <c r="O203" s="8">
        <f>IFERROR(N203/N444, "NA")</f>
        <v>4.8583814283133953E-3</v>
      </c>
      <c r="P203" s="9"/>
      <c r="Q203" s="7">
        <v>44672.99</v>
      </c>
      <c r="R203" s="8">
        <f>IFERROR(Q203/Q444, "NA")</f>
        <v>8.3377266155379177E-3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-44672.99</v>
      </c>
      <c r="X203" s="8">
        <f>IFERROR(W203/W444, "NA")</f>
        <v>0.15801069816812538</v>
      </c>
      <c r="Y203" s="9"/>
      <c r="Z203" s="7">
        <v>31825.21</v>
      </c>
      <c r="AA203" s="8">
        <f>IFERROR(Z203/Z444, "NA")</f>
        <v>6.3677874460862311E-3</v>
      </c>
      <c r="AB203" s="9"/>
      <c r="AC203" s="10">
        <f t="shared" si="55"/>
        <v>-12847.779999999999</v>
      </c>
      <c r="AD203" s="8">
        <f>IFERROR(AC203/AC444, "NA")</f>
        <v>-3.5679371810136466E-2</v>
      </c>
    </row>
    <row r="204" spans="1:30" ht="16.5" customHeight="1" x14ac:dyDescent="0.45">
      <c r="A204" s="6" t="s">
        <v>186</v>
      </c>
      <c r="B204" s="7">
        <v>1680.1100000000001</v>
      </c>
      <c r="C204" s="8">
        <f>IFERROR(B204/B444, "NA")</f>
        <v>2.2795167784244188E-3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-1680.1100000000001</v>
      </c>
      <c r="I204" s="8">
        <f>IFERROR(H204/H444, "NA")</f>
        <v>1.1920347211303839E-2</v>
      </c>
      <c r="J204" s="9"/>
      <c r="K204" s="7">
        <v>1345.04</v>
      </c>
      <c r="L204" s="8">
        <f>IFERROR(K204/K444, "NA")</f>
        <v>1.6671203908714624E-3</v>
      </c>
      <c r="M204" s="9"/>
      <c r="N204" s="10">
        <f t="shared" si="53"/>
        <v>-335.07000000000016</v>
      </c>
      <c r="O204" s="8">
        <f>IFERROR(N204/N444, "NA")</f>
        <v>4.8033338207340327E-3</v>
      </c>
      <c r="P204" s="9"/>
      <c r="Q204" s="7">
        <v>10990.650000000001</v>
      </c>
      <c r="R204" s="8">
        <f>IFERROR(Q204/Q444, "NA")</f>
        <v>2.0512850164509213E-3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-10990.650000000001</v>
      </c>
      <c r="X204" s="8">
        <f>IFERROR(W204/W444, "NA")</f>
        <v>3.8874502911524562E-2</v>
      </c>
      <c r="Y204" s="9"/>
      <c r="Z204" s="7">
        <v>7115.9800000000005</v>
      </c>
      <c r="AA204" s="8">
        <f>IFERROR(Z204/Z444, "NA")</f>
        <v>1.4238098699301811E-3</v>
      </c>
      <c r="AB204" s="9"/>
      <c r="AC204" s="10">
        <f t="shared" si="55"/>
        <v>-3874.670000000001</v>
      </c>
      <c r="AD204" s="8">
        <f>IFERROR(AC204/AC444, "NA")</f>
        <v>-1.0760286335194214E-2</v>
      </c>
    </row>
    <row r="205" spans="1:30" ht="16.5" customHeight="1" x14ac:dyDescent="0.45">
      <c r="A205" s="6" t="s">
        <v>187</v>
      </c>
      <c r="B205" s="7">
        <v>3011.59</v>
      </c>
      <c r="C205" s="8">
        <f>IFERROR(B205/B444, "NA")</f>
        <v>4.0860240905269268E-3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-3011.59</v>
      </c>
      <c r="I205" s="8">
        <f>IFERROR(H205/H444, "NA")</f>
        <v>2.1367171469779078E-2</v>
      </c>
      <c r="J205" s="9"/>
      <c r="K205" s="7">
        <v>2282.5499999999997</v>
      </c>
      <c r="L205" s="8">
        <f>IFERROR(K205/K444, "NA")</f>
        <v>2.829124522827318E-3</v>
      </c>
      <c r="M205" s="9"/>
      <c r="N205" s="10">
        <f t="shared" si="53"/>
        <v>-729.04000000000042</v>
      </c>
      <c r="O205" s="8">
        <f>IFERROR(N205/N444, "NA")</f>
        <v>1.0451017663974511E-2</v>
      </c>
      <c r="P205" s="9"/>
      <c r="Q205" s="7">
        <v>19402.95</v>
      </c>
      <c r="R205" s="8">
        <f>IFERROR(Q205/Q444, "NA")</f>
        <v>3.6213491112851741E-3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-19402.95</v>
      </c>
      <c r="X205" s="8">
        <f>IFERROR(W205/W444, "NA")</f>
        <v>6.8629247248085001E-2</v>
      </c>
      <c r="Y205" s="9"/>
      <c r="Z205" s="7">
        <v>17947.61</v>
      </c>
      <c r="AA205" s="8">
        <f>IFERROR(Z205/Z444, "NA")</f>
        <v>3.5910702755850379E-3</v>
      </c>
      <c r="AB205" s="9"/>
      <c r="AC205" s="10">
        <f t="shared" si="55"/>
        <v>-1455.3400000000001</v>
      </c>
      <c r="AD205" s="8">
        <f>IFERROR(AC205/AC444, "NA")</f>
        <v>-4.04160228227476E-3</v>
      </c>
    </row>
    <row r="206" spans="1:30" ht="16.5" customHeight="1" x14ac:dyDescent="0.45">
      <c r="A206" s="6" t="s">
        <v>188</v>
      </c>
      <c r="B206" s="7">
        <v>-124.91000000000003</v>
      </c>
      <c r="C206" s="8">
        <f>IFERROR(B206/B444, "NA")</f>
        <v>-1.6947368969471891E-4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124.91000000000003</v>
      </c>
      <c r="I206" s="8">
        <f>IFERROR(H206/H444, "NA")</f>
        <v>-8.8623397882517374E-4</v>
      </c>
      <c r="J206" s="9"/>
      <c r="K206" s="7">
        <v>1086.19</v>
      </c>
      <c r="L206" s="8">
        <f>IFERROR(K206/K444, "NA")</f>
        <v>1.3462867255700007E-3</v>
      </c>
      <c r="M206" s="9"/>
      <c r="N206" s="10">
        <f t="shared" si="53"/>
        <v>1211.1000000000001</v>
      </c>
      <c r="O206" s="8">
        <f>IFERROR(N206/N444, "NA")</f>
        <v>-1.7361499359211462E-2</v>
      </c>
      <c r="P206" s="9"/>
      <c r="Q206" s="7">
        <v>4507.38</v>
      </c>
      <c r="R206" s="8">
        <f>IFERROR(Q206/Q444, "NA")</f>
        <v>8.4125334329184821E-4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-4507.38</v>
      </c>
      <c r="X206" s="8">
        <f>IFERROR(W206/W444, "NA")</f>
        <v>1.5942838406586286E-2</v>
      </c>
      <c r="Y206" s="9"/>
      <c r="Z206" s="7">
        <v>2766.26</v>
      </c>
      <c r="AA206" s="8">
        <f>IFERROR(Z206/Z444, "NA")</f>
        <v>5.5349063527343565E-4</v>
      </c>
      <c r="AB206" s="9"/>
      <c r="AC206" s="10">
        <f t="shared" si="55"/>
        <v>-1741.12</v>
      </c>
      <c r="AD206" s="8">
        <f>IFERROR(AC206/AC444, "NA")</f>
        <v>-4.8352375154357254E-3</v>
      </c>
    </row>
    <row r="207" spans="1:30" ht="16.5" customHeight="1" x14ac:dyDescent="0.45">
      <c r="A207" s="6" t="s">
        <v>189</v>
      </c>
      <c r="B207" s="7">
        <v>423.46999999999997</v>
      </c>
      <c r="C207" s="8">
        <f>IFERROR(B207/B444, "NA")</f>
        <v>5.7454986290146983E-4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-423.46999999999997</v>
      </c>
      <c r="I207" s="8">
        <f>IFERROR(H207/H444, "NA")</f>
        <v>3.004511272220769E-3</v>
      </c>
      <c r="J207" s="9"/>
      <c r="K207" s="7">
        <v>1319.5200000000002</v>
      </c>
      <c r="L207" s="8">
        <f>IFERROR(K207/K444, "NA")</f>
        <v>1.6354894264577354E-3</v>
      </c>
      <c r="M207" s="9"/>
      <c r="N207" s="10">
        <f t="shared" si="53"/>
        <v>896.05000000000018</v>
      </c>
      <c r="O207" s="8">
        <f>IFERROR(N207/N444, "NA")</f>
        <v>-1.2845158534242781E-2</v>
      </c>
      <c r="P207" s="9"/>
      <c r="Q207" s="7">
        <v>4238.3599999999997</v>
      </c>
      <c r="R207" s="8">
        <f>IFERROR(Q207/Q444, "NA")</f>
        <v>7.9104369280478626E-4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-4238.3599999999997</v>
      </c>
      <c r="X207" s="8">
        <f>IFERROR(W207/W444, "NA")</f>
        <v>1.4991300620080632E-2</v>
      </c>
      <c r="Y207" s="9"/>
      <c r="Z207" s="7">
        <v>2861.06</v>
      </c>
      <c r="AA207" s="8">
        <f>IFERROR(Z207/Z444, "NA")</f>
        <v>5.7245881332753095E-4</v>
      </c>
      <c r="AB207" s="9"/>
      <c r="AC207" s="10">
        <f t="shared" si="55"/>
        <v>-1377.2999999999997</v>
      </c>
      <c r="AD207" s="8">
        <f>IFERROR(AC207/AC444, "NA")</f>
        <v>-3.8248786011358346E-3</v>
      </c>
    </row>
    <row r="208" spans="1:30" ht="16.5" customHeight="1" x14ac:dyDescent="0.45">
      <c r="A208" s="6" t="s">
        <v>190</v>
      </c>
      <c r="B208" s="7">
        <v>260.42</v>
      </c>
      <c r="C208" s="8">
        <f>IFERROR(B208/B444, "NA")</f>
        <v>3.533291031166335E-4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-260.42</v>
      </c>
      <c r="I208" s="8">
        <f>IFERROR(H208/H444, "NA")</f>
        <v>1.8476747479437333E-3</v>
      </c>
      <c r="J208" s="9"/>
      <c r="K208" s="7">
        <v>573.64</v>
      </c>
      <c r="L208" s="8">
        <f>IFERROR(K208/K444, "NA")</f>
        <v>7.1100260291106999E-4</v>
      </c>
      <c r="M208" s="9"/>
      <c r="N208" s="10">
        <f t="shared" si="53"/>
        <v>313.21999999999997</v>
      </c>
      <c r="O208" s="8">
        <f>IFERROR(N208/N444, "NA")</f>
        <v>-4.4901071994816388E-3</v>
      </c>
      <c r="P208" s="9"/>
      <c r="Q208" s="7">
        <v>6902.18</v>
      </c>
      <c r="R208" s="8">
        <f>IFERROR(Q208/Q444, "NA")</f>
        <v>1.2882166582365209E-3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-6902.18</v>
      </c>
      <c r="X208" s="8">
        <f>IFERROR(W208/W444, "NA")</f>
        <v>2.4413371047742088E-2</v>
      </c>
      <c r="Y208" s="9"/>
      <c r="Z208" s="7">
        <v>6803.55</v>
      </c>
      <c r="AA208" s="8">
        <f>IFERROR(Z208/Z444, "NA")</f>
        <v>1.3612969177208879E-3</v>
      </c>
      <c r="AB208" s="9"/>
      <c r="AC208" s="10">
        <f t="shared" si="55"/>
        <v>-98.630000000000109</v>
      </c>
      <c r="AD208" s="8">
        <f>IFERROR(AC208/AC444, "NA")</f>
        <v>-2.7390385277719292E-4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17153.38</v>
      </c>
      <c r="C209" s="15">
        <f>IFERROR(B209/B444, "NA")</f>
        <v>2.3273129447887255E-2</v>
      </c>
      <c r="D209" s="2"/>
      <c r="E209" s="14">
        <f>IFERROR(E201+E202+E203+E204+E205+E206+E207+E208, "NA")</f>
        <v>16800.25</v>
      </c>
      <c r="F209" s="15">
        <f>IFERROR(E209/E444, "NA")</f>
        <v>1.9134871134483249E-2</v>
      </c>
      <c r="G209" s="2"/>
      <c r="H209" s="14">
        <f t="shared" si="52"/>
        <v>-353.13000000000102</v>
      </c>
      <c r="I209" s="15">
        <f>IFERROR(H209/H444, "NA")</f>
        <v>2.5054503638022134E-3</v>
      </c>
      <c r="J209" s="2"/>
      <c r="K209" s="14">
        <f>IFERROR(K201+K202+K203+K204+K205+K206+K207+K208, "NA")</f>
        <v>17139.099999999999</v>
      </c>
      <c r="L209" s="15">
        <f>IFERROR(K209/K444, "NA")</f>
        <v>2.1243192091822606E-2</v>
      </c>
      <c r="M209" s="2"/>
      <c r="N209" s="14">
        <f t="shared" si="53"/>
        <v>-14.280000000002474</v>
      </c>
      <c r="O209" s="15">
        <f>IFERROR(N209/N444, "NA")</f>
        <v>2.0470829068580844E-4</v>
      </c>
      <c r="P209" s="2"/>
      <c r="Q209" s="14">
        <f>IFERROR(Q201+Q202+Q203+Q204+Q205+Q206+Q207+Q208, "NA")</f>
        <v>144717.92999999996</v>
      </c>
      <c r="R209" s="15">
        <f>IFERROR(Q209/Q444, "NA")</f>
        <v>2.7010024104197033E-2</v>
      </c>
      <c r="S209" s="2"/>
      <c r="T209" s="14">
        <f>IFERROR(T201+T202+T203+T204+T205+T206+T207+T208, "NA")</f>
        <v>109946.76999999999</v>
      </c>
      <c r="U209" s="15">
        <f>IFERROR(T209/T444, "NA")</f>
        <v>1.9491842989600945E-2</v>
      </c>
      <c r="V209" s="2"/>
      <c r="W209" s="14">
        <f t="shared" si="54"/>
        <v>-34771.159999999974</v>
      </c>
      <c r="X209" s="15">
        <f>IFERROR(W209/W444, "NA")</f>
        <v>0.12298740844782476</v>
      </c>
      <c r="Y209" s="2"/>
      <c r="Z209" s="14">
        <f>IFERROR(Z201+Z202+Z203+Z204+Z205+Z206+Z207+Z208, "NA")</f>
        <v>115257.12999999999</v>
      </c>
      <c r="AA209" s="15">
        <f>IFERROR(Z209/Z444, "NA")</f>
        <v>2.306136881691994E-2</v>
      </c>
      <c r="AB209" s="2"/>
      <c r="AC209" s="14">
        <f t="shared" si="55"/>
        <v>-29460.799999999974</v>
      </c>
      <c r="AD209" s="15">
        <f>IFERROR(AC209/AC444, "NA")</f>
        <v>-8.1815133589154515E-2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32430.33</v>
      </c>
      <c r="F213" s="8">
        <f>IFERROR(E213/E444, "NA")</f>
        <v>3.6936961378477476E-2</v>
      </c>
      <c r="G213" s="9"/>
      <c r="H213" s="10">
        <f t="shared" ref="H213:H227" si="56">IFERROR(-(B213-E213), "NA")</f>
        <v>32430.33</v>
      </c>
      <c r="I213" s="8">
        <f>IFERROR(H213/H444, "NA")</f>
        <v>-0.23009254975993432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196307.96000000002</v>
      </c>
      <c r="U213" s="8">
        <f>IFERROR(T213/T444, "NA")</f>
        <v>3.4802331473028844E-2</v>
      </c>
      <c r="V213" s="9"/>
      <c r="W213" s="10">
        <f t="shared" ref="W213:W227" si="58">IFERROR(-(Q213-T213), "NA")</f>
        <v>196307.96000000002</v>
      </c>
      <c r="X213" s="8">
        <f>IFERROR(W213/W444, "NA")</f>
        <v>-0.69435150446747429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8006.42</v>
      </c>
      <c r="C214" s="8">
        <f>IFERROR(B214/B444, "NA")</f>
        <v>1.086284155508439E-2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-8006.42</v>
      </c>
      <c r="I214" s="8">
        <f>IFERROR(H214/H444, "NA")</f>
        <v>5.6805391503846343E-2</v>
      </c>
      <c r="J214" s="9"/>
      <c r="K214" s="7">
        <v>19024.11</v>
      </c>
      <c r="L214" s="8">
        <f>IFERROR(K214/K444, "NA")</f>
        <v>2.3579582539687814E-2</v>
      </c>
      <c r="M214" s="9"/>
      <c r="N214" s="10">
        <f t="shared" si="57"/>
        <v>11017.69</v>
      </c>
      <c r="O214" s="8">
        <f>IFERROR(N214/N444, "NA")</f>
        <v>-0.15794205092477132</v>
      </c>
      <c r="P214" s="9"/>
      <c r="Q214" s="7">
        <v>99218.64</v>
      </c>
      <c r="R214" s="8">
        <f>IFERROR(Q214/Q444, "NA")</f>
        <v>1.8518077600927878E-2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-99218.64</v>
      </c>
      <c r="X214" s="8">
        <f>IFERROR(W214/W444, "NA")</f>
        <v>0.3509415102434803</v>
      </c>
      <c r="Y214" s="9"/>
      <c r="Z214" s="7">
        <v>42995.05</v>
      </c>
      <c r="AA214" s="8">
        <f>IFERROR(Z214/Z444, "NA")</f>
        <v>8.6027190278980033E-3</v>
      </c>
      <c r="AB214" s="9"/>
      <c r="AC214" s="10">
        <f t="shared" si="59"/>
        <v>-56223.59</v>
      </c>
      <c r="AD214" s="8">
        <f>IFERROR(AC214/AC444, "NA")</f>
        <v>-0.15613766519279368</v>
      </c>
    </row>
    <row r="215" spans="1:30" ht="16.5" customHeight="1" x14ac:dyDescent="0.45">
      <c r="A215" s="12" t="s">
        <v>195</v>
      </c>
      <c r="B215" s="7">
        <v>3202.2100000000005</v>
      </c>
      <c r="C215" s="8">
        <f>IFERROR(B215/B444, "NA")</f>
        <v>4.344650899666366E-3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-3202.2100000000005</v>
      </c>
      <c r="I215" s="8">
        <f>IFERROR(H215/H444, "NA")</f>
        <v>2.2719616598621085E-2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-3202.2100000000005</v>
      </c>
      <c r="O215" s="8">
        <f>IFERROR(N215/N444, "NA")</f>
        <v>4.5904687361126691E-2</v>
      </c>
      <c r="P215" s="9"/>
      <c r="Q215" s="7">
        <v>5527.29</v>
      </c>
      <c r="R215" s="8">
        <f>IFERROR(Q215/Q444, "NA")</f>
        <v>1.0316084270337979E-3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-5527.29</v>
      </c>
      <c r="X215" s="8">
        <f>IFERROR(W215/W444, "NA")</f>
        <v>1.9550313329770357E-2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-5527.29</v>
      </c>
      <c r="AD215" s="8">
        <f>IFERROR(AC215/AC444, "NA")</f>
        <v>-1.5349751864715088E-2</v>
      </c>
    </row>
    <row r="216" spans="1:30" ht="16.5" customHeight="1" x14ac:dyDescent="0.45">
      <c r="A216" s="12" t="s">
        <v>196</v>
      </c>
      <c r="B216" s="7">
        <v>61</v>
      </c>
      <c r="C216" s="8">
        <f>IFERROR(B216/B444, "NA")</f>
        <v>8.2762749750843419E-5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-61</v>
      </c>
      <c r="I216" s="8">
        <f>IFERROR(H216/H444, "NA")</f>
        <v>4.3279379319778713E-4</v>
      </c>
      <c r="J216" s="9"/>
      <c r="K216" s="7">
        <v>1647.7600000000002</v>
      </c>
      <c r="L216" s="8">
        <f>IFERROR(K216/K444, "NA")</f>
        <v>2.0423290721929169E-3</v>
      </c>
      <c r="M216" s="9"/>
      <c r="N216" s="10">
        <f t="shared" si="57"/>
        <v>1586.7600000000002</v>
      </c>
      <c r="O216" s="8">
        <f>IFERROR(N216/N444, "NA")</f>
        <v>-2.2746703594436778E-2</v>
      </c>
      <c r="P216" s="9"/>
      <c r="Q216" s="7">
        <v>805.22</v>
      </c>
      <c r="R216" s="8">
        <f>IFERROR(Q216/Q444, "NA")</f>
        <v>1.5028553551851896E-4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-805.22</v>
      </c>
      <c r="X216" s="8">
        <f>IFERROR(W216/W444, "NA")</f>
        <v>2.8481051834439094E-3</v>
      </c>
      <c r="Y216" s="9"/>
      <c r="Z216" s="7">
        <v>1854.8999999999999</v>
      </c>
      <c r="AA216" s="8">
        <f>IFERROR(Z216/Z444, "NA")</f>
        <v>3.7114001553313706E-4</v>
      </c>
      <c r="AB216" s="9"/>
      <c r="AC216" s="10">
        <f t="shared" si="59"/>
        <v>1049.6799999999998</v>
      </c>
      <c r="AD216" s="8">
        <f>IFERROR(AC216/AC444, "NA")</f>
        <v>2.9150501488711704E-3</v>
      </c>
    </row>
    <row r="217" spans="1:30" ht="16.5" customHeight="1" x14ac:dyDescent="0.45">
      <c r="A217" s="12" t="s">
        <v>197</v>
      </c>
      <c r="B217" s="7">
        <v>3844.86</v>
      </c>
      <c r="C217" s="8">
        <f>IFERROR(B217/B444, "NA")</f>
        <v>5.216576819787341E-3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-3844.86</v>
      </c>
      <c r="I217" s="8">
        <f>IFERROR(H217/H444, "NA")</f>
        <v>2.7279205634663014E-2</v>
      </c>
      <c r="J217" s="9"/>
      <c r="K217" s="7">
        <v>79151.25</v>
      </c>
      <c r="L217" s="8">
        <f>IFERROR(K217/K444, "NA")</f>
        <v>9.8104638403292713E-2</v>
      </c>
      <c r="M217" s="9"/>
      <c r="N217" s="10">
        <f t="shared" si="57"/>
        <v>75306.39</v>
      </c>
      <c r="O217" s="8">
        <f>IFERROR(N217/N444, "NA")</f>
        <v>-1.0795407825361476</v>
      </c>
      <c r="P217" s="9"/>
      <c r="Q217" s="7">
        <v>93167.84</v>
      </c>
      <c r="R217" s="8">
        <f>IFERROR(Q217/Q444, "NA")</f>
        <v>1.7388761739032428E-2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-93167.84</v>
      </c>
      <c r="X217" s="8">
        <f>IFERROR(W217/W444, "NA")</f>
        <v>0.32953951470936238</v>
      </c>
      <c r="Y217" s="9"/>
      <c r="Z217" s="7">
        <v>110689.44</v>
      </c>
      <c r="AA217" s="8">
        <f>IFERROR(Z217/Z444, "NA")</f>
        <v>2.2147436778777424E-2</v>
      </c>
      <c r="AB217" s="9"/>
      <c r="AC217" s="10">
        <f t="shared" si="59"/>
        <v>17521.600000000006</v>
      </c>
      <c r="AD217" s="8">
        <f>IFERROR(AC217/AC444, "NA")</f>
        <v>4.8658965292718848E-2</v>
      </c>
    </row>
    <row r="218" spans="1:30" ht="16.5" customHeight="1" x14ac:dyDescent="0.45">
      <c r="A218" s="13" t="s">
        <v>198</v>
      </c>
      <c r="B218" s="14">
        <f>IFERROR(B213+B214+B215+B216+B217, "NA")</f>
        <v>15114.490000000002</v>
      </c>
      <c r="C218" s="15">
        <f>IFERROR(B218/B444, "NA")</f>
        <v>2.0506832024288942E-2</v>
      </c>
      <c r="D218" s="2"/>
      <c r="E218" s="14">
        <f>IFERROR(E213+E214+E215+E216+E217, "NA")</f>
        <v>32430.33</v>
      </c>
      <c r="F218" s="15">
        <f>IFERROR(E218/E444, "NA")</f>
        <v>3.6936961378477476E-2</v>
      </c>
      <c r="G218" s="2"/>
      <c r="H218" s="14">
        <f t="shared" si="56"/>
        <v>17315.84</v>
      </c>
      <c r="I218" s="15">
        <f>IFERROR(H218/H444, "NA")</f>
        <v>-0.12285554222960607</v>
      </c>
      <c r="J218" s="2"/>
      <c r="K218" s="14">
        <f>IFERROR(K213+K214+K215+K216+K217, "NA")</f>
        <v>99823.12</v>
      </c>
      <c r="L218" s="15">
        <f>IFERROR(K218/K444, "NA")</f>
        <v>0.12372655001517344</v>
      </c>
      <c r="M218" s="2"/>
      <c r="N218" s="14">
        <f t="shared" si="57"/>
        <v>84708.62999999999</v>
      </c>
      <c r="O218" s="15">
        <f>IFERROR(N218/N444, "NA")</f>
        <v>-1.2143248496942287</v>
      </c>
      <c r="P218" s="2"/>
      <c r="Q218" s="14">
        <f>IFERROR(Q213+Q214+Q215+Q216+Q217, "NA")</f>
        <v>198718.99</v>
      </c>
      <c r="R218" s="15">
        <f>IFERROR(Q218/Q444, "NA")</f>
        <v>3.7088733302512625E-2</v>
      </c>
      <c r="S218" s="2"/>
      <c r="T218" s="14">
        <f>IFERROR(T213+T214+T215+T216+T217, "NA")</f>
        <v>196307.96000000002</v>
      </c>
      <c r="U218" s="15">
        <f>IFERROR(T218/T444, "NA")</f>
        <v>3.4802331473028844E-2</v>
      </c>
      <c r="V218" s="2"/>
      <c r="W218" s="14">
        <f t="shared" si="58"/>
        <v>-2411.0299999999697</v>
      </c>
      <c r="X218" s="15">
        <f>IFERROR(W218/W444, "NA")</f>
        <v>8.5279389985826026E-3</v>
      </c>
      <c r="Y218" s="2"/>
      <c r="Z218" s="14">
        <f>IFERROR(Z213+Z214+Z215+Z216+Z217, "NA")</f>
        <v>155539.39000000001</v>
      </c>
      <c r="AA218" s="15">
        <f>IFERROR(Z218/Z444, "NA")</f>
        <v>3.1121295822208569E-2</v>
      </c>
      <c r="AB218" s="2"/>
      <c r="AC218" s="14">
        <f t="shared" si="59"/>
        <v>-43179.599999999977</v>
      </c>
      <c r="AD218" s="15">
        <f>IFERROR(AC218/AC444, "NA")</f>
        <v>-0.11991340161591869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1591.15</v>
      </c>
      <c r="C222" s="8">
        <f>IFERROR(B222/B444, "NA")</f>
        <v>2.1588188404271231E-3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-1591.15</v>
      </c>
      <c r="I222" s="8">
        <f>IFERROR(H222/H444, "NA")</f>
        <v>1.1289177771256705E-2</v>
      </c>
      <c r="J222" s="9"/>
      <c r="K222" s="7">
        <v>752.75999999999988</v>
      </c>
      <c r="L222" s="8">
        <f>IFERROR(K222/K444, "NA")</f>
        <v>9.3301429357669791E-4</v>
      </c>
      <c r="M222" s="9"/>
      <c r="N222" s="10">
        <f t="shared" si="57"/>
        <v>-838.39000000000021</v>
      </c>
      <c r="O222" s="8">
        <f>IFERROR(N222/N444, "NA")</f>
        <v>1.2018584301683842E-2</v>
      </c>
      <c r="P222" s="9"/>
      <c r="Q222" s="7">
        <v>9557.76</v>
      </c>
      <c r="R222" s="8">
        <f>IFERROR(Q222/Q444, "NA")</f>
        <v>1.783851717490226E-3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-9557.76</v>
      </c>
      <c r="X222" s="8">
        <f>IFERROR(W222/W444, "NA")</f>
        <v>3.3806296165163383E-2</v>
      </c>
      <c r="Y222" s="9"/>
      <c r="Z222" s="7">
        <v>3427.7599999999998</v>
      </c>
      <c r="AA222" s="8">
        <f>IFERROR(Z222/Z444, "NA")</f>
        <v>6.8584770049267662E-4</v>
      </c>
      <c r="AB222" s="9"/>
      <c r="AC222" s="10">
        <f t="shared" si="59"/>
        <v>-6130</v>
      </c>
      <c r="AD222" s="8">
        <f>IFERROR(AC222/AC444, "NA")</f>
        <v>-1.7023528515909873E-2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877.99999999999989</v>
      </c>
      <c r="F226" s="8">
        <f>IFERROR(E226/E444, "NA")</f>
        <v>1.0000099317615089E-3</v>
      </c>
      <c r="G226" s="9"/>
      <c r="H226" s="10">
        <f t="shared" si="56"/>
        <v>877.99999999999989</v>
      </c>
      <c r="I226" s="8">
        <f>IFERROR(H226/H444, "NA")</f>
        <v>-6.229392629961591E-3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5640.6799999999994</v>
      </c>
      <c r="U226" s="8">
        <f>IFERROR(T226/T444, "NA")</f>
        <v>1.000004355876778E-3</v>
      </c>
      <c r="V226" s="9"/>
      <c r="W226" s="10">
        <f t="shared" si="58"/>
        <v>5640.6799999999994</v>
      </c>
      <c r="X226" s="8">
        <f>IFERROR(W226/W444, "NA")</f>
        <v>-1.9951379680271712E-2</v>
      </c>
      <c r="Y226" s="9"/>
      <c r="Z226" s="7">
        <v>3956.1899999999996</v>
      </c>
      <c r="AA226" s="8">
        <f>IFERROR(Z226/Z444, "NA")</f>
        <v>7.9157928624294649E-4</v>
      </c>
      <c r="AB226" s="9"/>
      <c r="AC226" s="10">
        <f t="shared" si="59"/>
        <v>3956.1899999999996</v>
      </c>
      <c r="AD226" s="8">
        <f>IFERROR(AC226/AC444, "NA")</f>
        <v>1.0986674270694531E-2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16705.640000000003</v>
      </c>
      <c r="C227" s="15">
        <f>IFERROR(B227/B444, "NA")</f>
        <v>2.2665650864716065E-2</v>
      </c>
      <c r="D227" s="2"/>
      <c r="E227" s="14">
        <f>IFERROR(E211+E213+E214+E215+E216+E217+E219+E220+E221+E222+E223+E224+E225+E226, "NA")</f>
        <v>33308.33</v>
      </c>
      <c r="F227" s="15">
        <f>IFERROR(E227/E444, "NA")</f>
        <v>3.793697131023898E-2</v>
      </c>
      <c r="G227" s="2"/>
      <c r="H227" s="14">
        <f t="shared" si="56"/>
        <v>16602.689999999999</v>
      </c>
      <c r="I227" s="15">
        <f>IFERROR(H227/H444, "NA")</f>
        <v>-0.11779575708831094</v>
      </c>
      <c r="J227" s="2"/>
      <c r="K227" s="14">
        <f>IFERROR(K211+K213+K214+K215+K216+K217+K219+K220+K221+K222+K223+K224+K225+K226, "NA")</f>
        <v>100575.87999999999</v>
      </c>
      <c r="L227" s="15">
        <f>IFERROR(K227/K444, "NA")</f>
        <v>0.12465956430875014</v>
      </c>
      <c r="M227" s="2"/>
      <c r="N227" s="14">
        <f t="shared" si="57"/>
        <v>83870.239999999991</v>
      </c>
      <c r="O227" s="15">
        <f>IFERROR(N227/N444, "NA")</f>
        <v>-1.2023062653925449</v>
      </c>
      <c r="P227" s="2"/>
      <c r="Q227" s="14">
        <f>IFERROR(Q211+Q213+Q214+Q215+Q216+Q217+Q219+Q220+Q221+Q222+Q223+Q224+Q225+Q226, "NA")</f>
        <v>208276.75</v>
      </c>
      <c r="R227" s="15">
        <f>IFERROR(Q227/Q444, "NA")</f>
        <v>3.8872585020002848E-2</v>
      </c>
      <c r="S227" s="2"/>
      <c r="T227" s="14">
        <f>IFERROR(T211+T213+T214+T215+T216+T217+T219+T220+T221+T222+T223+T224+T225+T226, "NA")</f>
        <v>201948.64</v>
      </c>
      <c r="U227" s="15">
        <f>IFERROR(T227/T444, "NA")</f>
        <v>3.5802335828905615E-2</v>
      </c>
      <c r="V227" s="2"/>
      <c r="W227" s="14">
        <f t="shared" si="58"/>
        <v>-6328.109999999986</v>
      </c>
      <c r="X227" s="15">
        <f>IFERROR(W227/W444, "NA")</f>
        <v>2.2382855483474327E-2</v>
      </c>
      <c r="Y227" s="2"/>
      <c r="Z227" s="14">
        <f>IFERROR(Z211+Z213+Z214+Z215+Z216+Z217+Z219+Z220+Z221+Z222+Z223+Z224+Z225+Z226, "NA")</f>
        <v>162923.34000000003</v>
      </c>
      <c r="AA227" s="15">
        <f>IFERROR(Z227/Z444, "NA")</f>
        <v>3.2598722808944193E-2</v>
      </c>
      <c r="AB227" s="2"/>
      <c r="AC227" s="14">
        <f t="shared" si="59"/>
        <v>-45353.409999999974</v>
      </c>
      <c r="AD227" s="15">
        <f>IFERROR(AC227/AC444, "NA")</f>
        <v>-0.12595025586113404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15853.589999999998</v>
      </c>
      <c r="F229" s="8">
        <f>IFERROR(E229/E444, "NA")</f>
        <v>1.8056659970472597E-2</v>
      </c>
      <c r="G229" s="9"/>
      <c r="H229" s="10">
        <f t="shared" ref="H229:H236" si="60">IFERROR(-(B229-E229), "NA")</f>
        <v>15853.589999999998</v>
      </c>
      <c r="I229" s="8">
        <f>IFERROR(H229/H444, "NA")</f>
        <v>-0.1124809074082378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97180.72</v>
      </c>
      <c r="U229" s="8">
        <f>IFERROR(T229/T444, "NA")</f>
        <v>1.7228621958210982E-2</v>
      </c>
      <c r="V229" s="9"/>
      <c r="W229" s="10">
        <f t="shared" ref="W229:W236" si="62">IFERROR(-(Q229-T229), "NA")</f>
        <v>97180.72</v>
      </c>
      <c r="X229" s="8">
        <f>IFERROR(W229/W444, "NA")</f>
        <v>-0.34373328079631804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1.5668352384167889E-5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2.9693553333264971E-4</v>
      </c>
      <c r="Y230" s="9"/>
      <c r="Z230" s="7">
        <v>682.33999999999992</v>
      </c>
      <c r="AA230" s="8">
        <f>IFERROR(Z230/Z444, "NA")</f>
        <v>1.3652686301087968E-4</v>
      </c>
      <c r="AB230" s="9"/>
      <c r="AC230" s="10">
        <f t="shared" si="63"/>
        <v>598.38999999999987</v>
      </c>
      <c r="AD230" s="8">
        <f>IFERROR(AC230/AC444, "NA")</f>
        <v>1.6617796457806375E-3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1113.6799999999998</v>
      </c>
      <c r="L231" s="8">
        <f>IFERROR(K231/K444, "NA")</f>
        <v>1.3803594219545367E-3</v>
      </c>
      <c r="M231" s="9"/>
      <c r="N231" s="10">
        <f t="shared" si="61"/>
        <v>1113.6799999999998</v>
      </c>
      <c r="O231" s="8">
        <f>IFERROR(N231/N444, "NA")</f>
        <v>-1.5964953023174484E-2</v>
      </c>
      <c r="P231" s="9"/>
      <c r="Q231" s="7">
        <v>7707.3</v>
      </c>
      <c r="R231" s="8">
        <f>IFERROR(Q231/Q444, "NA")</f>
        <v>1.4384835298451122E-3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-7707.3</v>
      </c>
      <c r="X231" s="8">
        <f>IFERROR(W231/W444, "NA")</f>
        <v>2.7261122525964635E-2</v>
      </c>
      <c r="Y231" s="9"/>
      <c r="Z231" s="7">
        <v>12013.400000000001</v>
      </c>
      <c r="AA231" s="8">
        <f>IFERROR(Z231/Z444, "NA")</f>
        <v>2.4037163526905978E-3</v>
      </c>
      <c r="AB231" s="9"/>
      <c r="AC231" s="10">
        <f t="shared" si="63"/>
        <v>4306.1000000000013</v>
      </c>
      <c r="AD231" s="8">
        <f>IFERROR(AC231/AC444, "NA")</f>
        <v>1.1958403938394703E-2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374.87</v>
      </c>
      <c r="C233" s="8">
        <f>IFERROR(B233/B444, "NA")</f>
        <v>5.0861101637866672E-4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-374.87</v>
      </c>
      <c r="I233" s="8">
        <f>IFERROR(H233/H444, "NA")</f>
        <v>2.6596952337058109E-3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-374.87</v>
      </c>
      <c r="O233" s="8">
        <f>IFERROR(N233/N444, "NA")</f>
        <v>5.3738793367910168E-3</v>
      </c>
      <c r="P233" s="9"/>
      <c r="Q233" s="7">
        <v>952.66</v>
      </c>
      <c r="R233" s="8">
        <f>IFERROR(Q233/Q444, "NA")</f>
        <v>1.7780360431568054E-4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-952.66</v>
      </c>
      <c r="X233" s="8">
        <f>IFERROR(W233/W444, "NA")</f>
        <v>3.369608161818726E-3</v>
      </c>
      <c r="Y233" s="9"/>
      <c r="Z233" s="7">
        <v>34</v>
      </c>
      <c r="AA233" s="8">
        <f>IFERROR(Z233/Z444, "NA")</f>
        <v>6.8029330573759561E-6</v>
      </c>
      <c r="AB233" s="9"/>
      <c r="AC233" s="10">
        <f t="shared" si="63"/>
        <v>-918.66</v>
      </c>
      <c r="AD233" s="8">
        <f>IFERROR(AC233/AC444, "NA")</f>
        <v>-2.55119652633373E-3</v>
      </c>
    </row>
    <row r="234" spans="1:30" ht="16.5" customHeight="1" x14ac:dyDescent="0.45">
      <c r="A234" s="6" t="s">
        <v>213</v>
      </c>
      <c r="B234" s="7">
        <v>10365.480000000001</v>
      </c>
      <c r="C234" s="8">
        <f>IFERROR(B234/B444, "NA")</f>
        <v>1.4063534873563485E-2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-10365.480000000001</v>
      </c>
      <c r="I234" s="8">
        <f>IFERROR(H234/H444, "NA")</f>
        <v>7.3542875533045893E-2</v>
      </c>
      <c r="J234" s="9"/>
      <c r="K234" s="7">
        <v>10342.82</v>
      </c>
      <c r="L234" s="8">
        <f>IFERROR(K234/K444, "NA")</f>
        <v>1.2819489473259664E-2</v>
      </c>
      <c r="M234" s="9"/>
      <c r="N234" s="10">
        <f t="shared" si="61"/>
        <v>-22.660000000001673</v>
      </c>
      <c r="O234" s="8">
        <f>IFERROR(N234/N444, "NA")</f>
        <v>3.2483822597618756E-4</v>
      </c>
      <c r="P234" s="9"/>
      <c r="Q234" s="7">
        <v>71755.179999999993</v>
      </c>
      <c r="R234" s="8">
        <f>IFERROR(Q234/Q444, "NA")</f>
        <v>1.3392322163542535E-2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-71755.179999999993</v>
      </c>
      <c r="X234" s="8">
        <f>IFERROR(W234/W444, "NA")</f>
        <v>0.25380181825706105</v>
      </c>
      <c r="Y234" s="9"/>
      <c r="Z234" s="7">
        <v>79219.77</v>
      </c>
      <c r="AA234" s="8">
        <f>IFERROR(Z234/Z444, "NA")</f>
        <v>1.5850788003844707E-2</v>
      </c>
      <c r="AB234" s="9"/>
      <c r="AC234" s="10">
        <f t="shared" si="63"/>
        <v>7464.5900000000111</v>
      </c>
      <c r="AD234" s="8">
        <f>IFERROR(AC234/AC444, "NA")</f>
        <v>2.0729797834351693E-2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10740.350000000002</v>
      </c>
      <c r="C236" s="15">
        <f>IFERROR(B236/B444, "NA")</f>
        <v>1.4572145889942151E-2</v>
      </c>
      <c r="D236" s="2"/>
      <c r="E236" s="14">
        <f>IFERROR(E229+E230+E231+E232+E233+E234+E235, "NA")</f>
        <v>15853.589999999998</v>
      </c>
      <c r="F236" s="15">
        <f>IFERROR(E236/E444, "NA")</f>
        <v>1.8056659970472597E-2</v>
      </c>
      <c r="G236" s="2"/>
      <c r="H236" s="14">
        <f t="shared" si="60"/>
        <v>5113.2399999999961</v>
      </c>
      <c r="I236" s="15">
        <f>IFERROR(H236/H444, "NA")</f>
        <v>-3.6278336641486088E-2</v>
      </c>
      <c r="J236" s="2"/>
      <c r="K236" s="14">
        <f>IFERROR(K229+K230+K231+K232+K233+K234+K235, "NA")</f>
        <v>11456.5</v>
      </c>
      <c r="L236" s="15">
        <f>IFERROR(K236/K444, "NA")</f>
        <v>1.4199848895214201E-2</v>
      </c>
      <c r="M236" s="2"/>
      <c r="N236" s="14">
        <f t="shared" si="61"/>
        <v>716.14999999999782</v>
      </c>
      <c r="O236" s="15">
        <f>IFERROR(N236/N444, "NA")</f>
        <v>-1.0266235460407273E-2</v>
      </c>
      <c r="P236" s="2"/>
      <c r="Q236" s="14">
        <f>IFERROR(Q229+Q230+Q231+Q232+Q233+Q234+Q235, "NA")</f>
        <v>80499.09</v>
      </c>
      <c r="R236" s="15">
        <f>IFERROR(Q236/Q444, "NA")</f>
        <v>1.5024277650087497E-2</v>
      </c>
      <c r="S236" s="2"/>
      <c r="T236" s="14">
        <f>IFERROR(T229+T230+T231+T232+T233+T234+T235, "NA")</f>
        <v>97180.72</v>
      </c>
      <c r="U236" s="15">
        <f>IFERROR(T236/T444, "NA")</f>
        <v>1.7228621958210982E-2</v>
      </c>
      <c r="V236" s="2"/>
      <c r="W236" s="14">
        <f t="shared" si="62"/>
        <v>16681.630000000005</v>
      </c>
      <c r="X236" s="15">
        <f>IFERROR(W236/W444, "NA")</f>
        <v>-5.9003796318140928E-2</v>
      </c>
      <c r="Y236" s="2"/>
      <c r="Z236" s="14">
        <f>IFERROR(Z229+Z230+Z231+Z232+Z233+Z234+Z235, "NA")</f>
        <v>91949.510000000009</v>
      </c>
      <c r="AA236" s="15">
        <f>IFERROR(Z236/Z444, "NA")</f>
        <v>1.8397834152603564E-2</v>
      </c>
      <c r="AB236" s="2"/>
      <c r="AC236" s="14">
        <f t="shared" si="63"/>
        <v>11450.420000000013</v>
      </c>
      <c r="AD236" s="15">
        <f>IFERROR(AC236/AC444, "NA")</f>
        <v>3.1798784892193302E-2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57367.7</v>
      </c>
      <c r="F240" s="8">
        <f>IFERROR(E240/E444, "NA")</f>
        <v>6.5339714991246828E-2</v>
      </c>
      <c r="G240" s="9"/>
      <c r="H240" s="10">
        <f t="shared" ref="H240:H263" si="64">IFERROR(-(B240-E240), "NA")</f>
        <v>57367.7</v>
      </c>
      <c r="I240" s="8">
        <f>IFERROR(H240/H444, "NA")</f>
        <v>-0.40702269655791296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359720.41000000003</v>
      </c>
      <c r="U240" s="8">
        <f>IFERROR(T240/T444, "NA")</f>
        <v>6.3772803438199036E-2</v>
      </c>
      <c r="V240" s="9"/>
      <c r="W240" s="10">
        <f t="shared" ref="W240:W263" si="66">IFERROR(-(Q240-T240), "NA")</f>
        <v>359720.41000000003</v>
      </c>
      <c r="X240" s="8">
        <f>IFERROR(W240/W444, "NA")</f>
        <v>-1.2723498724715834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93.24</v>
      </c>
      <c r="C241" s="8">
        <f>IFERROR(B241/B444, "NA")</f>
        <v>1.265048981437482E-4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-93.24</v>
      </c>
      <c r="I241" s="8">
        <f>IFERROR(H241/H444, "NA")</f>
        <v>6.6153595537314213E-4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-93.24</v>
      </c>
      <c r="O241" s="8">
        <f>IFERROR(N241/N444, "NA")</f>
        <v>1.3366247215365176E-3</v>
      </c>
      <c r="P241" s="9"/>
      <c r="Q241" s="7">
        <v>1069.42</v>
      </c>
      <c r="R241" s="8">
        <f>IFERROR(Q241/Q444, "NA")</f>
        <v>1.9959558554707356E-4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-1069.42</v>
      </c>
      <c r="X241" s="8">
        <f>IFERROR(W241/W444, "NA")</f>
        <v>3.7825943782799553E-3</v>
      </c>
      <c r="Y241" s="9"/>
      <c r="Z241" s="7">
        <v>759.99</v>
      </c>
      <c r="AA241" s="8">
        <f>IFERROR(Z241/Z444, "NA")</f>
        <v>1.5206356159632803E-4</v>
      </c>
      <c r="AB241" s="9"/>
      <c r="AC241" s="10">
        <f t="shared" si="67"/>
        <v>-309.43000000000006</v>
      </c>
      <c r="AD241" s="8">
        <f>IFERROR(AC241/AC444, "NA")</f>
        <v>-8.5931328363425671E-4</v>
      </c>
    </row>
    <row r="242" spans="1:30" ht="16.5" customHeight="1" x14ac:dyDescent="0.45">
      <c r="A242" s="12" t="s">
        <v>219</v>
      </c>
      <c r="B242" s="7">
        <v>7682.32</v>
      </c>
      <c r="C242" s="8">
        <f>IFERROR(B242/B444, "NA")</f>
        <v>1.0423113568293433E-2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-7682.32</v>
      </c>
      <c r="I242" s="8">
        <f>IFERROR(H242/H444, "NA")</f>
        <v>5.4505908415724981E-2</v>
      </c>
      <c r="J242" s="9"/>
      <c r="K242" s="7">
        <v>9097.6600000000017</v>
      </c>
      <c r="L242" s="8">
        <f>IFERROR(K242/K444, "NA")</f>
        <v>1.1276166132766068E-2</v>
      </c>
      <c r="M242" s="9"/>
      <c r="N242" s="10">
        <f t="shared" si="65"/>
        <v>1415.340000000002</v>
      </c>
      <c r="O242" s="8">
        <f>IFERROR(N242/N444, "NA")</f>
        <v>-2.0289343987339097E-2</v>
      </c>
      <c r="P242" s="9"/>
      <c r="Q242" s="7">
        <v>63833.590000000011</v>
      </c>
      <c r="R242" s="8">
        <f>IFERROR(Q242/Q444, "NA")</f>
        <v>1.1913843741113707E-2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-63833.590000000011</v>
      </c>
      <c r="X242" s="8">
        <f>IFERROR(W242/W444, "NA")</f>
        <v>0.22578274081224178</v>
      </c>
      <c r="Y242" s="9"/>
      <c r="Z242" s="7">
        <v>51339.56</v>
      </c>
      <c r="AA242" s="8">
        <f>IFERROR(Z242/Z444, "NA")</f>
        <v>1.027234087868048E-2</v>
      </c>
      <c r="AB242" s="9"/>
      <c r="AC242" s="10">
        <f t="shared" si="67"/>
        <v>-12494.030000000013</v>
      </c>
      <c r="AD242" s="8">
        <f>IFERROR(AC242/AC444, "NA")</f>
        <v>-3.4696978137623763E-2</v>
      </c>
    </row>
    <row r="243" spans="1:30" ht="16.5" customHeight="1" x14ac:dyDescent="0.45">
      <c r="A243" s="12" t="s">
        <v>220</v>
      </c>
      <c r="B243" s="7">
        <v>19667.489999999998</v>
      </c>
      <c r="C243" s="8">
        <f>IFERROR(B243/B444, "NA")</f>
        <v>2.6684189395036313E-2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-19667.489999999998</v>
      </c>
      <c r="I243" s="8">
        <f>IFERROR(H243/H444, "NA")</f>
        <v>0.13954045245540239</v>
      </c>
      <c r="J243" s="9"/>
      <c r="K243" s="7">
        <v>22053.510000000002</v>
      </c>
      <c r="L243" s="8">
        <f>IFERROR(K243/K444, "NA")</f>
        <v>2.7334396160179405E-2</v>
      </c>
      <c r="M243" s="9"/>
      <c r="N243" s="10">
        <f t="shared" si="65"/>
        <v>2386.0200000000041</v>
      </c>
      <c r="O243" s="8">
        <f>IFERROR(N243/N444, "NA")</f>
        <v>-3.4204347040761127E-2</v>
      </c>
      <c r="P243" s="9"/>
      <c r="Q243" s="7">
        <v>125262.47</v>
      </c>
      <c r="R243" s="8">
        <f>IFERROR(Q243/Q444, "NA")</f>
        <v>2.3378874573808918E-2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-125262.47</v>
      </c>
      <c r="X243" s="8">
        <f>IFERROR(W243/W444, "NA")</f>
        <v>0.44305989679589081</v>
      </c>
      <c r="Y243" s="9"/>
      <c r="Z243" s="7">
        <v>147169.85999999999</v>
      </c>
      <c r="AA243" s="8">
        <f>IFERROR(Z243/Z444, "NA")</f>
        <v>2.9446667813040922E-2</v>
      </c>
      <c r="AB243" s="9"/>
      <c r="AC243" s="10">
        <f t="shared" si="67"/>
        <v>21907.389999999985</v>
      </c>
      <c r="AD243" s="8">
        <f>IFERROR(AC243/AC444, "NA")</f>
        <v>6.0838675101820318E-2</v>
      </c>
    </row>
    <row r="244" spans="1:30" ht="16.5" customHeight="1" x14ac:dyDescent="0.45">
      <c r="A244" s="12" t="s">
        <v>221</v>
      </c>
      <c r="B244" s="7">
        <v>5707.09</v>
      </c>
      <c r="C244" s="8">
        <f>IFERROR(B244/B444, "NA")</f>
        <v>7.7431878930416548E-3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-5707.09</v>
      </c>
      <c r="I244" s="8">
        <f>IFERROR(H244/H444, "NA")</f>
        <v>4.049169064296982E-2</v>
      </c>
      <c r="J244" s="9"/>
      <c r="K244" s="7">
        <v>90.17</v>
      </c>
      <c r="L244" s="8">
        <f>IFERROR(K244/K444, "NA")</f>
        <v>1.1176191462326753E-4</v>
      </c>
      <c r="M244" s="9"/>
      <c r="N244" s="10">
        <f t="shared" si="65"/>
        <v>-5616.92</v>
      </c>
      <c r="O244" s="8">
        <f>IFERROR(N244/N444, "NA")</f>
        <v>8.0520314574140897E-2</v>
      </c>
      <c r="P244" s="9"/>
      <c r="Q244" s="7">
        <v>22618.54</v>
      </c>
      <c r="R244" s="8">
        <f>IFERROR(Q244/Q444, "NA")</f>
        <v>4.2215039325240828E-3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-22618.54</v>
      </c>
      <c r="X244" s="8">
        <f>IFERROR(W244/W444, "NA")</f>
        <v>8.000295697565063E-2</v>
      </c>
      <c r="Y244" s="9"/>
      <c r="Z244" s="7">
        <v>495.8</v>
      </c>
      <c r="AA244" s="8">
        <f>IFERROR(Z244/Z444, "NA")</f>
        <v>9.9202770877852915E-5</v>
      </c>
      <c r="AB244" s="9"/>
      <c r="AC244" s="10">
        <f t="shared" si="67"/>
        <v>-22122.74</v>
      </c>
      <c r="AD244" s="8">
        <f>IFERROR(AC244/AC444, "NA")</f>
        <v>-6.1436720267546499E-2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802.82</v>
      </c>
      <c r="C246" s="8">
        <f>IFERROR(B246/B444, "NA")</f>
        <v>1.089239192704461E-3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-802.82</v>
      </c>
      <c r="I246" s="8">
        <f>IFERROR(H246/H444, "NA")</f>
        <v>5.6959920172958605E-3</v>
      </c>
      <c r="J246" s="9"/>
      <c r="K246" s="7">
        <v>2820.21</v>
      </c>
      <c r="L246" s="8">
        <f>IFERROR(K246/K444, "NA")</f>
        <v>3.4955314321801633E-3</v>
      </c>
      <c r="M246" s="9"/>
      <c r="N246" s="10">
        <f t="shared" si="65"/>
        <v>2017.3899999999999</v>
      </c>
      <c r="O246" s="8">
        <f>IFERROR(N246/N444, "NA")</f>
        <v>-2.891992006628652E-2</v>
      </c>
      <c r="P246" s="9"/>
      <c r="Q246" s="7">
        <v>15588.33</v>
      </c>
      <c r="R246" s="8">
        <f>IFERROR(Q246/Q444, "NA")</f>
        <v>2.9093918704073355E-3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-15588.33</v>
      </c>
      <c r="X246" s="8">
        <f>IFERROR(W246/W444, "NA")</f>
        <v>5.5136737132999922E-2</v>
      </c>
      <c r="Y246" s="9"/>
      <c r="Z246" s="7">
        <v>4533.37</v>
      </c>
      <c r="AA246" s="8">
        <f>IFERROR(Z246/Z444, "NA")</f>
        <v>9.070650774798952E-4</v>
      </c>
      <c r="AB246" s="9"/>
      <c r="AC246" s="10">
        <f t="shared" si="67"/>
        <v>-11054.96</v>
      </c>
      <c r="AD246" s="8">
        <f>IFERROR(AC246/AC444, "NA")</f>
        <v>-3.0700559021573082E-2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10.28</v>
      </c>
      <c r="L247" s="8">
        <f>IFERROR(K247/K444, "NA")</f>
        <v>1.2741626730921484E-5</v>
      </c>
      <c r="M247" s="9"/>
      <c r="N247" s="10">
        <f t="shared" si="65"/>
        <v>10.28</v>
      </c>
      <c r="O247" s="8">
        <f>IFERROR(N247/N444, "NA")</f>
        <v>-1.4736703279059847E-4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457.1</v>
      </c>
      <c r="AA247" s="8">
        <f>IFERROR(Z247/Z444, "NA")</f>
        <v>9.1459432368427932E-5</v>
      </c>
      <c r="AB247" s="9"/>
      <c r="AC247" s="10">
        <f t="shared" si="67"/>
        <v>457.1</v>
      </c>
      <c r="AD247" s="8">
        <f>IFERROR(AC247/AC444, "NA")</f>
        <v>1.2694053645387281E-3</v>
      </c>
    </row>
    <row r="248" spans="1:30" ht="16.5" customHeight="1" x14ac:dyDescent="0.45">
      <c r="A248" s="12" t="s">
        <v>225</v>
      </c>
      <c r="B248" s="7">
        <v>1173.6000000000001</v>
      </c>
      <c r="C248" s="8">
        <f>IFERROR(B248/B444, "NA")</f>
        <v>1.5923010345506531E-3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-1173.6000000000001</v>
      </c>
      <c r="I248" s="8">
        <f>IFERROR(H248/H444, "NA")</f>
        <v>8.3266687819167715E-3</v>
      </c>
      <c r="J248" s="9"/>
      <c r="K248" s="7">
        <v>1140.26</v>
      </c>
      <c r="L248" s="8">
        <f>IFERROR(K248/K444, "NA")</f>
        <v>1.4133042116926586E-3</v>
      </c>
      <c r="M248" s="9"/>
      <c r="N248" s="10">
        <f t="shared" si="65"/>
        <v>-33.340000000000146</v>
      </c>
      <c r="O248" s="8">
        <f>IFERROR(N248/N444, "NA")</f>
        <v>4.779393845562816E-4</v>
      </c>
      <c r="P248" s="9"/>
      <c r="Q248" s="7">
        <v>10870.699999999999</v>
      </c>
      <c r="R248" s="8">
        <f>IFERROR(Q248/Q444, "NA")</f>
        <v>2.0288976564928392E-3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-10870.699999999999</v>
      </c>
      <c r="X248" s="8">
        <f>IFERROR(W248/W444, "NA")</f>
        <v>3.84502334985019E-2</v>
      </c>
      <c r="Y248" s="9"/>
      <c r="Z248" s="7">
        <v>10237.19</v>
      </c>
      <c r="AA248" s="8">
        <f>IFERROR(Z248/Z444, "NA")</f>
        <v>2.048321125459958E-3</v>
      </c>
      <c r="AB248" s="9"/>
      <c r="AC248" s="10">
        <f t="shared" si="67"/>
        <v>-633.5099999999984</v>
      </c>
      <c r="AD248" s="8">
        <f>IFERROR(AC248/AC444, "NA")</f>
        <v>-1.7593108564623225E-3</v>
      </c>
    </row>
    <row r="249" spans="1:30" ht="16.5" customHeight="1" x14ac:dyDescent="0.45">
      <c r="A249" s="12" t="s">
        <v>226</v>
      </c>
      <c r="B249" s="7">
        <v>8409.36</v>
      </c>
      <c r="C249" s="8">
        <f>IFERROR(B249/B444, "NA")</f>
        <v>1.1409537004012338E-2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-8409.36</v>
      </c>
      <c r="I249" s="8">
        <f>IFERROR(H249/H444, "NA")</f>
        <v>5.9664242832225302E-2</v>
      </c>
      <c r="J249" s="9"/>
      <c r="K249" s="7">
        <v>15879.12</v>
      </c>
      <c r="L249" s="8">
        <f>IFERROR(K249/K444, "NA")</f>
        <v>1.968149998594455E-2</v>
      </c>
      <c r="M249" s="9"/>
      <c r="N249" s="10">
        <f t="shared" si="65"/>
        <v>7469.76</v>
      </c>
      <c r="O249" s="8">
        <f>IFERROR(N249/N444, "NA")</f>
        <v>-0.10708135864376468</v>
      </c>
      <c r="P249" s="9"/>
      <c r="Q249" s="7">
        <v>76691.350000000006</v>
      </c>
      <c r="R249" s="8">
        <f>IFERROR(Q249/Q444, "NA")</f>
        <v>1.4313604486212675E-2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-76691.350000000006</v>
      </c>
      <c r="X249" s="8">
        <f>IFERROR(W249/W444, "NA")</f>
        <v>0.27126130928232167</v>
      </c>
      <c r="Y249" s="9"/>
      <c r="Z249" s="7">
        <v>75638.01999999999</v>
      </c>
      <c r="AA249" s="8">
        <f>IFERROR(Z249/Z444, "NA")</f>
        <v>1.5134129019190107E-2</v>
      </c>
      <c r="AB249" s="9"/>
      <c r="AC249" s="10">
        <f t="shared" si="67"/>
        <v>-1053.3300000000163</v>
      </c>
      <c r="AD249" s="8">
        <f>IFERROR(AC249/AC444, "NA")</f>
        <v>-2.9251865076123369E-3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1.0264425465981956E-6</v>
      </c>
      <c r="AB250" s="9"/>
      <c r="AC250" s="10">
        <f t="shared" si="67"/>
        <v>5.13</v>
      </c>
      <c r="AD250" s="8">
        <f>IFERROR(AC250/AC444, "NA")</f>
        <v>1.4246443929301411E-5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91.05</v>
      </c>
      <c r="L251" s="8">
        <f>IFERROR(K251/K444, "NA")</f>
        <v>1.1285263753408571E-4</v>
      </c>
      <c r="M251" s="9"/>
      <c r="N251" s="10">
        <f t="shared" si="65"/>
        <v>91.05</v>
      </c>
      <c r="O251" s="8">
        <f>IFERROR(N251/N444, "NA")</f>
        <v>-1.3052303828389096E-3</v>
      </c>
      <c r="P251" s="9"/>
      <c r="Q251" s="7">
        <v>462.79999999999995</v>
      </c>
      <c r="R251" s="8">
        <f>IFERROR(Q251/Q444, "NA")</f>
        <v>8.6376575144644409E-5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-462.79999999999995</v>
      </c>
      <c r="X251" s="8">
        <f>IFERROR(W251/W444, "NA")</f>
        <v>1.6369477644592051E-3</v>
      </c>
      <c r="Y251" s="9"/>
      <c r="Z251" s="7">
        <v>831.92000000000007</v>
      </c>
      <c r="AA251" s="8">
        <f>IFERROR(Z251/Z444, "NA")</f>
        <v>1.6645576673800604E-4</v>
      </c>
      <c r="AB251" s="9"/>
      <c r="AC251" s="10">
        <f t="shared" si="67"/>
        <v>369.12000000000012</v>
      </c>
      <c r="AD251" s="8">
        <f>IFERROR(AC251/AC444, "NA")</f>
        <v>1.0250774626089159E-3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38.82</v>
      </c>
      <c r="L252" s="8">
        <f>IFERROR(K252/K444, "NA")</f>
        <v>4.8115753861320234E-5</v>
      </c>
      <c r="M252" s="9"/>
      <c r="N252" s="10">
        <f t="shared" si="65"/>
        <v>38.82</v>
      </c>
      <c r="O252" s="8">
        <f>IFERROR(N252/N444, "NA")</f>
        <v>-5.5649690787266861E-4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433.76</v>
      </c>
      <c r="AA252" s="8">
        <f>IFERROR(Z252/Z444, "NA")</f>
        <v>8.6789418910805728E-5</v>
      </c>
      <c r="AB252" s="9"/>
      <c r="AC252" s="10">
        <f t="shared" si="67"/>
        <v>433.76</v>
      </c>
      <c r="AD252" s="8">
        <f>IFERROR(AC252/AC444, "NA")</f>
        <v>1.2045882102872866E-3</v>
      </c>
    </row>
    <row r="253" spans="1:30" ht="16.5" customHeight="1" x14ac:dyDescent="0.45">
      <c r="A253" s="12" t="s">
        <v>230</v>
      </c>
      <c r="B253" s="7">
        <v>266.82</v>
      </c>
      <c r="C253" s="8">
        <f>IFERROR(B253/B444, "NA")</f>
        <v>3.6201240800852523E-4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-266.82</v>
      </c>
      <c r="I253" s="8">
        <f>IFERROR(H253/H444, "NA")</f>
        <v>1.893082621328419E-3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-266.82</v>
      </c>
      <c r="O253" s="8">
        <f>IFERROR(N253/N444, "NA")</f>
        <v>3.8249486078976154E-3</v>
      </c>
      <c r="P253" s="9"/>
      <c r="Q253" s="7">
        <v>2126.06</v>
      </c>
      <c r="R253" s="8">
        <f>IFERROR(Q253/Q444, "NA")</f>
        <v>3.9680592340540777E-4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-2126.06</v>
      </c>
      <c r="X253" s="8">
        <f>IFERROR(W253/W444, "NA")</f>
        <v>7.5199852292699605E-3</v>
      </c>
      <c r="Y253" s="9"/>
      <c r="Z253" s="7">
        <v>3664.95</v>
      </c>
      <c r="AA253" s="8">
        <f>IFERROR(Z253/Z444, "NA")</f>
        <v>7.3330616201852964E-4</v>
      </c>
      <c r="AB253" s="9"/>
      <c r="AC253" s="10">
        <f t="shared" si="67"/>
        <v>1538.8899999999999</v>
      </c>
      <c r="AD253" s="8">
        <f>IFERROR(AC253/AC444, "NA")</f>
        <v>4.2736276994858966E-3</v>
      </c>
    </row>
    <row r="254" spans="1:30" ht="16.5" customHeight="1" x14ac:dyDescent="0.45">
      <c r="A254" s="12" t="s">
        <v>231</v>
      </c>
      <c r="B254" s="7">
        <v>2383.7600000000002</v>
      </c>
      <c r="C254" s="8">
        <f>IFERROR(B254/B444, "NA")</f>
        <v>3.2342054482962378E-3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-2383.7600000000002</v>
      </c>
      <c r="I254" s="8">
        <f>IFERROR(H254/H444, "NA")</f>
        <v>1.6912730040543559E-2</v>
      </c>
      <c r="J254" s="9"/>
      <c r="K254" s="7">
        <v>3131.42</v>
      </c>
      <c r="L254" s="8">
        <f>IFERROR(K254/K444, "NA")</f>
        <v>3.8812631106753068E-3</v>
      </c>
      <c r="M254" s="9"/>
      <c r="N254" s="10">
        <f t="shared" si="65"/>
        <v>747.65999999999985</v>
      </c>
      <c r="O254" s="8">
        <f>IFERROR(N254/N444, "NA")</f>
        <v>-1.0717941219476541E-2</v>
      </c>
      <c r="P254" s="9"/>
      <c r="Q254" s="7">
        <v>29212.760000000002</v>
      </c>
      <c r="R254" s="8">
        <f>IFERROR(Q254/Q444, "NA")</f>
        <v>5.4522432137477589E-3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-29212.760000000002</v>
      </c>
      <c r="X254" s="8">
        <f>IFERROR(W254/W444, "NA")</f>
        <v>0.10332705742368906</v>
      </c>
      <c r="Y254" s="9"/>
      <c r="Z254" s="7">
        <v>24547.31</v>
      </c>
      <c r="AA254" s="8">
        <f>IFERROR(Z254/Z444, "NA")</f>
        <v>4.9115796079016293E-3</v>
      </c>
      <c r="AB254" s="9"/>
      <c r="AC254" s="10">
        <f t="shared" si="67"/>
        <v>-4665.4500000000007</v>
      </c>
      <c r="AD254" s="8">
        <f>IFERROR(AC254/AC444, "NA")</f>
        <v>-1.2956349284592453E-2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5.0299686508639453E-5</v>
      </c>
      <c r="AB255" s="9"/>
      <c r="AC255" s="10">
        <f t="shared" si="67"/>
        <v>251.39</v>
      </c>
      <c r="AD255" s="8">
        <f>IFERROR(AC255/AC444, "NA")</f>
        <v>6.9813129422750125E-4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1.5620734817333554E-5</v>
      </c>
      <c r="AB256" s="9"/>
      <c r="AC256" s="10">
        <f t="shared" si="67"/>
        <v>78.069999999999993</v>
      </c>
      <c r="AD256" s="8">
        <f>IFERROR(AC256/AC444, "NA")</f>
        <v>2.1680699367652263E-4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5290.07</v>
      </c>
      <c r="R257" s="8">
        <f>IFERROR(Q257/Q444, "NA")</f>
        <v>9.8733389990369297E-4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1.8711253803657537E-2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-5290.07</v>
      </c>
      <c r="AD257" s="8">
        <f>IFERROR(AC257/AC444, "NA")</f>
        <v>-1.4690971859079827E-2</v>
      </c>
    </row>
    <row r="258" spans="1:30" ht="16.5" customHeight="1" x14ac:dyDescent="0.45">
      <c r="A258" s="12" t="s">
        <v>235</v>
      </c>
      <c r="B258" s="7">
        <v>1937.96</v>
      </c>
      <c r="C258" s="8">
        <f>IFERROR(B258/B444, "NA")</f>
        <v>2.6293589919204018E-3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-1937.96</v>
      </c>
      <c r="I258" s="8">
        <f>IFERROR(H258/H444, "NA")</f>
        <v>1.3749787860091534E-2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-1937.96</v>
      </c>
      <c r="O258" s="8">
        <f>IFERROR(N258/N444, "NA")</f>
        <v>2.7781266037633097E-2</v>
      </c>
      <c r="P258" s="9"/>
      <c r="Q258" s="7">
        <v>8141.9400000000005</v>
      </c>
      <c r="R258" s="8">
        <f>IFERROR(Q258/Q444, "NA")</f>
        <v>1.5196043479541621E-3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-8141.9400000000005</v>
      </c>
      <c r="X258" s="8">
        <f>IFERROR(W258/W444, "NA")</f>
        <v>2.8798466900088554E-2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-8141.9400000000005</v>
      </c>
      <c r="AD258" s="8">
        <f>IFERROR(AC258/AC444, "NA")</f>
        <v>-2.2610856079090906E-2</v>
      </c>
    </row>
    <row r="259" spans="1:30" ht="16.5" customHeight="1" x14ac:dyDescent="0.45">
      <c r="A259" s="12" t="s">
        <v>236</v>
      </c>
      <c r="B259" s="7">
        <v>1103.4000000000001</v>
      </c>
      <c r="C259" s="8">
        <f>IFERROR(B259/B444, "NA")</f>
        <v>1.4970560340177152E-3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-1103.4000000000001</v>
      </c>
      <c r="I259" s="8">
        <f>IFERROR(H259/H444, "NA")</f>
        <v>7.8286011707284983E-3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-1103.4000000000001</v>
      </c>
      <c r="O259" s="8">
        <f>IFERROR(N259/N444, "NA")</f>
        <v>1.5817585990383888E-2</v>
      </c>
      <c r="P259" s="9"/>
      <c r="Q259" s="7">
        <v>1103.4000000000001</v>
      </c>
      <c r="R259" s="8">
        <f>IFERROR(Q259/Q444, "NA")</f>
        <v>2.0593758214045087E-4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-1103.4000000000001</v>
      </c>
      <c r="X259" s="8">
        <f>IFERROR(W259/W444, "NA")</f>
        <v>3.9027834124984598E-3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-1103.4000000000001</v>
      </c>
      <c r="AD259" s="8">
        <f>IFERROR(AC259/AC444, "NA")</f>
        <v>-3.0642351328637775E-3</v>
      </c>
    </row>
    <row r="260" spans="1:30" ht="16.5" customHeight="1" x14ac:dyDescent="0.45">
      <c r="A260" s="12" t="s">
        <v>237</v>
      </c>
      <c r="B260" s="7">
        <v>2695.91</v>
      </c>
      <c r="C260" s="8">
        <f>IFERROR(B260/B444, "NA")</f>
        <v>3.6577200767343647E-3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-2695.91</v>
      </c>
      <c r="I260" s="8">
        <f>IFERROR(H260/H444, "NA")</f>
        <v>1.9127428115079448E-2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-2695.91</v>
      </c>
      <c r="O260" s="8">
        <f>IFERROR(N260/N444, "NA")</f>
        <v>3.8646717643044975E-2</v>
      </c>
      <c r="P260" s="9"/>
      <c r="Q260" s="7">
        <v>2695.91</v>
      </c>
      <c r="R260" s="8">
        <f>IFERROR(Q260/Q444, "NA")</f>
        <v>5.0316221412748129E-4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-2695.91</v>
      </c>
      <c r="X260" s="8">
        <f>IFERROR(W260/W444, "NA")</f>
        <v>9.5355744331962304E-3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-2695.91</v>
      </c>
      <c r="AD260" s="8">
        <f>IFERROR(AC260/AC444, "NA")</f>
        <v>-7.4867701078836189E-3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51923.770000000004</v>
      </c>
      <c r="C262" s="15">
        <f>IFERROR(B262/B444, "NA")</f>
        <v>7.0448425944759849E-2</v>
      </c>
      <c r="D262" s="2"/>
      <c r="E262" s="14">
        <f>IFERROR(E240+E241+E242+E243+E244+E245+E246+E247+E248+E249+E250+E251+E252+E253+E254+E255+E256+E257+E258+E259+E260+E261, "NA")</f>
        <v>57367.7</v>
      </c>
      <c r="F262" s="15">
        <f>IFERROR(E262/E444, "NA")</f>
        <v>6.5339714991246828E-2</v>
      </c>
      <c r="G262" s="2"/>
      <c r="H262" s="14">
        <f t="shared" si="64"/>
        <v>5443.929999999993</v>
      </c>
      <c r="I262" s="15">
        <f>IFERROR(H262/H444, "NA")</f>
        <v>-3.8624575649233217E-2</v>
      </c>
      <c r="J262" s="2"/>
      <c r="K262" s="14">
        <f>IFERROR(K240+K241+K242+K243+K244+K245+K246+K247+K248+K249+K250+K251+K252+K253+K254+K255+K256+K257+K258+K259+K260+K261, "NA")</f>
        <v>54352.500000000007</v>
      </c>
      <c r="L262" s="15">
        <f>IFERROR(K262/K444, "NA")</f>
        <v>6.7367632966187752E-2</v>
      </c>
      <c r="M262" s="2"/>
      <c r="N262" s="14">
        <f t="shared" si="65"/>
        <v>2428.7300000000032</v>
      </c>
      <c r="O262" s="15">
        <f>IFERROR(N262/N444, "NA")</f>
        <v>-3.4816608321936837E-2</v>
      </c>
      <c r="P262" s="2"/>
      <c r="Q262" s="14">
        <f>IFERROR(Q240+Q241+Q242+Q243+Q244+Q245+Q246+Q247+Q248+Q249+Q250+Q251+Q252+Q253+Q254+Q255+Q256+Q257+Q258+Q259+Q260+Q261, "NA")</f>
        <v>364967.34</v>
      </c>
      <c r="R262" s="15">
        <f>IFERROR(Q262/Q444, "NA")</f>
        <v>6.8117175602530236E-2</v>
      </c>
      <c r="S262" s="2"/>
      <c r="T262" s="14">
        <f>IFERROR(T240+T241+T242+T243+T244+T245+T246+T247+T248+T249+T250+T251+T252+T253+T254+T255+T256+T257+T258+T259+T260+T261, "NA")</f>
        <v>359720.41000000003</v>
      </c>
      <c r="U262" s="15">
        <f>IFERROR(T262/T444, "NA")</f>
        <v>6.3772803438199036E-2</v>
      </c>
      <c r="V262" s="2"/>
      <c r="W262" s="14">
        <f t="shared" si="66"/>
        <v>-5246.929999999993</v>
      </c>
      <c r="X262" s="15">
        <f>IFERROR(W262/W444, "NA")</f>
        <v>1.8558665371162329E-2</v>
      </c>
      <c r="Y262" s="2"/>
      <c r="Z262" s="14">
        <f>IFERROR(Z240+Z241+Z242+Z243+Z244+Z245+Z246+Z247+Z248+Z249+Z250+Z251+Z252+Z253+Z254+Z255+Z256+Z257+Z258+Z259+Z260+Z261, "NA")</f>
        <v>320443.42</v>
      </c>
      <c r="AA262" s="15">
        <f>IFERROR(Z262/Z444, "NA")</f>
        <v>6.411632749813552E-2</v>
      </c>
      <c r="AB262" s="2"/>
      <c r="AC262" s="14">
        <f t="shared" si="67"/>
        <v>-44523.920000000042</v>
      </c>
      <c r="AD262" s="15">
        <f>IFERROR(AC262/AC444, "NA")</f>
        <v>-0.12364669196738837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51923.770000000004</v>
      </c>
      <c r="C263" s="15">
        <f>IFERROR(B263/B444, "NA")</f>
        <v>7.0448425944759849E-2</v>
      </c>
      <c r="D263" s="2"/>
      <c r="E263" s="14">
        <f>IFERROR(E238+E240+E241+E242+E243+E244+E245+E246+E247+E248+E249+E250+E251+E252+E253+E254+E255+E256+E257+E258+E259+E260+E261, "NA")</f>
        <v>57367.7</v>
      </c>
      <c r="F263" s="15">
        <f>IFERROR(E263/E444, "NA")</f>
        <v>6.5339714991246828E-2</v>
      </c>
      <c r="G263" s="2"/>
      <c r="H263" s="14">
        <f t="shared" si="64"/>
        <v>5443.929999999993</v>
      </c>
      <c r="I263" s="15">
        <f>IFERROR(H263/H444, "NA")</f>
        <v>-3.8624575649233217E-2</v>
      </c>
      <c r="J263" s="2"/>
      <c r="K263" s="14">
        <f>IFERROR(K238+K240+K241+K242+K243+K244+K245+K246+K247+K248+K249+K250+K251+K252+K253+K254+K255+K256+K257+K258+K259+K260+K261, "NA")</f>
        <v>54352.500000000007</v>
      </c>
      <c r="L263" s="15">
        <f>IFERROR(K263/K444, "NA")</f>
        <v>6.7367632966187752E-2</v>
      </c>
      <c r="M263" s="2"/>
      <c r="N263" s="14">
        <f t="shared" si="65"/>
        <v>2428.7300000000032</v>
      </c>
      <c r="O263" s="15">
        <f>IFERROR(N263/N444, "NA")</f>
        <v>-3.4816608321936837E-2</v>
      </c>
      <c r="P263" s="2"/>
      <c r="Q263" s="14">
        <f>IFERROR(Q238+Q240+Q241+Q242+Q243+Q244+Q245+Q246+Q247+Q248+Q249+Q250+Q251+Q252+Q253+Q254+Q255+Q256+Q257+Q258+Q259+Q260+Q261, "NA")</f>
        <v>364967.34</v>
      </c>
      <c r="R263" s="15">
        <f>IFERROR(Q263/Q444, "NA")</f>
        <v>6.8117175602530236E-2</v>
      </c>
      <c r="S263" s="2"/>
      <c r="T263" s="14">
        <f>IFERROR(T238+T240+T241+T242+T243+T244+T245+T246+T247+T248+T249+T250+T251+T252+T253+T254+T255+T256+T257+T258+T259+T260+T261, "NA")</f>
        <v>359720.41000000003</v>
      </c>
      <c r="U263" s="15">
        <f>IFERROR(T263/T444, "NA")</f>
        <v>6.3772803438199036E-2</v>
      </c>
      <c r="V263" s="2"/>
      <c r="W263" s="14">
        <f t="shared" si="66"/>
        <v>-5246.929999999993</v>
      </c>
      <c r="X263" s="15">
        <f>IFERROR(W263/W444, "NA")</f>
        <v>1.8558665371162329E-2</v>
      </c>
      <c r="Y263" s="2"/>
      <c r="Z263" s="14">
        <f>IFERROR(Z238+Z240+Z241+Z242+Z243+Z244+Z245+Z246+Z247+Z248+Z249+Z250+Z251+Z252+Z253+Z254+Z255+Z256+Z257+Z258+Z259+Z260+Z261, "NA")</f>
        <v>320443.42</v>
      </c>
      <c r="AA263" s="15">
        <f>IFERROR(Z263/Z444, "NA")</f>
        <v>6.411632749813552E-2</v>
      </c>
      <c r="AB263" s="2"/>
      <c r="AC263" s="14">
        <f t="shared" si="67"/>
        <v>-44523.920000000042</v>
      </c>
      <c r="AD263" s="15">
        <f>IFERROR(AC263/AC444, "NA")</f>
        <v>-0.12364669196738837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19250.64</v>
      </c>
      <c r="C265" s="8">
        <f>IFERROR(B265/B444, "NA")</f>
        <v>2.6118621325632398E-2</v>
      </c>
      <c r="D265" s="9"/>
      <c r="E265" s="7">
        <v>23415.499999999996</v>
      </c>
      <c r="F265" s="8">
        <f>IFERROR(E265/E444, "NA")</f>
        <v>2.6669399267837825E-2</v>
      </c>
      <c r="G265" s="9"/>
      <c r="H265" s="10">
        <f>IFERROR(-(B265-E265), "NA")</f>
        <v>4164.8599999999969</v>
      </c>
      <c r="I265" s="8">
        <f>IFERROR(H265/H444, "NA")</f>
        <v>-2.9549599303897285E-2</v>
      </c>
      <c r="J265" s="9"/>
      <c r="K265" s="7">
        <v>18751.36</v>
      </c>
      <c r="L265" s="8">
        <f>IFERROR(K265/K444, "NA")</f>
        <v>2.3241520410226837E-2</v>
      </c>
      <c r="M265" s="9"/>
      <c r="N265" s="10">
        <f>IFERROR(-(B265-K265), "NA")</f>
        <v>-499.27999999999884</v>
      </c>
      <c r="O265" s="8">
        <f>IFERROR(N265/N444, "NA")</f>
        <v>7.1573358104756648E-3</v>
      </c>
      <c r="P265" s="9"/>
      <c r="Q265" s="7">
        <v>139728.51999999999</v>
      </c>
      <c r="R265" s="8">
        <f>IFERROR(Q265/Q444, "NA")</f>
        <v>2.6078805115881482E-2</v>
      </c>
      <c r="S265" s="9"/>
      <c r="T265" s="7">
        <v>152048.1</v>
      </c>
      <c r="U265" s="8">
        <f>IFERROR(T265/T444, "NA")</f>
        <v>2.6955750424202035E-2</v>
      </c>
      <c r="V265" s="9"/>
      <c r="W265" s="10">
        <f>IFERROR(-(Q265-T265), "NA")</f>
        <v>12319.580000000016</v>
      </c>
      <c r="X265" s="8">
        <f>IFERROR(W265/W444, "NA")</f>
        <v>-4.3574997709758777E-2</v>
      </c>
      <c r="Y265" s="9"/>
      <c r="Z265" s="7">
        <v>135815.4</v>
      </c>
      <c r="AA265" s="8">
        <f>IFERROR(Z265/Z444, "NA")</f>
        <v>2.7174796304727598E-2</v>
      </c>
      <c r="AB265" s="9"/>
      <c r="AC265" s="10">
        <f>IFERROR(-(Q265-Z265), "NA")</f>
        <v>-3913.1199999999953</v>
      </c>
      <c r="AD265" s="8">
        <f>IFERROR(AC265/AC444, "NA")</f>
        <v>-1.0867065237549293E-2</v>
      </c>
    </row>
    <row r="266" spans="1:30" ht="16.5" customHeight="1" x14ac:dyDescent="0.45">
      <c r="A266" s="6" t="s">
        <v>242</v>
      </c>
      <c r="B266" s="7">
        <v>955.89</v>
      </c>
      <c r="C266" s="8">
        <f>IFERROR(B266/B444, "NA")</f>
        <v>1.2969194239235034E-3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-955.89</v>
      </c>
      <c r="I266" s="8">
        <f>IFERROR(H266/H444, "NA")</f>
        <v>6.7820206390136516E-3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-955.89</v>
      </c>
      <c r="O266" s="8">
        <f>IFERROR(N266/N444, "NA")</f>
        <v>1.3702983752354589E-2</v>
      </c>
      <c r="P266" s="9"/>
      <c r="Q266" s="7">
        <v>1647.31</v>
      </c>
      <c r="R266" s="8">
        <f>IFERROR(Q266/Q444, "NA")</f>
        <v>3.0745245462732108E-4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-1647.31</v>
      </c>
      <c r="X266" s="8">
        <f>IFERROR(W266/W444, "NA")</f>
        <v>5.8266214820036589E-3</v>
      </c>
      <c r="Y266" s="9"/>
      <c r="Z266" s="7">
        <v>392.65</v>
      </c>
      <c r="AA266" s="8">
        <f>IFERROR(Z266/Z444, "NA")</f>
        <v>7.8563872499372623E-5</v>
      </c>
      <c r="AB266" s="9"/>
      <c r="AC266" s="10">
        <f>IFERROR(-(Q266-Z266), "NA")</f>
        <v>-1254.6599999999999</v>
      </c>
      <c r="AD266" s="8">
        <f>IFERROR(AC266/AC444, "NA")</f>
        <v>-3.4842969474341728E-3</v>
      </c>
    </row>
    <row r="267" spans="1:30" ht="16.5" customHeight="1" x14ac:dyDescent="0.45">
      <c r="A267" s="19" t="s">
        <v>243</v>
      </c>
      <c r="B267" s="14">
        <f>IFERROR(B265+B266, "NA")</f>
        <v>20206.53</v>
      </c>
      <c r="C267" s="15">
        <f>IFERROR(B267/B444, "NA")</f>
        <v>2.7415540749555899E-2</v>
      </c>
      <c r="D267" s="2"/>
      <c r="E267" s="14">
        <f>IFERROR(E265+E266, "NA")</f>
        <v>23415.499999999996</v>
      </c>
      <c r="F267" s="15">
        <f>IFERROR(E267/E444, "NA")</f>
        <v>2.6669399267837825E-2</v>
      </c>
      <c r="G267" s="2"/>
      <c r="H267" s="14">
        <f>IFERROR(-(B267-E267), "NA")</f>
        <v>3208.9699999999975</v>
      </c>
      <c r="I267" s="15">
        <f>IFERROR(H267/H444, "NA")</f>
        <v>-2.2767578664883638E-2</v>
      </c>
      <c r="J267" s="2"/>
      <c r="K267" s="14">
        <f>IFERROR(K265+K266, "NA")</f>
        <v>18751.36</v>
      </c>
      <c r="L267" s="15">
        <f>IFERROR(K267/K444, "NA")</f>
        <v>2.3241520410226837E-2</v>
      </c>
      <c r="M267" s="2"/>
      <c r="N267" s="14">
        <f>IFERROR(-(B267-K267), "NA")</f>
        <v>-1455.1699999999983</v>
      </c>
      <c r="O267" s="15">
        <f>IFERROR(N267/N444, "NA")</f>
        <v>2.0860319562830246E-2</v>
      </c>
      <c r="P267" s="2"/>
      <c r="Q267" s="14">
        <f>IFERROR(Q265+Q266, "NA")</f>
        <v>141375.82999999999</v>
      </c>
      <c r="R267" s="15">
        <f>IFERROR(Q267/Q444, "NA")</f>
        <v>2.6386257570508803E-2</v>
      </c>
      <c r="S267" s="2"/>
      <c r="T267" s="14">
        <f>IFERROR(T265+T266, "NA")</f>
        <v>152048.1</v>
      </c>
      <c r="U267" s="15">
        <f>IFERROR(T267/T444, "NA")</f>
        <v>2.6955750424202035E-2</v>
      </c>
      <c r="V267" s="2"/>
      <c r="W267" s="14">
        <f>IFERROR(-(Q267-T267), "NA")</f>
        <v>10672.270000000019</v>
      </c>
      <c r="X267" s="15">
        <f>IFERROR(W267/W444, "NA")</f>
        <v>-3.7748376227755127E-2</v>
      </c>
      <c r="Y267" s="2"/>
      <c r="Z267" s="14">
        <f>IFERROR(Z265+Z266, "NA")</f>
        <v>136208.04999999999</v>
      </c>
      <c r="AA267" s="15">
        <f>IFERROR(Z267/Z444, "NA")</f>
        <v>2.725336017722697E-2</v>
      </c>
      <c r="AB267" s="2"/>
      <c r="AC267" s="14">
        <f>IFERROR(-(Q267-Z267), "NA")</f>
        <v>-5167.7799999999988</v>
      </c>
      <c r="AD267" s="15">
        <f>IFERROR(AC267/AC444, "NA")</f>
        <v>-1.4351362184983476E-2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1055.5600000000002</v>
      </c>
      <c r="C270" s="8">
        <f>IFERROR(B270/B444, "NA")</f>
        <v>1.4321483299508243E-3</v>
      </c>
      <c r="D270" s="9"/>
      <c r="E270" s="7">
        <v>1199.1400000000001</v>
      </c>
      <c r="F270" s="8">
        <f>IFERROR(E270/E444, "NA")</f>
        <v>1.3657766623832528E-3</v>
      </c>
      <c r="G270" s="9"/>
      <c r="H270" s="10">
        <f>IFERROR(-(B270-E270), "NA")</f>
        <v>143.57999999999993</v>
      </c>
      <c r="I270" s="8">
        <f>IFERROR(H270/H444, "NA")</f>
        <v>-1.0186972594645614E-3</v>
      </c>
      <c r="J270" s="9"/>
      <c r="K270" s="7">
        <v>1104.42</v>
      </c>
      <c r="L270" s="8">
        <f>IFERROR(K270/K444, "NA")</f>
        <v>1.3688820422338818E-3</v>
      </c>
      <c r="M270" s="9"/>
      <c r="N270" s="10">
        <f>IFERROR(-(B270-K270), "NA")</f>
        <v>48.8599999999999</v>
      </c>
      <c r="O270" s="8">
        <f>IFERROR(N270/N444, "NA")</f>
        <v>-7.004234651895551E-4</v>
      </c>
      <c r="P270" s="9"/>
      <c r="Q270" s="7">
        <v>10281.99</v>
      </c>
      <c r="R270" s="8">
        <f>IFERROR(Q270/Q444, "NA")</f>
        <v>1.9190213523584323E-3</v>
      </c>
      <c r="S270" s="9"/>
      <c r="T270" s="7">
        <v>9169.4599999999991</v>
      </c>
      <c r="U270" s="8">
        <f>IFERROR(T270/T444, "NA")</f>
        <v>1.6256018673347682E-3</v>
      </c>
      <c r="V270" s="9"/>
      <c r="W270" s="10">
        <f>IFERROR(-(Q270-T270), "NA")</f>
        <v>-1112.5300000000007</v>
      </c>
      <c r="X270" s="8">
        <f>IFERROR(W270/W444, "NA")</f>
        <v>3.9350766992087309E-3</v>
      </c>
      <c r="Y270" s="9"/>
      <c r="Z270" s="7">
        <v>8906.74</v>
      </c>
      <c r="AA270" s="8">
        <f>IFERROR(Z270/Z444, "NA")</f>
        <v>1.7821163523368446E-3</v>
      </c>
      <c r="AB270" s="9"/>
      <c r="AC270" s="10">
        <f>IFERROR(-(Q270-Z270), "NA")</f>
        <v>-1375.25</v>
      </c>
      <c r="AD270" s="8">
        <f>IFERROR(AC270/AC444, "NA")</f>
        <v>-3.819185577733288E-3</v>
      </c>
    </row>
    <row r="271" spans="1:30" ht="16.5" customHeight="1" x14ac:dyDescent="0.45">
      <c r="A271" s="6" t="s">
        <v>246</v>
      </c>
      <c r="B271" s="7">
        <v>5247.9599999999991</v>
      </c>
      <c r="C271" s="8">
        <f>IFERROR(B271/B444, "NA")</f>
        <v>7.1202557406956739E-3</v>
      </c>
      <c r="D271" s="9"/>
      <c r="E271" s="7">
        <v>5598.3899999999994</v>
      </c>
      <c r="F271" s="8">
        <f>IFERROR(E271/E444, "NA")</f>
        <v>6.376361733342043E-3</v>
      </c>
      <c r="G271" s="9"/>
      <c r="H271" s="10">
        <f>IFERROR(-(B271-E271), "NA")</f>
        <v>350.43000000000029</v>
      </c>
      <c r="I271" s="8">
        <f>IFERROR(H271/H444, "NA")</f>
        <v>-2.4862939172180438E-3</v>
      </c>
      <c r="J271" s="9"/>
      <c r="K271" s="7">
        <v>3693.01</v>
      </c>
      <c r="L271" s="8">
        <f>IFERROR(K271/K444, "NA")</f>
        <v>4.5773302464552868E-3</v>
      </c>
      <c r="M271" s="9"/>
      <c r="N271" s="10">
        <f>IFERROR(-(B271-K271), "NA")</f>
        <v>-1554.9499999999989</v>
      </c>
      <c r="O271" s="8">
        <f>IFERROR(N271/N444, "NA")</f>
        <v>2.2290697241025382E-2</v>
      </c>
      <c r="P271" s="9"/>
      <c r="Q271" s="7">
        <v>44767.239999999991</v>
      </c>
      <c r="R271" s="8">
        <f>IFERROR(Q271/Q444, "NA")</f>
        <v>8.3553173506446202E-3</v>
      </c>
      <c r="S271" s="9"/>
      <c r="T271" s="7">
        <v>36860.43</v>
      </c>
      <c r="U271" s="8">
        <f>IFERROR(T271/T444, "NA")</f>
        <v>6.5347778210235402E-3</v>
      </c>
      <c r="V271" s="9"/>
      <c r="W271" s="10">
        <f>IFERROR(-(Q271-T271), "NA")</f>
        <v>-7906.8099999999904</v>
      </c>
      <c r="X271" s="8">
        <f>IFERROR(W271/W444, "NA")</f>
        <v>2.7966799813102145E-2</v>
      </c>
      <c r="Y271" s="9"/>
      <c r="Z271" s="7">
        <v>35218.71</v>
      </c>
      <c r="AA271" s="8">
        <f>IFERROR(Z271/Z444, "NA")</f>
        <v>7.0467801910922695E-3</v>
      </c>
      <c r="AB271" s="9"/>
      <c r="AC271" s="10">
        <f>IFERROR(-(Q271-Z271), "NA")</f>
        <v>-9548.5299999999916</v>
      </c>
      <c r="AD271" s="8">
        <f>IFERROR(AC271/AC444, "NA")</f>
        <v>-2.6517075487768476E-2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6303.5199999999995</v>
      </c>
      <c r="C273" s="15">
        <f>IFERROR(B273/B444, "NA")</f>
        <v>8.5524040706464986E-3</v>
      </c>
      <c r="D273" s="2"/>
      <c r="E273" s="14">
        <f>IFERROR(E269+E270+E271+E272, "NA")</f>
        <v>6797.53</v>
      </c>
      <c r="F273" s="15">
        <f>IFERROR(E273/E444, "NA")</f>
        <v>7.7421383957252963E-3</v>
      </c>
      <c r="G273" s="2"/>
      <c r="H273" s="14">
        <f>IFERROR(-(B273-E273), "NA")</f>
        <v>494.01000000000022</v>
      </c>
      <c r="I273" s="15">
        <f>IFERROR(H273/H444, "NA")</f>
        <v>-3.504991176682605E-3</v>
      </c>
      <c r="J273" s="2"/>
      <c r="K273" s="14">
        <f>IFERROR(K269+K270+K271+K272, "NA")</f>
        <v>4797.43</v>
      </c>
      <c r="L273" s="15">
        <f>IFERROR(K273/K444, "NA")</f>
        <v>5.9462122886891691E-3</v>
      </c>
      <c r="M273" s="2"/>
      <c r="N273" s="14">
        <f>IFERROR(-(B273-K273), "NA")</f>
        <v>-1506.0899999999992</v>
      </c>
      <c r="O273" s="15">
        <f>IFERROR(N273/N444, "NA")</f>
        <v>2.159027377583583E-2</v>
      </c>
      <c r="P273" s="2"/>
      <c r="Q273" s="14">
        <f>IFERROR(Q269+Q270+Q271+Q272, "NA")</f>
        <v>55049.229999999989</v>
      </c>
      <c r="R273" s="15">
        <f>IFERROR(Q273/Q444, "NA")</f>
        <v>1.0274338703003053E-2</v>
      </c>
      <c r="S273" s="2"/>
      <c r="T273" s="14">
        <f>IFERROR(T269+T270+T271+T272, "NA")</f>
        <v>46029.89</v>
      </c>
      <c r="U273" s="15">
        <f>IFERROR(T273/T444, "NA")</f>
        <v>8.1603796883583084E-3</v>
      </c>
      <c r="V273" s="2"/>
      <c r="W273" s="14">
        <f>IFERROR(-(Q273-T273), "NA")</f>
        <v>-9019.3399999999892</v>
      </c>
      <c r="X273" s="15">
        <f>IFERROR(W273/W444, "NA")</f>
        <v>3.190187651231087E-2</v>
      </c>
      <c r="Y273" s="2"/>
      <c r="Z273" s="14">
        <f>IFERROR(Z269+Z270+Z271+Z272, "NA")</f>
        <v>44125.45</v>
      </c>
      <c r="AA273" s="15">
        <f>IFERROR(Z273/Z444, "NA")</f>
        <v>8.8288965434291135E-3</v>
      </c>
      <c r="AB273" s="2"/>
      <c r="AC273" s="14">
        <f>IFERROR(-(Q273-Z273), "NA")</f>
        <v>-10923.779999999992</v>
      </c>
      <c r="AD273" s="15">
        <f>IFERROR(AC273/AC444, "NA")</f>
        <v>-3.0336261065501764E-2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1.3167824838637059E-3</v>
      </c>
      <c r="D287" s="9"/>
      <c r="E287" s="7">
        <v>2703</v>
      </c>
      <c r="F287" s="8">
        <f>IFERROR(E287/E444, "NA")</f>
        <v>3.078618275115443E-3</v>
      </c>
      <c r="G287" s="9"/>
      <c r="H287" s="10">
        <f t="shared" si="72"/>
        <v>1732.47</v>
      </c>
      <c r="I287" s="8">
        <f>IFERROR(H287/H444, "NA")</f>
        <v>-1.22918403754323E-2</v>
      </c>
      <c r="J287" s="9"/>
      <c r="K287" s="7">
        <v>970.53</v>
      </c>
      <c r="L287" s="8">
        <f>IFERROR(K287/K444, "NA")</f>
        <v>1.2029310302686018E-3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8734.77</v>
      </c>
      <c r="R287" s="8">
        <f>IFERROR(Q287/Q444, "NA")</f>
        <v>1.6302496051775837E-3</v>
      </c>
      <c r="S287" s="9"/>
      <c r="T287" s="7">
        <v>24327</v>
      </c>
      <c r="U287" s="8">
        <f>IFERROR(T287/T444, "NA")</f>
        <v>4.3127966779562708E-3</v>
      </c>
      <c r="V287" s="9"/>
      <c r="W287" s="10">
        <f t="shared" si="74"/>
        <v>15592.23</v>
      </c>
      <c r="X287" s="8">
        <f>IFERROR(W287/W444, "NA")</f>
        <v>-5.5150531636632999E-2</v>
      </c>
      <c r="Y287" s="9"/>
      <c r="Z287" s="7">
        <v>8734.77</v>
      </c>
      <c r="AA287" s="8">
        <f>IFERROR(Z287/Z444, "NA")</f>
        <v>1.7477075171051701E-3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763.79000000000008</v>
      </c>
      <c r="C288" s="8">
        <f>IFERROR(B288/B444, "NA")</f>
        <v>1.0362846005278147E-3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-763.79000000000008</v>
      </c>
      <c r="I288" s="8">
        <f>IFERROR(H288/H444, "NA")</f>
        <v>5.4190749394514405E-3</v>
      </c>
      <c r="J288" s="9"/>
      <c r="K288" s="7">
        <v>748.66</v>
      </c>
      <c r="L288" s="8">
        <f>IFERROR(K288/K444, "NA")</f>
        <v>9.2793251637856785E-4</v>
      </c>
      <c r="M288" s="9"/>
      <c r="N288" s="10">
        <f t="shared" si="73"/>
        <v>-15.130000000000109</v>
      </c>
      <c r="O288" s="8">
        <f>IFERROR(N288/N444, "NA")</f>
        <v>2.1689330798849914E-4</v>
      </c>
      <c r="P288" s="9"/>
      <c r="Q288" s="7">
        <v>7809.74</v>
      </c>
      <c r="R288" s="8">
        <f>IFERROR(Q288/Q444, "NA")</f>
        <v>1.4576028391748818E-3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-7809.74</v>
      </c>
      <c r="X288" s="8">
        <f>IFERROR(W288/W444, "NA")</f>
        <v>2.762345815472695E-2</v>
      </c>
      <c r="Y288" s="9"/>
      <c r="Z288" s="7">
        <v>6213.13</v>
      </c>
      <c r="AA288" s="8">
        <f>IFERROR(Z288/Z444, "NA")</f>
        <v>1.2431619843168904E-3</v>
      </c>
      <c r="AB288" s="9"/>
      <c r="AC288" s="10">
        <f t="shared" si="75"/>
        <v>-1596.6099999999997</v>
      </c>
      <c r="AD288" s="8">
        <f>IFERROR(AC288/AC444, "NA")</f>
        <v>-4.4339210218249363E-3</v>
      </c>
    </row>
    <row r="289" spans="1:30" ht="16.5" customHeight="1" x14ac:dyDescent="0.45">
      <c r="A289" s="6" t="s">
        <v>262</v>
      </c>
      <c r="B289" s="7">
        <v>1098.8</v>
      </c>
      <c r="C289" s="8">
        <f>IFERROR(B289/B444, "NA")</f>
        <v>1.4908149086266679E-3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-1098.8</v>
      </c>
      <c r="I289" s="8">
        <f>IFERROR(H289/H444, "NA")</f>
        <v>7.7959642617332538E-3</v>
      </c>
      <c r="J289" s="9"/>
      <c r="K289" s="7">
        <v>1115.5</v>
      </c>
      <c r="L289" s="8">
        <f>IFERROR(K289/K444, "NA")</f>
        <v>1.3826152352473652E-3</v>
      </c>
      <c r="M289" s="9"/>
      <c r="N289" s="10">
        <f t="shared" si="73"/>
        <v>16.700000000000045</v>
      </c>
      <c r="O289" s="8">
        <f>IFERROR(N289/N444, "NA")</f>
        <v>-2.393997517123542E-4</v>
      </c>
      <c r="P289" s="9"/>
      <c r="Q289" s="7">
        <v>9712.39</v>
      </c>
      <c r="R289" s="8">
        <f>IFERROR(Q289/Q444, "NA")</f>
        <v>1.8127117214111776E-3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-9712.39</v>
      </c>
      <c r="X289" s="8">
        <f>IFERROR(W289/W444, "NA")</f>
        <v>3.4353230548954061E-2</v>
      </c>
      <c r="Y289" s="9"/>
      <c r="Z289" s="7">
        <v>9072.39</v>
      </c>
      <c r="AA289" s="8">
        <f>IFERROR(Z289/Z444, "NA")</f>
        <v>1.8152606423649132E-3</v>
      </c>
      <c r="AB289" s="9"/>
      <c r="AC289" s="10">
        <f t="shared" si="75"/>
        <v>-640</v>
      </c>
      <c r="AD289" s="8">
        <f>IFERROR(AC289/AC444, "NA")</f>
        <v>-1.7773341354294159E-3</v>
      </c>
    </row>
    <row r="290" spans="1:30" ht="16.5" customHeight="1" x14ac:dyDescent="0.45">
      <c r="A290" s="6" t="s">
        <v>263</v>
      </c>
      <c r="B290" s="7">
        <v>2739.4700000000003</v>
      </c>
      <c r="C290" s="8">
        <f>IFERROR(B290/B444, "NA")</f>
        <v>3.7168208206548037E-3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-2739.4700000000003</v>
      </c>
      <c r="I290" s="8">
        <f>IFERROR(H290/H444, "NA")</f>
        <v>1.9436485453303967E-2</v>
      </c>
      <c r="J290" s="9"/>
      <c r="K290" s="7">
        <v>1476.81</v>
      </c>
      <c r="L290" s="8">
        <f>IFERROR(K290/K444, "NA")</f>
        <v>1.8304437521879529E-3</v>
      </c>
      <c r="M290" s="9"/>
      <c r="N290" s="10">
        <f t="shared" si="73"/>
        <v>-1262.6600000000003</v>
      </c>
      <c r="O290" s="8">
        <f>IFERROR(N290/N444, "NA")</f>
        <v>1.8100628173480265E-2</v>
      </c>
      <c r="P290" s="9"/>
      <c r="Q290" s="7">
        <v>31644.410000000003</v>
      </c>
      <c r="R290" s="8">
        <f>IFERROR(Q290/Q444, "NA")</f>
        <v>5.9060841795007292E-3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-31644.410000000003</v>
      </c>
      <c r="X290" s="8">
        <f>IFERROR(W290/W444, "NA")</f>
        <v>0.11192793043891643</v>
      </c>
      <c r="Y290" s="9"/>
      <c r="Z290" s="7">
        <v>19277.75</v>
      </c>
      <c r="AA290" s="8">
        <f>IFERROR(Z290/Z444, "NA")</f>
        <v>3.8572130219655686E-3</v>
      </c>
      <c r="AB290" s="9"/>
      <c r="AC290" s="10">
        <f t="shared" si="75"/>
        <v>-12366.660000000003</v>
      </c>
      <c r="AD290" s="8">
        <f>IFERROR(AC290/AC444, "NA")</f>
        <v>-3.4343260873827414E-2</v>
      </c>
    </row>
    <row r="291" spans="1:30" ht="16.5" customHeight="1" x14ac:dyDescent="0.45">
      <c r="A291" s="6" t="s">
        <v>264</v>
      </c>
      <c r="B291" s="7">
        <v>4135.7199999999993</v>
      </c>
      <c r="C291" s="8">
        <f>IFERROR(B291/B444, "NA")</f>
        <v>5.6112058917960339E-3</v>
      </c>
      <c r="D291" s="9"/>
      <c r="E291" s="7">
        <v>10891.84</v>
      </c>
      <c r="F291" s="8">
        <f>IFERROR(E291/E444, "NA")</f>
        <v>1.2405407944370473E-2</v>
      </c>
      <c r="G291" s="9"/>
      <c r="H291" s="10">
        <f t="shared" si="72"/>
        <v>6756.1200000000008</v>
      </c>
      <c r="I291" s="8">
        <f>IFERROR(H291/H444, "NA")</f>
        <v>-4.7934537739334981E-2</v>
      </c>
      <c r="J291" s="9"/>
      <c r="K291" s="7">
        <v>4050.98</v>
      </c>
      <c r="L291" s="8">
        <f>IFERROR(K291/K444, "NA")</f>
        <v>5.0210189741661786E-3</v>
      </c>
      <c r="M291" s="9"/>
      <c r="N291" s="10">
        <f t="shared" si="73"/>
        <v>-84.739999999999327</v>
      </c>
      <c r="O291" s="8">
        <f>IFERROR(N291/N444, "NA")</f>
        <v>1.2147745485092622E-3</v>
      </c>
      <c r="P291" s="9"/>
      <c r="Q291" s="7">
        <v>35968.46</v>
      </c>
      <c r="R291" s="8">
        <f>IFERROR(Q291/Q444, "NA")</f>
        <v>6.7131209767224221E-3</v>
      </c>
      <c r="S291" s="9"/>
      <c r="T291" s="7">
        <v>69558.099999999991</v>
      </c>
      <c r="U291" s="8">
        <f>IFERROR(T291/T444, "NA")</f>
        <v>1.2331563390674972E-2</v>
      </c>
      <c r="V291" s="9"/>
      <c r="W291" s="10">
        <f t="shared" si="74"/>
        <v>33589.639999999992</v>
      </c>
      <c r="X291" s="8">
        <f>IFERROR(W291/W444, "NA")</f>
        <v>-0.11880831051639906</v>
      </c>
      <c r="Y291" s="9"/>
      <c r="Z291" s="7">
        <v>19876.72</v>
      </c>
      <c r="AA291" s="8">
        <f>IFERROR(Z291/Z444, "NA")</f>
        <v>3.9770586929472303E-3</v>
      </c>
      <c r="AB291" s="9"/>
      <c r="AC291" s="10">
        <f t="shared" si="75"/>
        <v>-16091.739999999998</v>
      </c>
      <c r="AD291" s="8">
        <f>IFERROR(AC291/AC444, "NA")</f>
        <v>-4.4688123125710855E-2</v>
      </c>
    </row>
    <row r="292" spans="1:30" ht="16.5" customHeight="1" x14ac:dyDescent="0.45">
      <c r="A292" s="6" t="s">
        <v>265</v>
      </c>
      <c r="B292" s="7">
        <v>563.15</v>
      </c>
      <c r="C292" s="8">
        <f>IFERROR(B292/B444, "NA")</f>
        <v>7.6406299216700765E-4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-563.15</v>
      </c>
      <c r="I292" s="8">
        <f>IFERROR(H292/H444, "NA")</f>
        <v>3.9955381088415381E-3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-563.15</v>
      </c>
      <c r="O292" s="8">
        <f>IFERROR(N292/N444, "NA")</f>
        <v>8.0729323459168799E-3</v>
      </c>
      <c r="P292" s="9"/>
      <c r="Q292" s="7">
        <v>6723.4</v>
      </c>
      <c r="R292" s="8">
        <f>IFERROR(Q292/Q444, "NA")</f>
        <v>1.2548493200680688E-3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-6723.4</v>
      </c>
      <c r="X292" s="8">
        <f>IFERROR(W292/W444, "NA")</f>
        <v>2.3781016852992696E-2</v>
      </c>
      <c r="Y292" s="9"/>
      <c r="Z292" s="7">
        <v>5433.2</v>
      </c>
      <c r="AA292" s="8">
        <f>IFERROR(Z292/Z444, "NA")</f>
        <v>1.0871087025686778E-3</v>
      </c>
      <c r="AB292" s="9"/>
      <c r="AC292" s="10">
        <f t="shared" si="75"/>
        <v>-1290.1999999999998</v>
      </c>
      <c r="AD292" s="8">
        <f>IFERROR(AC292/AC444, "NA")</f>
        <v>-3.5829945336422375E-3</v>
      </c>
    </row>
    <row r="293" spans="1:30" ht="16.5" customHeight="1" x14ac:dyDescent="0.45">
      <c r="A293" s="6" t="s">
        <v>266</v>
      </c>
      <c r="B293" s="7">
        <v>259.95</v>
      </c>
      <c r="C293" s="8">
        <f>IFERROR(B293/B444, "NA")</f>
        <v>3.5269142291363513E-4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-259.95</v>
      </c>
      <c r="I293" s="8">
        <f>IFERROR(H293/H444, "NA")</f>
        <v>1.8443401072420452E-3</v>
      </c>
      <c r="J293" s="9"/>
      <c r="K293" s="7">
        <v>2831.23</v>
      </c>
      <c r="L293" s="8">
        <f>IFERROR(K293/K444, "NA")</f>
        <v>3.5091902577224546E-3</v>
      </c>
      <c r="M293" s="9"/>
      <c r="N293" s="10">
        <f t="shared" si="73"/>
        <v>2571.2800000000002</v>
      </c>
      <c r="O293" s="8">
        <f>IFERROR(N293/N444, "NA")</f>
        <v>-3.6860107400176076E-2</v>
      </c>
      <c r="P293" s="9"/>
      <c r="Q293" s="7">
        <v>7774.96</v>
      </c>
      <c r="R293" s="8">
        <f>IFERROR(Q293/Q444, "NA")</f>
        <v>1.4511115313020841E-3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-7774.96</v>
      </c>
      <c r="X293" s="8">
        <f>IFERROR(W293/W444, "NA")</f>
        <v>2.7500439478737558E-2</v>
      </c>
      <c r="Y293" s="9"/>
      <c r="Z293" s="7">
        <v>9833.9000000000015</v>
      </c>
      <c r="AA293" s="8">
        <f>IFERROR(Z293/Z444, "NA")</f>
        <v>1.9676283350861597E-3</v>
      </c>
      <c r="AB293" s="9"/>
      <c r="AC293" s="10">
        <f t="shared" si="75"/>
        <v>2058.9400000000014</v>
      </c>
      <c r="AD293" s="8">
        <f>IFERROR(AC293/AC444, "NA")</f>
        <v>5.717850538751631E-3</v>
      </c>
    </row>
    <row r="294" spans="1:30" ht="16.5" customHeight="1" x14ac:dyDescent="0.45">
      <c r="A294" s="6" t="s">
        <v>267</v>
      </c>
      <c r="B294" s="7">
        <v>2593.1400000000003</v>
      </c>
      <c r="C294" s="8">
        <f>IFERROR(B294/B444, "NA")</f>
        <v>3.5182851949000348E-3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-2593.1400000000003</v>
      </c>
      <c r="I294" s="8">
        <f>IFERROR(H294/H444, "NA")</f>
        <v>1.8398276998244423E-2</v>
      </c>
      <c r="J294" s="9"/>
      <c r="K294" s="7">
        <v>2678.23</v>
      </c>
      <c r="L294" s="8">
        <f>IFERROR(K294/K444, "NA")</f>
        <v>3.3195532061824754E-3</v>
      </c>
      <c r="M294" s="9"/>
      <c r="N294" s="10">
        <f t="shared" si="73"/>
        <v>85.089999999999691</v>
      </c>
      <c r="O294" s="8">
        <f>IFERROR(N294/N444, "NA")</f>
        <v>-1.2197919085750952E-3</v>
      </c>
      <c r="P294" s="9"/>
      <c r="Q294" s="7">
        <v>17128.920000000002</v>
      </c>
      <c r="R294" s="8">
        <f>IFERROR(Q294/Q444, "NA")</f>
        <v>3.1969262003599887E-3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-17128.920000000002</v>
      </c>
      <c r="X294" s="8">
        <f>IFERROR(W294/W444, "NA")</f>
        <v>6.0585884402767014E-2</v>
      </c>
      <c r="Y294" s="9"/>
      <c r="Z294" s="7">
        <v>4055.3700000000003</v>
      </c>
      <c r="AA294" s="8">
        <f>IFERROR(Z294/Z444, "NA")</f>
        <v>8.1142384214384514E-4</v>
      </c>
      <c r="AB294" s="9"/>
      <c r="AC294" s="10">
        <f t="shared" si="75"/>
        <v>-13073.550000000001</v>
      </c>
      <c r="AD294" s="8">
        <f>IFERROR(AC294/AC444, "NA")</f>
        <v>-3.6306354197255065E-2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13124.55</v>
      </c>
      <c r="C295" s="15">
        <f>IFERROR(B295/B444, "NA")</f>
        <v>1.7806948315449704E-2</v>
      </c>
      <c r="D295" s="2"/>
      <c r="E295" s="14">
        <f>IFERROR(E286+E287+E288+E289+E290+E291+E292+E293+E294, "NA")</f>
        <v>13594.84</v>
      </c>
      <c r="F295" s="15">
        <f>IFERROR(E295/E444, "NA")</f>
        <v>1.5484026219485915E-2</v>
      </c>
      <c r="G295" s="2"/>
      <c r="H295" s="14">
        <f t="shared" si="72"/>
        <v>470.29000000000087</v>
      </c>
      <c r="I295" s="15">
        <f>IFERROR(H295/H444, "NA")</f>
        <v>-3.3366982459506179E-3</v>
      </c>
      <c r="J295" s="2"/>
      <c r="K295" s="14">
        <f>IFERROR(K286+K287+K288+K289+K290+K291+K292+K293+K294, "NA")</f>
        <v>13871.939999999999</v>
      </c>
      <c r="L295" s="15">
        <f>IFERROR(K295/K444, "NA")</f>
        <v>1.7193684972153594E-2</v>
      </c>
      <c r="M295" s="2"/>
      <c r="N295" s="14">
        <f t="shared" si="73"/>
        <v>747.38999999999942</v>
      </c>
      <c r="O295" s="15">
        <f>IFERROR(N295/N444, "NA")</f>
        <v>-1.0714070684568609E-2</v>
      </c>
      <c r="P295" s="2"/>
      <c r="Q295" s="14">
        <f>IFERROR(Q286+Q287+Q288+Q289+Q290+Q291+Q292+Q293+Q294, "NA")</f>
        <v>125497.05</v>
      </c>
      <c r="R295" s="15">
        <f>IFERROR(Q295/Q444, "NA")</f>
        <v>2.3422656373716936E-2</v>
      </c>
      <c r="S295" s="2"/>
      <c r="T295" s="14">
        <f>IFERROR(T286+T287+T288+T289+T290+T291+T292+T293+T294, "NA")</f>
        <v>93885.099999999991</v>
      </c>
      <c r="U295" s="15">
        <f>IFERROR(T295/T444, "NA")</f>
        <v>1.6644360068631243E-2</v>
      </c>
      <c r="V295" s="2"/>
      <c r="W295" s="14">
        <f t="shared" si="74"/>
        <v>-31611.950000000012</v>
      </c>
      <c r="X295" s="15">
        <f>IFERROR(W295/W444, "NA")</f>
        <v>0.11181311772406265</v>
      </c>
      <c r="Y295" s="2"/>
      <c r="Z295" s="14">
        <f>IFERROR(Z286+Z287+Z288+Z289+Z290+Z291+Z292+Z293+Z294, "NA")</f>
        <v>82497.23000000001</v>
      </c>
      <c r="AA295" s="15">
        <f>IFERROR(Z295/Z444, "NA")</f>
        <v>1.6506562738498456E-2</v>
      </c>
      <c r="AB295" s="2"/>
      <c r="AC295" s="14">
        <f t="shared" si="75"/>
        <v>-42999.819999999992</v>
      </c>
      <c r="AD295" s="15">
        <f>IFERROR(AC295/AC444, "NA")</f>
        <v>-0.11941413734893827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11413.890000000001</v>
      </c>
      <c r="F297" s="8">
        <f>IFERROR(E297/E444, "NA")</f>
        <v>1.3000003826917279E-2</v>
      </c>
      <c r="G297" s="9"/>
      <c r="H297" s="10">
        <f t="shared" ref="H297:H325" si="76">IFERROR(-(B297-E297), "NA")</f>
        <v>11413.890000000001</v>
      </c>
      <c r="I297" s="8">
        <f>IFERROR(H297/H444, "NA")</f>
        <v>-8.0981323741676908E-2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73328.53</v>
      </c>
      <c r="U297" s="8">
        <f>IFERROR(T297/T444, "NA")</f>
        <v>1.3000001668245848E-2</v>
      </c>
      <c r="V297" s="9"/>
      <c r="W297" s="10">
        <f t="shared" ref="W297:W325" si="78">IFERROR(-(Q297-T297), "NA")</f>
        <v>73328.53</v>
      </c>
      <c r="X297" s="8">
        <f>IFERROR(W297/W444, "NA")</f>
        <v>-0.25936683935734606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2487.21</v>
      </c>
      <c r="C299" s="8">
        <f>IFERROR(B299/B444, "NA")</f>
        <v>3.3745629312753318E-3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-2487.21</v>
      </c>
      <c r="I299" s="8">
        <f>IFERROR(H299/H444, "NA")</f>
        <v>1.7646705743925708E-2</v>
      </c>
      <c r="J299" s="9"/>
      <c r="K299" s="7">
        <v>1904.88</v>
      </c>
      <c r="L299" s="8">
        <f>IFERROR(K299/K444, "NA")</f>
        <v>2.3610184754083384E-3</v>
      </c>
      <c r="M299" s="9"/>
      <c r="N299" s="10">
        <f t="shared" si="77"/>
        <v>-582.32999999999993</v>
      </c>
      <c r="O299" s="8">
        <f>IFERROR(N299/N444, "NA")</f>
        <v>8.347883677524242E-3</v>
      </c>
      <c r="P299" s="9"/>
      <c r="Q299" s="7">
        <v>21838.28</v>
      </c>
      <c r="R299" s="8">
        <f>IFERROR(Q299/Q444, "NA")</f>
        <v>4.0758769089234773E-3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-21838.28</v>
      </c>
      <c r="X299" s="8">
        <f>IFERROR(W299/W444, "NA")</f>
        <v>7.7243136615458452E-2</v>
      </c>
      <c r="Y299" s="9"/>
      <c r="Z299" s="7">
        <v>12850.75</v>
      </c>
      <c r="AA299" s="8">
        <f>IFERROR(Z299/Z444, "NA")</f>
        <v>2.5712585878551195E-3</v>
      </c>
      <c r="AB299" s="9"/>
      <c r="AC299" s="10">
        <f t="shared" si="79"/>
        <v>-8987.5299999999988</v>
      </c>
      <c r="AD299" s="8">
        <f>IFERROR(AC299/AC444, "NA")</f>
        <v>-2.4959131034681149E-2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834.62000000000012</v>
      </c>
      <c r="R304" s="8">
        <f>IFERROR(Q304/Q444, "NA")</f>
        <v>1.5577272503721507E-4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-834.62000000000012</v>
      </c>
      <c r="X304" s="8">
        <f>IFERROR(W304/W444, "NA")</f>
        <v>2.9520945185240754E-3</v>
      </c>
      <c r="Y304" s="9"/>
      <c r="Z304" s="7">
        <v>710.04</v>
      </c>
      <c r="AA304" s="8">
        <f>IFERROR(Z304/Z444, "NA")</f>
        <v>1.4206925258997716E-4</v>
      </c>
      <c r="AB304" s="9"/>
      <c r="AC304" s="10">
        <f t="shared" si="79"/>
        <v>-124.58000000000015</v>
      </c>
      <c r="AD304" s="8">
        <f>IFERROR(AC304/AC444, "NA")</f>
        <v>-3.4596919779968267E-4</v>
      </c>
    </row>
    <row r="305" spans="1:30" ht="16.5" customHeight="1" x14ac:dyDescent="0.45">
      <c r="A305" s="6" t="s">
        <v>277</v>
      </c>
      <c r="B305" s="7">
        <v>261.96000000000004</v>
      </c>
      <c r="C305" s="8">
        <f>IFERROR(B305/B444, "NA")</f>
        <v>3.5541852335624498E-4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-261.96000000000004</v>
      </c>
      <c r="I305" s="8">
        <f>IFERROR(H305/H444, "NA")</f>
        <v>1.8586010174769234E-3</v>
      </c>
      <c r="J305" s="9"/>
      <c r="K305" s="7">
        <v>58.33</v>
      </c>
      <c r="L305" s="8">
        <f>IFERROR(K305/K444, "NA")</f>
        <v>7.2297576577300596E-5</v>
      </c>
      <c r="M305" s="9"/>
      <c r="N305" s="10">
        <f t="shared" si="77"/>
        <v>-203.63000000000005</v>
      </c>
      <c r="O305" s="8">
        <f>IFERROR(N305/N444, "NA")</f>
        <v>2.9191000862985967E-3</v>
      </c>
      <c r="P305" s="9"/>
      <c r="Q305" s="7">
        <v>919.69</v>
      </c>
      <c r="R305" s="8">
        <f>IFERROR(Q305/Q444, "NA")</f>
        <v>1.7165011321257137E-4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-919.69</v>
      </c>
      <c r="X305" s="8">
        <f>IFERROR(W305/W444, "NA")</f>
        <v>3.2529915503359693E-3</v>
      </c>
      <c r="Y305" s="9"/>
      <c r="Z305" s="7">
        <v>509.53</v>
      </c>
      <c r="AA305" s="8">
        <f>IFERROR(Z305/Z444, "NA")</f>
        <v>1.0194995531543443E-4</v>
      </c>
      <c r="AB305" s="9"/>
      <c r="AC305" s="10">
        <f t="shared" si="79"/>
        <v>-410.16000000000008</v>
      </c>
      <c r="AD305" s="8">
        <f>IFERROR(AC305/AC444, "NA")</f>
        <v>-1.1390490140433271E-3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167.02</v>
      </c>
      <c r="C310" s="8">
        <f>IFERROR(B310/B444, "NA")</f>
        <v>2.26607122350588E-4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-167.02</v>
      </c>
      <c r="I310" s="8">
        <f>IFERROR(H310/H444, "NA")</f>
        <v>1.185003595735974E-3</v>
      </c>
      <c r="J310" s="9"/>
      <c r="K310" s="7">
        <v>750.8599999999999</v>
      </c>
      <c r="L310" s="8">
        <f>IFERROR(K310/K444, "NA")</f>
        <v>9.3065932365561329E-4</v>
      </c>
      <c r="M310" s="9"/>
      <c r="N310" s="10">
        <f t="shared" si="77"/>
        <v>583.83999999999992</v>
      </c>
      <c r="O310" s="8">
        <f>IFERROR(N310/N444, "NA")</f>
        <v>-8.3695300023796694E-3</v>
      </c>
      <c r="P310" s="9"/>
      <c r="Q310" s="7">
        <v>2936.5499999999997</v>
      </c>
      <c r="R310" s="8">
        <f>IFERROR(Q310/Q444, "NA")</f>
        <v>5.4807504697710794E-4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-2936.5499999999997</v>
      </c>
      <c r="X310" s="8">
        <f>IFERROR(W310/W444, "NA")</f>
        <v>1.03867306778796E-2</v>
      </c>
      <c r="Y310" s="9"/>
      <c r="Z310" s="7">
        <v>1668.2200000000003</v>
      </c>
      <c r="AA310" s="8">
        <f>IFERROR(Z310/Z444, "NA")</f>
        <v>3.3378791132281527E-4</v>
      </c>
      <c r="AB310" s="9"/>
      <c r="AC310" s="10">
        <f t="shared" si="79"/>
        <v>-1268.3299999999995</v>
      </c>
      <c r="AD310" s="8">
        <f>IFERROR(AC310/AC444, "NA")</f>
        <v>-3.5222596937331094E-3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3.1258316346640118E-5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5.9238550473558272E-4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-4.6510612656518521E-4</v>
      </c>
    </row>
    <row r="312" spans="1:30" ht="16.5" customHeight="1" x14ac:dyDescent="0.45">
      <c r="A312" s="6" t="s">
        <v>284</v>
      </c>
      <c r="B312" s="7">
        <v>4333.24</v>
      </c>
      <c r="C312" s="8">
        <f>IFERROR(B312/B444, "NA")</f>
        <v>5.8791943890220445E-3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-4333.24</v>
      </c>
      <c r="I312" s="8">
        <f>IFERROR(H312/H444, "NA")</f>
        <v>3.0744252072727525E-2</v>
      </c>
      <c r="J312" s="9"/>
      <c r="K312" s="7">
        <v>769.82999999999993</v>
      </c>
      <c r="L312" s="8">
        <f>IFERROR(K312/K444, "NA")</f>
        <v>9.5417183913086426E-4</v>
      </c>
      <c r="M312" s="9"/>
      <c r="N312" s="10">
        <f t="shared" si="77"/>
        <v>-3563.41</v>
      </c>
      <c r="O312" s="8">
        <f>IFERROR(N312/N444, "NA")</f>
        <v>5.1082602949060946E-2</v>
      </c>
      <c r="P312" s="9"/>
      <c r="Q312" s="7">
        <v>16994.37</v>
      </c>
      <c r="R312" s="8">
        <f>IFERROR(Q312/Q444, "NA")</f>
        <v>3.1718139095524862E-3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-16994.37</v>
      </c>
      <c r="X312" s="8">
        <f>IFERROR(W312/W444, "NA")</f>
        <v>6.0109974027425635E-2</v>
      </c>
      <c r="Y312" s="9"/>
      <c r="Z312" s="7">
        <v>3883.4999999999995</v>
      </c>
      <c r="AA312" s="8">
        <f>IFERROR(Z312/Z444, "NA")</f>
        <v>7.7703501553880953E-4</v>
      </c>
      <c r="AB312" s="9"/>
      <c r="AC312" s="10">
        <f t="shared" si="79"/>
        <v>-13110.869999999999</v>
      </c>
      <c r="AD312" s="8">
        <f>IFERROR(AC312/AC444, "NA")</f>
        <v>-3.6409994994027285E-2</v>
      </c>
    </row>
    <row r="313" spans="1:30" ht="16.5" customHeight="1" x14ac:dyDescent="0.45">
      <c r="A313" s="6" t="s">
        <v>285</v>
      </c>
      <c r="B313" s="7">
        <v>361.98</v>
      </c>
      <c r="C313" s="8">
        <f>IFERROR(B313/B444, "NA")</f>
        <v>4.9112229761984097E-4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-361.98</v>
      </c>
      <c r="I313" s="8">
        <f>IFERROR(H313/H444, "NA")</f>
        <v>2.5682409387169673E-3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-361.98</v>
      </c>
      <c r="O313" s="8">
        <f>IFERROR(N313/N444, "NA")</f>
        <v>5.1890971332238167E-3</v>
      </c>
      <c r="P313" s="9"/>
      <c r="Q313" s="7">
        <v>2999.2799999999997</v>
      </c>
      <c r="R313" s="8">
        <f>IFERROR(Q313/Q444, "NA")</f>
        <v>5.5978291767465229E-4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-2999.2799999999997</v>
      </c>
      <c r="X313" s="8">
        <f>IFERROR(W313/W444, "NA")</f>
        <v>1.0608609963239422E-2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-2999.2799999999997</v>
      </c>
      <c r="AD313" s="8">
        <f>IFERROR(AC313/AC444, "NA")</f>
        <v>-8.3292542589230283E-3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1735.48</v>
      </c>
      <c r="C315" s="8">
        <f>IFERROR(B315/B444, "NA")</f>
        <v>2.3546409334031758E-3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-1735.48</v>
      </c>
      <c r="I315" s="8">
        <f>IFERROR(H315/H444, "NA")</f>
        <v>1.2313196265883534E-2</v>
      </c>
      <c r="J315" s="9"/>
      <c r="K315" s="7">
        <v>455.52</v>
      </c>
      <c r="L315" s="8">
        <f>IFERROR(K315/K444, "NA")</f>
        <v>5.6459784129079323E-4</v>
      </c>
      <c r="M315" s="9"/>
      <c r="N315" s="10">
        <f t="shared" si="77"/>
        <v>-1279.96</v>
      </c>
      <c r="O315" s="8">
        <f>IFERROR(N315/N444, "NA")</f>
        <v>1.8348629113876889E-2</v>
      </c>
      <c r="P315" s="9"/>
      <c r="Q315" s="7">
        <v>14951.849999999999</v>
      </c>
      <c r="R315" s="8">
        <f>IFERROR(Q315/Q444, "NA")</f>
        <v>2.7905998165005433E-3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-14951.849999999999</v>
      </c>
      <c r="X315" s="8">
        <f>IFERROR(W315/W444, "NA")</f>
        <v>5.288547414008074E-2</v>
      </c>
      <c r="Y315" s="9"/>
      <c r="Z315" s="7">
        <v>5449.13</v>
      </c>
      <c r="AA315" s="8">
        <f>IFERROR(Z315/Z444, "NA")</f>
        <v>1.0902960767923248E-3</v>
      </c>
      <c r="AB315" s="9"/>
      <c r="AC315" s="10">
        <f t="shared" si="79"/>
        <v>-9502.7199999999975</v>
      </c>
      <c r="AD315" s="8">
        <f>IFERROR(AC315/AC444, "NA")</f>
        <v>-2.638985724285596E-2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3.4254768806551877E-6</v>
      </c>
      <c r="AB316" s="9"/>
      <c r="AC316" s="10">
        <f t="shared" si="79"/>
        <v>17.12</v>
      </c>
      <c r="AD316" s="8">
        <f>IFERROR(AC316/AC444, "NA")</f>
        <v>4.7543688122736881E-5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1571.38</v>
      </c>
      <c r="C318" s="8">
        <f>IFERROR(B318/B444, "NA")</f>
        <v>2.1319955689095135E-3</v>
      </c>
      <c r="D318" s="9"/>
      <c r="E318" s="7">
        <v>3210</v>
      </c>
      <c r="F318" s="8">
        <f>IFERROR(E318/E444, "NA")</f>
        <v>3.656072757351303E-3</v>
      </c>
      <c r="G318" s="9"/>
      <c r="H318" s="10">
        <f t="shared" si="76"/>
        <v>1638.62</v>
      </c>
      <c r="I318" s="8">
        <f>IFERROR(H318/H444, "NA")</f>
        <v>-1.1625976482127178E-2</v>
      </c>
      <c r="J318" s="9"/>
      <c r="K318" s="7">
        <v>1319.75</v>
      </c>
      <c r="L318" s="8">
        <f>IFERROR(K318/K444, "NA")</f>
        <v>1.6357745017639717E-3</v>
      </c>
      <c r="M318" s="9"/>
      <c r="N318" s="10">
        <f t="shared" si="77"/>
        <v>-251.63000000000011</v>
      </c>
      <c r="O318" s="8">
        <f>IFERROR(N318/N444, "NA")</f>
        <v>3.6071951810406917E-3</v>
      </c>
      <c r="P318" s="9"/>
      <c r="Q318" s="7">
        <v>12129.380000000001</v>
      </c>
      <c r="R318" s="8">
        <f>IFERROR(Q318/Q444, "NA")</f>
        <v>2.2638165579687711E-3</v>
      </c>
      <c r="S318" s="9"/>
      <c r="T318" s="7">
        <v>28890</v>
      </c>
      <c r="U318" s="8">
        <f>IFERROR(T318/T444, "NA")</f>
        <v>5.1217452224341957E-3</v>
      </c>
      <c r="V318" s="9"/>
      <c r="W318" s="10">
        <f t="shared" si="78"/>
        <v>16760.62</v>
      </c>
      <c r="X318" s="8">
        <f>IFERROR(W318/W444, "NA")</f>
        <v>-5.9283188072494046E-2</v>
      </c>
      <c r="Y318" s="9"/>
      <c r="Z318" s="7">
        <v>11877.75</v>
      </c>
      <c r="AA318" s="8">
        <f>IFERROR(Z318/Z444, "NA")</f>
        <v>2.3765746506543314E-3</v>
      </c>
      <c r="AB318" s="9"/>
      <c r="AC318" s="10">
        <f t="shared" si="79"/>
        <v>-251.63000000000102</v>
      </c>
      <c r="AD318" s="8">
        <f>IFERROR(AC318/AC444, "NA")</f>
        <v>-6.9879779452829019E-4</v>
      </c>
    </row>
    <row r="319" spans="1:30" ht="16.5" customHeight="1" x14ac:dyDescent="0.45">
      <c r="A319" s="6" t="s">
        <v>291</v>
      </c>
      <c r="B319" s="7">
        <v>1238.92</v>
      </c>
      <c r="C319" s="8">
        <f>IFERROR(B319/B444, "NA")</f>
        <v>1.6809250151035235E-3</v>
      </c>
      <c r="D319" s="9"/>
      <c r="E319" s="7">
        <v>1084</v>
      </c>
      <c r="F319" s="8">
        <f>IFERROR(E319/E444, "NA")</f>
        <v>1.2346364077784463E-3</v>
      </c>
      <c r="G319" s="9"/>
      <c r="H319" s="10">
        <f t="shared" si="76"/>
        <v>-154.92000000000007</v>
      </c>
      <c r="I319" s="8">
        <f>IFERROR(H319/H444, "NA")</f>
        <v>1.0991543351180526E-3</v>
      </c>
      <c r="J319" s="9"/>
      <c r="K319" s="7">
        <v>1078.0400000000002</v>
      </c>
      <c r="L319" s="8">
        <f>IFERROR(K319/K444, "NA")</f>
        <v>1.3361851440664007E-3</v>
      </c>
      <c r="M319" s="9"/>
      <c r="N319" s="10">
        <f t="shared" si="77"/>
        <v>-160.87999999999988</v>
      </c>
      <c r="O319" s="8">
        <f>IFERROR(N319/N444, "NA")</f>
        <v>2.3062653925439167E-3</v>
      </c>
      <c r="P319" s="9"/>
      <c r="Q319" s="7">
        <v>10926.65</v>
      </c>
      <c r="R319" s="8">
        <f>IFERROR(Q319/Q444, "NA")</f>
        <v>2.0393401140972964E-3</v>
      </c>
      <c r="S319" s="9"/>
      <c r="T319" s="7">
        <v>9756</v>
      </c>
      <c r="U319" s="8">
        <f>IFERROR(T319/T444, "NA")</f>
        <v>1.7295862371086192E-3</v>
      </c>
      <c r="V319" s="9"/>
      <c r="W319" s="10">
        <f t="shared" si="78"/>
        <v>-1170.6499999999996</v>
      </c>
      <c r="X319" s="8">
        <f>IFERROR(W319/W444, "NA")</f>
        <v>4.1406501738638028E-3</v>
      </c>
      <c r="Y319" s="9"/>
      <c r="Z319" s="7">
        <v>9538.32</v>
      </c>
      <c r="AA319" s="8">
        <f>IFERROR(Z319/Z444, "NA")</f>
        <v>1.908486836465595E-3</v>
      </c>
      <c r="AB319" s="9"/>
      <c r="AC319" s="10">
        <f t="shared" si="79"/>
        <v>-1388.33</v>
      </c>
      <c r="AD319" s="8">
        <f>IFERROR(AC319/AC444, "NA")</f>
        <v>-3.8555098441261262E-3</v>
      </c>
    </row>
    <row r="320" spans="1:30" ht="16.5" customHeight="1" x14ac:dyDescent="0.45">
      <c r="A320" s="6" t="s">
        <v>292</v>
      </c>
      <c r="B320" s="7">
        <v>6778.6900000000005</v>
      </c>
      <c r="C320" s="8">
        <f>IFERROR(B320/B444, "NA")</f>
        <v>9.197098755877783E-3</v>
      </c>
      <c r="D320" s="9"/>
      <c r="E320" s="7">
        <v>4243</v>
      </c>
      <c r="F320" s="8">
        <f>IFERROR(E320/E444, "NA")</f>
        <v>4.8326220278634199E-3</v>
      </c>
      <c r="G320" s="9"/>
      <c r="H320" s="10">
        <f t="shared" si="76"/>
        <v>-2535.6900000000005</v>
      </c>
      <c r="I320" s="8">
        <f>IFERROR(H320/H444, "NA")</f>
        <v>1.7990670384814705E-2</v>
      </c>
      <c r="J320" s="9"/>
      <c r="K320" s="7">
        <v>3694.09</v>
      </c>
      <c r="L320" s="8">
        <f>IFERROR(K320/K444, "NA")</f>
        <v>4.5786688609367457E-3</v>
      </c>
      <c r="M320" s="9"/>
      <c r="N320" s="10">
        <f t="shared" si="77"/>
        <v>-3084.6000000000004</v>
      </c>
      <c r="O320" s="8">
        <f>IFERROR(N320/N444, "NA")</f>
        <v>4.4218711025863826E-2</v>
      </c>
      <c r="P320" s="9"/>
      <c r="Q320" s="7">
        <v>52426.27</v>
      </c>
      <c r="R320" s="8">
        <f>IFERROR(Q320/Q444, "NA")</f>
        <v>9.7847918111677121E-3</v>
      </c>
      <c r="S320" s="9"/>
      <c r="T320" s="7">
        <v>38187</v>
      </c>
      <c r="U320" s="8">
        <f>IFERROR(T320/T444, "NA")</f>
        <v>6.7699579373172248E-3</v>
      </c>
      <c r="V320" s="9"/>
      <c r="W320" s="10">
        <f t="shared" si="78"/>
        <v>-14239.269999999997</v>
      </c>
      <c r="X320" s="8">
        <f>IFERROR(W320/W444, "NA")</f>
        <v>5.0365041473705754E-2</v>
      </c>
      <c r="Y320" s="9"/>
      <c r="Z320" s="7">
        <v>35577.54</v>
      </c>
      <c r="AA320" s="8">
        <f>IFERROR(Z320/Z444, "NA")</f>
        <v>7.1185771460622171E-3</v>
      </c>
      <c r="AB320" s="9"/>
      <c r="AC320" s="10">
        <f t="shared" si="79"/>
        <v>-16848.729999999996</v>
      </c>
      <c r="AD320" s="8">
        <f>IFERROR(AC320/AC444, "NA")</f>
        <v>-4.6790348386927583E-2</v>
      </c>
    </row>
    <row r="321" spans="1:30" ht="16.5" customHeight="1" x14ac:dyDescent="0.45">
      <c r="A321" s="6" t="s">
        <v>293</v>
      </c>
      <c r="B321" s="7">
        <v>9150.16</v>
      </c>
      <c r="C321" s="8">
        <f>IFERROR(B321/B444, "NA")</f>
        <v>1.241462954524881E-2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-9150.16</v>
      </c>
      <c r="I321" s="8">
        <f>IFERROR(H321/H444, "NA")</f>
        <v>6.4920204176502683E-2</v>
      </c>
      <c r="J321" s="9"/>
      <c r="K321" s="7">
        <v>13763.93</v>
      </c>
      <c r="L321" s="8">
        <f>IFERROR(K321/K444, "NA")</f>
        <v>1.7059811129429198E-2</v>
      </c>
      <c r="M321" s="9"/>
      <c r="N321" s="10">
        <f t="shared" si="77"/>
        <v>4613.7700000000004</v>
      </c>
      <c r="O321" s="8">
        <f>IFERROR(N321/N444, "NA")</f>
        <v>-6.6139843859754827E-2</v>
      </c>
      <c r="P321" s="9"/>
      <c r="Q321" s="7">
        <v>86600.959999999992</v>
      </c>
      <c r="R321" s="8">
        <f>IFERROR(Q321/Q444, "NA")</f>
        <v>1.616312517078294E-2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-86600.959999999992</v>
      </c>
      <c r="X321" s="8">
        <f>IFERROR(W321/W444, "NA")</f>
        <v>0.30631211726884411</v>
      </c>
      <c r="Y321" s="9"/>
      <c r="Z321" s="7">
        <v>110853.21</v>
      </c>
      <c r="AA321" s="8">
        <f>IFERROR(Z321/Z444, "NA")</f>
        <v>2.2180204906624673E-2</v>
      </c>
      <c r="AB321" s="9"/>
      <c r="AC321" s="10">
        <f t="shared" si="79"/>
        <v>24252.250000000015</v>
      </c>
      <c r="AD321" s="8">
        <f>IFERROR(AC321/AC444, "NA")</f>
        <v>6.7350549665575118E-2</v>
      </c>
    </row>
    <row r="322" spans="1:30" ht="16.5" customHeight="1" x14ac:dyDescent="0.45">
      <c r="A322" s="6" t="s">
        <v>294</v>
      </c>
      <c r="B322" s="7">
        <v>1329.97</v>
      </c>
      <c r="C322" s="8">
        <f>IFERROR(B322/B444, "NA")</f>
        <v>1.8044585948545774E-3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-1329.97</v>
      </c>
      <c r="I322" s="8">
        <f>IFERROR(H322/H444, "NA")</f>
        <v>9.4361108383485409E-3</v>
      </c>
      <c r="J322" s="9"/>
      <c r="K322" s="7">
        <v>1187.1100000000001</v>
      </c>
      <c r="L322" s="8">
        <f>IFERROR(K322/K444, "NA")</f>
        <v>1.4713728121151951E-3</v>
      </c>
      <c r="M322" s="9"/>
      <c r="N322" s="10">
        <f t="shared" si="77"/>
        <v>-142.8599999999999</v>
      </c>
      <c r="O322" s="8">
        <f>IFERROR(N322/N444, "NA")</f>
        <v>2.047943025726156E-3</v>
      </c>
      <c r="P322" s="9"/>
      <c r="Q322" s="7">
        <v>15536.470000000001</v>
      </c>
      <c r="R322" s="8">
        <f>IFERROR(Q322/Q444, "NA")</f>
        <v>2.899712766718915E-3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-15536.470000000001</v>
      </c>
      <c r="X322" s="8">
        <f>IFERROR(W322/W444, "NA")</f>
        <v>5.4953305605202056E-2</v>
      </c>
      <c r="Y322" s="9"/>
      <c r="Z322" s="7">
        <v>11579.34</v>
      </c>
      <c r="AA322" s="8">
        <f>IFERROR(Z322/Z444, "NA")</f>
        <v>2.3168669078998737E-3</v>
      </c>
      <c r="AB322" s="9"/>
      <c r="AC322" s="10">
        <f t="shared" si="79"/>
        <v>-3957.130000000001</v>
      </c>
      <c r="AD322" s="8">
        <f>IFERROR(AC322/AC444, "NA")</f>
        <v>-1.0989284730205948E-2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-1.1299999999999999</v>
      </c>
      <c r="L323" s="8">
        <f>IFERROR(K323/K444, "NA")</f>
        <v>-1.4005873741188012E-6</v>
      </c>
      <c r="M323" s="9"/>
      <c r="N323" s="10">
        <f t="shared" si="77"/>
        <v>-1.1299999999999999</v>
      </c>
      <c r="O323" s="8">
        <f>IFERROR(N323/N444, "NA")</f>
        <v>1.6198905355386797E-5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-32.42</v>
      </c>
      <c r="AA323" s="8">
        <f>IFERROR(Z323/Z444, "NA")</f>
        <v>-6.4867967564743681E-6</v>
      </c>
      <c r="AB323" s="9"/>
      <c r="AC323" s="10">
        <f t="shared" si="79"/>
        <v>-32.42</v>
      </c>
      <c r="AD323" s="8">
        <f>IFERROR(AC323/AC444, "NA")</f>
        <v>-9.003308229784635E-5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29416.010000000002</v>
      </c>
      <c r="C324" s="15">
        <f>IFERROR(B324/B444, "NA")</f>
        <v>3.9910653677021436E-2</v>
      </c>
      <c r="D324" s="2"/>
      <c r="E324" s="14">
        <f>IFERROR(E297+E298+E299+E300+E301+E302+E303+E304+E305+E306+E307+E308+E309+E310+E311+E312+E313+E314+E315+E316+E317+E318+E319+E320+E321+E322+E323, "NA")</f>
        <v>19950.89</v>
      </c>
      <c r="F324" s="15">
        <f>IFERROR(E324/E444, "NA")</f>
        <v>2.2723335019910446E-2</v>
      </c>
      <c r="G324" s="2"/>
      <c r="H324" s="14">
        <f t="shared" si="76"/>
        <v>-9465.1200000000026</v>
      </c>
      <c r="I324" s="15">
        <f>IFERROR(H324/H444, "NA")</f>
        <v>6.7154839145446565E-2</v>
      </c>
      <c r="J324" s="2"/>
      <c r="K324" s="14">
        <f>IFERROR(K297+K298+K299+K300+K301+K302+K303+K304+K305+K306+K307+K308+K309+K310+K311+K312+K313+K314+K315+K316+K317+K318+K319+K320+K321+K322+K323, "NA")</f>
        <v>24981.21</v>
      </c>
      <c r="L324" s="15">
        <f>IFERROR(K324/K444, "NA")</f>
        <v>3.0963156917000301E-2</v>
      </c>
      <c r="M324" s="2"/>
      <c r="N324" s="14">
        <f t="shared" si="77"/>
        <v>-4434.8000000000029</v>
      </c>
      <c r="O324" s="15">
        <f>IFERROR(N324/N444, "NA")</f>
        <v>6.3574252628380012E-2</v>
      </c>
      <c r="P324" s="2"/>
      <c r="Q324" s="14">
        <f>IFERROR(Q297+Q298+Q299+Q300+Q301+Q302+Q303+Q304+Q305+Q306+Q307+Q308+Q309+Q310+Q311+Q312+Q313+Q314+Q315+Q316+Q317+Q318+Q319+Q320+Q321+Q322+Q323, "NA")</f>
        <v>239261.84999999998</v>
      </c>
      <c r="R324" s="15">
        <f>IFERROR(Q324/Q444, "NA")</f>
        <v>4.4655616174960326E-2</v>
      </c>
      <c r="S324" s="2"/>
      <c r="T324" s="14">
        <f>IFERROR(T297+T298+T299+T300+T301+T302+T303+T304+T305+T306+T307+T308+T309+T310+T311+T312+T313+T314+T315+T316+T317+T318+T319+T320+T321+T322+T323, "NA")</f>
        <v>150161.53</v>
      </c>
      <c r="U324" s="15">
        <f>IFERROR(T324/T444, "NA")</f>
        <v>2.6621291065105888E-2</v>
      </c>
      <c r="V324" s="2"/>
      <c r="W324" s="14">
        <f t="shared" si="78"/>
        <v>-89100.319999999978</v>
      </c>
      <c r="X324" s="15">
        <f>IFERROR(W324/W444, "NA")</f>
        <v>0.31515248408945501</v>
      </c>
      <c r="Y324" s="2"/>
      <c r="Z324" s="14">
        <f>IFERROR(Z297+Z298+Z299+Z300+Z301+Z302+Z303+Z304+Z305+Z306+Z307+Z308+Z309+Z310+Z311+Z312+Z313+Z314+Z315+Z316+Z317+Z318+Z319+Z320+Z321+Z322+Z323, "NA")</f>
        <v>204482.02999999997</v>
      </c>
      <c r="AA324" s="15">
        <f>IFERROR(Z324/Z444, "NA")</f>
        <v>4.0914045927245346E-2</v>
      </c>
      <c r="AB324" s="2"/>
      <c r="AC324" s="14">
        <f t="shared" si="79"/>
        <v>-34779.820000000007</v>
      </c>
      <c r="AD324" s="15">
        <f>IFERROR(AC324/AC444, "NA")</f>
        <v>-9.6586502047016742E-2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165573.75000000006</v>
      </c>
      <c r="C325" s="15">
        <f>IFERROR(B325/B444, "NA")</f>
        <v>0.22464489895997894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187088.63000000003</v>
      </c>
      <c r="F325" s="15">
        <f>IFERROR(E325/E444, "NA")</f>
        <v>0.21308711630940119</v>
      </c>
      <c r="G325" s="2"/>
      <c r="H325" s="14">
        <f t="shared" si="76"/>
        <v>21514.879999999976</v>
      </c>
      <c r="I325" s="15">
        <f>IFERROR(H325/H444, "NA")</f>
        <v>-0.15264764795729829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245925.92</v>
      </c>
      <c r="L325" s="15">
        <f>IFERROR(K325/K444, "NA")</f>
        <v>0.30481481285004464</v>
      </c>
      <c r="M325" s="2"/>
      <c r="N325" s="14">
        <f t="shared" si="77"/>
        <v>80352.169999999955</v>
      </c>
      <c r="O325" s="15">
        <f>IFERROR(N325/N444, "NA")</f>
        <v>-1.1518736256017252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1359645.0699999998</v>
      </c>
      <c r="R325" s="15">
        <f>IFERROR(Q325/Q444, "NA")</f>
        <v>0.25376293119900672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1210921.1600000001</v>
      </c>
      <c r="U325" s="15">
        <f>IFERROR(T325/T444, "NA")</f>
        <v>0.21467738546121407</v>
      </c>
      <c r="V325" s="2"/>
      <c r="W325" s="14">
        <f t="shared" si="78"/>
        <v>-148723.90999999968</v>
      </c>
      <c r="X325" s="15">
        <f>IFERROR(W325/W444, "NA")</f>
        <v>0.52604423508239306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1157886.1600000004</v>
      </c>
      <c r="AA325" s="15">
        <f>IFERROR(Z325/Z444, "NA")</f>
        <v>0.23167711866300317</v>
      </c>
      <c r="AB325" s="2"/>
      <c r="AC325" s="14">
        <f t="shared" si="79"/>
        <v>-201758.90999999945</v>
      </c>
      <c r="AD325" s="15">
        <f>IFERROR(AC325/AC444, "NA")</f>
        <v>-0.56030155917192248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59761.599999999999</v>
      </c>
      <c r="C329" s="8">
        <f>IFERROR(B329/B444, "NA")</f>
        <v>8.1082530254262361E-2</v>
      </c>
      <c r="D329" s="9"/>
      <c r="E329" s="7">
        <v>69682.87</v>
      </c>
      <c r="F329" s="8">
        <f>IFERROR(E329/E444, "NA")</f>
        <v>7.9366243819642482E-2</v>
      </c>
      <c r="G329" s="9"/>
      <c r="H329" s="10">
        <f t="shared" si="80"/>
        <v>9921.2699999999968</v>
      </c>
      <c r="I329" s="8">
        <f>IFERROR(H329/H444, "NA")</f>
        <v>-7.0391214371137836E-2</v>
      </c>
      <c r="J329" s="9"/>
      <c r="K329" s="7">
        <v>53046.68</v>
      </c>
      <c r="L329" s="8">
        <f>IFERROR(K329/K444, "NA")</f>
        <v>6.5749124112318882E-2</v>
      </c>
      <c r="M329" s="9"/>
      <c r="N329" s="10">
        <f t="shared" si="81"/>
        <v>-6714.9199999999983</v>
      </c>
      <c r="O329" s="8">
        <f>IFERROR(N329/N444, "NA")</f>
        <v>9.6260489866366275E-2</v>
      </c>
      <c r="P329" s="9"/>
      <c r="Q329" s="7">
        <v>512919.62</v>
      </c>
      <c r="R329" s="8">
        <f>IFERROR(Q329/Q444, "NA")</f>
        <v>9.5730855877468587E-2</v>
      </c>
      <c r="S329" s="9"/>
      <c r="T329" s="7">
        <v>515762.41000000003</v>
      </c>
      <c r="U329" s="8">
        <f>IFERROR(T329/T444, "NA")</f>
        <v>9.1436609876380984E-2</v>
      </c>
      <c r="V329" s="9"/>
      <c r="W329" s="10">
        <f t="shared" si="82"/>
        <v>2842.7900000000373</v>
      </c>
      <c r="X329" s="8">
        <f>IFERROR(W329/W444, "NA")</f>
        <v>-1.0055096662331559E-2</v>
      </c>
      <c r="Y329" s="9"/>
      <c r="Z329" s="7">
        <v>471783.95</v>
      </c>
      <c r="AA329" s="8">
        <f>IFERROR(Z329/Z444, "NA")</f>
        <v>9.4397489099835447E-2</v>
      </c>
      <c r="AB329" s="9"/>
      <c r="AC329" s="10">
        <f t="shared" si="83"/>
        <v>-41135.669999999984</v>
      </c>
      <c r="AD329" s="8">
        <f>IFERROR(AC329/AC444, "NA")</f>
        <v>-0.11423723511681208</v>
      </c>
    </row>
    <row r="330" spans="1:30" ht="16.5" customHeight="1" x14ac:dyDescent="0.45">
      <c r="A330" s="6" t="s">
        <v>301</v>
      </c>
      <c r="B330" s="7">
        <v>6355.6100000000006</v>
      </c>
      <c r="C330" s="8">
        <f>IFERROR(B330/B444, "NA")</f>
        <v>8.6230780318681637E-3</v>
      </c>
      <c r="D330" s="9"/>
      <c r="E330" s="7">
        <v>6065</v>
      </c>
      <c r="F330" s="8">
        <f>IFERROR(E330/E444, "NA")</f>
        <v>6.9078134807899231E-3</v>
      </c>
      <c r="G330" s="9"/>
      <c r="H330" s="10">
        <f t="shared" si="80"/>
        <v>-290.61000000000058</v>
      </c>
      <c r="I330" s="8">
        <f>IFERROR(H330/H444, "NA")</f>
        <v>2.0618722006755601E-3</v>
      </c>
      <c r="J330" s="9"/>
      <c r="K330" s="7">
        <v>6496.64</v>
      </c>
      <c r="L330" s="8">
        <f>IFERROR(K330/K444, "NA")</f>
        <v>8.0523114674293534E-3</v>
      </c>
      <c r="M330" s="9"/>
      <c r="N330" s="10">
        <f t="shared" si="81"/>
        <v>141.02999999999975</v>
      </c>
      <c r="O330" s="8">
        <f>IFERROR(N330/N444, "NA")</f>
        <v>-2.0217094002391114E-3</v>
      </c>
      <c r="P330" s="9"/>
      <c r="Q330" s="7">
        <v>54831.66</v>
      </c>
      <c r="R330" s="8">
        <f>IFERROR(Q330/Q444, "NA")</f>
        <v>1.0233731634173711E-2</v>
      </c>
      <c r="S330" s="9"/>
      <c r="T330" s="7">
        <v>54585</v>
      </c>
      <c r="U330" s="8">
        <f>IFERROR(T330/T444, "NA")</f>
        <v>9.6770669078079102E-3</v>
      </c>
      <c r="V330" s="9"/>
      <c r="W330" s="10">
        <f t="shared" si="82"/>
        <v>-246.66000000000349</v>
      </c>
      <c r="X330" s="8">
        <f>IFERROR(W330/W444, "NA")</f>
        <v>8.7244929900931998E-4</v>
      </c>
      <c r="Y330" s="9"/>
      <c r="Z330" s="7">
        <v>54011.77</v>
      </c>
      <c r="AA330" s="8">
        <f>IFERROR(Z330/Z444, "NA")</f>
        <v>1.0807013400599615E-2</v>
      </c>
      <c r="AB330" s="9"/>
      <c r="AC330" s="10">
        <f t="shared" si="83"/>
        <v>-819.89000000000669</v>
      </c>
      <c r="AD330" s="8">
        <f>IFERROR(AC330/AC444, "NA")</f>
        <v>-2.2769038817144309E-3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2.6478652854712461E-4</v>
      </c>
      <c r="D332" s="9"/>
      <c r="E332" s="7">
        <v>195</v>
      </c>
      <c r="F332" s="8">
        <f>IFERROR(E332/E444, "NA")</f>
        <v>2.2209787778302306E-4</v>
      </c>
      <c r="G332" s="9"/>
      <c r="H332" s="10">
        <f t="shared" si="80"/>
        <v>-0.15999999999999659</v>
      </c>
      <c r="I332" s="8">
        <f>IFERROR(H332/H444, "NA")</f>
        <v>1.1351968346171225E-6</v>
      </c>
      <c r="J332" s="9"/>
      <c r="K332" s="7">
        <v>195.16</v>
      </c>
      <c r="L332" s="8">
        <f>IFERROR(K332/K444, "NA")</f>
        <v>2.4189259463099579E-4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3051.6800000000003</v>
      </c>
      <c r="R332" s="8">
        <f>IFERROR(Q332/Q444, "NA")</f>
        <v>5.6956280647668211E-4</v>
      </c>
      <c r="S332" s="9"/>
      <c r="T332" s="7">
        <v>1755</v>
      </c>
      <c r="U332" s="8">
        <f>IFERROR(T332/T444, "NA")</f>
        <v>3.1113405556843242E-4</v>
      </c>
      <c r="V332" s="9"/>
      <c r="W332" s="10">
        <f t="shared" si="82"/>
        <v>-1296.6800000000003</v>
      </c>
      <c r="X332" s="8">
        <f>IFERROR(W332/W444, "NA")</f>
        <v>4.5864248643452087E-3</v>
      </c>
      <c r="Y332" s="9"/>
      <c r="Z332" s="7">
        <v>1756.44</v>
      </c>
      <c r="AA332" s="8">
        <f>IFERROR(Z332/Z444, "NA")</f>
        <v>3.514395217440419E-4</v>
      </c>
      <c r="AB332" s="9"/>
      <c r="AC332" s="10">
        <f t="shared" si="83"/>
        <v>-1295.2400000000002</v>
      </c>
      <c r="AD332" s="8">
        <f>IFERROR(AC332/AC444, "NA")</f>
        <v>-3.5969910399587454E-3</v>
      </c>
    </row>
    <row r="333" spans="1:30" ht="16.5" customHeight="1" x14ac:dyDescent="0.45">
      <c r="A333" s="6" t="s">
        <v>304</v>
      </c>
      <c r="B333" s="7">
        <v>5618.9000000000005</v>
      </c>
      <c r="C333" s="8">
        <f>IFERROR(B333/B444, "NA")</f>
        <v>7.6235346651641655E-3</v>
      </c>
      <c r="D333" s="9"/>
      <c r="E333" s="7">
        <v>5155</v>
      </c>
      <c r="F333" s="8">
        <f>IFERROR(E333/E444, "NA")</f>
        <v>5.8713567178024818E-3</v>
      </c>
      <c r="G333" s="9"/>
      <c r="H333" s="10">
        <f t="shared" si="80"/>
        <v>-463.90000000000055</v>
      </c>
      <c r="I333" s="8">
        <f>IFERROR(H333/H444, "NA")</f>
        <v>3.2913613223680932E-3</v>
      </c>
      <c r="J333" s="9"/>
      <c r="K333" s="7">
        <v>5558.9100000000008</v>
      </c>
      <c r="L333" s="8">
        <f>IFERROR(K333/K444, "NA")</f>
        <v>6.8900346547457938E-3</v>
      </c>
      <c r="M333" s="9"/>
      <c r="N333" s="10">
        <f t="shared" si="81"/>
        <v>-59.989999999999782</v>
      </c>
      <c r="O333" s="8">
        <f>IFERROR(N333/N444, "NA")</f>
        <v>8.599755152828765E-4</v>
      </c>
      <c r="P333" s="9"/>
      <c r="Q333" s="7">
        <v>51005.04</v>
      </c>
      <c r="R333" s="8">
        <f>IFERROR(Q333/Q444, "NA")</f>
        <v>9.5195347241045693E-3</v>
      </c>
      <c r="S333" s="9"/>
      <c r="T333" s="7">
        <v>46395</v>
      </c>
      <c r="U333" s="8">
        <f>IFERROR(T333/T444, "NA")</f>
        <v>8.2251079818218935E-3</v>
      </c>
      <c r="V333" s="9"/>
      <c r="W333" s="10">
        <f t="shared" si="82"/>
        <v>-4610.0400000000009</v>
      </c>
      <c r="X333" s="8">
        <f>IFERROR(W333/W444, "NA")</f>
        <v>1.6305952186835601E-2</v>
      </c>
      <c r="Y333" s="9"/>
      <c r="Z333" s="7">
        <v>48253.8</v>
      </c>
      <c r="AA333" s="8">
        <f>IFERROR(Z333/Z444, "NA")</f>
        <v>9.6549226812943506E-3</v>
      </c>
      <c r="AB333" s="9"/>
      <c r="AC333" s="10">
        <f t="shared" si="83"/>
        <v>-2751.239999999998</v>
      </c>
      <c r="AD333" s="8">
        <f>IFERROR(AC333/AC444, "NA")</f>
        <v>-7.6404261980606604E-3</v>
      </c>
    </row>
    <row r="334" spans="1:30" ht="16.5" customHeight="1" x14ac:dyDescent="0.45">
      <c r="A334" s="6" t="s">
        <v>305</v>
      </c>
      <c r="B334" s="7">
        <v>9165.619999999999</v>
      </c>
      <c r="C334" s="8">
        <f>IFERROR(B334/B444, "NA")</f>
        <v>1.2435605153628284E-2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-9165.619999999999</v>
      </c>
      <c r="I334" s="8">
        <f>IFERROR(H334/H444, "NA")</f>
        <v>6.5029892570647563E-2</v>
      </c>
      <c r="J334" s="9"/>
      <c r="K334" s="7">
        <v>8095.68</v>
      </c>
      <c r="L334" s="8">
        <f>IFERROR(K334/K444, "NA")</f>
        <v>1.0034254153014245E-2</v>
      </c>
      <c r="M334" s="9"/>
      <c r="N334" s="10">
        <f t="shared" si="81"/>
        <v>-1069.9399999999987</v>
      </c>
      <c r="O334" s="8">
        <f>IFERROR(N334/N444, "NA")</f>
        <v>1.5337926368090733E-2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6.1770449574377281E-4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1.1706298747211484E-2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-9.1910946895310992E-3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15128.779999999999</v>
      </c>
      <c r="F337" s="8">
        <f>IFERROR(E337/E444, "NA")</f>
        <v>1.7231127853570481E-2</v>
      </c>
      <c r="G337" s="9"/>
      <c r="H337" s="10">
        <f t="shared" ref="H337:H344" si="84">IFERROR(-(B337-E337), "NA")</f>
        <v>15128.779999999999</v>
      </c>
      <c r="I337" s="8">
        <f>IFERROR(H337/H444, "NA")</f>
        <v>-0.10733839479761996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142401.18</v>
      </c>
      <c r="U337" s="8">
        <f>IFERROR(T337/T444, "NA")</f>
        <v>2.5245502365316436E-2</v>
      </c>
      <c r="V337" s="9"/>
      <c r="W337" s="10">
        <f t="shared" ref="W337:W344" si="86">IFERROR(-(Q337-T337), "NA")</f>
        <v>142401.18</v>
      </c>
      <c r="X337" s="8">
        <f>IFERROR(W337/W444, "NA")</f>
        <v>-0.50368040893982902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9933.2099999999991</v>
      </c>
      <c r="C338" s="8">
        <f>IFERROR(B338/B444, "NA")</f>
        <v>1.3477045466435659E-2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-9933.2099999999991</v>
      </c>
      <c r="I338" s="8">
        <f>IFERROR(H338/H444, "NA")</f>
        <v>7.0475928434921162E-2</v>
      </c>
      <c r="J338" s="9"/>
      <c r="K338" s="7">
        <v>9652.4</v>
      </c>
      <c r="L338" s="8">
        <f>IFERROR(K338/K444, "NA")</f>
        <v>1.1963742982251608E-2</v>
      </c>
      <c r="M338" s="9"/>
      <c r="N338" s="10">
        <f t="shared" si="85"/>
        <v>-280.80999999999949</v>
      </c>
      <c r="O338" s="8">
        <f>IFERROR(N338/N444, "NA")</f>
        <v>4.0254996573859808E-3</v>
      </c>
      <c r="P338" s="9"/>
      <c r="Q338" s="7">
        <v>92188.42</v>
      </c>
      <c r="R338" s="8">
        <f>IFERROR(Q338/Q444, "NA")</f>
        <v>1.7205963672420138E-2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-92188.42</v>
      </c>
      <c r="X338" s="8">
        <f>IFERROR(W338/W444, "NA")</f>
        <v>0.32607525503030743</v>
      </c>
      <c r="Y338" s="9"/>
      <c r="Z338" s="7">
        <v>77249.290000000008</v>
      </c>
      <c r="AA338" s="8">
        <f>IFERROR(Z338/Z444, "NA")</f>
        <v>1.5456522017641821E-2</v>
      </c>
      <c r="AB338" s="9"/>
      <c r="AC338" s="10">
        <f t="shared" si="87"/>
        <v>-14939.12999999999</v>
      </c>
      <c r="AD338" s="8">
        <f>IFERROR(AC338/AC444, "NA")</f>
        <v>-4.1487227660340048E-2</v>
      </c>
    </row>
    <row r="339" spans="1:30" ht="16.5" customHeight="1" x14ac:dyDescent="0.45">
      <c r="A339" s="12" t="s">
        <v>309</v>
      </c>
      <c r="B339" s="7">
        <v>1696.61</v>
      </c>
      <c r="C339" s="8">
        <f>IFERROR(B339/B444, "NA")</f>
        <v>2.3019034238488268E-3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-1696.61</v>
      </c>
      <c r="I339" s="8">
        <f>IFERROR(H339/H444, "NA")</f>
        <v>1.2037414384873732E-2</v>
      </c>
      <c r="J339" s="9"/>
      <c r="K339" s="7">
        <v>1875.6200000000001</v>
      </c>
      <c r="L339" s="8">
        <f>IFERROR(K339/K444, "NA")</f>
        <v>2.324751938623634E-3</v>
      </c>
      <c r="M339" s="9"/>
      <c r="N339" s="10">
        <f t="shared" si="85"/>
        <v>179.01000000000022</v>
      </c>
      <c r="O339" s="8">
        <f>IFERROR(N339/N444, "NA")</f>
        <v>-2.5661646439538001E-3</v>
      </c>
      <c r="P339" s="9"/>
      <c r="Q339" s="7">
        <v>20436.34</v>
      </c>
      <c r="R339" s="8">
        <f>IFERROR(Q339/Q444, "NA")</f>
        <v>3.8142200900853555E-3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-20436.34</v>
      </c>
      <c r="X339" s="8">
        <f>IFERROR(W339/W444, "NA")</f>
        <v>7.2284401635108547E-2</v>
      </c>
      <c r="Y339" s="9"/>
      <c r="Z339" s="7">
        <v>20146.5</v>
      </c>
      <c r="AA339" s="8">
        <f>IFERROR(Z339/Z444, "NA")</f>
        <v>4.0310379658948445E-3</v>
      </c>
      <c r="AB339" s="9"/>
      <c r="AC339" s="10">
        <f t="shared" si="87"/>
        <v>-289.84000000000015</v>
      </c>
      <c r="AD339" s="8">
        <f>IFERROR(AC339/AC444, "NA")</f>
        <v>-8.0491019658259714E-4</v>
      </c>
    </row>
    <row r="340" spans="1:30" ht="16.5" customHeight="1" x14ac:dyDescent="0.45">
      <c r="A340" s="12" t="s">
        <v>310</v>
      </c>
      <c r="B340" s="7">
        <v>5823.68</v>
      </c>
      <c r="C340" s="8">
        <f>IFERROR(B340/B444, "NA")</f>
        <v>7.901373286376915E-3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-5823.68</v>
      </c>
      <c r="I340" s="8">
        <f>IFERROR(H340/H444, "NA")</f>
        <v>4.1318894386394904E-2</v>
      </c>
      <c r="J340" s="9"/>
      <c r="K340" s="7">
        <v>2674.86</v>
      </c>
      <c r="L340" s="8">
        <f>IFERROR(K340/K444, "NA")</f>
        <v>3.3153762332171831E-3</v>
      </c>
      <c r="M340" s="9"/>
      <c r="N340" s="10">
        <f t="shared" si="85"/>
        <v>-3148.82</v>
      </c>
      <c r="O340" s="8">
        <f>IFERROR(N340/N444, "NA")</f>
        <v>4.5139324921370849E-2</v>
      </c>
      <c r="P340" s="9"/>
      <c r="Q340" s="7">
        <v>30623.68</v>
      </c>
      <c r="R340" s="8">
        <f>IFERROR(Q340/Q444, "NA")</f>
        <v>5.7155760516973729E-3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-30623.68</v>
      </c>
      <c r="X340" s="8">
        <f>IFERROR(W340/W444, "NA")</f>
        <v>0.10831755513291719</v>
      </c>
      <c r="Y340" s="9"/>
      <c r="Z340" s="7">
        <v>22034.059999999998</v>
      </c>
      <c r="AA340" s="8">
        <f>IFERROR(Z340/Z444, "NA")</f>
        <v>4.4087127988883899E-3</v>
      </c>
      <c r="AB340" s="9"/>
      <c r="AC340" s="10">
        <f t="shared" si="87"/>
        <v>-8589.6200000000026</v>
      </c>
      <c r="AD340" s="8">
        <f>IFERROR(AC340/AC444, "NA")</f>
        <v>-2.3854101306823788E-2</v>
      </c>
    </row>
    <row r="341" spans="1:30" ht="16.5" customHeight="1" x14ac:dyDescent="0.45">
      <c r="A341" s="12" t="s">
        <v>311</v>
      </c>
      <c r="B341" s="7">
        <v>1883.3200000000002</v>
      </c>
      <c r="C341" s="8">
        <f>IFERROR(B341/B444, "NA")</f>
        <v>2.555225276405876E-3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-1883.3200000000002</v>
      </c>
      <c r="I341" s="8">
        <f>IFERROR(H341/H444, "NA")</f>
        <v>1.336211814106978E-2</v>
      </c>
      <c r="J341" s="9"/>
      <c r="K341" s="7">
        <v>1787.6999999999998</v>
      </c>
      <c r="L341" s="8">
        <f>IFERROR(K341/K444, "NA")</f>
        <v>2.2157788041700715E-3</v>
      </c>
      <c r="M341" s="9"/>
      <c r="N341" s="10">
        <f t="shared" si="85"/>
        <v>-95.620000000000346</v>
      </c>
      <c r="O341" s="8">
        <f>IFERROR(N341/N444, "NA")</f>
        <v>1.3707427699841514E-3</v>
      </c>
      <c r="P341" s="9"/>
      <c r="Q341" s="7">
        <v>16914.8</v>
      </c>
      <c r="R341" s="8">
        <f>IFERROR(Q341/Q444, "NA")</f>
        <v>3.1569630364231445E-3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-16914.8</v>
      </c>
      <c r="X341" s="8">
        <f>IFERROR(W341/W444, "NA")</f>
        <v>5.9828530782788603E-2</v>
      </c>
      <c r="Y341" s="9"/>
      <c r="Z341" s="7">
        <v>15823.34</v>
      </c>
      <c r="AA341" s="8">
        <f>IFERROR(Z341/Z444, "NA")</f>
        <v>3.1660330224735078E-3</v>
      </c>
      <c r="AB341" s="9"/>
      <c r="AC341" s="10">
        <f t="shared" si="87"/>
        <v>-1091.4599999999991</v>
      </c>
      <c r="AD341" s="8">
        <f>IFERROR(AC341/AC444, "NA")</f>
        <v>-3.0310767428996699E-3</v>
      </c>
    </row>
    <row r="342" spans="1:30" ht="16.5" customHeight="1" x14ac:dyDescent="0.45">
      <c r="A342" s="13" t="s">
        <v>312</v>
      </c>
      <c r="B342" s="14">
        <f>IFERROR(B337+B338+B339+B340+B341, "NA")</f>
        <v>19336.82</v>
      </c>
      <c r="C342" s="15">
        <f>IFERROR(B342/B444, "NA")</f>
        <v>2.6235547453067276E-2</v>
      </c>
      <c r="D342" s="2"/>
      <c r="E342" s="14">
        <f>IFERROR(E337+E338+E339+E340+E341, "NA")</f>
        <v>15128.779999999999</v>
      </c>
      <c r="F342" s="15">
        <f>IFERROR(E342/E444, "NA")</f>
        <v>1.7231127853570481E-2</v>
      </c>
      <c r="G342" s="2"/>
      <c r="H342" s="14">
        <f t="shared" si="84"/>
        <v>-4208.0400000000009</v>
      </c>
      <c r="I342" s="15">
        <f>IFERROR(H342/H444, "NA")</f>
        <v>2.9855960549639616E-2</v>
      </c>
      <c r="J342" s="2"/>
      <c r="K342" s="14">
        <f>IFERROR(K337+K338+K339+K340+K341, "NA")</f>
        <v>15990.580000000002</v>
      </c>
      <c r="L342" s="15">
        <f>IFERROR(K342/K444, "NA")</f>
        <v>1.9819649958262499E-2</v>
      </c>
      <c r="M342" s="2"/>
      <c r="N342" s="14">
        <f t="shared" si="85"/>
        <v>-3346.239999999998</v>
      </c>
      <c r="O342" s="15">
        <f>IFERROR(N342/N444, "NA")</f>
        <v>4.7969402704787154E-2</v>
      </c>
      <c r="P342" s="2"/>
      <c r="Q342" s="14">
        <f>IFERROR(Q337+Q338+Q339+Q340+Q341, "NA")</f>
        <v>160163.24</v>
      </c>
      <c r="R342" s="15">
        <f>IFERROR(Q342/Q444, "NA")</f>
        <v>2.9892722850626011E-2</v>
      </c>
      <c r="S342" s="2"/>
      <c r="T342" s="14">
        <f>IFERROR(T337+T338+T339+T340+T341, "NA")</f>
        <v>142401.18</v>
      </c>
      <c r="U342" s="15">
        <f>IFERROR(T342/T444, "NA")</f>
        <v>2.5245502365316436E-2</v>
      </c>
      <c r="V342" s="2"/>
      <c r="W342" s="14">
        <f t="shared" si="86"/>
        <v>-17762.059999999998</v>
      </c>
      <c r="X342" s="15">
        <f>IFERROR(W342/W444, "NA")</f>
        <v>6.282533364129271E-2</v>
      </c>
      <c r="Y342" s="2"/>
      <c r="Z342" s="14">
        <f>IFERROR(Z337+Z338+Z339+Z340+Z341, "NA")</f>
        <v>135253.19</v>
      </c>
      <c r="AA342" s="15">
        <f>IFERROR(Z342/Z444, "NA")</f>
        <v>2.7062305804898563E-2</v>
      </c>
      <c r="AB342" s="2"/>
      <c r="AC342" s="14">
        <f t="shared" si="87"/>
        <v>-24910.049999999988</v>
      </c>
      <c r="AD342" s="15">
        <f>IFERROR(AC342/AC444, "NA")</f>
        <v>-6.9177315906646095E-2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100433.70999999999</v>
      </c>
      <c r="C343" s="15">
        <f>IFERROR(B343/B444, "NA")</f>
        <v>0.13626508208653737</v>
      </c>
      <c r="D343" s="2"/>
      <c r="E343" s="14">
        <f>IFERROR(E328+E329+E330+E331+E332+E333+E334+E335+E337+E338+E339+E340+E341, "NA")</f>
        <v>96226.65</v>
      </c>
      <c r="F343" s="15">
        <f>IFERROR(E343/E444, "NA")</f>
        <v>0.10959863974958839</v>
      </c>
      <c r="G343" s="2"/>
      <c r="H343" s="14">
        <f t="shared" si="84"/>
        <v>-4207.0599999999977</v>
      </c>
      <c r="I343" s="15">
        <f>IFERROR(H343/H444, "NA")</f>
        <v>2.9849007469027564E-2</v>
      </c>
      <c r="J343" s="2"/>
      <c r="K343" s="14">
        <f>IFERROR(K328+K329+K330+K331+K332+K333+K334+K335+K337+K338+K339+K340+K341, "NA")</f>
        <v>89383.65</v>
      </c>
      <c r="L343" s="15">
        <f>IFERROR(K343/K444, "NA")</f>
        <v>0.11078726694040175</v>
      </c>
      <c r="M343" s="2"/>
      <c r="N343" s="14">
        <f t="shared" si="85"/>
        <v>-11050.059999999998</v>
      </c>
      <c r="O343" s="15">
        <f>IFERROR(N343/N444, "NA")</f>
        <v>0.15840608505428797</v>
      </c>
      <c r="P343" s="2"/>
      <c r="Q343" s="14">
        <f>IFERROR(Q328+Q329+Q330+Q331+Q332+Q333+Q334+Q335+Q337+Q338+Q339+Q340+Q341, "NA")</f>
        <v>785280.86000000022</v>
      </c>
      <c r="R343" s="15">
        <f>IFERROR(Q343/Q444, "NA")</f>
        <v>0.14656411238859338</v>
      </c>
      <c r="S343" s="2"/>
      <c r="T343" s="14">
        <f>IFERROR(T328+T329+T330+T331+T332+T333+T334+T335+T337+T338+T339+T340+T341, "NA")</f>
        <v>760898.59000000008</v>
      </c>
      <c r="U343" s="15">
        <f>IFERROR(T343/T444, "NA")</f>
        <v>0.13489542118689568</v>
      </c>
      <c r="V343" s="2"/>
      <c r="W343" s="14">
        <f t="shared" si="86"/>
        <v>-24382.270000000135</v>
      </c>
      <c r="X343" s="15">
        <f>IFERROR(W343/W444, "NA")</f>
        <v>8.6241362076363376E-2</v>
      </c>
      <c r="Y343" s="2"/>
      <c r="Z343" s="14">
        <f>IFERROR(Z328+Z329+Z330+Z331+Z332+Z333+Z334+Z335+Z337+Z338+Z339+Z340+Z341, "NA")</f>
        <v>711059.15</v>
      </c>
      <c r="AA343" s="15">
        <f>IFERROR(Z343/Z444, "NA")</f>
        <v>0.14227317050837202</v>
      </c>
      <c r="AB343" s="2"/>
      <c r="AC343" s="14">
        <f t="shared" si="87"/>
        <v>-74221.710000000196</v>
      </c>
      <c r="AD343" s="15">
        <f>IFERROR(AC343/AC444, "NA")</f>
        <v>-0.20611996683272371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100433.70999999999</v>
      </c>
      <c r="C344" s="15">
        <f>IFERROR(B344/B444, "NA")</f>
        <v>0.13626508208653737</v>
      </c>
      <c r="D344" s="2"/>
      <c r="E344" s="14">
        <f>IFERROR(E328+E329+E330+E331+E332+E333+E334+E335+E337+E338+E339+E340+E341, "NA")</f>
        <v>96226.65</v>
      </c>
      <c r="F344" s="15">
        <f>IFERROR(E344/E444, "NA")</f>
        <v>0.10959863974958839</v>
      </c>
      <c r="G344" s="2"/>
      <c r="H344" s="14">
        <f t="shared" si="84"/>
        <v>-4207.0599999999977</v>
      </c>
      <c r="I344" s="15">
        <f>IFERROR(H344/H444, "NA")</f>
        <v>2.9849007469027564E-2</v>
      </c>
      <c r="J344" s="2"/>
      <c r="K344" s="14">
        <f>IFERROR(K328+K329+K330+K331+K332+K333+K334+K335+K337+K338+K339+K340+K341, "NA")</f>
        <v>89383.65</v>
      </c>
      <c r="L344" s="15">
        <f>IFERROR(K344/K444, "NA")</f>
        <v>0.11078726694040175</v>
      </c>
      <c r="M344" s="2"/>
      <c r="N344" s="14">
        <f t="shared" si="85"/>
        <v>-11050.059999999998</v>
      </c>
      <c r="O344" s="15">
        <f>IFERROR(N344/N444, "NA")</f>
        <v>0.15840608505428797</v>
      </c>
      <c r="P344" s="2"/>
      <c r="Q344" s="14">
        <f>IFERROR(Q328+Q329+Q330+Q331+Q332+Q333+Q334+Q335+Q337+Q338+Q339+Q340+Q341, "NA")</f>
        <v>785280.86000000022</v>
      </c>
      <c r="R344" s="15">
        <f>IFERROR(Q344/Q444, "NA")</f>
        <v>0.14656411238859338</v>
      </c>
      <c r="S344" s="2"/>
      <c r="T344" s="14">
        <f>IFERROR(T328+T329+T330+T331+T332+T333+T334+T335+T337+T338+T339+T340+T341, "NA")</f>
        <v>760898.59000000008</v>
      </c>
      <c r="U344" s="15">
        <f>IFERROR(T344/T444, "NA")</f>
        <v>0.13489542118689568</v>
      </c>
      <c r="V344" s="2"/>
      <c r="W344" s="14">
        <f t="shared" si="86"/>
        <v>-24382.270000000135</v>
      </c>
      <c r="X344" s="15">
        <f>IFERROR(W344/W444, "NA")</f>
        <v>8.6241362076363376E-2</v>
      </c>
      <c r="Y344" s="2"/>
      <c r="Z344" s="14">
        <f>IFERROR(Z328+Z329+Z330+Z331+Z332+Z333+Z334+Z335+Z337+Z338+Z339+Z340+Z341, "NA")</f>
        <v>711059.15</v>
      </c>
      <c r="AA344" s="15">
        <f>IFERROR(Z344/Z444, "NA")</f>
        <v>0.14227317050837202</v>
      </c>
      <c r="AB344" s="2"/>
      <c r="AC344" s="14">
        <f t="shared" si="87"/>
        <v>-74221.710000000196</v>
      </c>
      <c r="AD344" s="15">
        <f>IFERROR(AC344/AC444, "NA")</f>
        <v>-0.20611996683272371</v>
      </c>
    </row>
    <row r="345" spans="1:30" ht="16.5" customHeight="1" x14ac:dyDescent="0.45">
      <c r="A345" s="22" t="s">
        <v>315</v>
      </c>
      <c r="B345" s="23">
        <f>IFERROR(B198-B325-B344, "NA")</f>
        <v>68885.889999999577</v>
      </c>
      <c r="C345" s="24">
        <f>IFERROR(B345/B444, "NA")</f>
        <v>9.3462060253017898E-2</v>
      </c>
      <c r="D345" s="25"/>
      <c r="E345" s="23">
        <f>IFERROR(E198-E325-E344, "NA")</f>
        <v>164021.66000000003</v>
      </c>
      <c r="F345" s="24">
        <f>IFERROR(E345/E444, "NA")</f>
        <v>0.18681467998178755</v>
      </c>
      <c r="G345" s="25"/>
      <c r="H345" s="23">
        <f>IFERROR(B345-E345, "NA")</f>
        <v>-95135.770000000455</v>
      </c>
      <c r="I345" s="24">
        <f>IFERROR(H345/H444, "NA")</f>
        <v>0.67498640601790882</v>
      </c>
      <c r="J345" s="25"/>
      <c r="K345" s="23">
        <f>IFERROR(K198-K325-K344, "NA")</f>
        <v>64834.480000000272</v>
      </c>
      <c r="L345" s="24">
        <f>IFERROR(K345/K444, "NA")</f>
        <v>8.0359605394299399E-2</v>
      </c>
      <c r="M345" s="25"/>
      <c r="N345" s="23">
        <f>IFERROR(B345-K345, "NA")</f>
        <v>4051.409999999305</v>
      </c>
      <c r="O345" s="24">
        <f>IFERROR(N345/N444, "NA")</f>
        <v>-5.8078236412262271E-2</v>
      </c>
      <c r="P345" s="25"/>
      <c r="Q345" s="23">
        <f>IFERROR(Q198-Q325-Q344, "NA")</f>
        <v>191953.87000000069</v>
      </c>
      <c r="R345" s="24">
        <f>IFERROR(Q345/Q444, "NA")</f>
        <v>3.5826097399222913E-2</v>
      </c>
      <c r="S345" s="25"/>
      <c r="T345" s="23">
        <f>IFERROR(T198-T325-T344, "NA")</f>
        <v>718602.8600000001</v>
      </c>
      <c r="U345" s="24">
        <f>IFERROR(T345/T444, "NA")</f>
        <v>0.12739704967229315</v>
      </c>
      <c r="V345" s="25"/>
      <c r="W345" s="23">
        <f>IFERROR(Q345-T345, "NA")</f>
        <v>-526648.98999999941</v>
      </c>
      <c r="X345" s="24">
        <f>IFERROR(W345/W444, "NA")</f>
        <v>1.8627849758755346</v>
      </c>
      <c r="Y345" s="25"/>
      <c r="Z345" s="23">
        <f>IFERROR(Z198-Z325-Z344, "NA")</f>
        <v>335663.07999999879</v>
      </c>
      <c r="AA345" s="24">
        <f>IFERROR(Z345/Z444, "NA")</f>
        <v>6.7161572443312403E-2</v>
      </c>
      <c r="AB345" s="25"/>
      <c r="AC345" s="23">
        <f>IFERROR(Q345-Z345, "NA")</f>
        <v>-143709.2099999981</v>
      </c>
      <c r="AD345" s="24">
        <f>IFERROR(AC345/AC444, "NA")</f>
        <v>-0.39909263204467343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51009.55</v>
      </c>
      <c r="C350" s="8">
        <f>IFERROR(B350/B444, "NA")</f>
        <v>6.9208042976280901E-2</v>
      </c>
      <c r="D350" s="9"/>
      <c r="E350" s="7">
        <v>77644</v>
      </c>
      <c r="F350" s="8">
        <f>IFERROR(E350/E444, "NA")</f>
        <v>8.8433680115820743E-2</v>
      </c>
      <c r="G350" s="9"/>
      <c r="H350" s="10">
        <f t="shared" si="88"/>
        <v>26634.449999999997</v>
      </c>
      <c r="I350" s="8">
        <f>IFERROR(H350/H444, "NA")</f>
        <v>-0.18897089582355411</v>
      </c>
      <c r="J350" s="9"/>
      <c r="K350" s="7">
        <v>70913.42</v>
      </c>
      <c r="L350" s="8">
        <f>IFERROR(K350/K444, "NA")</f>
        <v>8.7894195316445739E-2</v>
      </c>
      <c r="M350" s="9"/>
      <c r="N350" s="10">
        <f t="shared" si="89"/>
        <v>19903.869999999995</v>
      </c>
      <c r="O350" s="8">
        <f>IFERROR(N350/N444, "NA")</f>
        <v>-0.28532823569550669</v>
      </c>
      <c r="P350" s="9"/>
      <c r="Q350" s="7">
        <v>453698.53</v>
      </c>
      <c r="R350" s="8">
        <f>IFERROR(Q350/Q444, "NA")</f>
        <v>8.4677884981762555E-2</v>
      </c>
      <c r="S350" s="9"/>
      <c r="T350" s="7">
        <v>598315</v>
      </c>
      <c r="U350" s="8">
        <f>IFERROR(T350/T444, "NA")</f>
        <v>0.10607189313813484</v>
      </c>
      <c r="V350" s="9"/>
      <c r="W350" s="10">
        <f t="shared" si="90"/>
        <v>144616.46999999997</v>
      </c>
      <c r="X350" s="8">
        <f>IFERROR(W350/W444, "NA")</f>
        <v>-0.51151600533811947</v>
      </c>
      <c r="Y350" s="9"/>
      <c r="Z350" s="7">
        <v>471301.22</v>
      </c>
      <c r="AA350" s="8">
        <f>IFERROR(Z350/Z444, "NA")</f>
        <v>9.4300901456459349E-2</v>
      </c>
      <c r="AB350" s="9"/>
      <c r="AC350" s="10">
        <f t="shared" si="91"/>
        <v>17602.689999999944</v>
      </c>
      <c r="AD350" s="8">
        <f>IFERROR(AC350/AC444, "NA")</f>
        <v>4.8884159081846755E-2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13461.55</v>
      </c>
      <c r="L352" s="8">
        <f>IFERROR(K352/K444, "NA")</f>
        <v>1.6685023863777831E-2</v>
      </c>
      <c r="M352" s="9"/>
      <c r="N352" s="10">
        <f t="shared" si="89"/>
        <v>13461.55</v>
      </c>
      <c r="O352" s="8">
        <f>IFERROR(N352/N444, "NA")</f>
        <v>-0.19297555255469659</v>
      </c>
      <c r="P352" s="9"/>
      <c r="Q352" s="7">
        <v>0</v>
      </c>
      <c r="R352" s="8">
        <f>IFERROR(Q352/Q444, "NA")</f>
        <v>0</v>
      </c>
      <c r="S352" s="9"/>
      <c r="T352" s="7">
        <v>23375</v>
      </c>
      <c r="U352" s="8">
        <f>IFERROR(T352/T444, "NA")</f>
        <v>4.1440219651920846E-3</v>
      </c>
      <c r="V352" s="9"/>
      <c r="W352" s="10">
        <f t="shared" si="90"/>
        <v>23375</v>
      </c>
      <c r="X352" s="8">
        <f>IFERROR(W352/W444, "NA")</f>
        <v>-8.2678595493158868E-2</v>
      </c>
      <c r="Y352" s="9"/>
      <c r="Z352" s="7">
        <v>94807.76</v>
      </c>
      <c r="AA352" s="8">
        <f>IFERROR(Z352/Z444, "NA")</f>
        <v>1.8969730723522524E-2</v>
      </c>
      <c r="AB352" s="9"/>
      <c r="AC352" s="10">
        <f t="shared" si="91"/>
        <v>94807.76</v>
      </c>
      <c r="AD352" s="8">
        <f>IFERROR(AC352/AC444, "NA")</f>
        <v>0.26328916898687427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7813.91</v>
      </c>
      <c r="F353" s="8">
        <f>IFERROR(E353/E444, "NA")</f>
        <v>8.8997580932694449E-3</v>
      </c>
      <c r="G353" s="9"/>
      <c r="H353" s="10">
        <f t="shared" si="88"/>
        <v>7813.91</v>
      </c>
      <c r="I353" s="8">
        <f>IFERROR(H353/H444, "NA")</f>
        <v>-5.5439536862395423E-2</v>
      </c>
      <c r="J353" s="9"/>
      <c r="K353" s="7">
        <v>6339.54</v>
      </c>
      <c r="L353" s="8">
        <f>IFERROR(K353/K444, "NA")</f>
        <v>7.857592638691244E-3</v>
      </c>
      <c r="M353" s="9"/>
      <c r="N353" s="10">
        <f t="shared" si="89"/>
        <v>6339.54</v>
      </c>
      <c r="O353" s="8">
        <f>IFERROR(N353/N444, "NA")</f>
        <v>-9.0879299519193643E-2</v>
      </c>
      <c r="P353" s="9"/>
      <c r="Q353" s="7">
        <v>7499.8</v>
      </c>
      <c r="R353" s="8">
        <f>IFERROR(Q353/Q444, "NA")</f>
        <v>1.3997559167454716E-3</v>
      </c>
      <c r="S353" s="9"/>
      <c r="T353" s="7">
        <v>47666.14</v>
      </c>
      <c r="U353" s="8">
        <f>IFERROR(T353/T444, "NA")</f>
        <v>8.4504612259217547E-3</v>
      </c>
      <c r="V353" s="9"/>
      <c r="W353" s="10">
        <f t="shared" si="90"/>
        <v>40166.339999999997</v>
      </c>
      <c r="X353" s="8">
        <f>IFERROR(W353/W444, "NA")</f>
        <v>-0.14207044180965503</v>
      </c>
      <c r="Y353" s="9"/>
      <c r="Z353" s="7">
        <v>13083.32</v>
      </c>
      <c r="AA353" s="8">
        <f>IFERROR(Z353/Z444, "NA")</f>
        <v>2.6177926508302351E-3</v>
      </c>
      <c r="AB353" s="9"/>
      <c r="AC353" s="10">
        <f t="shared" si="91"/>
        <v>5583.5199999999995</v>
      </c>
      <c r="AD353" s="8">
        <f>IFERROR(AC353/AC444, "NA")</f>
        <v>1.550590733102008E-2</v>
      </c>
    </row>
    <row r="354" spans="1:30" ht="16.5" customHeight="1" x14ac:dyDescent="0.45">
      <c r="A354" s="6" t="s">
        <v>323</v>
      </c>
      <c r="B354" s="7">
        <v>3770.05</v>
      </c>
      <c r="C354" s="8">
        <f>IFERROR(B354/B444, "NA")</f>
        <v>5.1150771261994623E-3</v>
      </c>
      <c r="D354" s="9"/>
      <c r="E354" s="7">
        <v>6241.22</v>
      </c>
      <c r="F354" s="8">
        <f>IFERROR(E354/E444, "NA")</f>
        <v>7.1085216244972278E-3</v>
      </c>
      <c r="G354" s="9"/>
      <c r="H354" s="10">
        <f t="shared" si="88"/>
        <v>2471.17</v>
      </c>
      <c r="I354" s="8">
        <f>IFERROR(H354/H444, "NA")</f>
        <v>-1.753290226125534E-2</v>
      </c>
      <c r="J354" s="9"/>
      <c r="K354" s="7">
        <v>5333.24</v>
      </c>
      <c r="L354" s="8">
        <f>IFERROR(K354/K444, "NA")</f>
        <v>6.6103262010135892E-3</v>
      </c>
      <c r="M354" s="9"/>
      <c r="N354" s="10">
        <f t="shared" si="89"/>
        <v>1563.1899999999996</v>
      </c>
      <c r="O354" s="8">
        <f>IFERROR(N354/N444, "NA")</f>
        <v>-2.2408820232289451E-2</v>
      </c>
      <c r="P354" s="9"/>
      <c r="Q354" s="7">
        <v>39372.86</v>
      </c>
      <c r="R354" s="8">
        <f>IFERROR(Q354/Q444, "NA")</f>
        <v>7.3485151262955156E-3</v>
      </c>
      <c r="S354" s="9"/>
      <c r="T354" s="7">
        <v>51047.73</v>
      </c>
      <c r="U354" s="8">
        <f>IFERROR(T354/T444, "NA")</f>
        <v>9.0499642521152911E-3</v>
      </c>
      <c r="V354" s="9"/>
      <c r="W354" s="10">
        <f t="shared" si="90"/>
        <v>11674.870000000003</v>
      </c>
      <c r="X354" s="8">
        <f>IFERROR(W354/W444, "NA")</f>
        <v>-4.1294624777121536E-2</v>
      </c>
      <c r="Y354" s="9"/>
      <c r="Z354" s="7">
        <v>42641.85</v>
      </c>
      <c r="AA354" s="8">
        <f>IFERROR(Z354/Z444, "NA")</f>
        <v>8.5320485586078496E-3</v>
      </c>
      <c r="AB354" s="9"/>
      <c r="AC354" s="10">
        <f t="shared" si="91"/>
        <v>3268.989999999998</v>
      </c>
      <c r="AD354" s="8">
        <f>IFERROR(AC354/AC444, "NA")</f>
        <v>9.0782617427771911E-3</v>
      </c>
    </row>
    <row r="355" spans="1:30" ht="16.5" customHeight="1" x14ac:dyDescent="0.45">
      <c r="A355" s="6" t="s">
        <v>324</v>
      </c>
      <c r="B355" s="7">
        <v>233.2</v>
      </c>
      <c r="C355" s="8">
        <f>IFERROR(B355/B444, "NA")</f>
        <v>3.1639792199830626E-4</v>
      </c>
      <c r="D355" s="9"/>
      <c r="E355" s="7">
        <v>350</v>
      </c>
      <c r="F355" s="8">
        <f>IFERROR(E355/E444, "NA")</f>
        <v>3.9863721653363117E-4</v>
      </c>
      <c r="G355" s="9"/>
      <c r="H355" s="10">
        <f t="shared" si="88"/>
        <v>116.80000000000001</v>
      </c>
      <c r="I355" s="8">
        <f>IFERROR(H355/H444, "NA")</f>
        <v>-8.286936892705171E-4</v>
      </c>
      <c r="J355" s="9"/>
      <c r="K355" s="7">
        <v>275.60000000000002</v>
      </c>
      <c r="L355" s="8">
        <f>IFERROR(K355/K444, "NA")</f>
        <v>3.4159458434260324E-4</v>
      </c>
      <c r="M355" s="9"/>
      <c r="N355" s="10">
        <f t="shared" si="89"/>
        <v>42.400000000000034</v>
      </c>
      <c r="O355" s="8">
        <f>IFERROR(N355/N444, "NA")</f>
        <v>-6.0781733368885018E-4</v>
      </c>
      <c r="P355" s="9"/>
      <c r="Q355" s="7">
        <v>2045.8</v>
      </c>
      <c r="R355" s="8">
        <f>IFERROR(Q355/Q444, "NA")</f>
        <v>3.81826269297566E-4</v>
      </c>
      <c r="S355" s="9"/>
      <c r="T355" s="7">
        <v>2730</v>
      </c>
      <c r="U355" s="8">
        <f>IFERROR(T355/T444, "NA")</f>
        <v>4.83986308662006E-4</v>
      </c>
      <c r="V355" s="9"/>
      <c r="W355" s="10">
        <f t="shared" si="90"/>
        <v>684.2</v>
      </c>
      <c r="X355" s="8">
        <f>IFERROR(W355/W444, "NA")</f>
        <v>-2.4200511245526975E-3</v>
      </c>
      <c r="Y355" s="9"/>
      <c r="Z355" s="7">
        <v>2090.3200000000002</v>
      </c>
      <c r="AA355" s="8">
        <f>IFERROR(Z355/Z444, "NA")</f>
        <v>4.1824432436747381E-4</v>
      </c>
      <c r="AB355" s="9"/>
      <c r="AC355" s="10">
        <f t="shared" si="91"/>
        <v>44.520000000000209</v>
      </c>
      <c r="AD355" s="8">
        <f>IFERROR(AC355/AC444, "NA")</f>
        <v>1.2363580579580931E-4</v>
      </c>
    </row>
    <row r="356" spans="1:30" ht="16.5" customHeight="1" x14ac:dyDescent="0.45">
      <c r="A356" s="6" t="s">
        <v>325</v>
      </c>
      <c r="B356" s="7">
        <v>-23812.5</v>
      </c>
      <c r="C356" s="8">
        <f>IFERROR(B356/B444, "NA")</f>
        <v>-3.2307999646589487E-2</v>
      </c>
      <c r="D356" s="9"/>
      <c r="E356" s="7">
        <v>6187.5</v>
      </c>
      <c r="F356" s="8">
        <f>IFERROR(E356/E444, "NA")</f>
        <v>7.0473365065766942E-3</v>
      </c>
      <c r="G356" s="9"/>
      <c r="H356" s="10">
        <f t="shared" si="88"/>
        <v>30000</v>
      </c>
      <c r="I356" s="8">
        <f>IFERROR(H356/H444, "NA")</f>
        <v>-0.21284940649071499</v>
      </c>
      <c r="J356" s="9"/>
      <c r="K356" s="7">
        <v>1000</v>
      </c>
      <c r="L356" s="8">
        <f>IFERROR(K356/K444, "NA")</f>
        <v>1.239457853202479E-3</v>
      </c>
      <c r="M356" s="9"/>
      <c r="N356" s="10">
        <f t="shared" si="89"/>
        <v>24812.5</v>
      </c>
      <c r="O356" s="8">
        <f>IFERROR(N356/N444, "NA")</f>
        <v>-0.35569499038100433</v>
      </c>
      <c r="P356" s="9"/>
      <c r="Q356" s="7">
        <v>21375</v>
      </c>
      <c r="R356" s="8">
        <f>IFERROR(Q356/Q444, "NA")</f>
        <v>3.9894107470111809E-3</v>
      </c>
      <c r="S356" s="9"/>
      <c r="T356" s="7">
        <v>55687.5</v>
      </c>
      <c r="U356" s="8">
        <f>IFERROR(T356/T444, "NA")</f>
        <v>9.8725229170752594E-3</v>
      </c>
      <c r="V356" s="9"/>
      <c r="W356" s="10">
        <f t="shared" si="90"/>
        <v>34312.5</v>
      </c>
      <c r="X356" s="8">
        <f>IFERROR(W356/W444, "NA")</f>
        <v>-0.12136510407953</v>
      </c>
      <c r="Y356" s="9"/>
      <c r="Z356" s="7">
        <v>12800</v>
      </c>
      <c r="AA356" s="8">
        <f>IFERROR(Z356/Z444, "NA")</f>
        <v>2.5611042098356539E-3</v>
      </c>
      <c r="AB356" s="9"/>
      <c r="AC356" s="10">
        <f t="shared" si="91"/>
        <v>-8575</v>
      </c>
      <c r="AD356" s="8">
        <f>IFERROR(AC356/AC444, "NA")</f>
        <v>-2.3813500330167565E-2</v>
      </c>
    </row>
    <row r="357" spans="1:30" ht="16.5" customHeight="1" x14ac:dyDescent="0.45">
      <c r="A357" s="6" t="s">
        <v>326</v>
      </c>
      <c r="B357" s="7">
        <v>3217.47</v>
      </c>
      <c r="C357" s="8">
        <f>IFERROR(B357/B444, "NA")</f>
        <v>4.3653551547679697E-3</v>
      </c>
      <c r="D357" s="9"/>
      <c r="E357" s="7">
        <v>3183.4</v>
      </c>
      <c r="F357" s="8">
        <f>IFERROR(E357/E444, "NA")</f>
        <v>3.6257763288947472E-3</v>
      </c>
      <c r="G357" s="9"/>
      <c r="H357" s="10">
        <f t="shared" si="88"/>
        <v>-34.069999999999709</v>
      </c>
      <c r="I357" s="8">
        <f>IFERROR(H357/H444, "NA")</f>
        <v>2.417259759712866E-4</v>
      </c>
      <c r="J357" s="9"/>
      <c r="K357" s="7">
        <v>2439.61</v>
      </c>
      <c r="L357" s="8">
        <f>IFERROR(K357/K444, "NA")</f>
        <v>3.0237937732513001E-3</v>
      </c>
      <c r="M357" s="9"/>
      <c r="N357" s="10">
        <f t="shared" si="89"/>
        <v>-777.85999999999967</v>
      </c>
      <c r="O357" s="8">
        <f>IFERROR(N357/N444, "NA")</f>
        <v>1.1150867716585106E-2</v>
      </c>
      <c r="P357" s="9"/>
      <c r="Q357" s="7">
        <v>31288.83</v>
      </c>
      <c r="R357" s="8">
        <f>IFERROR(Q357/Q444, "NA")</f>
        <v>5.8397190485803907E-3</v>
      </c>
      <c r="S357" s="9"/>
      <c r="T357" s="7">
        <v>24530.92</v>
      </c>
      <c r="U357" s="8">
        <f>IFERROR(T357/T444, "NA")</f>
        <v>4.3489485050853391E-3</v>
      </c>
      <c r="V357" s="9"/>
      <c r="W357" s="10">
        <f t="shared" si="90"/>
        <v>-6757.9100000000035</v>
      </c>
      <c r="X357" s="8">
        <f>IFERROR(W357/W444, "NA")</f>
        <v>2.3903080524884428E-2</v>
      </c>
      <c r="Y357" s="9"/>
      <c r="Z357" s="7">
        <v>22797.99</v>
      </c>
      <c r="AA357" s="8">
        <f>IFERROR(Z357/Z444, "NA")</f>
        <v>4.5615647003743086E-3</v>
      </c>
      <c r="AB357" s="9"/>
      <c r="AC357" s="10">
        <f t="shared" si="91"/>
        <v>-8490.84</v>
      </c>
      <c r="AD357" s="8">
        <f>IFERROR(AC357/AC444, "NA")</f>
        <v>-2.3579780891358596E-2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34417.770000000004</v>
      </c>
      <c r="C358" s="15">
        <f>IFERROR(B358/B444, "NA")</f>
        <v>4.6696873532657154E-2</v>
      </c>
      <c r="D358" s="2"/>
      <c r="E358" s="14">
        <f>IFERROR(E349+E350+E351+E352+E353+E354+E355+E356+E357, "NA")</f>
        <v>101420.03</v>
      </c>
      <c r="F358" s="15">
        <f>IFERROR(E358/E444, "NA")</f>
        <v>0.11551370988559248</v>
      </c>
      <c r="G358" s="2"/>
      <c r="H358" s="14">
        <f t="shared" si="88"/>
        <v>67002.259999999995</v>
      </c>
      <c r="I358" s="15">
        <f>IFERROR(H358/H444, "NA")</f>
        <v>-0.47537970915121908</v>
      </c>
      <c r="J358" s="2"/>
      <c r="K358" s="14">
        <f>IFERROR(K349+K350+K351+K352+K353+K354+K355+K356+K357, "NA")</f>
        <v>99762.96</v>
      </c>
      <c r="L358" s="15">
        <f>IFERROR(K358/K444, "NA")</f>
        <v>0.12365198423072479</v>
      </c>
      <c r="M358" s="2"/>
      <c r="N358" s="14">
        <f t="shared" si="89"/>
        <v>65345.19</v>
      </c>
      <c r="O358" s="15">
        <f>IFERROR(N358/N444, "NA")</f>
        <v>-0.93674384799979449</v>
      </c>
      <c r="P358" s="2"/>
      <c r="Q358" s="14">
        <f>IFERROR(Q349+Q350+Q351+Q352+Q353+Q354+Q355+Q356+Q357, "NA")</f>
        <v>555280.81999999995</v>
      </c>
      <c r="R358" s="15">
        <f>IFERROR(Q358/Q444, "NA")</f>
        <v>0.10363711208969267</v>
      </c>
      <c r="S358" s="2"/>
      <c r="T358" s="14">
        <f>IFERROR(T349+T350+T351+T352+T353+T354+T355+T356+T357, "NA")</f>
        <v>803352.29</v>
      </c>
      <c r="U358" s="15">
        <f>IFERROR(T358/T444, "NA")</f>
        <v>0.14242179831218657</v>
      </c>
      <c r="V358" s="2"/>
      <c r="W358" s="14">
        <f t="shared" si="90"/>
        <v>248071.47000000009</v>
      </c>
      <c r="X358" s="15">
        <f>IFERROR(W358/W444, "NA")</f>
        <v>-0.87744174209725356</v>
      </c>
      <c r="Y358" s="2"/>
      <c r="Z358" s="14">
        <f>IFERROR(Z349+Z350+Z351+Z352+Z353+Z354+Z355+Z356+Z357, "NA")</f>
        <v>659522.45999999985</v>
      </c>
      <c r="AA358" s="15">
        <f>IFERROR(Z358/Z444, "NA")</f>
        <v>0.13196138662399737</v>
      </c>
      <c r="AB358" s="2"/>
      <c r="AC358" s="14">
        <f t="shared" si="91"/>
        <v>104241.6399999999</v>
      </c>
      <c r="AD358" s="15">
        <f>IFERROR(AC358/AC444, "NA")</f>
        <v>0.28948785172678787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1.7084452137155622E-3</v>
      </c>
      <c r="G360" s="9"/>
      <c r="H360" s="10">
        <f t="shared" ref="H360:H383" si="92">IFERROR(-(B360-E360), "NA")</f>
        <v>1500</v>
      </c>
      <c r="I360" s="8">
        <f>IFERROR(H360/H444, "NA")</f>
        <v>-1.0642470324535748E-2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13000</v>
      </c>
      <c r="U360" s="8">
        <f>IFERROR(T360/T444, "NA")</f>
        <v>2.3046967079143141E-3</v>
      </c>
      <c r="V360" s="9"/>
      <c r="W360" s="10">
        <f t="shared" ref="W360:W383" si="94">IFERROR(-(Q360-T360), "NA")</f>
        <v>13000</v>
      </c>
      <c r="X360" s="8">
        <f>IFERROR(W360/W444, "NA")</f>
        <v>-4.5981678776943966E-2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410.68</v>
      </c>
      <c r="L361" s="8">
        <f>IFERROR(K361/K444, "NA")</f>
        <v>5.0902055115319405E-4</v>
      </c>
      <c r="M361" s="9"/>
      <c r="N361" s="10">
        <f t="shared" si="93"/>
        <v>410.68</v>
      </c>
      <c r="O361" s="8">
        <f>IFERROR(N361/N444, "NA")</f>
        <v>-5.8872269480975663E-3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3606.01</v>
      </c>
      <c r="AA361" s="8">
        <f>IFERROR(Z361/Z444, "NA")</f>
        <v>7.2151307747730215E-4</v>
      </c>
      <c r="AB361" s="9"/>
      <c r="AC361" s="10">
        <f t="shared" si="95"/>
        <v>3606.01</v>
      </c>
      <c r="AD361" s="8">
        <f>IFERROR(AC361/AC444, "NA")</f>
        <v>1.0014194790155981E-2</v>
      </c>
    </row>
    <row r="362" spans="1:30" ht="16.5" customHeight="1" x14ac:dyDescent="0.45">
      <c r="A362" s="6" t="s">
        <v>330</v>
      </c>
      <c r="B362" s="7">
        <v>718.06</v>
      </c>
      <c r="C362" s="8">
        <f>IFERROR(B362/B444, "NA")</f>
        <v>9.7423967354246909E-4</v>
      </c>
      <c r="D362" s="9"/>
      <c r="E362" s="7">
        <v>400</v>
      </c>
      <c r="F362" s="8">
        <f>IFERROR(E362/E444, "NA")</f>
        <v>4.555853903241499E-4</v>
      </c>
      <c r="G362" s="9"/>
      <c r="H362" s="10">
        <f t="shared" si="92"/>
        <v>-318.05999999999995</v>
      </c>
      <c r="I362" s="8">
        <f>IFERROR(H362/H444, "NA")</f>
        <v>2.2566294076145597E-3</v>
      </c>
      <c r="J362" s="9"/>
      <c r="K362" s="7">
        <v>969.52</v>
      </c>
      <c r="L362" s="8">
        <f>IFERROR(K362/K444, "NA")</f>
        <v>1.2016791778368674E-3</v>
      </c>
      <c r="M362" s="9"/>
      <c r="N362" s="10">
        <f t="shared" si="93"/>
        <v>251.46000000000004</v>
      </c>
      <c r="O362" s="8">
        <f>IFERROR(N362/N444, "NA")</f>
        <v>-3.6047581775801459E-3</v>
      </c>
      <c r="P362" s="9"/>
      <c r="Q362" s="7">
        <v>6900.16</v>
      </c>
      <c r="R362" s="8">
        <f>IFERROR(Q362/Q444, "NA")</f>
        <v>1.2878396472559845E-3</v>
      </c>
      <c r="S362" s="9"/>
      <c r="T362" s="7">
        <v>4000</v>
      </c>
      <c r="U362" s="8">
        <f>IFERROR(T362/T444, "NA")</f>
        <v>7.0913744858901975E-4</v>
      </c>
      <c r="V362" s="9"/>
      <c r="W362" s="10">
        <f t="shared" si="94"/>
        <v>-2900.16</v>
      </c>
      <c r="X362" s="8">
        <f>IFERROR(W362/W444, "NA")</f>
        <v>1.0258017347826293E-2</v>
      </c>
      <c r="Y362" s="9"/>
      <c r="Z362" s="7">
        <v>5239.63</v>
      </c>
      <c r="AA362" s="8">
        <f>IFERROR(Z362/Z444, "NA")</f>
        <v>1.0483780039829054E-3</v>
      </c>
      <c r="AB362" s="9"/>
      <c r="AC362" s="10">
        <f t="shared" si="95"/>
        <v>-1660.5299999999997</v>
      </c>
      <c r="AD362" s="8">
        <f>IFERROR(AC362/AC444, "NA")</f>
        <v>-4.6114322686009492E-3</v>
      </c>
    </row>
    <row r="363" spans="1:30" ht="16.5" customHeight="1" x14ac:dyDescent="0.45">
      <c r="A363" s="6" t="s">
        <v>331</v>
      </c>
      <c r="B363" s="7">
        <v>1278.28</v>
      </c>
      <c r="C363" s="8">
        <f>IFERROR(B363/B444, "NA")</f>
        <v>1.7343273401886578E-3</v>
      </c>
      <c r="D363" s="9"/>
      <c r="E363" s="7">
        <v>250</v>
      </c>
      <c r="F363" s="8">
        <f>IFERROR(E363/E444, "NA")</f>
        <v>2.8474086895259371E-4</v>
      </c>
      <c r="G363" s="9"/>
      <c r="H363" s="10">
        <f t="shared" si="92"/>
        <v>-1028.28</v>
      </c>
      <c r="I363" s="8">
        <f>IFERROR(H363/H444, "NA")</f>
        <v>7.2956262568757467E-3</v>
      </c>
      <c r="J363" s="9"/>
      <c r="K363" s="7">
        <v>408.97</v>
      </c>
      <c r="L363" s="8">
        <f>IFERROR(K363/K444, "NA")</f>
        <v>5.0690107822421782E-4</v>
      </c>
      <c r="M363" s="9"/>
      <c r="N363" s="10">
        <f t="shared" si="93"/>
        <v>-869.31</v>
      </c>
      <c r="O363" s="8">
        <f>IFERROR(N363/N444, "NA")</f>
        <v>1.2461832225213536E-2</v>
      </c>
      <c r="P363" s="9"/>
      <c r="Q363" s="7">
        <v>8407.48</v>
      </c>
      <c r="R363" s="8">
        <f>IFERROR(Q363/Q444, "NA")</f>
        <v>1.5691644943757455E-3</v>
      </c>
      <c r="S363" s="9"/>
      <c r="T363" s="7">
        <v>1950</v>
      </c>
      <c r="U363" s="8">
        <f>IFERROR(T363/T444, "NA")</f>
        <v>3.4570450618714711E-4</v>
      </c>
      <c r="V363" s="9"/>
      <c r="W363" s="10">
        <f t="shared" si="94"/>
        <v>-6457.48</v>
      </c>
      <c r="X363" s="8">
        <f>IFERROR(W363/W444, "NA")</f>
        <v>2.284044392834924E-2</v>
      </c>
      <c r="Y363" s="9"/>
      <c r="Z363" s="7">
        <v>17962.259999999998</v>
      </c>
      <c r="AA363" s="8">
        <f>IFERROR(Z363/Z444, "NA")</f>
        <v>3.5940015393877011E-3</v>
      </c>
      <c r="AB363" s="9"/>
      <c r="AC363" s="10">
        <f t="shared" si="95"/>
        <v>9554.7799999999988</v>
      </c>
      <c r="AD363" s="8">
        <f>IFERROR(AC363/AC444, "NA")</f>
        <v>2.6534432266434801E-2</v>
      </c>
    </row>
    <row r="364" spans="1:30" ht="16.5" customHeight="1" x14ac:dyDescent="0.45">
      <c r="A364" s="6" t="s">
        <v>332</v>
      </c>
      <c r="B364" s="7">
        <v>447.23</v>
      </c>
      <c r="C364" s="8">
        <f>IFERROR(B364/B444, "NA")</f>
        <v>6.0678663231261806E-4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-447.23</v>
      </c>
      <c r="I364" s="8">
        <f>IFERROR(H364/H444, "NA")</f>
        <v>3.1730880021614157E-3</v>
      </c>
      <c r="J364" s="9"/>
      <c r="K364" s="7">
        <v>2606.66</v>
      </c>
      <c r="L364" s="8">
        <f>IFERROR(K364/K444, "NA")</f>
        <v>3.2308452076287735E-3</v>
      </c>
      <c r="M364" s="9"/>
      <c r="N364" s="10">
        <f t="shared" si="93"/>
        <v>2159.4299999999998</v>
      </c>
      <c r="O364" s="8">
        <f>IFERROR(N364/N444, "NA")</f>
        <v>-3.0956108134144168E-2</v>
      </c>
      <c r="P364" s="9"/>
      <c r="Q364" s="7">
        <v>5880.55</v>
      </c>
      <c r="R364" s="8">
        <f>IFERROR(Q364/Q444, "NA")</f>
        <v>1.0975405552438174E-3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-5880.55</v>
      </c>
      <c r="X364" s="8">
        <f>IFERROR(W364/W444, "NA")</f>
        <v>2.0799812394750605E-2</v>
      </c>
      <c r="Y364" s="9"/>
      <c r="Z364" s="7">
        <v>9706.77</v>
      </c>
      <c r="AA364" s="8">
        <f>IFERROR(Z364/Z444, "NA")</f>
        <v>1.942191368039565E-3</v>
      </c>
      <c r="AB364" s="9"/>
      <c r="AC364" s="10">
        <f t="shared" si="95"/>
        <v>3826.2200000000003</v>
      </c>
      <c r="AD364" s="8">
        <f>IFERROR(AC364/AC444, "NA")</f>
        <v>1.0625736586973031E-2</v>
      </c>
    </row>
    <row r="365" spans="1:30" ht="16.5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420</v>
      </c>
      <c r="F365" s="8">
        <f>IFERROR(E365/E444, "NA")</f>
        <v>4.7836465984035738E-4</v>
      </c>
      <c r="G365" s="9"/>
      <c r="H365" s="10">
        <f t="shared" si="92"/>
        <v>420</v>
      </c>
      <c r="I365" s="8">
        <f>IFERROR(H365/H444, "NA")</f>
        <v>-2.9798916908700098E-3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4530.6400000000003</v>
      </c>
      <c r="R365" s="8">
        <f>IFERROR(Q365/Q444, "NA")</f>
        <v>8.455945687409935E-4</v>
      </c>
      <c r="S365" s="9"/>
      <c r="T365" s="7">
        <v>1890</v>
      </c>
      <c r="U365" s="8">
        <f>IFERROR(T365/T444, "NA")</f>
        <v>3.3506744445831182E-4</v>
      </c>
      <c r="V365" s="9"/>
      <c r="W365" s="10">
        <f t="shared" si="94"/>
        <v>-2640.6400000000003</v>
      </c>
      <c r="X365" s="8">
        <f>IFERROR(W365/W444, "NA")</f>
        <v>9.3400815573499493E-3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-4530.6400000000003</v>
      </c>
      <c r="AD365" s="8">
        <f>IFERROR(AC365/AC444, "NA")</f>
        <v>-1.2581970511471764E-2</v>
      </c>
    </row>
    <row r="366" spans="1:30" ht="16.5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345</v>
      </c>
      <c r="F366" s="8">
        <f>IFERROR(E366/E444, "NA")</f>
        <v>3.9294239915457931E-4</v>
      </c>
      <c r="G366" s="9"/>
      <c r="H366" s="10">
        <f t="shared" si="92"/>
        <v>345</v>
      </c>
      <c r="I366" s="8">
        <f>IFERROR(H366/H444, "NA")</f>
        <v>-2.4477681746432221E-3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3885.47</v>
      </c>
      <c r="R366" s="8">
        <f>IFERROR(Q366/Q444, "NA")</f>
        <v>7.2518062106149853E-4</v>
      </c>
      <c r="S366" s="9"/>
      <c r="T366" s="7">
        <v>2760</v>
      </c>
      <c r="U366" s="8">
        <f>IFERROR(T366/T444, "NA")</f>
        <v>4.8930483952642362E-4</v>
      </c>
      <c r="V366" s="9"/>
      <c r="W366" s="10">
        <f t="shared" si="94"/>
        <v>-1125.4699999999998</v>
      </c>
      <c r="X366" s="8">
        <f>IFERROR(W366/W444, "NA")</f>
        <v>3.9808461548528551E-3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-3885.47</v>
      </c>
      <c r="AD366" s="8">
        <f>IFERROR(AC366/AC444, "NA")</f>
        <v>-1.0790278848729582E-2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8539.77</v>
      </c>
      <c r="R367" s="8">
        <f>IFERROR(Q367/Q444, "NA")</f>
        <v>1.5938549808188853E-3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-8539.77</v>
      </c>
      <c r="X367" s="8">
        <f>IFERROR(W367/W444, "NA")</f>
        <v>3.0205612382229446E-2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-8539.77</v>
      </c>
      <c r="AD367" s="8">
        <f>IFERROR(AC367/AC444, "NA")</f>
        <v>-2.371566364018135E-2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2443.5699999999997</v>
      </c>
      <c r="C368" s="15">
        <f>IFERROR(B368/B444, "NA")</f>
        <v>3.3153536460437446E-3</v>
      </c>
      <c r="D368" s="2"/>
      <c r="E368" s="14">
        <f>IFERROR(E360+E361+E362+E363+E364+E365+E366+E367, "NA")</f>
        <v>2915</v>
      </c>
      <c r="F368" s="15">
        <f>IFERROR(E368/E444, "NA")</f>
        <v>3.3200785319872422E-3</v>
      </c>
      <c r="G368" s="2"/>
      <c r="H368" s="14">
        <f t="shared" si="92"/>
        <v>471.43000000000029</v>
      </c>
      <c r="I368" s="15">
        <f>IFERROR(H368/H444, "NA")</f>
        <v>-3.3447865233972611E-3</v>
      </c>
      <c r="J368" s="2"/>
      <c r="K368" s="14">
        <f>IFERROR(K360+K361+K362+K363+K364+K365+K366+K367, "NA")</f>
        <v>4395.83</v>
      </c>
      <c r="L368" s="15">
        <f>IFERROR(K368/K444, "NA")</f>
        <v>5.448446014843053E-3</v>
      </c>
      <c r="M368" s="2"/>
      <c r="N368" s="14">
        <f t="shared" si="93"/>
        <v>1952.2600000000002</v>
      </c>
      <c r="O368" s="15">
        <f>IFERROR(N368/N444, "NA")</f>
        <v>-2.7986261034608346E-2</v>
      </c>
      <c r="P368" s="2"/>
      <c r="Q368" s="14">
        <f>IFERROR(Q360+Q361+Q362+Q363+Q364+Q365+Q366+Q367, "NA")</f>
        <v>38144.07</v>
      </c>
      <c r="R368" s="15">
        <f>IFERROR(Q368/Q444, "NA")</f>
        <v>7.1191748674969248E-3</v>
      </c>
      <c r="S368" s="2"/>
      <c r="T368" s="14">
        <f>IFERROR(T360+T361+T362+T363+T364+T365+T366+T367, "NA")</f>
        <v>23600</v>
      </c>
      <c r="U368" s="15">
        <f>IFERROR(T368/T444, "NA")</f>
        <v>4.1839109466752164E-3</v>
      </c>
      <c r="V368" s="2"/>
      <c r="W368" s="14">
        <f t="shared" si="94"/>
        <v>-14544.07</v>
      </c>
      <c r="X368" s="15">
        <f>IFERROR(W368/W444, "NA")</f>
        <v>5.1443134988414421E-2</v>
      </c>
      <c r="Y368" s="2"/>
      <c r="Z368" s="14">
        <f>IFERROR(Z360+Z361+Z362+Z363+Z364+Z365+Z366+Z367, "NA")</f>
        <v>36514.67</v>
      </c>
      <c r="AA368" s="15">
        <f>IFERROR(Z368/Z444, "NA")</f>
        <v>7.3060839888874733E-3</v>
      </c>
      <c r="AB368" s="2"/>
      <c r="AC368" s="14">
        <f t="shared" si="95"/>
        <v>-1629.4000000000015</v>
      </c>
      <c r="AD368" s="15">
        <f>IFERROR(AC368/AC444, "NA")</f>
        <v>-4.5249816254198322E-3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162.13999999999999</v>
      </c>
      <c r="C370" s="8">
        <f>IFERROR(B370/B444, "NA")</f>
        <v>2.1998610237052048E-4</v>
      </c>
      <c r="D370" s="9"/>
      <c r="E370" s="7">
        <v>635</v>
      </c>
      <c r="F370" s="8">
        <f>IFERROR(E370/E444, "NA")</f>
        <v>7.2324180713958792E-4</v>
      </c>
      <c r="G370" s="9"/>
      <c r="H370" s="10">
        <f t="shared" si="92"/>
        <v>472.86</v>
      </c>
      <c r="I370" s="8">
        <f>IFERROR(H370/H444, "NA")</f>
        <v>-3.3549323451066496E-3</v>
      </c>
      <c r="J370" s="9"/>
      <c r="K370" s="7">
        <v>721.67</v>
      </c>
      <c r="L370" s="8">
        <f>IFERROR(K370/K444, "NA")</f>
        <v>8.9447954892063301E-4</v>
      </c>
      <c r="M370" s="9"/>
      <c r="N370" s="10">
        <f t="shared" si="93"/>
        <v>559.53</v>
      </c>
      <c r="O370" s="8">
        <f>IFERROR(N370/N444, "NA")</f>
        <v>-8.0210385075217463E-3</v>
      </c>
      <c r="P370" s="9"/>
      <c r="Q370" s="7">
        <v>1969.49</v>
      </c>
      <c r="R370" s="8">
        <f>IFERROR(Q370/Q444, "NA")</f>
        <v>3.6758383963186202E-4</v>
      </c>
      <c r="S370" s="9"/>
      <c r="T370" s="7">
        <v>5715</v>
      </c>
      <c r="U370" s="8">
        <f>IFERROR(T370/T444, "NA")</f>
        <v>1.0131801296715619E-3</v>
      </c>
      <c r="V370" s="9"/>
      <c r="W370" s="10">
        <f t="shared" si="94"/>
        <v>3745.51</v>
      </c>
      <c r="X370" s="8">
        <f>IFERROR(W370/W444, "NA")</f>
        <v>-1.3248064436602416E-2</v>
      </c>
      <c r="Y370" s="9"/>
      <c r="Z370" s="7">
        <v>5714.27</v>
      </c>
      <c r="AA370" s="8">
        <f>IFERROR(Z370/Z444, "NA")</f>
        <v>1.1433469494638738E-3</v>
      </c>
      <c r="AB370" s="9"/>
      <c r="AC370" s="10">
        <f t="shared" si="95"/>
        <v>3744.7800000000007</v>
      </c>
      <c r="AD370" s="8">
        <f>IFERROR(AC370/AC444, "NA")</f>
        <v>1.039957081823964E-2</v>
      </c>
    </row>
    <row r="371" spans="1:30" ht="16.5" customHeight="1" x14ac:dyDescent="0.45">
      <c r="A371" s="20" t="s">
        <v>339</v>
      </c>
      <c r="B371" s="7">
        <v>586.89</v>
      </c>
      <c r="C371" s="8">
        <f>IFERROR(B371/B444, "NA")</f>
        <v>7.9627262625036872E-4</v>
      </c>
      <c r="D371" s="9"/>
      <c r="E371" s="7">
        <v>100</v>
      </c>
      <c r="F371" s="8">
        <f>IFERROR(E371/E444, "NA")</f>
        <v>1.1389634758103747E-4</v>
      </c>
      <c r="G371" s="9"/>
      <c r="H371" s="10">
        <f t="shared" si="92"/>
        <v>-486.89</v>
      </c>
      <c r="I371" s="8">
        <f>IFERROR(H371/H444, "NA")</f>
        <v>3.4544749175421407E-3</v>
      </c>
      <c r="J371" s="9"/>
      <c r="K371" s="7">
        <v>420.54</v>
      </c>
      <c r="L371" s="8">
        <f>IFERROR(K371/K444, "NA")</f>
        <v>5.2124160558577053E-4</v>
      </c>
      <c r="M371" s="9"/>
      <c r="N371" s="10">
        <f t="shared" si="93"/>
        <v>-166.34999999999997</v>
      </c>
      <c r="O371" s="8">
        <f>IFERROR(N371/N444, "NA")</f>
        <v>2.3846795627155692E-3</v>
      </c>
      <c r="P371" s="9"/>
      <c r="Q371" s="7">
        <v>5033.37</v>
      </c>
      <c r="R371" s="8">
        <f>IFERROR(Q371/Q444, "NA")</f>
        <v>9.3942364311970364E-4</v>
      </c>
      <c r="S371" s="9"/>
      <c r="T371" s="7">
        <v>900</v>
      </c>
      <c r="U371" s="8">
        <f>IFERROR(T371/T444, "NA")</f>
        <v>1.5955592593252946E-4</v>
      </c>
      <c r="V371" s="9"/>
      <c r="W371" s="10">
        <f t="shared" si="94"/>
        <v>-4133.37</v>
      </c>
      <c r="X371" s="8">
        <f>IFERROR(W371/W444, "NA")</f>
        <v>1.4619945508173606E-2</v>
      </c>
      <c r="Y371" s="9"/>
      <c r="Z371" s="7">
        <v>4548.97</v>
      </c>
      <c r="AA371" s="8">
        <f>IFERROR(Z371/Z444, "NA")</f>
        <v>9.1018642323563252E-4</v>
      </c>
      <c r="AB371" s="9"/>
      <c r="AC371" s="10">
        <f t="shared" si="95"/>
        <v>-484.39999999999964</v>
      </c>
      <c r="AD371" s="8">
        <f>IFERROR(AC371/AC444, "NA")</f>
        <v>-1.3452197737531381E-3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3.7605494013838149E-4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1.9665156665677158E-3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-277.17</v>
      </c>
      <c r="O372" s="8">
        <f>IFERROR(N372/N444, "NA")</f>
        <v>3.9733191127013798E-3</v>
      </c>
      <c r="P372" s="9"/>
      <c r="Q372" s="7">
        <v>3237.36</v>
      </c>
      <c r="R372" s="8">
        <f>IFERROR(Q372/Q444, "NA")</f>
        <v>6.0421795443013409E-4</v>
      </c>
      <c r="S372" s="9"/>
      <c r="T372" s="7">
        <v>3500</v>
      </c>
      <c r="U372" s="8">
        <f>IFERROR(T372/T444, "NA")</f>
        <v>6.2049526751539231E-4</v>
      </c>
      <c r="V372" s="9"/>
      <c r="W372" s="10">
        <f t="shared" si="94"/>
        <v>262.63999999999987</v>
      </c>
      <c r="X372" s="8">
        <f>IFERROR(W372/W444, "NA")</f>
        <v>-9.2897139338281212E-4</v>
      </c>
      <c r="Y372" s="9"/>
      <c r="Z372" s="7">
        <v>3450</v>
      </c>
      <c r="AA372" s="8">
        <f>IFERROR(Z372/Z444, "NA")</f>
        <v>6.9029761905726615E-4</v>
      </c>
      <c r="AB372" s="9"/>
      <c r="AC372" s="10">
        <f t="shared" si="95"/>
        <v>212.63999999999987</v>
      </c>
      <c r="AD372" s="8">
        <f>IFERROR(AC372/AC444, "NA")</f>
        <v>5.9051926649642309E-4</v>
      </c>
    </row>
    <row r="373" spans="1:30" ht="16.5" customHeight="1" x14ac:dyDescent="0.45">
      <c r="A373" s="20" t="s">
        <v>341</v>
      </c>
      <c r="B373" s="7">
        <v>1020.68</v>
      </c>
      <c r="C373" s="8">
        <f>IFERROR(B373/B444, "NA")</f>
        <v>1.3848243182900139E-3</v>
      </c>
      <c r="D373" s="9"/>
      <c r="E373" s="7">
        <v>325</v>
      </c>
      <c r="F373" s="8">
        <f>IFERROR(E373/E444, "NA")</f>
        <v>3.7016312963837177E-4</v>
      </c>
      <c r="G373" s="9"/>
      <c r="H373" s="10">
        <f t="shared" si="92"/>
        <v>-695.68</v>
      </c>
      <c r="I373" s="8">
        <f>IFERROR(H373/H444, "NA")</f>
        <v>4.9358358369153534E-3</v>
      </c>
      <c r="J373" s="9"/>
      <c r="K373" s="7">
        <v>324.5</v>
      </c>
      <c r="L373" s="8">
        <f>IFERROR(K373/K444, "NA")</f>
        <v>4.0220407336420444E-4</v>
      </c>
      <c r="M373" s="9"/>
      <c r="N373" s="10">
        <f t="shared" si="93"/>
        <v>-696.18</v>
      </c>
      <c r="O373" s="8">
        <f>IFERROR(N373/N444, "NA")</f>
        <v>9.979959230365645E-3</v>
      </c>
      <c r="P373" s="9"/>
      <c r="Q373" s="7">
        <v>6307.5</v>
      </c>
      <c r="R373" s="8">
        <f>IFERROR(Q373/Q444, "NA")</f>
        <v>1.1772261186794397E-3</v>
      </c>
      <c r="S373" s="9"/>
      <c r="T373" s="7">
        <v>2925</v>
      </c>
      <c r="U373" s="8">
        <f>IFERROR(T373/T444, "NA")</f>
        <v>5.1855675928072075E-4</v>
      </c>
      <c r="V373" s="9"/>
      <c r="W373" s="10">
        <f t="shared" si="94"/>
        <v>-3382.5</v>
      </c>
      <c r="X373" s="8">
        <f>IFERROR(W373/W444, "NA")</f>
        <v>1.1964079112539459E-2</v>
      </c>
      <c r="Y373" s="9"/>
      <c r="Z373" s="7">
        <v>6737.25</v>
      </c>
      <c r="AA373" s="8">
        <f>IFERROR(Z373/Z444, "NA")</f>
        <v>1.3480311982590047E-3</v>
      </c>
      <c r="AB373" s="9"/>
      <c r="AC373" s="10">
        <f t="shared" si="95"/>
        <v>429.75</v>
      </c>
      <c r="AD373" s="8">
        <f>IFERROR(AC373/AC444, "NA")</f>
        <v>1.1934521010949868E-3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2.916410056916893E-3</v>
      </c>
      <c r="D374" s="9"/>
      <c r="E374" s="7">
        <v>1900</v>
      </c>
      <c r="F374" s="8">
        <f>IFERROR(E374/E444, "NA")</f>
        <v>2.1640306040397119E-3</v>
      </c>
      <c r="G374" s="9"/>
      <c r="H374" s="10">
        <f t="shared" si="92"/>
        <v>-249.5300000000002</v>
      </c>
      <c r="I374" s="8">
        <f>IFERROR(H374/H444, "NA")</f>
        <v>1.770410413387605E-3</v>
      </c>
      <c r="J374" s="9"/>
      <c r="K374" s="7">
        <v>1897.01</v>
      </c>
      <c r="L374" s="8">
        <f>IFERROR(K374/K444, "NA")</f>
        <v>2.3512639421036348E-3</v>
      </c>
      <c r="M374" s="9"/>
      <c r="N374" s="10">
        <f t="shared" si="93"/>
        <v>-252.52000000000021</v>
      </c>
      <c r="O374" s="8">
        <f>IFERROR(N374/N444, "NA")</f>
        <v>3.6199536109223695E-3</v>
      </c>
      <c r="P374" s="9"/>
      <c r="Q374" s="7">
        <v>18182.13</v>
      </c>
      <c r="R374" s="8">
        <f>IFERROR(Q374/Q444, "NA")</f>
        <v>3.3934963661078083E-3</v>
      </c>
      <c r="S374" s="9"/>
      <c r="T374" s="7">
        <v>17100</v>
      </c>
      <c r="U374" s="8">
        <f>IFERROR(T374/T444, "NA")</f>
        <v>3.0315625927180593E-3</v>
      </c>
      <c r="V374" s="9"/>
      <c r="W374" s="10">
        <f t="shared" si="94"/>
        <v>-1082.130000000001</v>
      </c>
      <c r="X374" s="8">
        <f>IFERROR(W374/W444, "NA")</f>
        <v>3.8275503119149555E-3</v>
      </c>
      <c r="Y374" s="9"/>
      <c r="Z374" s="7">
        <v>16414.740000000002</v>
      </c>
      <c r="AA374" s="8">
        <f>IFERROR(Z374/Z444, "NA")</f>
        <v>3.284364040418571E-3</v>
      </c>
      <c r="AB374" s="9"/>
      <c r="AC374" s="10">
        <f t="shared" si="95"/>
        <v>-1767.3899999999994</v>
      </c>
      <c r="AD374" s="8">
        <f>IFERROR(AC374/AC444, "NA")</f>
        <v>-4.9081915275259284E-3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360</v>
      </c>
      <c r="L375" s="8">
        <f>IFERROR(K375/K444, "NA")</f>
        <v>4.4620482715289242E-4</v>
      </c>
      <c r="M375" s="9"/>
      <c r="N375" s="10">
        <f t="shared" si="93"/>
        <v>360</v>
      </c>
      <c r="O375" s="8">
        <f>IFERROR(N375/N444, "NA")</f>
        <v>-5.1607132105657054E-3</v>
      </c>
      <c r="P375" s="9"/>
      <c r="Q375" s="7">
        <v>3934.08</v>
      </c>
      <c r="R375" s="8">
        <f>IFERROR(Q375/Q444, "NA")</f>
        <v>7.3425314767727463E-4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-3934.08</v>
      </c>
      <c r="X375" s="8">
        <f>IFERROR(W375/W444, "NA")</f>
        <v>1.3915046372523056E-2</v>
      </c>
      <c r="Y375" s="9"/>
      <c r="Z375" s="7">
        <v>1344.99</v>
      </c>
      <c r="AA375" s="8">
        <f>IFERROR(Z375/Z444, "NA")</f>
        <v>2.6911402743647316E-4</v>
      </c>
      <c r="AB375" s="9"/>
      <c r="AC375" s="10">
        <f t="shared" si="95"/>
        <v>-2589.09</v>
      </c>
      <c r="AD375" s="8">
        <f>IFERROR(AC375/AC444, "NA")</f>
        <v>-7.1901219323421044E-3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-1900.88</v>
      </c>
      <c r="R376" s="8">
        <f>IFERROR(Q376/Q444, "NA")</f>
        <v>-3.5477853103057843E-4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1900.88</v>
      </c>
      <c r="X376" s="8">
        <f>IFERROR(W376/W444, "NA")</f>
        <v>-6.7235118118090199E-3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1900.88</v>
      </c>
      <c r="AD376" s="8">
        <f>IFERROR(AC376/AC444, "NA")</f>
        <v>5.2789045489922944E-3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12870.9</v>
      </c>
      <c r="C378" s="8">
        <f>IFERROR(B378/B444, "NA")</f>
        <v>1.7462804520789025E-2</v>
      </c>
      <c r="D378" s="9"/>
      <c r="E378" s="7">
        <v>8470.33</v>
      </c>
      <c r="F378" s="8">
        <f>IFERROR(E378/E444, "NA")</f>
        <v>9.6473964980608919E-3</v>
      </c>
      <c r="G378" s="9"/>
      <c r="H378" s="10">
        <f t="shared" si="92"/>
        <v>-4400.57</v>
      </c>
      <c r="I378" s="8">
        <f>IFERROR(H378/H444, "NA")</f>
        <v>3.1221957090694853E-2</v>
      </c>
      <c r="J378" s="9"/>
      <c r="K378" s="7">
        <v>11108.59</v>
      </c>
      <c r="L378" s="8">
        <f>IFERROR(K378/K444, "NA")</f>
        <v>1.3768629113506526E-2</v>
      </c>
      <c r="M378" s="9"/>
      <c r="N378" s="10">
        <f t="shared" si="93"/>
        <v>-1762.3099999999995</v>
      </c>
      <c r="O378" s="8">
        <f>IFERROR(N378/N444, "NA")</f>
        <v>2.5263268050311236E-2</v>
      </c>
      <c r="P378" s="9"/>
      <c r="Q378" s="7">
        <v>87172.52</v>
      </c>
      <c r="R378" s="8">
        <f>IFERROR(Q378/Q444, "NA")</f>
        <v>1.6269800614364775E-2</v>
      </c>
      <c r="S378" s="9"/>
      <c r="T378" s="7">
        <v>76232.97</v>
      </c>
      <c r="U378" s="8">
        <f>IFERROR(T378/T444, "NA")</f>
        <v>1.3514913461040822E-2</v>
      </c>
      <c r="V378" s="9"/>
      <c r="W378" s="10">
        <f t="shared" si="94"/>
        <v>-10939.550000000003</v>
      </c>
      <c r="X378" s="8">
        <f>IFERROR(W378/W444, "NA")</f>
        <v>3.8693759543409041E-2</v>
      </c>
      <c r="Y378" s="9"/>
      <c r="Z378" s="7">
        <v>58719.95</v>
      </c>
      <c r="AA378" s="8">
        <f>IFERROR(Z378/Z444, "NA")</f>
        <v>1.1749055558307743E-2</v>
      </c>
      <c r="AB378" s="9"/>
      <c r="AC378" s="10">
        <f t="shared" si="95"/>
        <v>-28452.570000000007</v>
      </c>
      <c r="AD378" s="8">
        <f>IFERROR(AC378/AC444, "NA")</f>
        <v>-7.9015193596398359E-2</v>
      </c>
    </row>
    <row r="379" spans="1:30" ht="16.5" customHeight="1" x14ac:dyDescent="0.45">
      <c r="A379" s="20" t="s">
        <v>347</v>
      </c>
      <c r="B379" s="7">
        <v>67.73</v>
      </c>
      <c r="C379" s="8">
        <f>IFERROR(B379/B444, "NA")</f>
        <v>9.1893787551223355E-5</v>
      </c>
      <c r="D379" s="9"/>
      <c r="E379" s="7">
        <v>200</v>
      </c>
      <c r="F379" s="8">
        <f>IFERROR(E379/E444, "NA")</f>
        <v>2.2779269516207495E-4</v>
      </c>
      <c r="G379" s="9"/>
      <c r="H379" s="10">
        <f t="shared" si="92"/>
        <v>132.26999999999998</v>
      </c>
      <c r="I379" s="8">
        <f>IFERROR(H379/H444, "NA")</f>
        <v>-9.3845303321756228E-4</v>
      </c>
      <c r="J379" s="9"/>
      <c r="K379" s="7">
        <v>467.04</v>
      </c>
      <c r="L379" s="8">
        <f>IFERROR(K379/K444, "NA")</f>
        <v>5.7887639575968585E-4</v>
      </c>
      <c r="M379" s="9"/>
      <c r="N379" s="10">
        <f t="shared" si="93"/>
        <v>399.31</v>
      </c>
      <c r="O379" s="8">
        <f>IFERROR(N379/N444, "NA")</f>
        <v>-5.7242344225305331E-3</v>
      </c>
      <c r="P379" s="9"/>
      <c r="Q379" s="7">
        <v>7017.09</v>
      </c>
      <c r="R379" s="8">
        <f>IFERROR(Q379/Q444, "NA")</f>
        <v>1.3096633571342544E-3</v>
      </c>
      <c r="S379" s="9"/>
      <c r="T379" s="7">
        <v>1800</v>
      </c>
      <c r="U379" s="8">
        <f>IFERROR(T379/T444, "NA")</f>
        <v>3.1911185186505892E-4</v>
      </c>
      <c r="V379" s="9"/>
      <c r="W379" s="10">
        <f t="shared" si="94"/>
        <v>-5217.09</v>
      </c>
      <c r="X379" s="8">
        <f>IFERROR(W379/W444, "NA")</f>
        <v>1.84531197331082E-2</v>
      </c>
      <c r="Y379" s="9"/>
      <c r="Z379" s="7">
        <v>3727.03</v>
      </c>
      <c r="AA379" s="8">
        <f>IFERROR(Z379/Z444, "NA")</f>
        <v>7.4572751743623271E-4</v>
      </c>
      <c r="AB379" s="9"/>
      <c r="AC379" s="10">
        <f t="shared" si="95"/>
        <v>-3290.06</v>
      </c>
      <c r="AD379" s="8">
        <f>IFERROR(AC379/AC444, "NA")</f>
        <v>-9.1367749150170381E-3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1.6009843394425446E-2</v>
      </c>
      <c r="D380" s="9"/>
      <c r="E380" s="7">
        <v>11500</v>
      </c>
      <c r="F380" s="8">
        <f>IFERROR(E380/E444, "NA")</f>
        <v>1.3098079971819309E-2</v>
      </c>
      <c r="G380" s="9"/>
      <c r="H380" s="10">
        <f t="shared" si="92"/>
        <v>-300</v>
      </c>
      <c r="I380" s="8">
        <f>IFERROR(H380/H444, "NA")</f>
        <v>2.1284940649071498E-3</v>
      </c>
      <c r="J380" s="9"/>
      <c r="K380" s="7">
        <v>11500</v>
      </c>
      <c r="L380" s="8">
        <f>IFERROR(K380/K444, "NA")</f>
        <v>1.4253765311828509E-2</v>
      </c>
      <c r="M380" s="9"/>
      <c r="N380" s="10">
        <f t="shared" si="93"/>
        <v>-300</v>
      </c>
      <c r="O380" s="8">
        <f>IFERROR(N380/N444, "NA")</f>
        <v>4.3005943421380874E-3</v>
      </c>
      <c r="P380" s="9"/>
      <c r="Q380" s="7">
        <v>104700</v>
      </c>
      <c r="R380" s="8">
        <f>IFERROR(Q380/Q444, "NA")</f>
        <v>1.9541113694131959E-2</v>
      </c>
      <c r="S380" s="9"/>
      <c r="T380" s="7">
        <v>103500</v>
      </c>
      <c r="U380" s="8">
        <f>IFERROR(T380/T444, "NA")</f>
        <v>1.8348931482240885E-2</v>
      </c>
      <c r="V380" s="9"/>
      <c r="W380" s="10">
        <f t="shared" si="94"/>
        <v>-1200</v>
      </c>
      <c r="X380" s="8">
        <f>IFERROR(W380/W444, "NA")</f>
        <v>4.244462656333289E-3</v>
      </c>
      <c r="Y380" s="9"/>
      <c r="Z380" s="7">
        <v>103500</v>
      </c>
      <c r="AA380" s="8">
        <f>IFERROR(Z380/Z444, "NA")</f>
        <v>2.0708928571717983E-2</v>
      </c>
      <c r="AB380" s="9"/>
      <c r="AC380" s="10">
        <f t="shared" si="95"/>
        <v>-1200</v>
      </c>
      <c r="AD380" s="8">
        <f>IFERROR(AC380/AC444, "NA")</f>
        <v>-3.3325015039301548E-3</v>
      </c>
    </row>
    <row r="381" spans="1:30" ht="16.5" customHeight="1" x14ac:dyDescent="0.45">
      <c r="A381" s="20" t="s">
        <v>349</v>
      </c>
      <c r="B381" s="7">
        <v>4000</v>
      </c>
      <c r="C381" s="8">
        <f>IFERROR(B381/B444, "NA")</f>
        <v>5.4270655574323546E-3</v>
      </c>
      <c r="D381" s="9"/>
      <c r="E381" s="7">
        <v>4000</v>
      </c>
      <c r="F381" s="8">
        <f>IFERROR(E381/E444, "NA")</f>
        <v>4.5558539032414993E-3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4167</v>
      </c>
      <c r="L381" s="8">
        <f>IFERROR(K381/K444, "NA")</f>
        <v>5.16482087429473E-3</v>
      </c>
      <c r="M381" s="9"/>
      <c r="N381" s="10">
        <f t="shared" si="93"/>
        <v>167</v>
      </c>
      <c r="O381" s="8">
        <f>IFERROR(N381/N444, "NA")</f>
        <v>-2.3939975171235355E-3</v>
      </c>
      <c r="P381" s="9"/>
      <c r="Q381" s="7">
        <v>50365.26</v>
      </c>
      <c r="R381" s="8">
        <f>IFERROR(Q381/Q444, "NA")</f>
        <v>9.4001267611701685E-3</v>
      </c>
      <c r="S381" s="9"/>
      <c r="T381" s="7">
        <v>36000</v>
      </c>
      <c r="U381" s="8">
        <f>IFERROR(T381/T444, "NA")</f>
        <v>6.3822370373011776E-3</v>
      </c>
      <c r="V381" s="9"/>
      <c r="W381" s="10">
        <f t="shared" si="94"/>
        <v>-14365.260000000002</v>
      </c>
      <c r="X381" s="8">
        <f>IFERROR(W381/W444, "NA")</f>
        <v>5.0810674682098628E-2</v>
      </c>
      <c r="Y381" s="9"/>
      <c r="Z381" s="7">
        <v>99224.07</v>
      </c>
      <c r="AA381" s="8">
        <f>IFERROR(Z381/Z444, "NA")</f>
        <v>1.9853373702658411E-2</v>
      </c>
      <c r="AB381" s="9"/>
      <c r="AC381" s="10">
        <f t="shared" si="95"/>
        <v>48858.810000000005</v>
      </c>
      <c r="AD381" s="8">
        <f>IFERROR(AC381/AC444, "NA")</f>
        <v>0.13568504817103141</v>
      </c>
    </row>
    <row r="382" spans="1:30" ht="16.5" customHeight="1" x14ac:dyDescent="0.45">
      <c r="A382" s="20" t="s">
        <v>350</v>
      </c>
      <c r="B382" s="7">
        <v>184.71</v>
      </c>
      <c r="C382" s="8">
        <f>IFERROR(B382/B444, "NA")</f>
        <v>2.5060831977833259E-4</v>
      </c>
      <c r="D382" s="9"/>
      <c r="E382" s="7">
        <v>795</v>
      </c>
      <c r="F382" s="8">
        <f>IFERROR(E382/E444, "NA")</f>
        <v>9.0547596326924788E-4</v>
      </c>
      <c r="G382" s="9"/>
      <c r="H382" s="10">
        <f t="shared" si="92"/>
        <v>610.29</v>
      </c>
      <c r="I382" s="8">
        <f>IFERROR(H382/H444, "NA")</f>
        <v>-4.3299954762406143E-3</v>
      </c>
      <c r="J382" s="9"/>
      <c r="K382" s="7">
        <v>337.08</v>
      </c>
      <c r="L382" s="8">
        <f>IFERROR(K382/K444, "NA")</f>
        <v>4.1779645315749158E-4</v>
      </c>
      <c r="M382" s="9"/>
      <c r="N382" s="10">
        <f t="shared" si="93"/>
        <v>152.36999999999998</v>
      </c>
      <c r="O382" s="8">
        <f>IFERROR(N382/N444, "NA")</f>
        <v>-2.1842718663719345E-3</v>
      </c>
      <c r="P382" s="9"/>
      <c r="Q382" s="7">
        <v>5393.62</v>
      </c>
      <c r="R382" s="8">
        <f>IFERROR(Q382/Q444, "NA")</f>
        <v>1.0066603786336582E-3</v>
      </c>
      <c r="S382" s="9"/>
      <c r="T382" s="7">
        <v>7155</v>
      </c>
      <c r="U382" s="8">
        <f>IFERROR(T382/T444, "NA")</f>
        <v>1.268469611163609E-3</v>
      </c>
      <c r="V382" s="9"/>
      <c r="W382" s="10">
        <f t="shared" si="94"/>
        <v>1761.38</v>
      </c>
      <c r="X382" s="8">
        <f>IFERROR(W382/W444, "NA")</f>
        <v>-6.2300930280102746E-3</v>
      </c>
      <c r="Y382" s="9"/>
      <c r="Z382" s="7">
        <v>2507.25</v>
      </c>
      <c r="AA382" s="8">
        <f>IFERROR(Z382/Z444, "NA")</f>
        <v>5.0166629141487845E-4</v>
      </c>
      <c r="AB382" s="9"/>
      <c r="AC382" s="10">
        <f t="shared" si="95"/>
        <v>-2886.37</v>
      </c>
      <c r="AD382" s="8">
        <f>IFERROR(AC382/AC444, "NA")</f>
        <v>-8.0156936382490673E-3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339.55</v>
      </c>
      <c r="C385" s="8">
        <f>IFERROR(B385/B444, "NA")</f>
        <v>4.6069002750653907E-4</v>
      </c>
      <c r="D385" s="9"/>
      <c r="E385" s="7">
        <v>4500</v>
      </c>
      <c r="F385" s="8">
        <f>IFERROR(E385/E444, "NA")</f>
        <v>5.125335641146686E-3</v>
      </c>
      <c r="G385" s="9"/>
      <c r="H385" s="10">
        <f>IFERROR(-(B385-E385), "NA")</f>
        <v>4160.45</v>
      </c>
      <c r="I385" s="8">
        <f>IFERROR(H385/H444, "NA")</f>
        <v>-2.951831044114317E-2</v>
      </c>
      <c r="J385" s="9"/>
      <c r="K385" s="7">
        <v>6408.56</v>
      </c>
      <c r="L385" s="8">
        <f>IFERROR(K385/K444, "NA")</f>
        <v>7.9431400197192796E-3</v>
      </c>
      <c r="M385" s="9"/>
      <c r="N385" s="10">
        <f>IFERROR(-(B385-K385), "NA")</f>
        <v>6069.01</v>
      </c>
      <c r="O385" s="8">
        <f>IFERROR(N385/N444, "NA")</f>
        <v>-8.7001166894598261E-2</v>
      </c>
      <c r="P385" s="9"/>
      <c r="Q385" s="7">
        <v>22289.01</v>
      </c>
      <c r="R385" s="8">
        <f>IFERROR(Q385/Q444, "NA")</f>
        <v>4.1600007501398674E-3</v>
      </c>
      <c r="S385" s="9"/>
      <c r="T385" s="7">
        <v>21872.55</v>
      </c>
      <c r="U385" s="8">
        <f>IFERROR(T385/T444, "NA")</f>
        <v>3.8776610752839411E-3</v>
      </c>
      <c r="V385" s="9"/>
      <c r="W385" s="10">
        <f>IFERROR(-(Q385-T385), "NA")</f>
        <v>-416.45999999999913</v>
      </c>
      <c r="X385" s="8">
        <f>IFERROR(W385/W444, "NA")</f>
        <v>1.4730407648804651E-3</v>
      </c>
      <c r="Y385" s="9"/>
      <c r="Z385" s="7">
        <v>24188.89</v>
      </c>
      <c r="AA385" s="8">
        <f>IFERROR(Z385/Z444, "NA")</f>
        <v>4.8398646883009025E-3</v>
      </c>
      <c r="AB385" s="9"/>
      <c r="AC385" s="10">
        <f>IFERROR(-(Q385-Z385), "NA")</f>
        <v>1899.880000000001</v>
      </c>
      <c r="AD385" s="8">
        <f>IFERROR(AC385/AC444, "NA")</f>
        <v>5.2761274644056886E-3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214.76</v>
      </c>
      <c r="L386" s="8">
        <f>IFERROR(K386/K444, "NA")</f>
        <v>2.6618596855376437E-4</v>
      </c>
      <c r="M386" s="9"/>
      <c r="N386" s="10">
        <f>IFERROR(-(B386-K386), "NA")</f>
        <v>214.76</v>
      </c>
      <c r="O386" s="8">
        <f>IFERROR(N386/N444, "NA")</f>
        <v>-3.0786521363919189E-3</v>
      </c>
      <c r="P386" s="9"/>
      <c r="Q386" s="7">
        <v>151.71</v>
      </c>
      <c r="R386" s="8">
        <f>IFERROR(Q386/Q444, "NA")</f>
        <v>2.8315017751067427E-5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-151.71</v>
      </c>
      <c r="X386" s="8">
        <f>IFERROR(W386/W444, "NA")</f>
        <v>5.3660619132693608E-4</v>
      </c>
      <c r="Y386" s="9"/>
      <c r="Z386" s="7">
        <v>5094.41</v>
      </c>
      <c r="AA386" s="8">
        <f>IFERROR(Z386/Z444, "NA")</f>
        <v>1.0193214763772542E-3</v>
      </c>
      <c r="AB386" s="9"/>
      <c r="AC386" s="10">
        <f>IFERROR(-(Q386-Z386), "NA")</f>
        <v>4942.7</v>
      </c>
      <c r="AD386" s="8">
        <f>IFERROR(AC386/AC444, "NA")</f>
        <v>1.3726295986229646E-2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6539.74</v>
      </c>
      <c r="C389" s="8">
        <f>IFERROR(B389/B444, "NA")</f>
        <v>8.8728994271406667E-3</v>
      </c>
      <c r="D389" s="9"/>
      <c r="E389" s="7">
        <v>4225.7299999999996</v>
      </c>
      <c r="F389" s="8">
        <f>IFERROR(E389/E444, "NA")</f>
        <v>4.8129521286361743E-3</v>
      </c>
      <c r="G389" s="9"/>
      <c r="H389" s="10">
        <f t="shared" si="96"/>
        <v>-2314.0100000000002</v>
      </c>
      <c r="I389" s="8">
        <f>IFERROR(H389/H444, "NA")</f>
        <v>1.6417855170452647E-2</v>
      </c>
      <c r="J389" s="9"/>
      <c r="K389" s="7">
        <v>7708.74</v>
      </c>
      <c r="L389" s="8">
        <f>IFERROR(K389/K444, "NA")</f>
        <v>9.554658331296078E-3</v>
      </c>
      <c r="M389" s="9"/>
      <c r="N389" s="10">
        <f t="shared" si="97"/>
        <v>1169</v>
      </c>
      <c r="O389" s="8">
        <f>IFERROR(N389/N444, "NA")</f>
        <v>-1.6757982619864747E-2</v>
      </c>
      <c r="P389" s="9"/>
      <c r="Q389" s="7">
        <v>43306.78</v>
      </c>
      <c r="R389" s="8">
        <f>IFERROR(Q389/Q444, "NA")</f>
        <v>8.0827384117169061E-3</v>
      </c>
      <c r="S389" s="9"/>
      <c r="T389" s="7">
        <v>26176.799999999999</v>
      </c>
      <c r="U389" s="8">
        <f>IFERROR(T389/T444, "NA")</f>
        <v>4.6407372910562631E-3</v>
      </c>
      <c r="V389" s="9"/>
      <c r="W389" s="10">
        <f t="shared" si="98"/>
        <v>-17129.98</v>
      </c>
      <c r="X389" s="8">
        <f>IFERROR(W389/W444, "NA")</f>
        <v>6.058963367811343E-2</v>
      </c>
      <c r="Y389" s="9"/>
      <c r="Z389" s="7">
        <v>19154.7</v>
      </c>
      <c r="AA389" s="8">
        <f>IFERROR(Z389/Z444, "NA")</f>
        <v>3.8325924068858598E-3</v>
      </c>
      <c r="AB389" s="9"/>
      <c r="AC389" s="10">
        <f t="shared" si="99"/>
        <v>-24152.079999999998</v>
      </c>
      <c r="AD389" s="8">
        <f>IFERROR(AC389/AC444, "NA")</f>
        <v>-6.7072369102534501E-2</v>
      </c>
    </row>
    <row r="390" spans="1:30" ht="16.5" customHeight="1" x14ac:dyDescent="0.45">
      <c r="A390" s="12" t="s">
        <v>356</v>
      </c>
      <c r="B390" s="7">
        <v>6637.32</v>
      </c>
      <c r="C390" s="8">
        <f>IFERROR(B390/B444, "NA")</f>
        <v>9.0052926914142295E-3</v>
      </c>
      <c r="D390" s="9"/>
      <c r="E390" s="7">
        <v>20533.32</v>
      </c>
      <c r="F390" s="8">
        <f>IFERROR(E390/E444, "NA")</f>
        <v>2.3386701517126685E-2</v>
      </c>
      <c r="G390" s="9"/>
      <c r="H390" s="10">
        <f t="shared" si="96"/>
        <v>13896</v>
      </c>
      <c r="I390" s="8">
        <f>IFERROR(H390/H444, "NA")</f>
        <v>-9.859184508649918E-2</v>
      </c>
      <c r="J390" s="9"/>
      <c r="K390" s="7">
        <v>22889.31</v>
      </c>
      <c r="L390" s="8">
        <f>IFERROR(K390/K444, "NA")</f>
        <v>2.8370335033886036E-2</v>
      </c>
      <c r="M390" s="9"/>
      <c r="N390" s="10">
        <f t="shared" si="97"/>
        <v>16251.990000000002</v>
      </c>
      <c r="O390" s="8">
        <f>IFERROR(N390/N444, "NA")</f>
        <v>-0.23297738747494928</v>
      </c>
      <c r="P390" s="9"/>
      <c r="Q390" s="7">
        <v>64805.06</v>
      </c>
      <c r="R390" s="8">
        <f>IFERROR(Q390/Q444, "NA")</f>
        <v>1.2095158026886755E-2</v>
      </c>
      <c r="S390" s="9"/>
      <c r="T390" s="7">
        <v>127196.08</v>
      </c>
      <c r="U390" s="8">
        <f>IFERROR(T390/T444, "NA")</f>
        <v>2.2549875910431214E-2</v>
      </c>
      <c r="V390" s="9"/>
      <c r="W390" s="10">
        <f t="shared" si="98"/>
        <v>62391.020000000004</v>
      </c>
      <c r="X390" s="8">
        <f>IFERROR(W390/W444, "NA")</f>
        <v>-0.22068029540045284</v>
      </c>
      <c r="Y390" s="9"/>
      <c r="Z390" s="7">
        <v>137360.21</v>
      </c>
      <c r="AA390" s="8">
        <f>IFERROR(Z390/Z444, "NA")</f>
        <v>2.7483891569914803E-2</v>
      </c>
      <c r="AB390" s="9"/>
      <c r="AC390" s="10">
        <f t="shared" si="99"/>
        <v>72555.149999999994</v>
      </c>
      <c r="AD390" s="8">
        <f>IFERROR(AC390/AC444, "NA")</f>
        <v>0.20149178874406495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4985.4399999999996</v>
      </c>
      <c r="C392" s="8">
        <f>IFERROR(B392/B444, "NA")</f>
        <v>6.7640774281613894E-3</v>
      </c>
      <c r="D392" s="9"/>
      <c r="E392" s="7">
        <v>3154.41</v>
      </c>
      <c r="F392" s="8">
        <f>IFERROR(E392/E444, "NA")</f>
        <v>3.592757777731004E-3</v>
      </c>
      <c r="G392" s="9"/>
      <c r="H392" s="10">
        <f t="shared" si="96"/>
        <v>-1831.0299999999997</v>
      </c>
      <c r="I392" s="8">
        <f>IFERROR(H392/H444, "NA")</f>
        <v>1.299112162555646E-2</v>
      </c>
      <c r="J392" s="9"/>
      <c r="K392" s="7">
        <v>-9063.77</v>
      </c>
      <c r="L392" s="8">
        <f>IFERROR(K392/K444, "NA")</f>
        <v>-1.1234160906121034E-2</v>
      </c>
      <c r="M392" s="9"/>
      <c r="N392" s="10">
        <f t="shared" si="97"/>
        <v>-14049.21</v>
      </c>
      <c r="O392" s="8">
        <f>IFERROR(N392/N444, "NA")</f>
        <v>0.20139984345836615</v>
      </c>
      <c r="P392" s="9"/>
      <c r="Q392" s="7">
        <v>41474.870000000003</v>
      </c>
      <c r="R392" s="8">
        <f>IFERROR(Q392/Q444, "NA")</f>
        <v>7.7408323793633502E-3</v>
      </c>
      <c r="S392" s="9"/>
      <c r="T392" s="7">
        <v>19540.36</v>
      </c>
      <c r="U392" s="8">
        <f>IFERROR(T392/T444, "NA")</f>
        <v>3.4642002587277347E-3</v>
      </c>
      <c r="V392" s="9"/>
      <c r="W392" s="10">
        <f t="shared" si="98"/>
        <v>-21934.510000000002</v>
      </c>
      <c r="X392" s="8">
        <f>IFERROR(W392/W444, "NA")</f>
        <v>7.7583507149974251E-2</v>
      </c>
      <c r="Y392" s="9"/>
      <c r="Z392" s="7">
        <v>17345.259999999998</v>
      </c>
      <c r="AA392" s="8">
        <f>IFERROR(Z392/Z444, "NA")</f>
        <v>3.4705483130229664E-3</v>
      </c>
      <c r="AB392" s="9"/>
      <c r="AC392" s="10">
        <f t="shared" si="99"/>
        <v>-24129.610000000004</v>
      </c>
      <c r="AD392" s="8">
        <f>IFERROR(AC392/AC444, "NA")</f>
        <v>-6.7009968011873436E-2</v>
      </c>
    </row>
    <row r="393" spans="1:30" ht="16.5" customHeight="1" x14ac:dyDescent="0.45">
      <c r="A393" s="13" t="s">
        <v>359</v>
      </c>
      <c r="B393" s="14">
        <f>IFERROR(B388+B389+B390+B391+B392, "NA")</f>
        <v>18162.5</v>
      </c>
      <c r="C393" s="15">
        <f>IFERROR(B393/B444, "NA")</f>
        <v>2.4642269546716288E-2</v>
      </c>
      <c r="D393" s="2"/>
      <c r="E393" s="14">
        <f>IFERROR(E388+E389+E390+E391+E392, "NA")</f>
        <v>27913.46</v>
      </c>
      <c r="F393" s="15">
        <f>IFERROR(E393/E444, "NA")</f>
        <v>3.1792411423493865E-2</v>
      </c>
      <c r="G393" s="2"/>
      <c r="H393" s="14">
        <f t="shared" si="96"/>
        <v>9750.9599999999991</v>
      </c>
      <c r="I393" s="15">
        <f>IFERROR(H393/H444, "NA")</f>
        <v>-6.9182868290490071E-2</v>
      </c>
      <c r="J393" s="2"/>
      <c r="K393" s="14">
        <f>IFERROR(K388+K389+K390+K391+K392, "NA")</f>
        <v>21534.280000000002</v>
      </c>
      <c r="L393" s="15">
        <f>IFERROR(K393/K444, "NA")</f>
        <v>2.6690832459061082E-2</v>
      </c>
      <c r="M393" s="2"/>
      <c r="N393" s="14">
        <f t="shared" si="97"/>
        <v>3371.7800000000025</v>
      </c>
      <c r="O393" s="15">
        <f>IFERROR(N393/N444, "NA")</f>
        <v>-4.8335526636447905E-2</v>
      </c>
      <c r="P393" s="2"/>
      <c r="Q393" s="14">
        <f>IFERROR(Q388+Q389+Q390+Q391+Q392, "NA")</f>
        <v>149586.71</v>
      </c>
      <c r="R393" s="15">
        <f>IFERROR(Q393/Q444, "NA")</f>
        <v>2.791872881796701E-2</v>
      </c>
      <c r="S393" s="2"/>
      <c r="T393" s="14">
        <f>IFERROR(T388+T389+T390+T391+T392, "NA")</f>
        <v>172913.24</v>
      </c>
      <c r="U393" s="15">
        <f>IFERROR(T393/T444, "NA")</f>
        <v>3.0654813460215209E-2</v>
      </c>
      <c r="V393" s="2"/>
      <c r="W393" s="14">
        <f t="shared" si="98"/>
        <v>23326.53</v>
      </c>
      <c r="X393" s="15">
        <f>IFERROR(W393/W444, "NA")</f>
        <v>-8.2507154572365127E-2</v>
      </c>
      <c r="Y393" s="2"/>
      <c r="Z393" s="14">
        <f>IFERROR(Z388+Z389+Z390+Z391+Z392, "NA")</f>
        <v>173860.17</v>
      </c>
      <c r="AA393" s="15">
        <f>IFERROR(Z393/Z444, "NA")</f>
        <v>3.4787032289823633E-2</v>
      </c>
      <c r="AB393" s="2"/>
      <c r="AC393" s="14">
        <f t="shared" si="99"/>
        <v>24273.460000000021</v>
      </c>
      <c r="AD393" s="15">
        <f>IFERROR(AC393/AC444, "NA")</f>
        <v>6.7409451629657099E-2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7023.93</v>
      </c>
      <c r="F394" s="8">
        <f>IFERROR(E394/E444, "NA")</f>
        <v>7.9999997266487662E-3</v>
      </c>
      <c r="G394" s="9"/>
      <c r="H394" s="10">
        <f t="shared" si="96"/>
        <v>7023.93</v>
      </c>
      <c r="I394" s="8">
        <f>IFERROR(H394/H444, "NA")</f>
        <v>-4.9834644391077591E-2</v>
      </c>
      <c r="J394" s="9"/>
      <c r="K394" s="7">
        <v>1341.86</v>
      </c>
      <c r="L394" s="8">
        <f>IFERROR(K394/K444, "NA")</f>
        <v>1.6631789148982784E-3</v>
      </c>
      <c r="M394" s="9"/>
      <c r="N394" s="10">
        <f t="shared" si="97"/>
        <v>1341.86</v>
      </c>
      <c r="O394" s="8">
        <f>IFERROR(N394/N444, "NA")</f>
        <v>-1.9235985079804712E-2</v>
      </c>
      <c r="P394" s="9"/>
      <c r="Q394" s="7">
        <v>6612.06</v>
      </c>
      <c r="R394" s="8">
        <f>IFERROR(Q394/Q444, "NA")</f>
        <v>1.2340689227547485E-3</v>
      </c>
      <c r="S394" s="9"/>
      <c r="T394" s="7">
        <v>45337.07</v>
      </c>
      <c r="U394" s="8">
        <f>IFERROR(T394/T444, "NA")</f>
        <v>8.0375535365754484E-3</v>
      </c>
      <c r="V394" s="9"/>
      <c r="W394" s="10">
        <f t="shared" si="98"/>
        <v>38725.01</v>
      </c>
      <c r="X394" s="8">
        <f>IFERROR(W394/W444, "NA")</f>
        <v>-0.136972382342611</v>
      </c>
      <c r="Y394" s="9"/>
      <c r="Z394" s="7">
        <v>41575.25</v>
      </c>
      <c r="AA394" s="8">
        <f>IFERROR(Z394/Z444, "NA")</f>
        <v>8.3186365468726382E-3</v>
      </c>
      <c r="AB394" s="9"/>
      <c r="AC394" s="10">
        <f t="shared" si="99"/>
        <v>34963.19</v>
      </c>
      <c r="AD394" s="8">
        <f>IFERROR(AC394/AC444, "NA")</f>
        <v>9.7095736047663125E-2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18502.05</v>
      </c>
      <c r="C396" s="15">
        <f>IFERROR(B396/B444, "NA")</f>
        <v>2.5102959574222827E-2</v>
      </c>
      <c r="D396" s="2"/>
      <c r="E396" s="14">
        <f>IFERROR(E385+E386+E388+E389+E390+E391+E392+E394+E395, "NA")</f>
        <v>39437.39</v>
      </c>
      <c r="F396" s="15">
        <f>IFERROR(E396/E444, "NA")</f>
        <v>4.4917746791289313E-2</v>
      </c>
      <c r="G396" s="2"/>
      <c r="H396" s="14">
        <f t="shared" si="96"/>
        <v>20935.34</v>
      </c>
      <c r="I396" s="15">
        <f>IFERROR(H396/H444, "NA")</f>
        <v>-0.14853582312271082</v>
      </c>
      <c r="J396" s="2"/>
      <c r="K396" s="14">
        <f>IFERROR(K385+K386+K388+K389+K390+K391+K392+K394+K395, "NA")</f>
        <v>29499.460000000003</v>
      </c>
      <c r="L396" s="15">
        <f>IFERROR(K396/K444, "NA")</f>
        <v>3.6563337362232405E-2</v>
      </c>
      <c r="M396" s="2"/>
      <c r="N396" s="14">
        <f t="shared" si="97"/>
        <v>10997.410000000003</v>
      </c>
      <c r="O396" s="15">
        <f>IFERROR(N396/N444, "NA")</f>
        <v>-0.1576513307472428</v>
      </c>
      <c r="P396" s="2"/>
      <c r="Q396" s="14">
        <f>IFERROR(Q385+Q386+Q388+Q389+Q390+Q391+Q392+Q394+Q395, "NA")</f>
        <v>178639.49</v>
      </c>
      <c r="R396" s="15">
        <f>IFERROR(Q396/Q444, "NA")</f>
        <v>3.3341113508612692E-2</v>
      </c>
      <c r="S396" s="2"/>
      <c r="T396" s="14">
        <f>IFERROR(T385+T386+T388+T389+T390+T391+T392+T394+T395, "NA")</f>
        <v>240122.86</v>
      </c>
      <c r="U396" s="15">
        <f>IFERROR(T396/T444, "NA")</f>
        <v>4.2570028072074592E-2</v>
      </c>
      <c r="V396" s="2"/>
      <c r="W396" s="14">
        <f t="shared" si="98"/>
        <v>61483.369999999995</v>
      </c>
      <c r="X396" s="15">
        <f>IFERROR(W396/W444, "NA")</f>
        <v>-0.2174698899587687</v>
      </c>
      <c r="Y396" s="2"/>
      <c r="Z396" s="14">
        <f>IFERROR(Z385+Z386+Z388+Z389+Z390+Z391+Z392+Z394+Z395, "NA")</f>
        <v>244718.72</v>
      </c>
      <c r="AA396" s="15">
        <f>IFERROR(Z396/Z444, "NA")</f>
        <v>4.896485500137443E-2</v>
      </c>
      <c r="AB396" s="2"/>
      <c r="AC396" s="14">
        <f t="shared" si="99"/>
        <v>66079.23000000001</v>
      </c>
      <c r="AD396" s="15">
        <f>IFERROR(AC396/AC444, "NA")</f>
        <v>0.18350761112795552</v>
      </c>
    </row>
    <row r="397" spans="1:30" ht="16.5" customHeight="1" x14ac:dyDescent="0.45">
      <c r="A397" s="20" t="s">
        <v>363</v>
      </c>
      <c r="B397" s="7">
        <v>9245.24</v>
      </c>
      <c r="C397" s="8">
        <f>IFERROR(B397/B444, "NA")</f>
        <v>1.2543630893548976E-2</v>
      </c>
      <c r="D397" s="9"/>
      <c r="E397" s="7">
        <v>20224.240000000002</v>
      </c>
      <c r="F397" s="8">
        <f>IFERROR(E397/E444, "NA")</f>
        <v>2.3034670686023214E-2</v>
      </c>
      <c r="G397" s="9"/>
      <c r="H397" s="10">
        <f t="shared" si="96"/>
        <v>10979.000000000002</v>
      </c>
      <c r="I397" s="8">
        <f>IFERROR(H397/H444, "NA")</f>
        <v>-7.7895787795385335E-2</v>
      </c>
      <c r="J397" s="9"/>
      <c r="K397" s="7">
        <v>11096.95</v>
      </c>
      <c r="L397" s="8">
        <f>IFERROR(K397/K444, "NA")</f>
        <v>1.3754201824095251E-2</v>
      </c>
      <c r="M397" s="9"/>
      <c r="N397" s="10">
        <f t="shared" si="97"/>
        <v>1851.7100000000009</v>
      </c>
      <c r="O397" s="8">
        <f>IFERROR(N397/N444, "NA")</f>
        <v>-2.6544845164268409E-2</v>
      </c>
      <c r="P397" s="9"/>
      <c r="Q397" s="7">
        <v>81169.67</v>
      </c>
      <c r="R397" s="8">
        <f>IFERROR(Q397/Q444, "NA")</f>
        <v>1.514943409727958E-2</v>
      </c>
      <c r="S397" s="9"/>
      <c r="T397" s="7">
        <v>164427.25</v>
      </c>
      <c r="U397" s="8">
        <f>IFERROR(T397/T444, "NA")</f>
        <v>2.9150380135877226E-2</v>
      </c>
      <c r="V397" s="9"/>
      <c r="W397" s="10">
        <f t="shared" si="98"/>
        <v>83257.58</v>
      </c>
      <c r="X397" s="8">
        <f>IFERROR(W397/W444, "NA")</f>
        <v>-0.2944864076389011</v>
      </c>
      <c r="Y397" s="9"/>
      <c r="Z397" s="7">
        <v>78424.17</v>
      </c>
      <c r="AA397" s="8">
        <f>IFERROR(Z397/Z444, "NA")</f>
        <v>1.5691599370302109E-2</v>
      </c>
      <c r="AB397" s="9"/>
      <c r="AC397" s="10">
        <f t="shared" si="99"/>
        <v>-2745.5</v>
      </c>
      <c r="AD397" s="8">
        <f>IFERROR(AC397/AC444, "NA")</f>
        <v>-7.6244857325335333E-3</v>
      </c>
    </row>
    <row r="398" spans="1:30" ht="16.5" customHeight="1" x14ac:dyDescent="0.45">
      <c r="A398" s="20" t="s">
        <v>364</v>
      </c>
      <c r="B398" s="7">
        <v>967.99</v>
      </c>
      <c r="C398" s="8">
        <f>IFERROR(B398/B444, "NA")</f>
        <v>1.3133362972347364E-3</v>
      </c>
      <c r="D398" s="9"/>
      <c r="E398" s="7">
        <v>75</v>
      </c>
      <c r="F398" s="8">
        <f>IFERROR(E398/E444, "NA")</f>
        <v>8.5422260685778109E-5</v>
      </c>
      <c r="G398" s="9"/>
      <c r="H398" s="10">
        <f t="shared" si="96"/>
        <v>-892.99</v>
      </c>
      <c r="I398" s="8">
        <f>IFERROR(H398/H444, "NA")</f>
        <v>6.335746383404786E-3</v>
      </c>
      <c r="J398" s="9"/>
      <c r="K398" s="7">
        <v>20.72</v>
      </c>
      <c r="L398" s="8">
        <f>IFERROR(K398/K444, "NA")</f>
        <v>2.5681566718355363E-5</v>
      </c>
      <c r="M398" s="9"/>
      <c r="N398" s="10">
        <f t="shared" si="97"/>
        <v>-947.27</v>
      </c>
      <c r="O398" s="8">
        <f>IFERROR(N398/N444, "NA")</f>
        <v>1.3579413341590487E-2</v>
      </c>
      <c r="P398" s="9"/>
      <c r="Q398" s="7">
        <v>2202.96</v>
      </c>
      <c r="R398" s="8">
        <f>IFERROR(Q398/Q444, "NA")</f>
        <v>4.1115847013968425E-4</v>
      </c>
      <c r="S398" s="9"/>
      <c r="T398" s="7">
        <v>675</v>
      </c>
      <c r="U398" s="8">
        <f>IFERROR(T398/T444, "NA")</f>
        <v>1.1966694444939708E-4</v>
      </c>
      <c r="V398" s="9"/>
      <c r="W398" s="10">
        <f t="shared" si="98"/>
        <v>-1527.96</v>
      </c>
      <c r="X398" s="8">
        <f>IFERROR(W398/W444, "NA")</f>
        <v>5.4044743003091771E-3</v>
      </c>
      <c r="Y398" s="9"/>
      <c r="Z398" s="7">
        <v>827.35</v>
      </c>
      <c r="AA398" s="8">
        <f>IFERROR(Z398/Z444, "NA")</f>
        <v>1.6554137250058816E-4</v>
      </c>
      <c r="AB398" s="9"/>
      <c r="AC398" s="10">
        <f t="shared" si="99"/>
        <v>-1375.6100000000001</v>
      </c>
      <c r="AD398" s="8">
        <f>IFERROR(AC398/AC444, "NA")</f>
        <v>-3.8201853281844673E-3</v>
      </c>
    </row>
    <row r="399" spans="1:30" ht="16.5" customHeight="1" x14ac:dyDescent="0.45">
      <c r="A399" s="20" t="s">
        <v>365</v>
      </c>
      <c r="B399" s="7">
        <v>1544.95</v>
      </c>
      <c r="C399" s="8">
        <f>IFERROR(B399/B444, "NA")</f>
        <v>2.0961362332387792E-3</v>
      </c>
      <c r="D399" s="9"/>
      <c r="E399" s="7">
        <v>700</v>
      </c>
      <c r="F399" s="8">
        <f>IFERROR(E399/E444, "NA")</f>
        <v>7.9727443306726233E-4</v>
      </c>
      <c r="G399" s="9"/>
      <c r="H399" s="10">
        <f t="shared" si="96"/>
        <v>-844.95</v>
      </c>
      <c r="I399" s="8">
        <f>IFERROR(H399/H444, "NA")</f>
        <v>5.9949035338109878E-3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-1544.95</v>
      </c>
      <c r="O399" s="8">
        <f>IFERROR(N399/N444, "NA")</f>
        <v>2.2147344096287463E-2</v>
      </c>
      <c r="P399" s="9"/>
      <c r="Q399" s="7">
        <v>3031.95</v>
      </c>
      <c r="R399" s="8">
        <f>IFERROR(Q399/Q444, "NA")</f>
        <v>5.6588041704797888E-4</v>
      </c>
      <c r="S399" s="9"/>
      <c r="T399" s="7">
        <v>6300</v>
      </c>
      <c r="U399" s="8">
        <f>IFERROR(T399/T444, "NA")</f>
        <v>1.1168914815277062E-3</v>
      </c>
      <c r="V399" s="9"/>
      <c r="W399" s="10">
        <f t="shared" si="98"/>
        <v>3268.05</v>
      </c>
      <c r="X399" s="8">
        <f>IFERROR(W399/W444, "NA")</f>
        <v>-1.1559263486691673E-2</v>
      </c>
      <c r="Y399" s="9"/>
      <c r="Z399" s="7">
        <v>5570.95</v>
      </c>
      <c r="AA399" s="8">
        <f>IFERROR(Z399/Z444, "NA")</f>
        <v>1.1146705857643701E-3</v>
      </c>
      <c r="AB399" s="9"/>
      <c r="AC399" s="10">
        <f t="shared" si="99"/>
        <v>2539</v>
      </c>
      <c r="AD399" s="8">
        <f>IFERROR(AC399/AC444, "NA")</f>
        <v>7.0510177653988855E-3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8333.34</v>
      </c>
      <c r="L401" s="8">
        <f>IFERROR(K401/K444, "NA")</f>
        <v>1.0328823706406346E-2</v>
      </c>
      <c r="M401" s="9"/>
      <c r="N401" s="10">
        <f t="shared" si="97"/>
        <v>8333.34</v>
      </c>
      <c r="O401" s="8">
        <f>IFERROR(N401/N444, "NA")</f>
        <v>-0.11946104951704338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75000</v>
      </c>
      <c r="AA401" s="8">
        <f>IFERROR(Z401/Z444, "NA")</f>
        <v>1.5006469979505785E-2</v>
      </c>
      <c r="AB401" s="9"/>
      <c r="AC401" s="10">
        <f t="shared" si="99"/>
        <v>75000</v>
      </c>
      <c r="AD401" s="8">
        <f>IFERROR(AC401/AC444, "NA")</f>
        <v>0.20828134399563467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100241.32000000002</v>
      </c>
      <c r="C403" s="15">
        <f>IFERROR(B403/B444, "NA")</f>
        <v>0.13600405380088879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192696.99</v>
      </c>
      <c r="F403" s="15">
        <f>IFERROR(E403/E444, "NA")</f>
        <v>0.21947483350859701</v>
      </c>
      <c r="G403" s="2"/>
      <c r="H403" s="14">
        <f t="shared" si="96"/>
        <v>92455.669999999969</v>
      </c>
      <c r="I403" s="15">
        <f>IFERROR(H403/H444, "NA")</f>
        <v>-0.65597114954004654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184412.68999999997</v>
      </c>
      <c r="L403" s="15">
        <f>IFERROR(K403/K444, "NA")</f>
        <v>0.22857175685069422</v>
      </c>
      <c r="M403" s="2"/>
      <c r="N403" s="14">
        <f t="shared" si="97"/>
        <v>84171.369999999952</v>
      </c>
      <c r="O403" s="15">
        <f>IFERROR(N403/N444, "NA")</f>
        <v>-1.2066230586400379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1149880.5</v>
      </c>
      <c r="R403" s="15">
        <f>IFERROR(Q403/Q444, "NA")</f>
        <v>0.21461266079432001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1493305.3700000003</v>
      </c>
      <c r="U403" s="15">
        <f>IFERROR(T403/T444, "NA")</f>
        <v>0.26473969001152059</v>
      </c>
      <c r="V403" s="2"/>
      <c r="W403" s="14">
        <f t="shared" si="98"/>
        <v>343424.87000000034</v>
      </c>
      <c r="X403" s="15">
        <f>IFERROR(W403/W444, "NA")</f>
        <v>-1.2147116966425966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1406466.8399999999</v>
      </c>
      <c r="AA403" s="15">
        <f>IFERROR(Z403/Z444, "NA")</f>
        <v>0.2814146988217382</v>
      </c>
      <c r="AB403" s="2"/>
      <c r="AC403" s="14">
        <f t="shared" si="99"/>
        <v>256586.33999999985</v>
      </c>
      <c r="AD403" s="15">
        <f>IFERROR(AC403/AC444, "NA")</f>
        <v>0.71256196994827792</v>
      </c>
    </row>
    <row r="404" spans="1:30" ht="16.5" customHeight="1" x14ac:dyDescent="0.45">
      <c r="A404" s="22" t="s">
        <v>370</v>
      </c>
      <c r="B404" s="23">
        <f>IFERROR(B345-B403, "NA")</f>
        <v>-31355.430000000444</v>
      </c>
      <c r="C404" s="24">
        <f>IFERROR(B404/B444, "NA")</f>
        <v>-4.2541993547870902E-2</v>
      </c>
      <c r="D404" s="25"/>
      <c r="E404" s="23">
        <f>IFERROR(E345-E403, "NA")</f>
        <v>-28675.329999999958</v>
      </c>
      <c r="F404" s="24">
        <f>IFERROR(E404/E444, "NA")</f>
        <v>-3.2660153526809468E-2</v>
      </c>
      <c r="G404" s="25"/>
      <c r="H404" s="23">
        <f>IFERROR(B404-E404, "NA")</f>
        <v>-2680.100000000486</v>
      </c>
      <c r="I404" s="24">
        <f>IFERROR(H404/H444, "NA")</f>
        <v>1.9015256477862289E-2</v>
      </c>
      <c r="J404" s="25"/>
      <c r="K404" s="23">
        <f>IFERROR(K345-K403, "NA")</f>
        <v>-119578.2099999997</v>
      </c>
      <c r="L404" s="24">
        <f>IFERROR(K404/K444, "NA")</f>
        <v>-0.14821215145639483</v>
      </c>
      <c r="M404" s="25"/>
      <c r="N404" s="23">
        <f>IFERROR(B404-K404, "NA")</f>
        <v>88222.779999999257</v>
      </c>
      <c r="O404" s="24">
        <f>IFERROR(N404/N444, "NA")</f>
        <v>-1.2647012950523002</v>
      </c>
      <c r="P404" s="25"/>
      <c r="Q404" s="23">
        <f>IFERROR(Q345-Q403, "NA")</f>
        <v>-957926.62999999931</v>
      </c>
      <c r="R404" s="24">
        <f>IFERROR(Q404/Q444, "NA")</f>
        <v>-0.17878656339509708</v>
      </c>
      <c r="S404" s="25"/>
      <c r="T404" s="23">
        <f>IFERROR(T345-T403, "NA")</f>
        <v>-774702.51000000024</v>
      </c>
      <c r="U404" s="24">
        <f>IFERROR(T404/T444, "NA")</f>
        <v>-0.13734264033922744</v>
      </c>
      <c r="V404" s="25"/>
      <c r="W404" s="23">
        <f>IFERROR(Q404-T404, "NA")</f>
        <v>-183224.11999999906</v>
      </c>
      <c r="X404" s="24">
        <f>IFERROR(W404/W444, "NA")</f>
        <v>0.64807327923293778</v>
      </c>
      <c r="Y404" s="25"/>
      <c r="Z404" s="23">
        <f>IFERROR(Z345-Z403, "NA")</f>
        <v>-1070803.7600000012</v>
      </c>
      <c r="AA404" s="24">
        <f>IFERROR(Z404/Z444, "NA")</f>
        <v>-0.21425312637842581</v>
      </c>
      <c r="AB404" s="25"/>
      <c r="AC404" s="23">
        <f>IFERROR(Q404-Z404, "NA")</f>
        <v>112877.13000000187</v>
      </c>
      <c r="AD404" s="24">
        <f>IFERROR(AC404/AC444, "NA")</f>
        <v>0.31346933790360487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-1.1792748396300071E-2</v>
      </c>
      <c r="AB407" s="9"/>
      <c r="AC407" s="10">
        <f t="shared" ref="AC407:AC429" si="103">IFERROR(-(Q407-Z407), "NA")</f>
        <v>-58938.32</v>
      </c>
      <c r="AD407" s="8">
        <f>IFERROR(AC407/AC444, "NA")</f>
        <v>-0.16367670003259727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17153.57</v>
      </c>
      <c r="L408" s="8">
        <f>IFERROR(K408/K444, "NA")</f>
        <v>2.1261127046958449E-2</v>
      </c>
      <c r="M408" s="9"/>
      <c r="N408" s="10">
        <f t="shared" si="101"/>
        <v>17153.57</v>
      </c>
      <c r="O408" s="8">
        <f>IFERROR(N408/N444, "NA")</f>
        <v>-0.24590182029823213</v>
      </c>
      <c r="P408" s="9"/>
      <c r="Q408" s="7">
        <v>250</v>
      </c>
      <c r="R408" s="8">
        <f>IFERROR(Q408/Q444, "NA")</f>
        <v>4.6659774818844218E-5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8.8426305340276858E-4</v>
      </c>
      <c r="Y408" s="9"/>
      <c r="Z408" s="7">
        <v>23574.86</v>
      </c>
      <c r="AA408" s="8">
        <f>IFERROR(Z408/Z444, "NA")</f>
        <v>4.7170057181473565E-3</v>
      </c>
      <c r="AB408" s="9"/>
      <c r="AC408" s="10">
        <f t="shared" si="103"/>
        <v>23324.86</v>
      </c>
      <c r="AD408" s="8">
        <f>IFERROR(AC408/AC444, "NA")</f>
        <v>6.4775109190800262E-2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30833.59</v>
      </c>
      <c r="C410" s="8">
        <f>IFERROR(B410/B444, "NA")</f>
        <v>4.183397857524767E-2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-30833.59</v>
      </c>
      <c r="I410" s="8">
        <f>IFERROR(H410/H444, "NA")</f>
        <v>0.21876371104926814</v>
      </c>
      <c r="J410" s="9"/>
      <c r="K410" s="7">
        <v>29457.08</v>
      </c>
      <c r="L410" s="8">
        <f>IFERROR(K410/K444, "NA")</f>
        <v>3.6510809138413682E-2</v>
      </c>
      <c r="M410" s="9"/>
      <c r="N410" s="10">
        <f t="shared" si="101"/>
        <v>-1376.5099999999984</v>
      </c>
      <c r="O410" s="8">
        <f>IFERROR(N410/N444, "NA")</f>
        <v>1.9732703726321642E-2</v>
      </c>
      <c r="P410" s="9"/>
      <c r="Q410" s="7">
        <v>259591.89999999997</v>
      </c>
      <c r="R410" s="8">
        <f>IFERROR(Q410/Q444, "NA")</f>
        <v>4.8449998395183699E-2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-259591.89999999997</v>
      </c>
      <c r="X410" s="8">
        <f>IFERROR(W410/W444, "NA")</f>
        <v>0.91819010453050454</v>
      </c>
      <c r="Y410" s="9"/>
      <c r="Z410" s="7">
        <v>287562.49</v>
      </c>
      <c r="AA410" s="8">
        <f>IFERROR(Z410/Z444, "NA")</f>
        <v>5.753730497889243E-2</v>
      </c>
      <c r="AB410" s="9"/>
      <c r="AC410" s="10">
        <f t="shared" si="103"/>
        <v>27970.590000000026</v>
      </c>
      <c r="AD410" s="8">
        <f>IFERROR(AC410/AC444, "NA")</f>
        <v>7.7676694367344867E-2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3.641153959120303E-4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1.9040798406637727E-3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3.8471683453319954E-3</v>
      </c>
      <c r="P411" s="9"/>
      <c r="Q411" s="7">
        <v>2146.96</v>
      </c>
      <c r="R411" s="8">
        <f>IFERROR(Q411/Q444, "NA")</f>
        <v>4.0070668058026312E-4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-2146.96</v>
      </c>
      <c r="X411" s="8">
        <f>IFERROR(W411/W444, "NA")</f>
        <v>7.5939096205344322E-3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-2146.96</v>
      </c>
      <c r="AD411" s="8">
        <f>IFERROR(AC411/AC444, "NA")</f>
        <v>-5.9622895240649043E-3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-124.33000000000001</v>
      </c>
      <c r="C416" s="8">
        <f>IFERROR(B416/B444, "NA")</f>
        <v>-1.686867651888912E-4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124.33000000000001</v>
      </c>
      <c r="I416" s="8">
        <f>IFERROR(H416/H444, "NA")</f>
        <v>-8.821188902996865E-4</v>
      </c>
      <c r="J416" s="9"/>
      <c r="K416" s="7">
        <v>-73.75</v>
      </c>
      <c r="L416" s="8">
        <f>IFERROR(K416/K444, "NA")</f>
        <v>-9.1410016673682828E-5</v>
      </c>
      <c r="M416" s="9"/>
      <c r="N416" s="10">
        <f t="shared" si="101"/>
        <v>50.580000000000013</v>
      </c>
      <c r="O416" s="8">
        <f>IFERROR(N416/N444, "NA")</f>
        <v>-7.2508020608448175E-4</v>
      </c>
      <c r="P416" s="9"/>
      <c r="Q416" s="7">
        <v>-567.23</v>
      </c>
      <c r="R416" s="8">
        <f>IFERROR(Q416/Q444, "NA")</f>
        <v>-1.0586729628197203E-4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567.23</v>
      </c>
      <c r="X416" s="8">
        <f>IFERROR(W416/W444, "NA")</f>
        <v>-2.0063221271266096E-3</v>
      </c>
      <c r="Y416" s="9"/>
      <c r="Z416" s="7">
        <v>-1085.3699999999999</v>
      </c>
      <c r="AA416" s="8">
        <f>IFERROR(Z416/Z444, "NA")</f>
        <v>-2.1716763095541589E-4</v>
      </c>
      <c r="AB416" s="9"/>
      <c r="AC416" s="10">
        <f t="shared" si="103"/>
        <v>-518.13999999999987</v>
      </c>
      <c r="AD416" s="8">
        <f>IFERROR(AC416/AC444, "NA")</f>
        <v>-1.4389186077053084E-3</v>
      </c>
    </row>
    <row r="417" spans="1:30" ht="16.5" customHeight="1" x14ac:dyDescent="0.45">
      <c r="A417" s="6" t="s">
        <v>382</v>
      </c>
      <c r="B417" s="7">
        <v>-193.8</v>
      </c>
      <c r="C417" s="8">
        <f>IFERROR(B417/B444, "NA")</f>
        <v>-2.6294132625759764E-4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193.8</v>
      </c>
      <c r="I417" s="8">
        <f>IFERROR(H417/H444, "NA")</f>
        <v>-1.3750071659300188E-3</v>
      </c>
      <c r="J417" s="9"/>
      <c r="K417" s="7">
        <v>30.5</v>
      </c>
      <c r="L417" s="8">
        <f>IFERROR(K417/K444, "NA")</f>
        <v>3.7803464522675612E-5</v>
      </c>
      <c r="M417" s="9"/>
      <c r="N417" s="10">
        <f t="shared" si="101"/>
        <v>224.3</v>
      </c>
      <c r="O417" s="8">
        <f>IFERROR(N417/N444, "NA")</f>
        <v>-3.2154110364719106E-3</v>
      </c>
      <c r="P417" s="9"/>
      <c r="Q417" s="7">
        <v>-1091.07</v>
      </c>
      <c r="R417" s="8">
        <f>IFERROR(Q417/Q444, "NA")</f>
        <v>-2.0363632204638542E-4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1091.07</v>
      </c>
      <c r="X417" s="8">
        <f>IFERROR(W417/W444, "NA")</f>
        <v>-3.8591715587046349E-3</v>
      </c>
      <c r="Y417" s="9"/>
      <c r="Z417" s="7">
        <v>-248.32000000000002</v>
      </c>
      <c r="AA417" s="8">
        <f>IFERROR(Z417/Z444, "NA")</f>
        <v>-4.9685421670811694E-5</v>
      </c>
      <c r="AB417" s="9"/>
      <c r="AC417" s="10">
        <f t="shared" si="103"/>
        <v>842.74999999999989</v>
      </c>
      <c r="AD417" s="8">
        <f>IFERROR(AC417/AC444, "NA")</f>
        <v>2.3403880353642815E-3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-3725.69</v>
      </c>
      <c r="R418" s="8">
        <f>IFERROR(Q418/Q444, "NA")</f>
        <v>-6.9535942577927891E-4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-1.3177960061728644E-2</v>
      </c>
      <c r="Y418" s="9"/>
      <c r="Z418" s="7">
        <v>-2278.69</v>
      </c>
      <c r="AA418" s="8">
        <f>IFERROR(Z418/Z444, "NA")</f>
        <v>-4.559345743680005E-4</v>
      </c>
      <c r="AB418" s="9"/>
      <c r="AC418" s="10">
        <f t="shared" si="103"/>
        <v>1447</v>
      </c>
      <c r="AD418" s="8">
        <f>IFERROR(AC418/AC444, "NA")</f>
        <v>4.0184413968224449E-3</v>
      </c>
    </row>
    <row r="419" spans="1:30" ht="16.5" customHeight="1" x14ac:dyDescent="0.45">
      <c r="A419" s="6" t="s">
        <v>384</v>
      </c>
      <c r="B419" s="7">
        <v>307.5</v>
      </c>
      <c r="C419" s="8">
        <f>IFERROR(B419/B444, "NA")</f>
        <v>4.1720566472761228E-4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-307.5</v>
      </c>
      <c r="I419" s="8">
        <f>IFERROR(H419/H444, "NA")</f>
        <v>2.1817064165298287E-3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-307.5</v>
      </c>
      <c r="O419" s="8">
        <f>IFERROR(N419/N444, "NA")</f>
        <v>4.4081092006915401E-3</v>
      </c>
      <c r="P419" s="9"/>
      <c r="Q419" s="7">
        <v>363.75</v>
      </c>
      <c r="R419" s="8">
        <f>IFERROR(Q419/Q444, "NA")</f>
        <v>6.7889972361418339E-5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-363.75</v>
      </c>
      <c r="X419" s="8">
        <f>IFERROR(W419/W444, "NA")</f>
        <v>1.2866027427010283E-3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-363.75</v>
      </c>
      <c r="AD419" s="8">
        <f>IFERROR(AC419/AC444, "NA")</f>
        <v>-1.0101645183788282E-3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-110</v>
      </c>
      <c r="C421" s="8">
        <f>IFERROR(B421/B444, "NA")</f>
        <v>-1.4924430282938978E-4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110</v>
      </c>
      <c r="I421" s="8">
        <f>IFERROR(H421/H444, "NA")</f>
        <v>-7.8044782379928831E-4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110</v>
      </c>
      <c r="O421" s="8">
        <f>IFERROR(N421/N444, "NA")</f>
        <v>-1.576884592117299E-3</v>
      </c>
      <c r="P421" s="9"/>
      <c r="Q421" s="7">
        <v>-160</v>
      </c>
      <c r="R421" s="8">
        <f>IFERROR(Q421/Q444, "NA")</f>
        <v>-2.9862255884060299E-5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-5.659283541777719E-4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4.4433353385735398E-4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-6342.81</v>
      </c>
      <c r="C423" s="8">
        <f>IFERROR(B423/B444, "NA")</f>
        <v>-8.6057114220843799E-3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6342.81</v>
      </c>
      <c r="I423" s="8">
        <f>IFERROR(H423/H444, "NA")</f>
        <v>-4.5002111466112403E-2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6342.81</v>
      </c>
      <c r="O423" s="8">
        <f>IFERROR(N423/N444, "NA")</f>
        <v>-9.0926175997522951E-2</v>
      </c>
      <c r="P423" s="9"/>
      <c r="Q423" s="7">
        <v>-6349.53</v>
      </c>
      <c r="R423" s="8">
        <f>IFERROR(Q423/Q444, "NA")</f>
        <v>-1.1850705600219837E-3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6349.53</v>
      </c>
      <c r="X423" s="8">
        <f>IFERROR(W423/W444, "NA")</f>
        <v>-2.2458619141889926E-2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6349.53</v>
      </c>
      <c r="AD423" s="8">
        <f>IFERROR(AC423/AC444, "NA")</f>
        <v>1.763318189520803E-2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4.0724866682673849E-4</v>
      </c>
      <c r="M424" s="9"/>
      <c r="N424" s="10">
        <f t="shared" si="101"/>
        <v>328.57</v>
      </c>
      <c r="O424" s="8">
        <f>IFERROR(N424/N444, "NA")</f>
        <v>-4.7101542766543715E-3</v>
      </c>
      <c r="P424" s="9"/>
      <c r="Q424" s="7">
        <v>239.6</v>
      </c>
      <c r="R424" s="8">
        <f>IFERROR(Q424/Q444, "NA")</f>
        <v>4.4718728186380295E-5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8.474777103812134E-4</v>
      </c>
      <c r="Y424" s="9"/>
      <c r="Z424" s="7">
        <v>1338.76</v>
      </c>
      <c r="AA424" s="8">
        <f>IFERROR(Z424/Z444, "NA")</f>
        <v>2.6786748999684218E-4</v>
      </c>
      <c r="AB424" s="9"/>
      <c r="AC424" s="10">
        <f t="shared" si="103"/>
        <v>1099.1600000000001</v>
      </c>
      <c r="AD424" s="8">
        <f>IFERROR(AC424/AC444, "NA")</f>
        <v>3.0524602942165577E-3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-5923.29</v>
      </c>
      <c r="C426" s="8">
        <f>IFERROR(B426/B444, "NA")</f>
        <v>-8.036520786420873E-3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5923.29</v>
      </c>
      <c r="I426" s="8">
        <f>IFERROR(H426/H444, "NA")</f>
        <v>-4.2025625365746236E-2</v>
      </c>
      <c r="J426" s="9"/>
      <c r="K426" s="7">
        <v>-1969.32</v>
      </c>
      <c r="L426" s="8">
        <f>IFERROR(K426/K444, "NA")</f>
        <v>-2.440889139468706E-3</v>
      </c>
      <c r="M426" s="9"/>
      <c r="N426" s="10">
        <f t="shared" si="101"/>
        <v>3953.9700000000003</v>
      </c>
      <c r="O426" s="8">
        <f>IFERROR(N426/N444, "NA")</f>
        <v>-5.6681403369945788E-2</v>
      </c>
      <c r="P426" s="9"/>
      <c r="Q426" s="7">
        <v>-103483.93</v>
      </c>
      <c r="R426" s="8">
        <f>IFERROR(Q426/Q444, "NA")</f>
        <v>-1.931414748467615E-2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103483.93</v>
      </c>
      <c r="X426" s="8">
        <f>IFERROR(W426/W444, "NA")</f>
        <v>-0.36602806367967344</v>
      </c>
      <c r="Y426" s="9"/>
      <c r="Z426" s="7">
        <v>-6176.9800000000005</v>
      </c>
      <c r="AA426" s="8">
        <f>IFERROR(Z426/Z444, "NA")</f>
        <v>-1.2359288657867687E-3</v>
      </c>
      <c r="AB426" s="9"/>
      <c r="AC426" s="10">
        <f t="shared" si="103"/>
        <v>97306.95</v>
      </c>
      <c r="AD426" s="8">
        <f>IFERROR(AC426/AC444, "NA")</f>
        <v>0.27022963101488029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18715.229999999996</v>
      </c>
      <c r="C428" s="15">
        <f>IFERROR(B428/B444, "NA")</f>
        <v>2.5392195033106177E-2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-18715.229999999996</v>
      </c>
      <c r="I428" s="15">
        <f>IFERROR(H428/H444, "NA")</f>
        <v>0.13278418659457411</v>
      </c>
      <c r="J428" s="2"/>
      <c r="K428" s="14">
        <f>IFERROR(K407+K408+K409+K410+K411+K412+K413+K414+K415+K416+K417+K418+K419+K420+K421+K422+K423+K424+K425+K426+K427, "NA")</f>
        <v>44926.65</v>
      </c>
      <c r="L428" s="15">
        <f>IFERROR(K428/K444, "NA")</f>
        <v>5.5684689160579157E-2</v>
      </c>
      <c r="M428" s="2"/>
      <c r="N428" s="14">
        <f t="shared" si="101"/>
        <v>26211.420000000006</v>
      </c>
      <c r="O428" s="15">
        <f>IFERROR(N428/N444, "NA")</f>
        <v>-0.37574894850468382</v>
      </c>
      <c r="P428" s="2"/>
      <c r="Q428" s="14">
        <f>IFERROR(Q407+Q408+Q409+Q410+Q411+Q412+Q413+Q414+Q415+Q416+Q417+Q418+Q419+Q420+Q421+Q422+Q423+Q424+Q425+Q426+Q427, "NA")</f>
        <v>147214.75999999995</v>
      </c>
      <c r="R428" s="15">
        <f>IFERROR(Q428/Q444, "NA")</f>
        <v>2.7476030206440773E-2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-147214.75999999995</v>
      </c>
      <c r="X428" s="15">
        <f>IFERROR(W428/W444, "NA")</f>
        <v>0.52070629273422286</v>
      </c>
      <c r="Y428" s="2"/>
      <c r="Z428" s="14">
        <f>IFERROR(Z407+Z408+Z409+Z410+Z411+Z412+Z413+Z414+Z415+Z416+Z417+Z418+Z419+Z420+Z421+Z422+Z423+Z424+Z425+Z426+Z427, "NA")</f>
        <v>243748.43</v>
      </c>
      <c r="AA428" s="15">
        <f>IFERROR(Z428/Z444, "NA")</f>
        <v>4.8770713297955563E-2</v>
      </c>
      <c r="AB428" s="2"/>
      <c r="AC428" s="14">
        <f t="shared" si="103"/>
        <v>96533.670000000042</v>
      </c>
      <c r="AD428" s="15">
        <f>IFERROR(AC428/AC444, "NA")</f>
        <v>0.26808216704574783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18715.229999999996</v>
      </c>
      <c r="C429" s="15">
        <f>IFERROR(B429/B444, "NA")</f>
        <v>2.5392195033106177E-2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-18715.229999999996</v>
      </c>
      <c r="I429" s="15">
        <f>IFERROR(H429/H444, "NA")</f>
        <v>0.13278418659457411</v>
      </c>
      <c r="J429" s="2"/>
      <c r="K429" s="14">
        <f>IFERROR(K407+K408+K409+K410+K411+K412+K413+K414+K415+K416+K417+K418+K419+K420+K421+K422+K423+K424+K425+K426+K427, "NA")</f>
        <v>44926.65</v>
      </c>
      <c r="L429" s="15">
        <f>IFERROR(K429/K444, "NA")</f>
        <v>5.5684689160579157E-2</v>
      </c>
      <c r="M429" s="2"/>
      <c r="N429" s="14">
        <f t="shared" si="101"/>
        <v>26211.420000000006</v>
      </c>
      <c r="O429" s="15">
        <f>IFERROR(N429/N444, "NA")</f>
        <v>-0.37574894850468382</v>
      </c>
      <c r="P429" s="2"/>
      <c r="Q429" s="14">
        <f>IFERROR(Q407+Q408+Q409+Q410+Q411+Q412+Q413+Q414+Q415+Q416+Q417+Q418+Q419+Q420+Q421+Q422+Q423+Q424+Q425+Q426+Q427, "NA")</f>
        <v>147214.75999999995</v>
      </c>
      <c r="R429" s="15">
        <f>IFERROR(Q429/Q444, "NA")</f>
        <v>2.7476030206440773E-2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-147214.75999999995</v>
      </c>
      <c r="X429" s="15">
        <f>IFERROR(W429/W444, "NA")</f>
        <v>0.52070629273422286</v>
      </c>
      <c r="Y429" s="2"/>
      <c r="Z429" s="14">
        <f>IFERROR(Z407+Z408+Z409+Z410+Z411+Z412+Z413+Z414+Z415+Z416+Z417+Z418+Z419+Z420+Z421+Z422+Z423+Z424+Z425+Z426+Z427, "NA")</f>
        <v>243748.43</v>
      </c>
      <c r="AA429" s="15">
        <f>IFERROR(Z429/Z444, "NA")</f>
        <v>4.8770713297955563E-2</v>
      </c>
      <c r="AB429" s="2"/>
      <c r="AC429" s="14">
        <f t="shared" si="103"/>
        <v>96533.670000000042</v>
      </c>
      <c r="AD429" s="15">
        <f>IFERROR(AC429/AC444, "NA")</f>
        <v>0.26808216704574783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-50070.66000000044</v>
      </c>
      <c r="C443" s="24">
        <f>IFERROR(B443/B444, "NA")</f>
        <v>-6.7934188580977078E-2</v>
      </c>
      <c r="D443" s="25"/>
      <c r="E443" s="23">
        <f>IFERROR(E404-E429-E442, "NA")</f>
        <v>-28675.329999999958</v>
      </c>
      <c r="F443" s="24">
        <f>IFERROR(E443/E444, "NA")</f>
        <v>-3.2660153526809468E-2</v>
      </c>
      <c r="G443" s="25"/>
      <c r="H443" s="23">
        <f>IFERROR(B443-E443, "NA")</f>
        <v>-21395.330000000482</v>
      </c>
      <c r="I443" s="24">
        <f>IFERROR(H443/H444, "NA")</f>
        <v>0.1517994430724364</v>
      </c>
      <c r="J443" s="25"/>
      <c r="K443" s="23">
        <f>IFERROR(K404-K429-K442, "NA")</f>
        <v>-164504.85999999969</v>
      </c>
      <c r="L443" s="24">
        <f>IFERROR(K443/K444, "NA")</f>
        <v>-0.20389684061697397</v>
      </c>
      <c r="M443" s="25"/>
      <c r="N443" s="23">
        <f>IFERROR(B443-K443, "NA")</f>
        <v>114434.19999999925</v>
      </c>
      <c r="O443" s="24">
        <f>IFERROR(N443/N444, "NA")</f>
        <v>-1.6404502435569839</v>
      </c>
      <c r="P443" s="25"/>
      <c r="Q443" s="23">
        <f>IFERROR(Q404-Q429-Q442, "NA")</f>
        <v>-1105141.3899999992</v>
      </c>
      <c r="R443" s="24">
        <f>IFERROR(Q443/Q444, "NA")</f>
        <v>-0.20626259360153784</v>
      </c>
      <c r="S443" s="25"/>
      <c r="T443" s="23">
        <f>IFERROR(T404-T429-T442, "NA")</f>
        <v>-774702.51000000024</v>
      </c>
      <c r="U443" s="24">
        <f>IFERROR(T443/T444, "NA")</f>
        <v>-0.13734264033922744</v>
      </c>
      <c r="V443" s="25"/>
      <c r="W443" s="23">
        <f>IFERROR(Q443-T443, "NA")</f>
        <v>-330438.87999999896</v>
      </c>
      <c r="X443" s="24">
        <f>IFERROR(W443/W444, "NA")</f>
        <v>1.1687795719671605</v>
      </c>
      <c r="Y443" s="25"/>
      <c r="Z443" s="23">
        <f>IFERROR(Z404-Z429-Z442, "NA")</f>
        <v>-1314552.1900000011</v>
      </c>
      <c r="AA443" s="24">
        <f>IFERROR(Z443/Z444, "NA")</f>
        <v>-0.26302383967638138</v>
      </c>
      <c r="AB443" s="25"/>
      <c r="AC443" s="23">
        <f>IFERROR(Q443-Z443, "NA")</f>
        <v>209410.80000000191</v>
      </c>
      <c r="AD443" s="24">
        <f>IFERROR(AC443/AC444, "NA")</f>
        <v>0.5815515049493527</v>
      </c>
    </row>
    <row r="444" spans="1:30" ht="15.75" hidden="1" x14ac:dyDescent="0.45">
      <c r="A444" s="26" t="s">
        <v>117</v>
      </c>
      <c r="B444" s="7">
        <v>737046.56</v>
      </c>
      <c r="C444" s="27"/>
      <c r="D444" s="9"/>
      <c r="E444" s="7">
        <v>877991.28</v>
      </c>
      <c r="F444" s="27"/>
      <c r="G444" s="9"/>
      <c r="H444" s="10">
        <f>IFERROR(B444-E444, "NA")</f>
        <v>-140944.71999999997</v>
      </c>
      <c r="I444" s="27"/>
      <c r="J444" s="9"/>
      <c r="K444" s="7">
        <v>806804.36</v>
      </c>
      <c r="L444" s="27"/>
      <c r="M444" s="9"/>
      <c r="N444" s="10">
        <f>IFERROR(B444-K444, "NA")</f>
        <v>-69757.79999999993</v>
      </c>
      <c r="O444" s="27"/>
      <c r="P444" s="9"/>
      <c r="Q444" s="7">
        <v>5357934.13</v>
      </c>
      <c r="R444" s="27"/>
      <c r="S444" s="9"/>
      <c r="T444" s="7">
        <v>5640655.4299999997</v>
      </c>
      <c r="U444" s="27"/>
      <c r="V444" s="9"/>
      <c r="W444" s="10">
        <f>IFERROR(Q444-T444, "NA")</f>
        <v>-282721.29999999981</v>
      </c>
      <c r="X444" s="27"/>
      <c r="Y444" s="9"/>
      <c r="Z444" s="7">
        <v>4997844.2699999996</v>
      </c>
      <c r="AA444" s="27"/>
      <c r="AB444" s="9"/>
      <c r="AC444" s="10">
        <f>IFERROR(Q444-Z444, "NA")</f>
        <v>360089.86000000034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51009.55</v>
      </c>
      <c r="C350" s="8" t="str">
        <f>IFERROR(B350/B444, "NA")</f>
        <v>NA</v>
      </c>
      <c r="D350" s="9"/>
      <c r="E350" s="7">
        <v>77644</v>
      </c>
      <c r="F350" s="8" t="str">
        <f>IFERROR(E350/E444, "NA")</f>
        <v>NA</v>
      </c>
      <c r="G350" s="9"/>
      <c r="H350" s="10">
        <f t="shared" si="88"/>
        <v>26634.449999999997</v>
      </c>
      <c r="I350" s="8" t="str">
        <f>IFERROR(H350/H444, "NA")</f>
        <v>NA</v>
      </c>
      <c r="J350" s="9"/>
      <c r="K350" s="7">
        <v>70913.42</v>
      </c>
      <c r="L350" s="8" t="str">
        <f>IFERROR(K350/K444, "NA")</f>
        <v>NA</v>
      </c>
      <c r="M350" s="9"/>
      <c r="N350" s="10">
        <f t="shared" si="89"/>
        <v>19903.869999999995</v>
      </c>
      <c r="O350" s="8" t="str">
        <f>IFERROR(N350/N444, "NA")</f>
        <v>NA</v>
      </c>
      <c r="P350" s="9"/>
      <c r="Q350" s="7">
        <v>453698.53</v>
      </c>
      <c r="R350" s="8" t="str">
        <f>IFERROR(Q350/Q444, "NA")</f>
        <v>NA</v>
      </c>
      <c r="S350" s="9"/>
      <c r="T350" s="7">
        <v>598315</v>
      </c>
      <c r="U350" s="8" t="str">
        <f>IFERROR(T350/T444, "NA")</f>
        <v>NA</v>
      </c>
      <c r="V350" s="9"/>
      <c r="W350" s="10">
        <f t="shared" si="90"/>
        <v>144616.46999999997</v>
      </c>
      <c r="X350" s="8" t="str">
        <f>IFERROR(W350/W444, "NA")</f>
        <v>NA</v>
      </c>
      <c r="Y350" s="9"/>
      <c r="Z350" s="7">
        <v>471301.22</v>
      </c>
      <c r="AA350" s="8" t="str">
        <f>IFERROR(Z350/Z444, "NA")</f>
        <v>NA</v>
      </c>
      <c r="AB350" s="9"/>
      <c r="AC350" s="10">
        <f t="shared" si="91"/>
        <v>17602.689999999944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13461.55</v>
      </c>
      <c r="L352" s="8" t="str">
        <f>IFERROR(K352/K444, "NA")</f>
        <v>NA</v>
      </c>
      <c r="M352" s="9"/>
      <c r="N352" s="10">
        <f t="shared" si="89"/>
        <v>13461.55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23375</v>
      </c>
      <c r="U352" s="8" t="str">
        <f>IFERROR(T352/T444, "NA")</f>
        <v>NA</v>
      </c>
      <c r="V352" s="9"/>
      <c r="W352" s="10">
        <f t="shared" si="90"/>
        <v>23375</v>
      </c>
      <c r="X352" s="8" t="str">
        <f>IFERROR(W352/W444, "NA")</f>
        <v>NA</v>
      </c>
      <c r="Y352" s="9"/>
      <c r="Z352" s="7">
        <v>94807.76</v>
      </c>
      <c r="AA352" s="8" t="str">
        <f>IFERROR(Z352/Z444, "NA")</f>
        <v>NA</v>
      </c>
      <c r="AB352" s="9"/>
      <c r="AC352" s="10">
        <f t="shared" si="91"/>
        <v>94807.76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7813.91</v>
      </c>
      <c r="F353" s="8" t="str">
        <f>IFERROR(E353/E444, "NA")</f>
        <v>NA</v>
      </c>
      <c r="G353" s="9"/>
      <c r="H353" s="10">
        <f t="shared" si="88"/>
        <v>7813.91</v>
      </c>
      <c r="I353" s="8" t="str">
        <f>IFERROR(H353/H444, "NA")</f>
        <v>NA</v>
      </c>
      <c r="J353" s="9"/>
      <c r="K353" s="7">
        <v>6339.54</v>
      </c>
      <c r="L353" s="8" t="str">
        <f>IFERROR(K353/K444, "NA")</f>
        <v>NA</v>
      </c>
      <c r="M353" s="9"/>
      <c r="N353" s="10">
        <f t="shared" si="89"/>
        <v>6339.54</v>
      </c>
      <c r="O353" s="8" t="str">
        <f>IFERROR(N353/N444, "NA")</f>
        <v>NA</v>
      </c>
      <c r="P353" s="9"/>
      <c r="Q353" s="7">
        <v>7499.8</v>
      </c>
      <c r="R353" s="8" t="str">
        <f>IFERROR(Q353/Q444, "NA")</f>
        <v>NA</v>
      </c>
      <c r="S353" s="9"/>
      <c r="T353" s="7">
        <v>47666.14</v>
      </c>
      <c r="U353" s="8" t="str">
        <f>IFERROR(T353/T444, "NA")</f>
        <v>NA</v>
      </c>
      <c r="V353" s="9"/>
      <c r="W353" s="10">
        <f t="shared" si="90"/>
        <v>40166.339999999997</v>
      </c>
      <c r="X353" s="8" t="str">
        <f>IFERROR(W353/W444, "NA")</f>
        <v>NA</v>
      </c>
      <c r="Y353" s="9"/>
      <c r="Z353" s="7">
        <v>13083.32</v>
      </c>
      <c r="AA353" s="8" t="str">
        <f>IFERROR(Z353/Z444, "NA")</f>
        <v>NA</v>
      </c>
      <c r="AB353" s="9"/>
      <c r="AC353" s="10">
        <f t="shared" si="91"/>
        <v>5583.5199999999995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3770.05</v>
      </c>
      <c r="C354" s="8" t="str">
        <f>IFERROR(B354/B444, "NA")</f>
        <v>NA</v>
      </c>
      <c r="D354" s="9"/>
      <c r="E354" s="7">
        <v>6241.22</v>
      </c>
      <c r="F354" s="8" t="str">
        <f>IFERROR(E354/E444, "NA")</f>
        <v>NA</v>
      </c>
      <c r="G354" s="9"/>
      <c r="H354" s="10">
        <f t="shared" si="88"/>
        <v>2471.17</v>
      </c>
      <c r="I354" s="8" t="str">
        <f>IFERROR(H354/H444, "NA")</f>
        <v>NA</v>
      </c>
      <c r="J354" s="9"/>
      <c r="K354" s="7">
        <v>5333.24</v>
      </c>
      <c r="L354" s="8" t="str">
        <f>IFERROR(K354/K444, "NA")</f>
        <v>NA</v>
      </c>
      <c r="M354" s="9"/>
      <c r="N354" s="10">
        <f t="shared" si="89"/>
        <v>1563.1899999999996</v>
      </c>
      <c r="O354" s="8" t="str">
        <f>IFERROR(N354/N444, "NA")</f>
        <v>NA</v>
      </c>
      <c r="P354" s="9"/>
      <c r="Q354" s="7">
        <v>39372.86</v>
      </c>
      <c r="R354" s="8" t="str">
        <f>IFERROR(Q354/Q444, "NA")</f>
        <v>NA</v>
      </c>
      <c r="S354" s="9"/>
      <c r="T354" s="7">
        <v>51047.73</v>
      </c>
      <c r="U354" s="8" t="str">
        <f>IFERROR(T354/T444, "NA")</f>
        <v>NA</v>
      </c>
      <c r="V354" s="9"/>
      <c r="W354" s="10">
        <f t="shared" si="90"/>
        <v>11674.870000000003</v>
      </c>
      <c r="X354" s="8" t="str">
        <f>IFERROR(W354/W444, "NA")</f>
        <v>NA</v>
      </c>
      <c r="Y354" s="9"/>
      <c r="Z354" s="7">
        <v>42641.85</v>
      </c>
      <c r="AA354" s="8" t="str">
        <f>IFERROR(Z354/Z444, "NA")</f>
        <v>NA</v>
      </c>
      <c r="AB354" s="9"/>
      <c r="AC354" s="10">
        <f t="shared" si="91"/>
        <v>3268.989999999998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233.2</v>
      </c>
      <c r="C355" s="8" t="str">
        <f>IFERROR(B355/B444, "NA")</f>
        <v>NA</v>
      </c>
      <c r="D355" s="9"/>
      <c r="E355" s="7">
        <v>350</v>
      </c>
      <c r="F355" s="8" t="str">
        <f>IFERROR(E355/E444, "NA")</f>
        <v>NA</v>
      </c>
      <c r="G355" s="9"/>
      <c r="H355" s="10">
        <f t="shared" si="88"/>
        <v>116.80000000000001</v>
      </c>
      <c r="I355" s="8" t="str">
        <f>IFERROR(H355/H444, "NA")</f>
        <v>NA</v>
      </c>
      <c r="J355" s="9"/>
      <c r="K355" s="7">
        <v>275.60000000000002</v>
      </c>
      <c r="L355" s="8" t="str">
        <f>IFERROR(K355/K444, "NA")</f>
        <v>NA</v>
      </c>
      <c r="M355" s="9"/>
      <c r="N355" s="10">
        <f t="shared" si="89"/>
        <v>42.400000000000034</v>
      </c>
      <c r="O355" s="8" t="str">
        <f>IFERROR(N355/N444, "NA")</f>
        <v>NA</v>
      </c>
      <c r="P355" s="9"/>
      <c r="Q355" s="7">
        <v>2045.8</v>
      </c>
      <c r="R355" s="8" t="str">
        <f>IFERROR(Q355/Q444, "NA")</f>
        <v>NA</v>
      </c>
      <c r="S355" s="9"/>
      <c r="T355" s="7">
        <v>2730</v>
      </c>
      <c r="U355" s="8" t="str">
        <f>IFERROR(T355/T444, "NA")</f>
        <v>NA</v>
      </c>
      <c r="V355" s="9"/>
      <c r="W355" s="10">
        <f t="shared" si="90"/>
        <v>684.2</v>
      </c>
      <c r="X355" s="8" t="str">
        <f>IFERROR(W355/W444, "NA")</f>
        <v>NA</v>
      </c>
      <c r="Y355" s="9"/>
      <c r="Z355" s="7">
        <v>2090.3200000000002</v>
      </c>
      <c r="AA355" s="8" t="str">
        <f>IFERROR(Z355/Z444, "NA")</f>
        <v>NA</v>
      </c>
      <c r="AB355" s="9"/>
      <c r="AC355" s="10">
        <f t="shared" si="91"/>
        <v>44.520000000000209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-23812.5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30000</v>
      </c>
      <c r="I356" s="8" t="str">
        <f>IFERROR(H356/H444, "NA")</f>
        <v>NA</v>
      </c>
      <c r="J356" s="9"/>
      <c r="K356" s="7">
        <v>1000</v>
      </c>
      <c r="L356" s="8" t="str">
        <f>IFERROR(K356/K444, "NA")</f>
        <v>NA</v>
      </c>
      <c r="M356" s="9"/>
      <c r="N356" s="10">
        <f t="shared" si="89"/>
        <v>24812.5</v>
      </c>
      <c r="O356" s="8" t="str">
        <f>IFERROR(N356/N444, "NA")</f>
        <v>NA</v>
      </c>
      <c r="P356" s="9"/>
      <c r="Q356" s="7">
        <v>21375</v>
      </c>
      <c r="R356" s="8" t="str">
        <f>IFERROR(Q356/Q444, "NA")</f>
        <v>NA</v>
      </c>
      <c r="S356" s="9"/>
      <c r="T356" s="7">
        <v>55687.5</v>
      </c>
      <c r="U356" s="8" t="str">
        <f>IFERROR(T356/T444, "NA")</f>
        <v>NA</v>
      </c>
      <c r="V356" s="9"/>
      <c r="W356" s="10">
        <f t="shared" si="90"/>
        <v>34312.5</v>
      </c>
      <c r="X356" s="8" t="str">
        <f>IFERROR(W356/W444, "NA")</f>
        <v>NA</v>
      </c>
      <c r="Y356" s="9"/>
      <c r="Z356" s="7">
        <v>12800</v>
      </c>
      <c r="AA356" s="8" t="str">
        <f>IFERROR(Z356/Z444, "NA")</f>
        <v>NA</v>
      </c>
      <c r="AB356" s="9"/>
      <c r="AC356" s="10">
        <f t="shared" si="91"/>
        <v>-8575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3217.47</v>
      </c>
      <c r="C357" s="8" t="str">
        <f>IFERROR(B357/B444, "NA")</f>
        <v>NA</v>
      </c>
      <c r="D357" s="9"/>
      <c r="E357" s="7">
        <v>3183.4</v>
      </c>
      <c r="F357" s="8" t="str">
        <f>IFERROR(E357/E444, "NA")</f>
        <v>NA</v>
      </c>
      <c r="G357" s="9"/>
      <c r="H357" s="10">
        <f t="shared" si="88"/>
        <v>-34.069999999999709</v>
      </c>
      <c r="I357" s="8" t="str">
        <f>IFERROR(H357/H444, "NA")</f>
        <v>NA</v>
      </c>
      <c r="J357" s="9"/>
      <c r="K357" s="7">
        <v>2439.61</v>
      </c>
      <c r="L357" s="8" t="str">
        <f>IFERROR(K357/K444, "NA")</f>
        <v>NA</v>
      </c>
      <c r="M357" s="9"/>
      <c r="N357" s="10">
        <f t="shared" si="89"/>
        <v>-777.85999999999967</v>
      </c>
      <c r="O357" s="8" t="str">
        <f>IFERROR(N357/N444, "NA")</f>
        <v>NA</v>
      </c>
      <c r="P357" s="9"/>
      <c r="Q357" s="7">
        <v>31288.83</v>
      </c>
      <c r="R357" s="8" t="str">
        <f>IFERROR(Q357/Q444, "NA")</f>
        <v>NA</v>
      </c>
      <c r="S357" s="9"/>
      <c r="T357" s="7">
        <v>24530.92</v>
      </c>
      <c r="U357" s="8" t="str">
        <f>IFERROR(T357/T444, "NA")</f>
        <v>NA</v>
      </c>
      <c r="V357" s="9"/>
      <c r="W357" s="10">
        <f t="shared" si="90"/>
        <v>-6757.9100000000035</v>
      </c>
      <c r="X357" s="8" t="str">
        <f>IFERROR(W357/W444, "NA")</f>
        <v>NA</v>
      </c>
      <c r="Y357" s="9"/>
      <c r="Z357" s="7">
        <v>22797.99</v>
      </c>
      <c r="AA357" s="8" t="str">
        <f>IFERROR(Z357/Z444, "NA")</f>
        <v>NA</v>
      </c>
      <c r="AB357" s="9"/>
      <c r="AC357" s="10">
        <f t="shared" si="91"/>
        <v>-8490.84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34417.770000000004</v>
      </c>
      <c r="C358" s="15" t="str">
        <f>IFERROR(B358/B444, "NA")</f>
        <v>NA</v>
      </c>
      <c r="D358" s="2"/>
      <c r="E358" s="14">
        <f>IFERROR(E349+E350+E351+E352+E353+E354+E355+E356+E357, "NA")</f>
        <v>101420.03</v>
      </c>
      <c r="F358" s="15" t="str">
        <f>IFERROR(E358/E444, "NA")</f>
        <v>NA</v>
      </c>
      <c r="G358" s="2"/>
      <c r="H358" s="14">
        <f t="shared" si="88"/>
        <v>67002.259999999995</v>
      </c>
      <c r="I358" s="15" t="str">
        <f>IFERROR(H358/H444, "NA")</f>
        <v>NA</v>
      </c>
      <c r="J358" s="2"/>
      <c r="K358" s="14">
        <f>IFERROR(K349+K350+K351+K352+K353+K354+K355+K356+K357, "NA")</f>
        <v>99762.96</v>
      </c>
      <c r="L358" s="15" t="str">
        <f>IFERROR(K358/K444, "NA")</f>
        <v>NA</v>
      </c>
      <c r="M358" s="2"/>
      <c r="N358" s="14">
        <f t="shared" si="89"/>
        <v>65345.19</v>
      </c>
      <c r="O358" s="15" t="str">
        <f>IFERROR(N358/N444, "NA")</f>
        <v>NA</v>
      </c>
      <c r="P358" s="2"/>
      <c r="Q358" s="14">
        <f>IFERROR(Q349+Q350+Q351+Q352+Q353+Q354+Q355+Q356+Q357, "NA")</f>
        <v>555280.81999999995</v>
      </c>
      <c r="R358" s="15" t="str">
        <f>IFERROR(Q358/Q444, "NA")</f>
        <v>NA</v>
      </c>
      <c r="S358" s="2"/>
      <c r="T358" s="14">
        <f>IFERROR(T349+T350+T351+T352+T353+T354+T355+T356+T357, "NA")</f>
        <v>803352.29</v>
      </c>
      <c r="U358" s="15" t="str">
        <f>IFERROR(T358/T444, "NA")</f>
        <v>NA</v>
      </c>
      <c r="V358" s="2"/>
      <c r="W358" s="14">
        <f t="shared" si="90"/>
        <v>248071.47000000009</v>
      </c>
      <c r="X358" s="15" t="str">
        <f>IFERROR(W358/W444, "NA")</f>
        <v>NA</v>
      </c>
      <c r="Y358" s="2"/>
      <c r="Z358" s="14">
        <f>IFERROR(Z349+Z350+Z351+Z352+Z353+Z354+Z355+Z356+Z357, "NA")</f>
        <v>659522.45999999985</v>
      </c>
      <c r="AA358" s="15" t="str">
        <f>IFERROR(Z358/Z444, "NA")</f>
        <v>NA</v>
      </c>
      <c r="AB358" s="2"/>
      <c r="AC358" s="14">
        <f t="shared" si="91"/>
        <v>104241.6399999999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13000</v>
      </c>
      <c r="U360" s="8" t="str">
        <f>IFERROR(T360/T444, "NA")</f>
        <v>NA</v>
      </c>
      <c r="V360" s="9"/>
      <c r="W360" s="10">
        <f t="shared" ref="W360:W383" si="94">IFERROR(-(Q360-T360), "NA")</f>
        <v>13000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410.68</v>
      </c>
      <c r="L361" s="8" t="str">
        <f>IFERROR(K361/K444, "NA")</f>
        <v>NA</v>
      </c>
      <c r="M361" s="9"/>
      <c r="N361" s="10">
        <f t="shared" si="93"/>
        <v>410.68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3606.01</v>
      </c>
      <c r="AA361" s="8" t="str">
        <f>IFERROR(Z361/Z444, "NA")</f>
        <v>NA</v>
      </c>
      <c r="AB361" s="9"/>
      <c r="AC361" s="10">
        <f t="shared" si="95"/>
        <v>3606.01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718.06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-318.05999999999995</v>
      </c>
      <c r="I362" s="8" t="str">
        <f>IFERROR(H362/H444, "NA")</f>
        <v>NA</v>
      </c>
      <c r="J362" s="9"/>
      <c r="K362" s="7">
        <v>969.52</v>
      </c>
      <c r="L362" s="8" t="str">
        <f>IFERROR(K362/K444, "NA")</f>
        <v>NA</v>
      </c>
      <c r="M362" s="9"/>
      <c r="N362" s="10">
        <f t="shared" si="93"/>
        <v>251.46000000000004</v>
      </c>
      <c r="O362" s="8" t="str">
        <f>IFERROR(N362/N444, "NA")</f>
        <v>NA</v>
      </c>
      <c r="P362" s="9"/>
      <c r="Q362" s="7">
        <v>6900.16</v>
      </c>
      <c r="R362" s="8" t="str">
        <f>IFERROR(Q362/Q444, "NA")</f>
        <v>NA</v>
      </c>
      <c r="S362" s="9"/>
      <c r="T362" s="7">
        <v>4000</v>
      </c>
      <c r="U362" s="8" t="str">
        <f>IFERROR(T362/T444, "NA")</f>
        <v>NA</v>
      </c>
      <c r="V362" s="9"/>
      <c r="W362" s="10">
        <f t="shared" si="94"/>
        <v>-2900.16</v>
      </c>
      <c r="X362" s="8" t="str">
        <f>IFERROR(W362/W444, "NA")</f>
        <v>NA</v>
      </c>
      <c r="Y362" s="9"/>
      <c r="Z362" s="7">
        <v>5239.63</v>
      </c>
      <c r="AA362" s="8" t="str">
        <f>IFERROR(Z362/Z444, "NA")</f>
        <v>NA</v>
      </c>
      <c r="AB362" s="9"/>
      <c r="AC362" s="10">
        <f t="shared" si="95"/>
        <v>-1660.5299999999997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1278.28</v>
      </c>
      <c r="C363" s="8" t="str">
        <f>IFERROR(B363/B444, "NA")</f>
        <v>NA</v>
      </c>
      <c r="D363" s="9"/>
      <c r="E363" s="7">
        <v>250</v>
      </c>
      <c r="F363" s="8" t="str">
        <f>IFERROR(E363/E444, "NA")</f>
        <v>NA</v>
      </c>
      <c r="G363" s="9"/>
      <c r="H363" s="10">
        <f t="shared" si="92"/>
        <v>-1028.28</v>
      </c>
      <c r="I363" s="8" t="str">
        <f>IFERROR(H363/H444, "NA")</f>
        <v>NA</v>
      </c>
      <c r="J363" s="9"/>
      <c r="K363" s="7">
        <v>408.97</v>
      </c>
      <c r="L363" s="8" t="str">
        <f>IFERROR(K363/K444, "NA")</f>
        <v>NA</v>
      </c>
      <c r="M363" s="9"/>
      <c r="N363" s="10">
        <f t="shared" si="93"/>
        <v>-869.31</v>
      </c>
      <c r="O363" s="8" t="str">
        <f>IFERROR(N363/N444, "NA")</f>
        <v>NA</v>
      </c>
      <c r="P363" s="9"/>
      <c r="Q363" s="7">
        <v>8407.48</v>
      </c>
      <c r="R363" s="8" t="str">
        <f>IFERROR(Q363/Q444, "NA")</f>
        <v>NA</v>
      </c>
      <c r="S363" s="9"/>
      <c r="T363" s="7">
        <v>1950</v>
      </c>
      <c r="U363" s="8" t="str">
        <f>IFERROR(T363/T444, "NA")</f>
        <v>NA</v>
      </c>
      <c r="V363" s="9"/>
      <c r="W363" s="10">
        <f t="shared" si="94"/>
        <v>-6457.48</v>
      </c>
      <c r="X363" s="8" t="str">
        <f>IFERROR(W363/W444, "NA")</f>
        <v>NA</v>
      </c>
      <c r="Y363" s="9"/>
      <c r="Z363" s="7">
        <v>17962.259999999998</v>
      </c>
      <c r="AA363" s="8" t="str">
        <f>IFERROR(Z363/Z444, "NA")</f>
        <v>NA</v>
      </c>
      <c r="AB363" s="9"/>
      <c r="AC363" s="10">
        <f t="shared" si="95"/>
        <v>9554.7799999999988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447.23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-447.23</v>
      </c>
      <c r="I364" s="8" t="str">
        <f>IFERROR(H364/H444, "NA")</f>
        <v>NA</v>
      </c>
      <c r="J364" s="9"/>
      <c r="K364" s="7">
        <v>2606.66</v>
      </c>
      <c r="L364" s="8" t="str">
        <f>IFERROR(K364/K444, "NA")</f>
        <v>NA</v>
      </c>
      <c r="M364" s="9"/>
      <c r="N364" s="10">
        <f t="shared" si="93"/>
        <v>2159.4299999999998</v>
      </c>
      <c r="O364" s="8" t="str">
        <f>IFERROR(N364/N444, "NA")</f>
        <v>NA</v>
      </c>
      <c r="P364" s="9"/>
      <c r="Q364" s="7">
        <v>5880.55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-5880.55</v>
      </c>
      <c r="X364" s="8" t="str">
        <f>IFERROR(W364/W444, "NA")</f>
        <v>NA</v>
      </c>
      <c r="Y364" s="9"/>
      <c r="Z364" s="7">
        <v>9706.77</v>
      </c>
      <c r="AA364" s="8" t="str">
        <f>IFERROR(Z364/Z444, "NA")</f>
        <v>NA</v>
      </c>
      <c r="AB364" s="9"/>
      <c r="AC364" s="10">
        <f t="shared" si="95"/>
        <v>3826.2200000000003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420</v>
      </c>
      <c r="F365" s="8" t="str">
        <f>IFERROR(E365/E444, "NA")</f>
        <v>NA</v>
      </c>
      <c r="G365" s="9"/>
      <c r="H365" s="10">
        <f t="shared" si="92"/>
        <v>420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0</v>
      </c>
      <c r="O365" s="8" t="str">
        <f>IFERROR(N365/N444, "NA")</f>
        <v>NA</v>
      </c>
      <c r="P365" s="9"/>
      <c r="Q365" s="7">
        <v>4530.6400000000003</v>
      </c>
      <c r="R365" s="8" t="str">
        <f>IFERROR(Q365/Q444, "NA")</f>
        <v>NA</v>
      </c>
      <c r="S365" s="9"/>
      <c r="T365" s="7">
        <v>1890</v>
      </c>
      <c r="U365" s="8" t="str">
        <f>IFERROR(T365/T444, "NA")</f>
        <v>NA</v>
      </c>
      <c r="V365" s="9"/>
      <c r="W365" s="10">
        <f t="shared" si="94"/>
        <v>-2640.6400000000003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-4530.6400000000003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0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345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0</v>
      </c>
      <c r="O366" s="8" t="str">
        <f>IFERROR(N366/N444, "NA")</f>
        <v>NA</v>
      </c>
      <c r="P366" s="9"/>
      <c r="Q366" s="7">
        <v>3885.47</v>
      </c>
      <c r="R366" s="8" t="str">
        <f>IFERROR(Q366/Q444, "NA")</f>
        <v>NA</v>
      </c>
      <c r="S366" s="9"/>
      <c r="T366" s="7">
        <v>2760</v>
      </c>
      <c r="U366" s="8" t="str">
        <f>IFERROR(T366/T444, "NA")</f>
        <v>NA</v>
      </c>
      <c r="V366" s="9"/>
      <c r="W366" s="10">
        <f t="shared" si="94"/>
        <v>-1125.4699999999998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-3885.47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8539.77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-8539.77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-8539.77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2443.5699999999997</v>
      </c>
      <c r="C368" s="15" t="str">
        <f>IFERROR(B368/B444, "NA")</f>
        <v>NA</v>
      </c>
      <c r="D368" s="2"/>
      <c r="E368" s="14">
        <f>IFERROR(E360+E361+E362+E363+E364+E365+E366+E367, "NA")</f>
        <v>2915</v>
      </c>
      <c r="F368" s="15" t="str">
        <f>IFERROR(E368/E444, "NA")</f>
        <v>NA</v>
      </c>
      <c r="G368" s="2"/>
      <c r="H368" s="14">
        <f t="shared" si="92"/>
        <v>471.43000000000029</v>
      </c>
      <c r="I368" s="15" t="str">
        <f>IFERROR(H368/H444, "NA")</f>
        <v>NA</v>
      </c>
      <c r="J368" s="2"/>
      <c r="K368" s="14">
        <f>IFERROR(K360+K361+K362+K363+K364+K365+K366+K367, "NA")</f>
        <v>4395.83</v>
      </c>
      <c r="L368" s="15" t="str">
        <f>IFERROR(K368/K444, "NA")</f>
        <v>NA</v>
      </c>
      <c r="M368" s="2"/>
      <c r="N368" s="14">
        <f t="shared" si="93"/>
        <v>1952.2600000000002</v>
      </c>
      <c r="O368" s="15" t="str">
        <f>IFERROR(N368/N444, "NA")</f>
        <v>NA</v>
      </c>
      <c r="P368" s="2"/>
      <c r="Q368" s="14">
        <f>IFERROR(Q360+Q361+Q362+Q363+Q364+Q365+Q366+Q367, "NA")</f>
        <v>38144.07</v>
      </c>
      <c r="R368" s="15" t="str">
        <f>IFERROR(Q368/Q444, "NA")</f>
        <v>NA</v>
      </c>
      <c r="S368" s="2"/>
      <c r="T368" s="14">
        <f>IFERROR(T360+T361+T362+T363+T364+T365+T366+T367, "NA")</f>
        <v>23600</v>
      </c>
      <c r="U368" s="15" t="str">
        <f>IFERROR(T368/T444, "NA")</f>
        <v>NA</v>
      </c>
      <c r="V368" s="2"/>
      <c r="W368" s="14">
        <f t="shared" si="94"/>
        <v>-14544.07</v>
      </c>
      <c r="X368" s="15" t="str">
        <f>IFERROR(W368/W444, "NA")</f>
        <v>NA</v>
      </c>
      <c r="Y368" s="2"/>
      <c r="Z368" s="14">
        <f>IFERROR(Z360+Z361+Z362+Z363+Z364+Z365+Z366+Z367, "NA")</f>
        <v>36514.67</v>
      </c>
      <c r="AA368" s="15" t="str">
        <f>IFERROR(Z368/Z444, "NA")</f>
        <v>NA</v>
      </c>
      <c r="AB368" s="2"/>
      <c r="AC368" s="14">
        <f t="shared" si="95"/>
        <v>-1629.4000000000015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162.13999999999999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472.86</v>
      </c>
      <c r="I370" s="8" t="str">
        <f>IFERROR(H370/H444, "NA")</f>
        <v>NA</v>
      </c>
      <c r="J370" s="9"/>
      <c r="K370" s="7">
        <v>721.67</v>
      </c>
      <c r="L370" s="8" t="str">
        <f>IFERROR(K370/K444, "NA")</f>
        <v>NA</v>
      </c>
      <c r="M370" s="9"/>
      <c r="N370" s="10">
        <f t="shared" si="93"/>
        <v>559.53</v>
      </c>
      <c r="O370" s="8" t="str">
        <f>IFERROR(N370/N444, "NA")</f>
        <v>NA</v>
      </c>
      <c r="P370" s="9"/>
      <c r="Q370" s="7">
        <v>1969.49</v>
      </c>
      <c r="R370" s="8" t="str">
        <f>IFERROR(Q370/Q444, "NA")</f>
        <v>NA</v>
      </c>
      <c r="S370" s="9"/>
      <c r="T370" s="7">
        <v>5715</v>
      </c>
      <c r="U370" s="8" t="str">
        <f>IFERROR(T370/T444, "NA")</f>
        <v>NA</v>
      </c>
      <c r="V370" s="9"/>
      <c r="W370" s="10">
        <f t="shared" si="94"/>
        <v>3745.51</v>
      </c>
      <c r="X370" s="8" t="str">
        <f>IFERROR(W370/W444, "NA")</f>
        <v>NA</v>
      </c>
      <c r="Y370" s="9"/>
      <c r="Z370" s="7">
        <v>5714.27</v>
      </c>
      <c r="AA370" s="8" t="str">
        <f>IFERROR(Z370/Z444, "NA")</f>
        <v>NA</v>
      </c>
      <c r="AB370" s="9"/>
      <c r="AC370" s="10">
        <f t="shared" si="95"/>
        <v>3744.7800000000007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586.89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-486.89</v>
      </c>
      <c r="I371" s="8" t="str">
        <f>IFERROR(H371/H444, "NA")</f>
        <v>NA</v>
      </c>
      <c r="J371" s="9"/>
      <c r="K371" s="7">
        <v>420.54</v>
      </c>
      <c r="L371" s="8" t="str">
        <f>IFERROR(K371/K444, "NA")</f>
        <v>NA</v>
      </c>
      <c r="M371" s="9"/>
      <c r="N371" s="10">
        <f t="shared" si="93"/>
        <v>-166.34999999999997</v>
      </c>
      <c r="O371" s="8" t="str">
        <f>IFERROR(N371/N444, "NA")</f>
        <v>NA</v>
      </c>
      <c r="P371" s="9"/>
      <c r="Q371" s="7">
        <v>5033.37</v>
      </c>
      <c r="R371" s="8" t="str">
        <f>IFERROR(Q371/Q444, "NA")</f>
        <v>NA</v>
      </c>
      <c r="S371" s="9"/>
      <c r="T371" s="7">
        <v>900</v>
      </c>
      <c r="U371" s="8" t="str">
        <f>IFERROR(T371/T444, "NA")</f>
        <v>NA</v>
      </c>
      <c r="V371" s="9"/>
      <c r="W371" s="10">
        <f t="shared" si="94"/>
        <v>-4133.37</v>
      </c>
      <c r="X371" s="8" t="str">
        <f>IFERROR(W371/W444, "NA")</f>
        <v>NA</v>
      </c>
      <c r="Y371" s="9"/>
      <c r="Z371" s="7">
        <v>4548.97</v>
      </c>
      <c r="AA371" s="8" t="str">
        <f>IFERROR(Z371/Z444, "NA")</f>
        <v>NA</v>
      </c>
      <c r="AB371" s="9"/>
      <c r="AC371" s="10">
        <f t="shared" si="95"/>
        <v>-484.39999999999964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-277.17</v>
      </c>
      <c r="O372" s="8" t="str">
        <f>IFERROR(N372/N444, "NA")</f>
        <v>NA</v>
      </c>
      <c r="P372" s="9"/>
      <c r="Q372" s="7">
        <v>3237.36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262.63999999999987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212.63999999999987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1020.68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-695.68</v>
      </c>
      <c r="I373" s="8" t="str">
        <f>IFERROR(H373/H444, "NA")</f>
        <v>NA</v>
      </c>
      <c r="J373" s="9"/>
      <c r="K373" s="7">
        <v>324.5</v>
      </c>
      <c r="L373" s="8" t="str">
        <f>IFERROR(K373/K444, "NA")</f>
        <v>NA</v>
      </c>
      <c r="M373" s="9"/>
      <c r="N373" s="10">
        <f t="shared" si="93"/>
        <v>-696.18</v>
      </c>
      <c r="O373" s="8" t="str">
        <f>IFERROR(N373/N444, "NA")</f>
        <v>NA</v>
      </c>
      <c r="P373" s="9"/>
      <c r="Q373" s="7">
        <v>6307.5</v>
      </c>
      <c r="R373" s="8" t="str">
        <f>IFERROR(Q373/Q444, "NA")</f>
        <v>NA</v>
      </c>
      <c r="S373" s="9"/>
      <c r="T373" s="7">
        <v>2925</v>
      </c>
      <c r="U373" s="8" t="str">
        <f>IFERROR(T373/T444, "NA")</f>
        <v>NA</v>
      </c>
      <c r="V373" s="9"/>
      <c r="W373" s="10">
        <f t="shared" si="94"/>
        <v>-3382.5</v>
      </c>
      <c r="X373" s="8" t="str">
        <f>IFERROR(W373/W444, "NA")</f>
        <v>NA</v>
      </c>
      <c r="Y373" s="9"/>
      <c r="Z373" s="7">
        <v>6737.25</v>
      </c>
      <c r="AA373" s="8" t="str">
        <f>IFERROR(Z373/Z444, "NA")</f>
        <v>NA</v>
      </c>
      <c r="AB373" s="9"/>
      <c r="AC373" s="10">
        <f t="shared" si="95"/>
        <v>429.75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18182.13</v>
      </c>
      <c r="R374" s="8" t="str">
        <f>IFERROR(Q374/Q444, "NA")</f>
        <v>NA</v>
      </c>
      <c r="S374" s="9"/>
      <c r="T374" s="7">
        <v>17100</v>
      </c>
      <c r="U374" s="8" t="str">
        <f>IFERROR(T374/T444, "NA")</f>
        <v>NA</v>
      </c>
      <c r="V374" s="9"/>
      <c r="W374" s="10">
        <f t="shared" si="94"/>
        <v>-1082.130000000001</v>
      </c>
      <c r="X374" s="8" t="str">
        <f>IFERROR(W374/W444, "NA")</f>
        <v>NA</v>
      </c>
      <c r="Y374" s="9"/>
      <c r="Z374" s="7">
        <v>16414.740000000002</v>
      </c>
      <c r="AA374" s="8" t="str">
        <f>IFERROR(Z374/Z444, "NA")</f>
        <v>NA</v>
      </c>
      <c r="AB374" s="9"/>
      <c r="AC374" s="10">
        <f t="shared" si="95"/>
        <v>-1767.3899999999994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360</v>
      </c>
      <c r="L375" s="8" t="str">
        <f>IFERROR(K375/K444, "NA")</f>
        <v>NA</v>
      </c>
      <c r="M375" s="9"/>
      <c r="N375" s="10">
        <f t="shared" si="93"/>
        <v>360</v>
      </c>
      <c r="O375" s="8" t="str">
        <f>IFERROR(N375/N444, "NA")</f>
        <v>NA</v>
      </c>
      <c r="P375" s="9"/>
      <c r="Q375" s="7">
        <v>3934.08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-3934.08</v>
      </c>
      <c r="X375" s="8" t="str">
        <f>IFERROR(W375/W444, "NA")</f>
        <v>NA</v>
      </c>
      <c r="Y375" s="9"/>
      <c r="Z375" s="7">
        <v>1344.99</v>
      </c>
      <c r="AA375" s="8" t="str">
        <f>IFERROR(Z375/Z444, "NA")</f>
        <v>NA</v>
      </c>
      <c r="AB375" s="9"/>
      <c r="AC375" s="10">
        <f t="shared" si="95"/>
        <v>-2589.09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-1900.88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1900.88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1900.88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12870.9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-4400.57</v>
      </c>
      <c r="I378" s="8" t="str">
        <f>IFERROR(H378/H444, "NA")</f>
        <v>NA</v>
      </c>
      <c r="J378" s="9"/>
      <c r="K378" s="7">
        <v>11108.59</v>
      </c>
      <c r="L378" s="8" t="str">
        <f>IFERROR(K378/K444, "NA")</f>
        <v>NA</v>
      </c>
      <c r="M378" s="9"/>
      <c r="N378" s="10">
        <f t="shared" si="93"/>
        <v>-1762.3099999999995</v>
      </c>
      <c r="O378" s="8" t="str">
        <f>IFERROR(N378/N444, "NA")</f>
        <v>NA</v>
      </c>
      <c r="P378" s="9"/>
      <c r="Q378" s="7">
        <v>87172.52</v>
      </c>
      <c r="R378" s="8" t="str">
        <f>IFERROR(Q378/Q444, "NA")</f>
        <v>NA</v>
      </c>
      <c r="S378" s="9"/>
      <c r="T378" s="7">
        <v>76232.97</v>
      </c>
      <c r="U378" s="8" t="str">
        <f>IFERROR(T378/T444, "NA")</f>
        <v>NA</v>
      </c>
      <c r="V378" s="9"/>
      <c r="W378" s="10">
        <f t="shared" si="94"/>
        <v>-10939.550000000003</v>
      </c>
      <c r="X378" s="8" t="str">
        <f>IFERROR(W378/W444, "NA")</f>
        <v>NA</v>
      </c>
      <c r="Y378" s="9"/>
      <c r="Z378" s="7">
        <v>58719.95</v>
      </c>
      <c r="AA378" s="8" t="str">
        <f>IFERROR(Z378/Z444, "NA")</f>
        <v>NA</v>
      </c>
      <c r="AB378" s="9"/>
      <c r="AC378" s="10">
        <f t="shared" si="95"/>
        <v>-28452.570000000007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67.73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132.26999999999998</v>
      </c>
      <c r="I379" s="8" t="str">
        <f>IFERROR(H379/H444, "NA")</f>
        <v>NA</v>
      </c>
      <c r="J379" s="9"/>
      <c r="K379" s="7">
        <v>467.04</v>
      </c>
      <c r="L379" s="8" t="str">
        <f>IFERROR(K379/K444, "NA")</f>
        <v>NA</v>
      </c>
      <c r="M379" s="9"/>
      <c r="N379" s="10">
        <f t="shared" si="93"/>
        <v>399.31</v>
      </c>
      <c r="O379" s="8" t="str">
        <f>IFERROR(N379/N444, "NA")</f>
        <v>NA</v>
      </c>
      <c r="P379" s="9"/>
      <c r="Q379" s="7">
        <v>7017.09</v>
      </c>
      <c r="R379" s="8" t="str">
        <f>IFERROR(Q379/Q444, "NA")</f>
        <v>NA</v>
      </c>
      <c r="S379" s="9"/>
      <c r="T379" s="7">
        <v>1800</v>
      </c>
      <c r="U379" s="8" t="str">
        <f>IFERROR(T379/T444, "NA")</f>
        <v>NA</v>
      </c>
      <c r="V379" s="9"/>
      <c r="W379" s="10">
        <f t="shared" si="94"/>
        <v>-5217.09</v>
      </c>
      <c r="X379" s="8" t="str">
        <f>IFERROR(W379/W444, "NA")</f>
        <v>NA</v>
      </c>
      <c r="Y379" s="9"/>
      <c r="Z379" s="7">
        <v>3727.03</v>
      </c>
      <c r="AA379" s="8" t="str">
        <f>IFERROR(Z379/Z444, "NA")</f>
        <v>NA</v>
      </c>
      <c r="AB379" s="9"/>
      <c r="AC379" s="10">
        <f t="shared" si="95"/>
        <v>-3290.06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-300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104700</v>
      </c>
      <c r="R380" s="8" t="str">
        <f>IFERROR(Q380/Q444, "NA")</f>
        <v>NA</v>
      </c>
      <c r="S380" s="9"/>
      <c r="T380" s="7">
        <v>103500</v>
      </c>
      <c r="U380" s="8" t="str">
        <f>IFERROR(T380/T444, "NA")</f>
        <v>NA</v>
      </c>
      <c r="V380" s="9"/>
      <c r="W380" s="10">
        <f t="shared" si="94"/>
        <v>-1200</v>
      </c>
      <c r="X380" s="8" t="str">
        <f>IFERROR(W380/W444, "NA")</f>
        <v>NA</v>
      </c>
      <c r="Y380" s="9"/>
      <c r="Z380" s="7">
        <v>103500</v>
      </c>
      <c r="AA380" s="8" t="str">
        <f>IFERROR(Z380/Z444, "NA")</f>
        <v>NA</v>
      </c>
      <c r="AB380" s="9"/>
      <c r="AC380" s="10">
        <f t="shared" si="95"/>
        <v>-1200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4000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0</v>
      </c>
      <c r="I381" s="8" t="str">
        <f>IFERROR(H381/H444, "NA")</f>
        <v>NA</v>
      </c>
      <c r="J381" s="9"/>
      <c r="K381" s="7">
        <v>4167</v>
      </c>
      <c r="L381" s="8" t="str">
        <f>IFERROR(K381/K444, "NA")</f>
        <v>NA</v>
      </c>
      <c r="M381" s="9"/>
      <c r="N381" s="10">
        <f t="shared" si="93"/>
        <v>167</v>
      </c>
      <c r="O381" s="8" t="str">
        <f>IFERROR(N381/N444, "NA")</f>
        <v>NA</v>
      </c>
      <c r="P381" s="9"/>
      <c r="Q381" s="7">
        <v>50365.26</v>
      </c>
      <c r="R381" s="8" t="str">
        <f>IFERROR(Q381/Q444, "NA")</f>
        <v>NA</v>
      </c>
      <c r="S381" s="9"/>
      <c r="T381" s="7">
        <v>36000</v>
      </c>
      <c r="U381" s="8" t="str">
        <f>IFERROR(T381/T444, "NA")</f>
        <v>NA</v>
      </c>
      <c r="V381" s="9"/>
      <c r="W381" s="10">
        <f t="shared" si="94"/>
        <v>-14365.260000000002</v>
      </c>
      <c r="X381" s="8" t="str">
        <f>IFERROR(W381/W444, "NA")</f>
        <v>NA</v>
      </c>
      <c r="Y381" s="9"/>
      <c r="Z381" s="7">
        <v>99224.07</v>
      </c>
      <c r="AA381" s="8" t="str">
        <f>IFERROR(Z381/Z444, "NA")</f>
        <v>NA</v>
      </c>
      <c r="AB381" s="9"/>
      <c r="AC381" s="10">
        <f t="shared" si="95"/>
        <v>48858.810000000005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184.71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610.29</v>
      </c>
      <c r="I382" s="8" t="str">
        <f>IFERROR(H382/H444, "NA")</f>
        <v>NA</v>
      </c>
      <c r="J382" s="9"/>
      <c r="K382" s="7">
        <v>337.08</v>
      </c>
      <c r="L382" s="8" t="str">
        <f>IFERROR(K382/K444, "NA")</f>
        <v>NA</v>
      </c>
      <c r="M382" s="9"/>
      <c r="N382" s="10">
        <f t="shared" si="93"/>
        <v>152.36999999999998</v>
      </c>
      <c r="O382" s="8" t="str">
        <f>IFERROR(N382/N444, "NA")</f>
        <v>NA</v>
      </c>
      <c r="P382" s="9"/>
      <c r="Q382" s="7">
        <v>5393.62</v>
      </c>
      <c r="R382" s="8" t="str">
        <f>IFERROR(Q382/Q444, "NA")</f>
        <v>NA</v>
      </c>
      <c r="S382" s="9"/>
      <c r="T382" s="7">
        <v>7155</v>
      </c>
      <c r="U382" s="8" t="str">
        <f>IFERROR(T382/T444, "NA")</f>
        <v>NA</v>
      </c>
      <c r="V382" s="9"/>
      <c r="W382" s="10">
        <f t="shared" si="94"/>
        <v>1761.38</v>
      </c>
      <c r="X382" s="8" t="str">
        <f>IFERROR(W382/W444, "NA")</f>
        <v>NA</v>
      </c>
      <c r="Y382" s="9"/>
      <c r="Z382" s="7">
        <v>2507.25</v>
      </c>
      <c r="AA382" s="8" t="str">
        <f>IFERROR(Z382/Z444, "NA")</f>
        <v>NA</v>
      </c>
      <c r="AB382" s="9"/>
      <c r="AC382" s="10">
        <f t="shared" si="95"/>
        <v>-2886.37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339.55</v>
      </c>
      <c r="C385" s="8" t="str">
        <f>IFERROR(B385/B444, "NA")</f>
        <v>NA</v>
      </c>
      <c r="D385" s="9"/>
      <c r="E385" s="7">
        <v>4500</v>
      </c>
      <c r="F385" s="8" t="str">
        <f>IFERROR(E385/E444, "NA")</f>
        <v>NA</v>
      </c>
      <c r="G385" s="9"/>
      <c r="H385" s="10">
        <f>IFERROR(-(B385-E385), "NA")</f>
        <v>4160.45</v>
      </c>
      <c r="I385" s="8" t="str">
        <f>IFERROR(H385/H444, "NA")</f>
        <v>NA</v>
      </c>
      <c r="J385" s="9"/>
      <c r="K385" s="7">
        <v>6408.56</v>
      </c>
      <c r="L385" s="8" t="str">
        <f>IFERROR(K385/K444, "NA")</f>
        <v>NA</v>
      </c>
      <c r="M385" s="9"/>
      <c r="N385" s="10">
        <f>IFERROR(-(B385-K385), "NA")</f>
        <v>6069.01</v>
      </c>
      <c r="O385" s="8" t="str">
        <f>IFERROR(N385/N444, "NA")</f>
        <v>NA</v>
      </c>
      <c r="P385" s="9"/>
      <c r="Q385" s="7">
        <v>22289.01</v>
      </c>
      <c r="R385" s="8" t="str">
        <f>IFERROR(Q385/Q444, "NA")</f>
        <v>NA</v>
      </c>
      <c r="S385" s="9"/>
      <c r="T385" s="7">
        <v>21872.55</v>
      </c>
      <c r="U385" s="8" t="str">
        <f>IFERROR(T385/T444, "NA")</f>
        <v>NA</v>
      </c>
      <c r="V385" s="9"/>
      <c r="W385" s="10">
        <f>IFERROR(-(Q385-T385), "NA")</f>
        <v>-416.45999999999913</v>
      </c>
      <c r="X385" s="8" t="str">
        <f>IFERROR(W385/W444, "NA")</f>
        <v>NA</v>
      </c>
      <c r="Y385" s="9"/>
      <c r="Z385" s="7">
        <v>24188.89</v>
      </c>
      <c r="AA385" s="8" t="str">
        <f>IFERROR(Z385/Z444, "NA")</f>
        <v>NA</v>
      </c>
      <c r="AB385" s="9"/>
      <c r="AC385" s="10">
        <f>IFERROR(-(Q385-Z385), "NA")</f>
        <v>1899.880000000001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214.76</v>
      </c>
      <c r="L386" s="8" t="str">
        <f>IFERROR(K386/K444, "NA")</f>
        <v>NA</v>
      </c>
      <c r="M386" s="9"/>
      <c r="N386" s="10">
        <f>IFERROR(-(B386-K386), "NA")</f>
        <v>214.76</v>
      </c>
      <c r="O386" s="8" t="str">
        <f>IFERROR(N386/N444, "NA")</f>
        <v>NA</v>
      </c>
      <c r="P386" s="9"/>
      <c r="Q386" s="7">
        <v>151.71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-151.71</v>
      </c>
      <c r="X386" s="8" t="str">
        <f>IFERROR(W386/W444, "NA")</f>
        <v>NA</v>
      </c>
      <c r="Y386" s="9"/>
      <c r="Z386" s="7">
        <v>5094.41</v>
      </c>
      <c r="AA386" s="8" t="str">
        <f>IFERROR(Z386/Z444, "NA")</f>
        <v>NA</v>
      </c>
      <c r="AB386" s="9"/>
      <c r="AC386" s="10">
        <f>IFERROR(-(Q386-Z386), "NA")</f>
        <v>4942.7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6539.74</v>
      </c>
      <c r="C389" s="8" t="str">
        <f>IFERROR(B389/B444, "NA")</f>
        <v>NA</v>
      </c>
      <c r="D389" s="9"/>
      <c r="E389" s="7">
        <v>4225.7299999999996</v>
      </c>
      <c r="F389" s="8" t="str">
        <f>IFERROR(E389/E444, "NA")</f>
        <v>NA</v>
      </c>
      <c r="G389" s="9"/>
      <c r="H389" s="10">
        <f t="shared" si="96"/>
        <v>-2314.0100000000002</v>
      </c>
      <c r="I389" s="8" t="str">
        <f>IFERROR(H389/H444, "NA")</f>
        <v>NA</v>
      </c>
      <c r="J389" s="9"/>
      <c r="K389" s="7">
        <v>7708.74</v>
      </c>
      <c r="L389" s="8" t="str">
        <f>IFERROR(K389/K444, "NA")</f>
        <v>NA</v>
      </c>
      <c r="M389" s="9"/>
      <c r="N389" s="10">
        <f t="shared" si="97"/>
        <v>1169</v>
      </c>
      <c r="O389" s="8" t="str">
        <f>IFERROR(N389/N444, "NA")</f>
        <v>NA</v>
      </c>
      <c r="P389" s="9"/>
      <c r="Q389" s="7">
        <v>43306.78</v>
      </c>
      <c r="R389" s="8" t="str">
        <f>IFERROR(Q389/Q444, "NA")</f>
        <v>NA</v>
      </c>
      <c r="S389" s="9"/>
      <c r="T389" s="7">
        <v>26176.799999999999</v>
      </c>
      <c r="U389" s="8" t="str">
        <f>IFERROR(T389/T444, "NA")</f>
        <v>NA</v>
      </c>
      <c r="V389" s="9"/>
      <c r="W389" s="10">
        <f t="shared" si="98"/>
        <v>-17129.98</v>
      </c>
      <c r="X389" s="8" t="str">
        <f>IFERROR(W389/W444, "NA")</f>
        <v>NA</v>
      </c>
      <c r="Y389" s="9"/>
      <c r="Z389" s="7">
        <v>19154.7</v>
      </c>
      <c r="AA389" s="8" t="str">
        <f>IFERROR(Z389/Z444, "NA")</f>
        <v>NA</v>
      </c>
      <c r="AB389" s="9"/>
      <c r="AC389" s="10">
        <f t="shared" si="99"/>
        <v>-24152.079999999998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6637.32</v>
      </c>
      <c r="C390" s="8" t="str">
        <f>IFERROR(B390/B444, "NA")</f>
        <v>NA</v>
      </c>
      <c r="D390" s="9"/>
      <c r="E390" s="7">
        <v>20533.32</v>
      </c>
      <c r="F390" s="8" t="str">
        <f>IFERROR(E390/E444, "NA")</f>
        <v>NA</v>
      </c>
      <c r="G390" s="9"/>
      <c r="H390" s="10">
        <f t="shared" si="96"/>
        <v>13896</v>
      </c>
      <c r="I390" s="8" t="str">
        <f>IFERROR(H390/H444, "NA")</f>
        <v>NA</v>
      </c>
      <c r="J390" s="9"/>
      <c r="K390" s="7">
        <v>22889.31</v>
      </c>
      <c r="L390" s="8" t="str">
        <f>IFERROR(K390/K444, "NA")</f>
        <v>NA</v>
      </c>
      <c r="M390" s="9"/>
      <c r="N390" s="10">
        <f t="shared" si="97"/>
        <v>16251.990000000002</v>
      </c>
      <c r="O390" s="8" t="str">
        <f>IFERROR(N390/N444, "NA")</f>
        <v>NA</v>
      </c>
      <c r="P390" s="9"/>
      <c r="Q390" s="7">
        <v>64805.06</v>
      </c>
      <c r="R390" s="8" t="str">
        <f>IFERROR(Q390/Q444, "NA")</f>
        <v>NA</v>
      </c>
      <c r="S390" s="9"/>
      <c r="T390" s="7">
        <v>127196.08</v>
      </c>
      <c r="U390" s="8" t="str">
        <f>IFERROR(T390/T444, "NA")</f>
        <v>NA</v>
      </c>
      <c r="V390" s="9"/>
      <c r="W390" s="10">
        <f t="shared" si="98"/>
        <v>62391.020000000004</v>
      </c>
      <c r="X390" s="8" t="str">
        <f>IFERROR(W390/W444, "NA")</f>
        <v>NA</v>
      </c>
      <c r="Y390" s="9"/>
      <c r="Z390" s="7">
        <v>137360.21</v>
      </c>
      <c r="AA390" s="8" t="str">
        <f>IFERROR(Z390/Z444, "NA")</f>
        <v>NA</v>
      </c>
      <c r="AB390" s="9"/>
      <c r="AC390" s="10">
        <f t="shared" si="99"/>
        <v>72555.149999999994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4985.4399999999996</v>
      </c>
      <c r="C392" s="8" t="str">
        <f>IFERROR(B392/B444, "NA")</f>
        <v>NA</v>
      </c>
      <c r="D392" s="9"/>
      <c r="E392" s="7">
        <v>3154.41</v>
      </c>
      <c r="F392" s="8" t="str">
        <f>IFERROR(E392/E444, "NA")</f>
        <v>NA</v>
      </c>
      <c r="G392" s="9"/>
      <c r="H392" s="10">
        <f t="shared" si="96"/>
        <v>-1831.0299999999997</v>
      </c>
      <c r="I392" s="8" t="str">
        <f>IFERROR(H392/H444, "NA")</f>
        <v>NA</v>
      </c>
      <c r="J392" s="9"/>
      <c r="K392" s="7">
        <v>-9063.77</v>
      </c>
      <c r="L392" s="8" t="str">
        <f>IFERROR(K392/K444, "NA")</f>
        <v>NA</v>
      </c>
      <c r="M392" s="9"/>
      <c r="N392" s="10">
        <f t="shared" si="97"/>
        <v>-14049.21</v>
      </c>
      <c r="O392" s="8" t="str">
        <f>IFERROR(N392/N444, "NA")</f>
        <v>NA</v>
      </c>
      <c r="P392" s="9"/>
      <c r="Q392" s="7">
        <v>41474.870000000003</v>
      </c>
      <c r="R392" s="8" t="str">
        <f>IFERROR(Q392/Q444, "NA")</f>
        <v>NA</v>
      </c>
      <c r="S392" s="9"/>
      <c r="T392" s="7">
        <v>19540.36</v>
      </c>
      <c r="U392" s="8" t="str">
        <f>IFERROR(T392/T444, "NA")</f>
        <v>NA</v>
      </c>
      <c r="V392" s="9"/>
      <c r="W392" s="10">
        <f t="shared" si="98"/>
        <v>-21934.510000000002</v>
      </c>
      <c r="X392" s="8" t="str">
        <f>IFERROR(W392/W444, "NA")</f>
        <v>NA</v>
      </c>
      <c r="Y392" s="9"/>
      <c r="Z392" s="7">
        <v>17345.259999999998</v>
      </c>
      <c r="AA392" s="8" t="str">
        <f>IFERROR(Z392/Z444, "NA")</f>
        <v>NA</v>
      </c>
      <c r="AB392" s="9"/>
      <c r="AC392" s="10">
        <f t="shared" si="99"/>
        <v>-24129.610000000004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18162.5</v>
      </c>
      <c r="C393" s="15" t="str">
        <f>IFERROR(B393/B444, "NA")</f>
        <v>NA</v>
      </c>
      <c r="D393" s="2"/>
      <c r="E393" s="14">
        <f>IFERROR(E388+E389+E390+E391+E392, "NA")</f>
        <v>27913.46</v>
      </c>
      <c r="F393" s="15" t="str">
        <f>IFERROR(E393/E444, "NA")</f>
        <v>NA</v>
      </c>
      <c r="G393" s="2"/>
      <c r="H393" s="14">
        <f t="shared" si="96"/>
        <v>9750.9599999999991</v>
      </c>
      <c r="I393" s="15" t="str">
        <f>IFERROR(H393/H444, "NA")</f>
        <v>NA</v>
      </c>
      <c r="J393" s="2"/>
      <c r="K393" s="14">
        <f>IFERROR(K388+K389+K390+K391+K392, "NA")</f>
        <v>21534.280000000002</v>
      </c>
      <c r="L393" s="15" t="str">
        <f>IFERROR(K393/K444, "NA")</f>
        <v>NA</v>
      </c>
      <c r="M393" s="2"/>
      <c r="N393" s="14">
        <f t="shared" si="97"/>
        <v>3371.7800000000025</v>
      </c>
      <c r="O393" s="15" t="str">
        <f>IFERROR(N393/N444, "NA")</f>
        <v>NA</v>
      </c>
      <c r="P393" s="2"/>
      <c r="Q393" s="14">
        <f>IFERROR(Q388+Q389+Q390+Q391+Q392, "NA")</f>
        <v>149586.71</v>
      </c>
      <c r="R393" s="15" t="str">
        <f>IFERROR(Q393/Q444, "NA")</f>
        <v>NA</v>
      </c>
      <c r="S393" s="2"/>
      <c r="T393" s="14">
        <f>IFERROR(T388+T389+T390+T391+T392, "NA")</f>
        <v>172913.24</v>
      </c>
      <c r="U393" s="15" t="str">
        <f>IFERROR(T393/T444, "NA")</f>
        <v>NA</v>
      </c>
      <c r="V393" s="2"/>
      <c r="W393" s="14">
        <f t="shared" si="98"/>
        <v>23326.53</v>
      </c>
      <c r="X393" s="15" t="str">
        <f>IFERROR(W393/W444, "NA")</f>
        <v>NA</v>
      </c>
      <c r="Y393" s="2"/>
      <c r="Z393" s="14">
        <f>IFERROR(Z388+Z389+Z390+Z391+Z392, "NA")</f>
        <v>173860.17</v>
      </c>
      <c r="AA393" s="15" t="str">
        <f>IFERROR(Z393/Z444, "NA")</f>
        <v>NA</v>
      </c>
      <c r="AB393" s="2"/>
      <c r="AC393" s="14">
        <f t="shared" si="99"/>
        <v>24273.460000000021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7023.93</v>
      </c>
      <c r="F394" s="8" t="str">
        <f>IFERROR(E394/E444, "NA")</f>
        <v>NA</v>
      </c>
      <c r="G394" s="9"/>
      <c r="H394" s="10">
        <f t="shared" si="96"/>
        <v>7023.93</v>
      </c>
      <c r="I394" s="8" t="str">
        <f>IFERROR(H394/H444, "NA")</f>
        <v>NA</v>
      </c>
      <c r="J394" s="9"/>
      <c r="K394" s="7">
        <v>1341.86</v>
      </c>
      <c r="L394" s="8" t="str">
        <f>IFERROR(K394/K444, "NA")</f>
        <v>NA</v>
      </c>
      <c r="M394" s="9"/>
      <c r="N394" s="10">
        <f t="shared" si="97"/>
        <v>1341.86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45337.07</v>
      </c>
      <c r="U394" s="8" t="str">
        <f>IFERROR(T394/T444, "NA")</f>
        <v>NA</v>
      </c>
      <c r="V394" s="9"/>
      <c r="W394" s="10">
        <f t="shared" si="98"/>
        <v>38725.01</v>
      </c>
      <c r="X394" s="8" t="str">
        <f>IFERROR(W394/W444, "NA")</f>
        <v>NA</v>
      </c>
      <c r="Y394" s="9"/>
      <c r="Z394" s="7">
        <v>41575.25</v>
      </c>
      <c r="AA394" s="8" t="str">
        <f>IFERROR(Z394/Z444, "NA")</f>
        <v>NA</v>
      </c>
      <c r="AB394" s="9"/>
      <c r="AC394" s="10">
        <f t="shared" si="99"/>
        <v>34963.19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18502.05</v>
      </c>
      <c r="C396" s="15" t="str">
        <f>IFERROR(B396/B444, "NA")</f>
        <v>NA</v>
      </c>
      <c r="D396" s="2"/>
      <c r="E396" s="14">
        <f>IFERROR(E385+E386+E388+E389+E390+E391+E392+E394+E395, "NA")</f>
        <v>39437.39</v>
      </c>
      <c r="F396" s="15" t="str">
        <f>IFERROR(E396/E444, "NA")</f>
        <v>NA</v>
      </c>
      <c r="G396" s="2"/>
      <c r="H396" s="14">
        <f t="shared" si="96"/>
        <v>20935.34</v>
      </c>
      <c r="I396" s="15" t="str">
        <f>IFERROR(H396/H444, "NA")</f>
        <v>NA</v>
      </c>
      <c r="J396" s="2"/>
      <c r="K396" s="14">
        <f>IFERROR(K385+K386+K388+K389+K390+K391+K392+K394+K395, "NA")</f>
        <v>29499.460000000003</v>
      </c>
      <c r="L396" s="15" t="str">
        <f>IFERROR(K396/K444, "NA")</f>
        <v>NA</v>
      </c>
      <c r="M396" s="2"/>
      <c r="N396" s="14">
        <f t="shared" si="97"/>
        <v>10997.410000000003</v>
      </c>
      <c r="O396" s="15" t="str">
        <f>IFERROR(N396/N444, "NA")</f>
        <v>NA</v>
      </c>
      <c r="P396" s="2"/>
      <c r="Q396" s="14">
        <f>IFERROR(Q385+Q386+Q388+Q389+Q390+Q391+Q392+Q394+Q395, "NA")</f>
        <v>178639.49</v>
      </c>
      <c r="R396" s="15" t="str">
        <f>IFERROR(Q396/Q444, "NA")</f>
        <v>NA</v>
      </c>
      <c r="S396" s="2"/>
      <c r="T396" s="14">
        <f>IFERROR(T385+T386+T388+T389+T390+T391+T392+T394+T395, "NA")</f>
        <v>240122.86</v>
      </c>
      <c r="U396" s="15" t="str">
        <f>IFERROR(T396/T444, "NA")</f>
        <v>NA</v>
      </c>
      <c r="V396" s="2"/>
      <c r="W396" s="14">
        <f t="shared" si="98"/>
        <v>61483.369999999995</v>
      </c>
      <c r="X396" s="15" t="str">
        <f>IFERROR(W396/W444, "NA")</f>
        <v>NA</v>
      </c>
      <c r="Y396" s="2"/>
      <c r="Z396" s="14">
        <f>IFERROR(Z385+Z386+Z388+Z389+Z390+Z391+Z392+Z394+Z395, "NA")</f>
        <v>244718.72</v>
      </c>
      <c r="AA396" s="15" t="str">
        <f>IFERROR(Z396/Z444, "NA")</f>
        <v>NA</v>
      </c>
      <c r="AB396" s="2"/>
      <c r="AC396" s="14">
        <f t="shared" si="99"/>
        <v>66079.23000000001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9245.24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10979.000000000002</v>
      </c>
      <c r="I397" s="8" t="str">
        <f>IFERROR(H397/H444, "NA")</f>
        <v>NA</v>
      </c>
      <c r="J397" s="9"/>
      <c r="K397" s="7">
        <v>11096.95</v>
      </c>
      <c r="L397" s="8" t="str">
        <f>IFERROR(K397/K444, "NA")</f>
        <v>NA</v>
      </c>
      <c r="M397" s="9"/>
      <c r="N397" s="10">
        <f t="shared" si="97"/>
        <v>1851.7100000000009</v>
      </c>
      <c r="O397" s="8" t="str">
        <f>IFERROR(N397/N444, "NA")</f>
        <v>NA</v>
      </c>
      <c r="P397" s="9"/>
      <c r="Q397" s="7">
        <v>81169.67</v>
      </c>
      <c r="R397" s="8" t="str">
        <f>IFERROR(Q397/Q444, "NA")</f>
        <v>NA</v>
      </c>
      <c r="S397" s="9"/>
      <c r="T397" s="7">
        <v>164427.25</v>
      </c>
      <c r="U397" s="8" t="str">
        <f>IFERROR(T397/T444, "NA")</f>
        <v>NA</v>
      </c>
      <c r="V397" s="9"/>
      <c r="W397" s="10">
        <f t="shared" si="98"/>
        <v>83257.58</v>
      </c>
      <c r="X397" s="8" t="str">
        <f>IFERROR(W397/W444, "NA")</f>
        <v>NA</v>
      </c>
      <c r="Y397" s="9"/>
      <c r="Z397" s="7">
        <v>78424.17</v>
      </c>
      <c r="AA397" s="8" t="str">
        <f>IFERROR(Z397/Z444, "NA")</f>
        <v>NA</v>
      </c>
      <c r="AB397" s="9"/>
      <c r="AC397" s="10">
        <f t="shared" si="99"/>
        <v>-2745.5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967.99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-892.99</v>
      </c>
      <c r="I398" s="8" t="str">
        <f>IFERROR(H398/H444, "NA")</f>
        <v>NA</v>
      </c>
      <c r="J398" s="9"/>
      <c r="K398" s="7">
        <v>20.72</v>
      </c>
      <c r="L398" s="8" t="str">
        <f>IFERROR(K398/K444, "NA")</f>
        <v>NA</v>
      </c>
      <c r="M398" s="9"/>
      <c r="N398" s="10">
        <f t="shared" si="97"/>
        <v>-947.27</v>
      </c>
      <c r="O398" s="8" t="str">
        <f>IFERROR(N398/N444, "NA")</f>
        <v>NA</v>
      </c>
      <c r="P398" s="9"/>
      <c r="Q398" s="7">
        <v>2202.96</v>
      </c>
      <c r="R398" s="8" t="str">
        <f>IFERROR(Q398/Q444, "NA")</f>
        <v>NA</v>
      </c>
      <c r="S398" s="9"/>
      <c r="T398" s="7">
        <v>675</v>
      </c>
      <c r="U398" s="8" t="str">
        <f>IFERROR(T398/T444, "NA")</f>
        <v>NA</v>
      </c>
      <c r="V398" s="9"/>
      <c r="W398" s="10">
        <f t="shared" si="98"/>
        <v>-1527.96</v>
      </c>
      <c r="X398" s="8" t="str">
        <f>IFERROR(W398/W444, "NA")</f>
        <v>NA</v>
      </c>
      <c r="Y398" s="9"/>
      <c r="Z398" s="7">
        <v>827.35</v>
      </c>
      <c r="AA398" s="8" t="str">
        <f>IFERROR(Z398/Z444, "NA")</f>
        <v>NA</v>
      </c>
      <c r="AB398" s="9"/>
      <c r="AC398" s="10">
        <f t="shared" si="99"/>
        <v>-1375.6100000000001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1544.95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-844.95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-1544.95</v>
      </c>
      <c r="O399" s="8" t="str">
        <f>IFERROR(N399/N444, "NA")</f>
        <v>NA</v>
      </c>
      <c r="P399" s="9"/>
      <c r="Q399" s="7">
        <v>3031.95</v>
      </c>
      <c r="R399" s="8" t="str">
        <f>IFERROR(Q399/Q444, "NA")</f>
        <v>NA</v>
      </c>
      <c r="S399" s="9"/>
      <c r="T399" s="7">
        <v>6300</v>
      </c>
      <c r="U399" s="8" t="str">
        <f>IFERROR(T399/T444, "NA")</f>
        <v>NA</v>
      </c>
      <c r="V399" s="9"/>
      <c r="W399" s="10">
        <f t="shared" si="98"/>
        <v>3268.05</v>
      </c>
      <c r="X399" s="8" t="str">
        <f>IFERROR(W399/W444, "NA")</f>
        <v>NA</v>
      </c>
      <c r="Y399" s="9"/>
      <c r="Z399" s="7">
        <v>5570.95</v>
      </c>
      <c r="AA399" s="8" t="str">
        <f>IFERROR(Z399/Z444, "NA")</f>
        <v>NA</v>
      </c>
      <c r="AB399" s="9"/>
      <c r="AC399" s="10">
        <f t="shared" si="99"/>
        <v>2539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8333.34</v>
      </c>
      <c r="L401" s="8" t="str">
        <f>IFERROR(K401/K444, "NA")</f>
        <v>NA</v>
      </c>
      <c r="M401" s="9"/>
      <c r="N401" s="10">
        <f t="shared" si="97"/>
        <v>8333.34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75000</v>
      </c>
      <c r="AA401" s="8" t="str">
        <f>IFERROR(Z401/Z444, "NA")</f>
        <v>NA</v>
      </c>
      <c r="AB401" s="9"/>
      <c r="AC401" s="10">
        <f t="shared" si="99"/>
        <v>75000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100241.32000000002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192696.99</v>
      </c>
      <c r="F403" s="15" t="str">
        <f>IFERROR(E403/E444, "NA")</f>
        <v>NA</v>
      </c>
      <c r="G403" s="2"/>
      <c r="H403" s="14">
        <f t="shared" si="96"/>
        <v>92455.669999999969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184412.68999999997</v>
      </c>
      <c r="L403" s="15" t="str">
        <f>IFERROR(K403/K444, "NA")</f>
        <v>NA</v>
      </c>
      <c r="M403" s="2"/>
      <c r="N403" s="14">
        <f t="shared" si="97"/>
        <v>84171.369999999952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1149880.5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1493305.3700000003</v>
      </c>
      <c r="U403" s="15" t="str">
        <f>IFERROR(T403/T444, "NA")</f>
        <v>NA</v>
      </c>
      <c r="V403" s="2"/>
      <c r="W403" s="14">
        <f t="shared" si="98"/>
        <v>343424.87000000034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1406466.8399999999</v>
      </c>
      <c r="AA403" s="15" t="str">
        <f>IFERROR(Z403/Z444, "NA")</f>
        <v>NA</v>
      </c>
      <c r="AB403" s="2"/>
      <c r="AC403" s="14">
        <f t="shared" si="99"/>
        <v>256586.33999999985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-100241.32000000002</v>
      </c>
      <c r="C404" s="24" t="str">
        <f>IFERROR(B404/B444, "NA")</f>
        <v>NA</v>
      </c>
      <c r="D404" s="25"/>
      <c r="E404" s="23">
        <f>IFERROR(E345-E403, "NA")</f>
        <v>-192696.99</v>
      </c>
      <c r="F404" s="24" t="str">
        <f>IFERROR(E404/E444, "NA")</f>
        <v>NA</v>
      </c>
      <c r="G404" s="25"/>
      <c r="H404" s="23">
        <f>IFERROR(B404-E404, "NA")</f>
        <v>92455.669999999969</v>
      </c>
      <c r="I404" s="24" t="str">
        <f>IFERROR(H404/H444, "NA")</f>
        <v>NA</v>
      </c>
      <c r="J404" s="25"/>
      <c r="K404" s="23">
        <f>IFERROR(K345-K403, "NA")</f>
        <v>-184412.68999999997</v>
      </c>
      <c r="L404" s="24" t="str">
        <f>IFERROR(K404/K444, "NA")</f>
        <v>NA</v>
      </c>
      <c r="M404" s="25"/>
      <c r="N404" s="23">
        <f>IFERROR(B404-K404, "NA")</f>
        <v>84171.369999999952</v>
      </c>
      <c r="O404" s="24" t="str">
        <f>IFERROR(N404/N444, "NA")</f>
        <v>NA</v>
      </c>
      <c r="P404" s="25"/>
      <c r="Q404" s="23">
        <f>IFERROR(Q345-Q403, "NA")</f>
        <v>-1149880.5</v>
      </c>
      <c r="R404" s="24" t="str">
        <f>IFERROR(Q404/Q444, "NA")</f>
        <v>NA</v>
      </c>
      <c r="S404" s="25"/>
      <c r="T404" s="23">
        <f>IFERROR(T345-T403, "NA")</f>
        <v>-1493305.3700000003</v>
      </c>
      <c r="U404" s="24" t="str">
        <f>IFERROR(T404/T444, "NA")</f>
        <v>NA</v>
      </c>
      <c r="V404" s="25"/>
      <c r="W404" s="23">
        <f>IFERROR(Q404-T404, "NA")</f>
        <v>343424.87000000034</v>
      </c>
      <c r="X404" s="24" t="str">
        <f>IFERROR(W404/W444, "NA")</f>
        <v>NA</v>
      </c>
      <c r="Y404" s="25"/>
      <c r="Z404" s="23">
        <f>IFERROR(Z345-Z403, "NA")</f>
        <v>-1406466.8399999999</v>
      </c>
      <c r="AA404" s="24" t="str">
        <f>IFERROR(Z404/Z444, "NA")</f>
        <v>NA</v>
      </c>
      <c r="AB404" s="25"/>
      <c r="AC404" s="23">
        <f>IFERROR(Q404-Z404, "NA")</f>
        <v>256586.33999999985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662.49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-662.49</v>
      </c>
      <c r="X410" s="8" t="str">
        <f>IFERROR(W410/W444, "NA")</f>
        <v>NA</v>
      </c>
      <c r="Y410" s="9"/>
      <c r="Z410" s="7">
        <v>1664.01</v>
      </c>
      <c r="AA410" s="8" t="str">
        <f>IFERROR(Z410/Z444, "NA")</f>
        <v>NA</v>
      </c>
      <c r="AB410" s="9"/>
      <c r="AC410" s="10">
        <f t="shared" si="103"/>
        <v>1001.52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2146.96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-2146.96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-2146.96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1447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307.5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-307.5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-307.5</v>
      </c>
      <c r="O419" s="8" t="str">
        <f>IFERROR(N419/N444, "NA")</f>
        <v>NA</v>
      </c>
      <c r="P419" s="9"/>
      <c r="Q419" s="7">
        <v>363.75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-363.75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-363.75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-6342.81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6342.81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6342.81</v>
      </c>
      <c r="O423" s="8" t="str">
        <f>IFERROR(N423/N444, "NA")</f>
        <v>NA</v>
      </c>
      <c r="P423" s="9"/>
      <c r="Q423" s="7">
        <v>-6349.53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6349.53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6349.53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-5786.56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5786.56</v>
      </c>
      <c r="I426" s="8" t="str">
        <f>IFERROR(H426/H444, "NA")</f>
        <v>NA</v>
      </c>
      <c r="J426" s="9"/>
      <c r="K426" s="7">
        <v>-1776.79</v>
      </c>
      <c r="L426" s="8" t="str">
        <f>IFERROR(K426/K444, "NA")</f>
        <v>NA</v>
      </c>
      <c r="M426" s="9"/>
      <c r="N426" s="10">
        <f t="shared" si="101"/>
        <v>4009.7700000000004</v>
      </c>
      <c r="O426" s="8" t="str">
        <f>IFERROR(N426/N444, "NA")</f>
        <v>NA</v>
      </c>
      <c r="P426" s="9"/>
      <c r="Q426" s="7">
        <v>-102276.15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102276.15</v>
      </c>
      <c r="X426" s="8" t="str">
        <f>IFERROR(W426/W444, "NA")</f>
        <v>NA</v>
      </c>
      <c r="Y426" s="9"/>
      <c r="Z426" s="7">
        <v>-4652.8100000000004</v>
      </c>
      <c r="AA426" s="8" t="str">
        <f>IFERROR(Z426/Z444, "NA")</f>
        <v>NA</v>
      </c>
      <c r="AB426" s="9"/>
      <c r="AC426" s="10">
        <f t="shared" si="103"/>
        <v>97623.34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-11493.800000000001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11493.800000000001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-1591.9</v>
      </c>
      <c r="L428" s="15" t="str">
        <f>IFERROR(K428/K444, "NA")</f>
        <v>NA</v>
      </c>
      <c r="M428" s="2"/>
      <c r="N428" s="14">
        <f t="shared" si="101"/>
        <v>9901.9000000000015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-109178.17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109178.17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-5267.4900000000007</v>
      </c>
      <c r="AA428" s="15" t="str">
        <f>IFERROR(Z428/Z444, "NA")</f>
        <v>NA</v>
      </c>
      <c r="AB428" s="2"/>
      <c r="AC428" s="14">
        <f t="shared" si="103"/>
        <v>103910.68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-11493.800000000001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11493.800000000001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-1591.9</v>
      </c>
      <c r="L429" s="15" t="str">
        <f>IFERROR(K429/K444, "NA")</f>
        <v>NA</v>
      </c>
      <c r="M429" s="2"/>
      <c r="N429" s="14">
        <f t="shared" si="101"/>
        <v>9901.9000000000015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-109178.17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109178.17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-5267.4900000000007</v>
      </c>
      <c r="AA429" s="15" t="str">
        <f>IFERROR(Z429/Z444, "NA")</f>
        <v>NA</v>
      </c>
      <c r="AB429" s="2"/>
      <c r="AC429" s="14">
        <f t="shared" si="103"/>
        <v>103910.68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-88747.520000000019</v>
      </c>
      <c r="C443" s="24" t="str">
        <f>IFERROR(B443/B444, "NA")</f>
        <v>NA</v>
      </c>
      <c r="D443" s="25"/>
      <c r="E443" s="23">
        <f>IFERROR(E404-E429-E442, "NA")</f>
        <v>-192696.99</v>
      </c>
      <c r="F443" s="24" t="str">
        <f>IFERROR(E443/E444, "NA")</f>
        <v>NA</v>
      </c>
      <c r="G443" s="25"/>
      <c r="H443" s="23">
        <f>IFERROR(B443-E443, "NA")</f>
        <v>103949.46999999997</v>
      </c>
      <c r="I443" s="24" t="str">
        <f>IFERROR(H443/H444, "NA")</f>
        <v>NA</v>
      </c>
      <c r="J443" s="25"/>
      <c r="K443" s="23">
        <f>IFERROR(K404-K429-K442, "NA")</f>
        <v>-182820.78999999998</v>
      </c>
      <c r="L443" s="24" t="str">
        <f>IFERROR(K443/K444, "NA")</f>
        <v>NA</v>
      </c>
      <c r="M443" s="25"/>
      <c r="N443" s="23">
        <f>IFERROR(B443-K443, "NA")</f>
        <v>94073.26999999996</v>
      </c>
      <c r="O443" s="24" t="str">
        <f>IFERROR(N443/N444, "NA")</f>
        <v>NA</v>
      </c>
      <c r="P443" s="25"/>
      <c r="Q443" s="23">
        <f>IFERROR(Q404-Q429-Q442, "NA")</f>
        <v>-1040702.33</v>
      </c>
      <c r="R443" s="24" t="str">
        <f>IFERROR(Q443/Q444, "NA")</f>
        <v>NA</v>
      </c>
      <c r="S443" s="25"/>
      <c r="T443" s="23">
        <f>IFERROR(T404-T429-T442, "NA")</f>
        <v>-1493305.3700000003</v>
      </c>
      <c r="U443" s="24" t="str">
        <f>IFERROR(T443/T444, "NA")</f>
        <v>NA</v>
      </c>
      <c r="V443" s="25"/>
      <c r="W443" s="23">
        <f>IFERROR(Q443-T443, "NA")</f>
        <v>452603.04000000039</v>
      </c>
      <c r="X443" s="24" t="str">
        <f>IFERROR(W443/W444, "NA")</f>
        <v>NA</v>
      </c>
      <c r="Y443" s="25"/>
      <c r="Z443" s="23">
        <f>IFERROR(Z404-Z429-Z442, "NA")</f>
        <v>-1401199.3499999999</v>
      </c>
      <c r="AA443" s="24" t="str">
        <f>IFERROR(Z443/Z444, "NA")</f>
        <v>NA</v>
      </c>
      <c r="AB443" s="25"/>
      <c r="AC443" s="23">
        <f>IFERROR(Q443-Z443, "NA")</f>
        <v>360497.0199999999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71250.5</v>
      </c>
      <c r="F10" s="8">
        <f>IFERROR(E10/E444, "NA")</f>
        <v>0.56399997213661801</v>
      </c>
      <c r="G10" s="9"/>
      <c r="H10" s="10">
        <f t="shared" ref="H10:H19" si="0">IFERROR(B10-E10, "NA")</f>
        <v>-71250.5</v>
      </c>
      <c r="I10" s="8">
        <f>IFERROR(H10/H444, "NA")</f>
        <v>5.854298421692226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478135.8</v>
      </c>
      <c r="U10" s="8">
        <f>IFERROR(T10/T444, "NA")</f>
        <v>0.56399998711897359</v>
      </c>
      <c r="V10" s="9"/>
      <c r="W10" s="10">
        <f t="shared" ref="W10:W19" si="2">IFERROR(Q10-T10, "NA")</f>
        <v>-478135.8</v>
      </c>
      <c r="X10" s="8">
        <f>IFERROR(W10/W444, "NA")</f>
        <v>7.3670289968956331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47639.95</v>
      </c>
      <c r="C11" s="8">
        <f>IFERROR(B11/B444, "NA")</f>
        <v>0.41730841918867412</v>
      </c>
      <c r="D11" s="9"/>
      <c r="E11" s="7">
        <v>0</v>
      </c>
      <c r="F11" s="8">
        <f>IFERROR(E11/E444, "NA")</f>
        <v>0</v>
      </c>
      <c r="G11" s="9"/>
      <c r="H11" s="10">
        <f t="shared" si="0"/>
        <v>47639.95</v>
      </c>
      <c r="I11" s="8">
        <f>IFERROR(H11/H444, "NA")</f>
        <v>-3.9143372200124427</v>
      </c>
      <c r="J11" s="9"/>
      <c r="K11" s="7">
        <v>55395.23</v>
      </c>
      <c r="L11" s="8">
        <f>IFERROR(K11/K444, "NA")</f>
        <v>0.48234327913876374</v>
      </c>
      <c r="M11" s="9"/>
      <c r="N11" s="10">
        <f t="shared" si="1"/>
        <v>-7755.2800000000061</v>
      </c>
      <c r="O11" s="8">
        <f>IFERROR(N11/N444, "NA")</f>
        <v>11.304743301944491</v>
      </c>
      <c r="P11" s="9"/>
      <c r="Q11" s="7">
        <v>360052.28</v>
      </c>
      <c r="R11" s="8">
        <f>IFERROR(Q11/Q444, "NA")</f>
        <v>0.45992122616713327</v>
      </c>
      <c r="S11" s="9"/>
      <c r="T11" s="7">
        <v>0</v>
      </c>
      <c r="U11" s="8">
        <f>IFERROR(T11/T444, "NA")</f>
        <v>0</v>
      </c>
      <c r="V11" s="9"/>
      <c r="W11" s="10">
        <f t="shared" si="2"/>
        <v>360052.28</v>
      </c>
      <c r="X11" s="8">
        <f>IFERROR(W11/W444, "NA")</f>
        <v>-5.5476197079540706</v>
      </c>
      <c r="Y11" s="9"/>
      <c r="Z11" s="7">
        <v>405576.25</v>
      </c>
      <c r="AA11" s="8">
        <f>IFERROR(Z11/Z444, "NA")</f>
        <v>0.53581323257693192</v>
      </c>
      <c r="AB11" s="9"/>
      <c r="AC11" s="10">
        <f t="shared" si="3"/>
        <v>-45523.969999999972</v>
      </c>
      <c r="AD11" s="8">
        <f>IFERROR(AC11/AC444, "NA")</f>
        <v>-1.7562887361572146</v>
      </c>
    </row>
    <row r="12" spans="1:30" ht="16.5" customHeight="1" x14ac:dyDescent="0.45">
      <c r="A12" s="12" t="s">
        <v>14</v>
      </c>
      <c r="B12" s="7">
        <v>4906.3999999999996</v>
      </c>
      <c r="C12" s="8">
        <f>IFERROR(B12/B444, "NA")</f>
        <v>4.2978257280020457E-2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4906.3999999999996</v>
      </c>
      <c r="I12" s="8">
        <f>IFERROR(H12/H444, "NA")</f>
        <v>-0.40313443100316121</v>
      </c>
      <c r="J12" s="9"/>
      <c r="K12" s="7">
        <v>5737.05</v>
      </c>
      <c r="L12" s="8">
        <f>IFERROR(K12/K444, "NA")</f>
        <v>4.9954256162182999E-2</v>
      </c>
      <c r="M12" s="9"/>
      <c r="N12" s="10">
        <f t="shared" si="1"/>
        <v>-830.65000000000055</v>
      </c>
      <c r="O12" s="8">
        <f>IFERROR(N12/N444, "NA")</f>
        <v>1.2108247572956992</v>
      </c>
      <c r="P12" s="9"/>
      <c r="Q12" s="7">
        <v>38392.400000000001</v>
      </c>
      <c r="R12" s="8">
        <f>IFERROR(Q12/Q444, "NA")</f>
        <v>4.9041432770538344E-2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38392.400000000001</v>
      </c>
      <c r="X12" s="8">
        <f>IFERROR(W12/W444, "NA")</f>
        <v>-0.59154308056501093</v>
      </c>
      <c r="Y12" s="9"/>
      <c r="Z12" s="7">
        <v>38587.550000000003</v>
      </c>
      <c r="AA12" s="8">
        <f>IFERROR(Z12/Z444, "NA")</f>
        <v>5.0978625850808555E-2</v>
      </c>
      <c r="AB12" s="9"/>
      <c r="AC12" s="10">
        <f t="shared" si="3"/>
        <v>-195.15000000000146</v>
      </c>
      <c r="AD12" s="8">
        <f>IFERROR(AC12/AC444, "NA")</f>
        <v>-7.5287754310769291E-3</v>
      </c>
    </row>
    <row r="13" spans="1:30" ht="16.5" customHeight="1" x14ac:dyDescent="0.45">
      <c r="A13" s="12" t="s">
        <v>15</v>
      </c>
      <c r="B13" s="7">
        <v>173</v>
      </c>
      <c r="C13" s="8">
        <f>IFERROR(B13/B444, "NA")</f>
        <v>1.5154162949297938E-3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173</v>
      </c>
      <c r="I13" s="8">
        <f>IFERROR(H13/H444, "NA")</f>
        <v>-1.4214547644616601E-2</v>
      </c>
      <c r="J13" s="9"/>
      <c r="K13" s="7">
        <v>131</v>
      </c>
      <c r="L13" s="8">
        <f>IFERROR(K13/K444, "NA")</f>
        <v>1.1406572292808974E-3</v>
      </c>
      <c r="M13" s="9"/>
      <c r="N13" s="10">
        <f t="shared" si="1"/>
        <v>42</v>
      </c>
      <c r="O13" s="8">
        <f>IFERROR(N13/N444, "NA")</f>
        <v>-6.1222704877408461E-2</v>
      </c>
      <c r="P13" s="9"/>
      <c r="Q13" s="7">
        <v>1900.5</v>
      </c>
      <c r="R13" s="8">
        <f>IFERROR(Q13/Q444, "NA")</f>
        <v>2.4276482579991903E-3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1900.5</v>
      </c>
      <c r="X13" s="8">
        <f>IFERROR(W13/W444, "NA")</f>
        <v>-2.9282556563637676E-2</v>
      </c>
      <c r="Y13" s="9"/>
      <c r="Z13" s="7">
        <v>1819.27</v>
      </c>
      <c r="AA13" s="8">
        <f>IFERROR(Z13/Z444, "NA")</f>
        <v>2.4034665235704382E-3</v>
      </c>
      <c r="AB13" s="9"/>
      <c r="AC13" s="10">
        <f t="shared" si="3"/>
        <v>81.230000000000018</v>
      </c>
      <c r="AD13" s="8">
        <f>IFERROR(AC13/AC444, "NA")</f>
        <v>3.133806960114653E-3</v>
      </c>
    </row>
    <row r="14" spans="1:30" ht="16.5" customHeight="1" x14ac:dyDescent="0.45">
      <c r="A14" s="12" t="s">
        <v>16</v>
      </c>
      <c r="B14" s="7">
        <v>95</v>
      </c>
      <c r="C14" s="8">
        <f>IFERROR(B14/B444, "NA")</f>
        <v>8.3216501744699659E-4</v>
      </c>
      <c r="D14" s="9"/>
      <c r="E14" s="7">
        <v>0</v>
      </c>
      <c r="F14" s="8">
        <f>IFERROR(E14/E444, "NA")</f>
        <v>0</v>
      </c>
      <c r="G14" s="9"/>
      <c r="H14" s="10">
        <f t="shared" si="0"/>
        <v>95</v>
      </c>
      <c r="I14" s="8">
        <f>IFERROR(H14/H444, "NA")</f>
        <v>-7.8056764522461105E-3</v>
      </c>
      <c r="J14" s="9"/>
      <c r="K14" s="7">
        <v>320</v>
      </c>
      <c r="L14" s="8">
        <f>IFERROR(K14/K444, "NA")</f>
        <v>2.7863382699991387E-3</v>
      </c>
      <c r="M14" s="9"/>
      <c r="N14" s="10">
        <f t="shared" si="1"/>
        <v>-225</v>
      </c>
      <c r="O14" s="8">
        <f>IFERROR(N14/N444, "NA")</f>
        <v>0.32797877612897386</v>
      </c>
      <c r="P14" s="9"/>
      <c r="Q14" s="7">
        <v>1880</v>
      </c>
      <c r="R14" s="8">
        <f>IFERROR(Q14/Q444, "NA")</f>
        <v>2.4014621020986464E-3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1880</v>
      </c>
      <c r="X14" s="8">
        <f>IFERROR(W14/W444, "NA")</f>
        <v>-2.8966696311306935E-2</v>
      </c>
      <c r="Y14" s="9"/>
      <c r="Z14" s="7">
        <v>3389.99</v>
      </c>
      <c r="AA14" s="8">
        <f>IFERROR(Z14/Z444, "NA")</f>
        <v>4.4785696901716351E-3</v>
      </c>
      <c r="AB14" s="9"/>
      <c r="AC14" s="10">
        <f t="shared" si="3"/>
        <v>-1509.9899999999998</v>
      </c>
      <c r="AD14" s="8">
        <f>IFERROR(AC14/AC444, "NA")</f>
        <v>-5.8254550925809716E-2</v>
      </c>
    </row>
    <row r="15" spans="1:30" ht="16.5" customHeight="1" x14ac:dyDescent="0.45">
      <c r="A15" s="12" t="s">
        <v>17</v>
      </c>
      <c r="B15" s="7">
        <v>155</v>
      </c>
      <c r="C15" s="8">
        <f>IFERROR(B15/B444, "NA")</f>
        <v>1.3577429232029944E-3</v>
      </c>
      <c r="D15" s="9"/>
      <c r="E15" s="7">
        <v>0</v>
      </c>
      <c r="F15" s="8">
        <f>IFERROR(E15/E444, "NA")</f>
        <v>0</v>
      </c>
      <c r="G15" s="9"/>
      <c r="H15" s="10">
        <f t="shared" si="0"/>
        <v>155</v>
      </c>
      <c r="I15" s="8">
        <f>IFERROR(H15/H444, "NA")</f>
        <v>-1.273557736945418E-2</v>
      </c>
      <c r="J15" s="9"/>
      <c r="K15" s="7">
        <v>41</v>
      </c>
      <c r="L15" s="8">
        <f>IFERROR(K15/K444, "NA")</f>
        <v>3.5699959084363963E-4</v>
      </c>
      <c r="M15" s="9"/>
      <c r="N15" s="10">
        <f t="shared" si="1"/>
        <v>114</v>
      </c>
      <c r="O15" s="8">
        <f>IFERROR(N15/N444, "NA")</f>
        <v>-0.16617591323868011</v>
      </c>
      <c r="P15" s="9"/>
      <c r="Q15" s="7">
        <v>490</v>
      </c>
      <c r="R15" s="8">
        <f>IFERROR(Q15/Q444, "NA")</f>
        <v>6.2591299469592389E-4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490</v>
      </c>
      <c r="X15" s="8">
        <f>IFERROR(W15/W444, "NA")</f>
        <v>-7.5498304215640419E-3</v>
      </c>
      <c r="Y15" s="9"/>
      <c r="Z15" s="7">
        <v>399</v>
      </c>
      <c r="AA15" s="8">
        <f>IFERROR(Z15/Z444, "NA")</f>
        <v>5.2712524413891561E-4</v>
      </c>
      <c r="AB15" s="9"/>
      <c r="AC15" s="10">
        <f t="shared" si="3"/>
        <v>91</v>
      </c>
      <c r="AD15" s="8">
        <f>IFERROR(AC15/AC444, "NA")</f>
        <v>3.5107279745221391E-3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1.7244541690601985E-6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-2.080055320226828E-5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5.208222819346031E-5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52969.35</v>
      </c>
      <c r="C18" s="15">
        <f>IFERROR(B18/B444, "NA")</f>
        <v>0.46399200070427438</v>
      </c>
      <c r="D18" s="2"/>
      <c r="E18" s="14">
        <f>IFERROR(E10+E11+E12+E13+E14+E15+E16+E17, "NA")</f>
        <v>71250.5</v>
      </c>
      <c r="F18" s="15">
        <f>IFERROR(E18/E444, "NA")</f>
        <v>0.56399997213661801</v>
      </c>
      <c r="G18" s="2"/>
      <c r="H18" s="14">
        <f t="shared" si="0"/>
        <v>-18281.150000000001</v>
      </c>
      <c r="I18" s="15">
        <f>IFERROR(H18/H444, "NA")</f>
        <v>1.5020709692103051</v>
      </c>
      <c r="J18" s="2"/>
      <c r="K18" s="14">
        <f>IFERROR(K10+K11+K12+K13+K14+K15+K16+K17, "NA")</f>
        <v>61624.280000000006</v>
      </c>
      <c r="L18" s="15">
        <f>IFERROR(K18/K444, "NA")</f>
        <v>0.53658153039107048</v>
      </c>
      <c r="M18" s="2"/>
      <c r="N18" s="14">
        <f t="shared" si="1"/>
        <v>-8654.9300000000076</v>
      </c>
      <c r="O18" s="15">
        <f>IFERROR(N18/N444, "NA")</f>
        <v>12.616148217253077</v>
      </c>
      <c r="P18" s="2"/>
      <c r="Q18" s="14">
        <f>IFERROR(Q10+Q11+Q12+Q13+Q14+Q15+Q16+Q17, "NA")</f>
        <v>402716.53</v>
      </c>
      <c r="R18" s="15">
        <f>IFERROR(Q18/Q444, "NA")</f>
        <v>0.51441940674663444</v>
      </c>
      <c r="S18" s="2"/>
      <c r="T18" s="14">
        <f>IFERROR(T10+T11+T12+T13+T14+T15+T16+T17, "NA")</f>
        <v>478135.8</v>
      </c>
      <c r="U18" s="15">
        <f>IFERROR(T18/T444, "NA")</f>
        <v>0.56399998711897359</v>
      </c>
      <c r="V18" s="2"/>
      <c r="W18" s="14">
        <f t="shared" si="2"/>
        <v>-75419.26999999996</v>
      </c>
      <c r="X18" s="15">
        <f>IFERROR(W18/W444, "NA")</f>
        <v>1.1620463245268409</v>
      </c>
      <c r="Y18" s="2"/>
      <c r="Z18" s="14">
        <f>IFERROR(Z10+Z11+Z12+Z13+Z14+Z15+Z16+Z17, "NA")</f>
        <v>449772.06</v>
      </c>
      <c r="AA18" s="15">
        <f>IFERROR(Z18/Z444, "NA")</f>
        <v>0.59420101988562146</v>
      </c>
      <c r="AB18" s="2"/>
      <c r="AC18" s="14">
        <f t="shared" si="3"/>
        <v>-47055.52999999997</v>
      </c>
      <c r="AD18" s="15">
        <f>IFERROR(AC18/AC444, "NA")</f>
        <v>-1.8153754453512709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13391.05</v>
      </c>
      <c r="F21" s="8">
        <f>IFERROR(E21/E444, "NA")</f>
        <v>0.10599998353527425</v>
      </c>
      <c r="G21" s="9"/>
      <c r="H21" s="10">
        <f t="shared" ref="H21:H29" si="4">IFERROR(B21-E21, "NA")</f>
        <v>-13391.05</v>
      </c>
      <c r="I21" s="8">
        <f>IFERROR(H21/H444, "NA")</f>
        <v>1.1002758279563187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89862.399999999994</v>
      </c>
      <c r="U21" s="8">
        <f>IFERROR(T21/T444, "NA")</f>
        <v>0.10599999506935069</v>
      </c>
      <c r="V21" s="9"/>
      <c r="W21" s="10">
        <f t="shared" ref="W21:W29" si="6">IFERROR(Q21-T21, "NA")</f>
        <v>-89862.399999999994</v>
      </c>
      <c r="X21" s="8">
        <f>IFERROR(W21/W444, "NA")</f>
        <v>1.3845834311729726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7770.4</v>
      </c>
      <c r="C22" s="8">
        <f>IFERROR(B22/B444, "NA")</f>
        <v>6.806584264810675E-2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7770.4</v>
      </c>
      <c r="I22" s="8">
        <f>IFERROR(H22/H444, "NA")</f>
        <v>-0.63845503478455967</v>
      </c>
      <c r="J22" s="9"/>
      <c r="K22" s="7">
        <v>11082.98</v>
      </c>
      <c r="L22" s="8">
        <f>IFERROR(K22/K444, "NA")</f>
        <v>9.6502910373859538E-2</v>
      </c>
      <c r="M22" s="9"/>
      <c r="N22" s="10">
        <f t="shared" si="5"/>
        <v>-3312.58</v>
      </c>
      <c r="O22" s="8">
        <f>IFERROR(N22/N444, "NA")</f>
        <v>4.8286930410191831</v>
      </c>
      <c r="P22" s="9"/>
      <c r="Q22" s="7">
        <v>63751.9</v>
      </c>
      <c r="R22" s="8">
        <f>IFERROR(Q22/Q444, "NA")</f>
        <v>8.1434984992969528E-2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63751.9</v>
      </c>
      <c r="X22" s="8">
        <f>IFERROR(W22/W444, "NA")</f>
        <v>-0.98227762051532375</v>
      </c>
      <c r="Y22" s="9"/>
      <c r="Z22" s="7">
        <v>68119.199999999997</v>
      </c>
      <c r="AA22" s="8">
        <f>IFERROR(Z22/Z444, "NA")</f>
        <v>8.999335822192385E-2</v>
      </c>
      <c r="AB22" s="9"/>
      <c r="AC22" s="10">
        <f t="shared" si="7"/>
        <v>-4367.2999999999956</v>
      </c>
      <c r="AD22" s="8">
        <f>IFERROR(AC22/AC444, "NA")</f>
        <v>-0.16848793717725849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657.63</v>
      </c>
      <c r="C24" s="8">
        <f>IFERROR(B24/B444, "NA")</f>
        <v>5.7605966360386139E-3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657.63</v>
      </c>
      <c r="I24" s="8">
        <f>IFERROR(H24/H444, "NA")</f>
        <v>-5.4034179003059048E-2</v>
      </c>
      <c r="J24" s="9"/>
      <c r="K24" s="7">
        <v>454.86</v>
      </c>
      <c r="L24" s="8">
        <f>IFERROR(K24/K444, "NA")</f>
        <v>3.9606057046619007E-3</v>
      </c>
      <c r="M24" s="9"/>
      <c r="N24" s="10">
        <f t="shared" si="5"/>
        <v>202.76999999999998</v>
      </c>
      <c r="O24" s="8">
        <f>IFERROR(N24/N444, "NA")</f>
        <v>-0.29557447304743123</v>
      </c>
      <c r="P24" s="9"/>
      <c r="Q24" s="7">
        <v>5502.28</v>
      </c>
      <c r="R24" s="8">
        <f>IFERROR(Q24/Q444, "NA")</f>
        <v>7.0284664335826278E-3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5502.28</v>
      </c>
      <c r="X24" s="8">
        <f>IFERROR(W24/W444, "NA")</f>
        <v>-8.4778124350945699E-2</v>
      </c>
      <c r="Y24" s="9"/>
      <c r="Z24" s="7">
        <v>3462.27</v>
      </c>
      <c r="AA24" s="8">
        <f>IFERROR(Z24/Z444, "NA")</f>
        <v>4.5740599474306844E-3</v>
      </c>
      <c r="AB24" s="9"/>
      <c r="AC24" s="10">
        <f t="shared" si="7"/>
        <v>2040.0099999999998</v>
      </c>
      <c r="AD24" s="8">
        <f>IFERROR(AC24/AC444, "NA")</f>
        <v>7.8702419508845142E-2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87.16</v>
      </c>
      <c r="L27" s="8">
        <f>IFERROR(K27/K444, "NA")</f>
        <v>7.5892888629101537E-4</v>
      </c>
      <c r="M27" s="9"/>
      <c r="N27" s="10">
        <f t="shared" si="5"/>
        <v>-87.16</v>
      </c>
      <c r="O27" s="8">
        <f>IFERROR(N27/N444, "NA")</f>
        <v>0.12705168945511716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3041.56</v>
      </c>
      <c r="AA27" s="8">
        <f>IFERROR(Z27/Z444, "NA")</f>
        <v>4.0182532771006517E-3</v>
      </c>
      <c r="AB27" s="9"/>
      <c r="AC27" s="10">
        <f t="shared" si="7"/>
        <v>-3041.56</v>
      </c>
      <c r="AD27" s="8">
        <f>IFERROR(AC27/AC444, "NA")</f>
        <v>-0.11734164591414899</v>
      </c>
    </row>
    <row r="28" spans="1:30" ht="16.5" customHeight="1" x14ac:dyDescent="0.45">
      <c r="A28" s="12" t="s">
        <v>29</v>
      </c>
      <c r="B28" s="7">
        <v>880.53</v>
      </c>
      <c r="C28" s="8">
        <f>IFERROR(B28/B444, "NA")</f>
        <v>7.7131185559221457E-3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880.53</v>
      </c>
      <c r="I28" s="8">
        <f>IFERROR(H28/H444, "NA")</f>
        <v>-7.2348760910487017E-2</v>
      </c>
      <c r="J28" s="9"/>
      <c r="K28" s="7">
        <v>880.66</v>
      </c>
      <c r="L28" s="8">
        <f>IFERROR(K28/K444, "NA")</f>
        <v>7.6681770651795041E-3</v>
      </c>
      <c r="M28" s="9"/>
      <c r="N28" s="10">
        <f t="shared" si="5"/>
        <v>-0.12999999999999545</v>
      </c>
      <c r="O28" s="8">
        <f>IFERROR(N28/N444, "NA")</f>
        <v>1.8949884843006716E-4</v>
      </c>
      <c r="P28" s="9"/>
      <c r="Q28" s="7">
        <v>7607.3</v>
      </c>
      <c r="R28" s="8">
        <f>IFERROR(Q28/Q444, "NA")</f>
        <v>9.7173631113271468E-3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7607.3</v>
      </c>
      <c r="X28" s="8">
        <f>IFERROR(W28/W444, "NA")</f>
        <v>-0.1172118876856411</v>
      </c>
      <c r="Y28" s="9"/>
      <c r="Z28" s="7">
        <v>7662.36</v>
      </c>
      <c r="AA28" s="8">
        <f>IFERROR(Z28/Z444, "NA")</f>
        <v>1.0122865628271331E-2</v>
      </c>
      <c r="AB28" s="9"/>
      <c r="AC28" s="10">
        <f t="shared" si="7"/>
        <v>-55.059999999999491</v>
      </c>
      <c r="AD28" s="8">
        <f>IFERROR(AC28/AC444, "NA")</f>
        <v>-2.1241833217273318E-3</v>
      </c>
    </row>
    <row r="29" spans="1:30" ht="16.5" customHeight="1" x14ac:dyDescent="0.45">
      <c r="A29" s="13" t="s">
        <v>30</v>
      </c>
      <c r="B29" s="14">
        <f>IFERROR(B21+B22+B23+B24+B25+B26+B27+B28, "NA")</f>
        <v>9308.56</v>
      </c>
      <c r="C29" s="15">
        <f>IFERROR(B29/B444, "NA")</f>
        <v>8.1539557840067514E-2</v>
      </c>
      <c r="D29" s="2"/>
      <c r="E29" s="14">
        <f>IFERROR(E21+E22+E23+E24+E25+E26+E27+E28, "NA")</f>
        <v>13391.05</v>
      </c>
      <c r="F29" s="15">
        <f>IFERROR(E29/E444, "NA")</f>
        <v>0.10599998353527425</v>
      </c>
      <c r="G29" s="2"/>
      <c r="H29" s="14">
        <f t="shared" si="4"/>
        <v>-4082.49</v>
      </c>
      <c r="I29" s="15">
        <f>IFERROR(H29/H444, "NA")</f>
        <v>0.33543785325821285</v>
      </c>
      <c r="J29" s="2"/>
      <c r="K29" s="14">
        <f>IFERROR(K21+K22+K23+K24+K25+K26+K27+K28, "NA")</f>
        <v>12505.66</v>
      </c>
      <c r="L29" s="15">
        <f>IFERROR(K29/K444, "NA")</f>
        <v>0.10889062202999196</v>
      </c>
      <c r="M29" s="2"/>
      <c r="N29" s="14">
        <f t="shared" si="5"/>
        <v>-3197.1000000000004</v>
      </c>
      <c r="O29" s="15">
        <f>IFERROR(N29/N444, "NA")</f>
        <v>4.6603597562752999</v>
      </c>
      <c r="P29" s="2"/>
      <c r="Q29" s="14">
        <f>IFERROR(Q21+Q22+Q23+Q24+Q25+Q26+Q27+Q28, "NA")</f>
        <v>76861.48000000001</v>
      </c>
      <c r="R29" s="15">
        <f>IFERROR(Q29/Q444, "NA")</f>
        <v>9.8180814537879316E-2</v>
      </c>
      <c r="S29" s="2"/>
      <c r="T29" s="14">
        <f>IFERROR(T21+T22+T23+T24+T25+T26+T27+T28, "NA")</f>
        <v>89862.399999999994</v>
      </c>
      <c r="U29" s="15">
        <f>IFERROR(T29/T444, "NA")</f>
        <v>0.10599999506935069</v>
      </c>
      <c r="V29" s="2"/>
      <c r="W29" s="14">
        <f t="shared" si="6"/>
        <v>-13000.919999999984</v>
      </c>
      <c r="X29" s="15">
        <f>IFERROR(W29/W444, "NA")</f>
        <v>0.20031579862106175</v>
      </c>
      <c r="Y29" s="2"/>
      <c r="Z29" s="14">
        <f>IFERROR(Z21+Z22+Z23+Z24+Z25+Z26+Z27+Z28, "NA")</f>
        <v>82285.39</v>
      </c>
      <c r="AA29" s="15">
        <f>IFERROR(Z29/Z444, "NA")</f>
        <v>0.10870853707472652</v>
      </c>
      <c r="AB29" s="2"/>
      <c r="AC29" s="14">
        <f t="shared" si="7"/>
        <v>-5423.9099999999889</v>
      </c>
      <c r="AD29" s="15">
        <f>IFERROR(AC29/AC444, "NA")</f>
        <v>-0.20925134690428943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27161.1</v>
      </c>
      <c r="F31" s="8">
        <f>IFERROR(E31/E444, "NA")</f>
        <v>0.21500003007978744</v>
      </c>
      <c r="G31" s="9"/>
      <c r="H31" s="10">
        <f t="shared" ref="H31:H40" si="8">IFERROR(B31-E31, "NA")</f>
        <v>-27161.1</v>
      </c>
      <c r="I31" s="8">
        <f>IFERROR(H31/H444, "NA")</f>
        <v>2.231692196706335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182268.09</v>
      </c>
      <c r="U31" s="8">
        <f>IFERROR(T31/T444, "NA")</f>
        <v>0.21500000713646608</v>
      </c>
      <c r="V31" s="9"/>
      <c r="W31" s="10">
        <f t="shared" ref="W31:W40" si="10">IFERROR(Q31-T31, "NA")</f>
        <v>-182268.09</v>
      </c>
      <c r="X31" s="8">
        <f>IFERROR(W31/W444, "NA")</f>
        <v>2.8083534097191278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4784.45</v>
      </c>
      <c r="C33" s="8">
        <f>IFERROR(B33/B444, "NA")</f>
        <v>4.1910020186571396E-2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4784.45</v>
      </c>
      <c r="I33" s="8">
        <f>IFERROR(H33/H444, "NA")</f>
        <v>-0.39311440738893583</v>
      </c>
      <c r="J33" s="9"/>
      <c r="K33" s="7">
        <v>5195.68</v>
      </c>
      <c r="L33" s="8">
        <f>IFERROR(K33/K444, "NA")</f>
        <v>4.5240381320841017E-2</v>
      </c>
      <c r="M33" s="9"/>
      <c r="N33" s="10">
        <f t="shared" si="9"/>
        <v>-411.23000000000047</v>
      </c>
      <c r="O33" s="8">
        <f>IFERROR(N33/N444, "NA")</f>
        <v>0.59944316492230265</v>
      </c>
      <c r="P33" s="9"/>
      <c r="Q33" s="7">
        <v>47188.86</v>
      </c>
      <c r="R33" s="8">
        <f>IFERROR(Q33/Q444, "NA")</f>
        <v>6.0277797303850397E-2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47188.86</v>
      </c>
      <c r="X33" s="8">
        <f>IFERROR(W33/W444, "NA")</f>
        <v>-0.72707732813658477</v>
      </c>
      <c r="Y33" s="9"/>
      <c r="Z33" s="7">
        <v>38447.57</v>
      </c>
      <c r="AA33" s="8">
        <f>IFERROR(Z33/Z444, "NA")</f>
        <v>5.0793696047112896E-2</v>
      </c>
      <c r="AB33" s="9"/>
      <c r="AC33" s="10">
        <f t="shared" si="11"/>
        <v>8741.2900000000009</v>
      </c>
      <c r="AD33" s="8">
        <f>IFERROR(AC33/AC444, "NA")</f>
        <v>0.33723397072978717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595.09</v>
      </c>
      <c r="C35" s="8">
        <f>IFERROR(B35/B444, "NA")</f>
        <v>5.2127692656056129E-3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595.09</v>
      </c>
      <c r="I35" s="8">
        <f>IFERROR(H35/H444, "NA")</f>
        <v>-4.8895578947022504E-2</v>
      </c>
      <c r="J35" s="9"/>
      <c r="K35" s="7">
        <v>767.23</v>
      </c>
      <c r="L35" s="8">
        <f>IFERROR(K35/K444, "NA")</f>
        <v>6.6805072215357477E-3</v>
      </c>
      <c r="M35" s="9"/>
      <c r="N35" s="10">
        <f t="shared" si="9"/>
        <v>-172.14</v>
      </c>
      <c r="O35" s="8">
        <f>IFERROR(N35/N444, "NA")</f>
        <v>0.25092562899040693</v>
      </c>
      <c r="P35" s="9"/>
      <c r="Q35" s="7">
        <v>5316.82</v>
      </c>
      <c r="R35" s="8">
        <f>IFERROR(Q35/Q444, "NA")</f>
        <v>6.7915647519575136E-3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5316.82</v>
      </c>
      <c r="X35" s="8">
        <f>IFERROR(W35/W444, "NA")</f>
        <v>-8.1920590575469646E-2</v>
      </c>
      <c r="Y35" s="9"/>
      <c r="Z35" s="7">
        <v>1662.13</v>
      </c>
      <c r="AA35" s="8">
        <f>IFERROR(Z35/Z444, "NA")</f>
        <v>2.1958663710291123E-3</v>
      </c>
      <c r="AB35" s="9"/>
      <c r="AC35" s="10">
        <f t="shared" si="11"/>
        <v>3654.6899999999996</v>
      </c>
      <c r="AD35" s="8">
        <f>IFERROR(AC35/AC444, "NA")</f>
        <v>0.140995850782487</v>
      </c>
    </row>
    <row r="36" spans="1:30" ht="16.5" customHeight="1" x14ac:dyDescent="0.45">
      <c r="A36" s="12" t="s">
        <v>36</v>
      </c>
      <c r="B36" s="7">
        <v>7705.83</v>
      </c>
      <c r="C36" s="8">
        <f>IFERROR(B36/B444, "NA")</f>
        <v>6.7500233225195674E-2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7705.83</v>
      </c>
      <c r="I36" s="8">
        <f>IFERROR(H36/H444, "NA")</f>
        <v>-0.63314963974749094</v>
      </c>
      <c r="J36" s="9"/>
      <c r="K36" s="7">
        <v>29475.15</v>
      </c>
      <c r="L36" s="8">
        <f>IFERROR(K36/K444, "NA")</f>
        <v>0.25664918268426601</v>
      </c>
      <c r="M36" s="9"/>
      <c r="N36" s="10">
        <f t="shared" si="9"/>
        <v>-21769.32</v>
      </c>
      <c r="O36" s="8">
        <f>IFERROR(N36/N444, "NA")</f>
        <v>31.732777470044415</v>
      </c>
      <c r="P36" s="9"/>
      <c r="Q36" s="7">
        <v>82908.77</v>
      </c>
      <c r="R36" s="8">
        <f>IFERROR(Q36/Q444, "NA")</f>
        <v>0.10590546228011341</v>
      </c>
      <c r="S36" s="9"/>
      <c r="T36" s="7">
        <v>0</v>
      </c>
      <c r="U36" s="8">
        <f>IFERROR(T36/T444, "NA")</f>
        <v>0</v>
      </c>
      <c r="V36" s="9"/>
      <c r="W36" s="10">
        <f t="shared" si="10"/>
        <v>82908.77</v>
      </c>
      <c r="X36" s="8">
        <f>IFERROR(W36/W444, "NA")</f>
        <v>-1.2774431713478698</v>
      </c>
      <c r="Y36" s="9"/>
      <c r="Z36" s="7">
        <v>103936.43</v>
      </c>
      <c r="AA36" s="8">
        <f>IFERROR(Z36/Z444, "NA")</f>
        <v>0.13731207027237419</v>
      </c>
      <c r="AB36" s="9"/>
      <c r="AC36" s="10">
        <f t="shared" si="11"/>
        <v>-21027.659999999989</v>
      </c>
      <c r="AD36" s="8">
        <f>IFERROR(AC36/AC444, "NA")</f>
        <v>-0.81123510110703478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661.8</v>
      </c>
      <c r="C39" s="8">
        <f>IFERROR(B39/B444, "NA")</f>
        <v>5.7971243004886555E-3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661.8</v>
      </c>
      <c r="I39" s="8">
        <f>IFERROR(H39/H444, "NA")</f>
        <v>-5.4376807116805002E-2</v>
      </c>
      <c r="J39" s="9"/>
      <c r="K39" s="7">
        <v>1081.26</v>
      </c>
      <c r="L39" s="8">
        <f>IFERROR(K39/K444, "NA")</f>
        <v>9.4148628681852142E-3</v>
      </c>
      <c r="M39" s="9"/>
      <c r="N39" s="10">
        <f t="shared" si="9"/>
        <v>-419.46000000000004</v>
      </c>
      <c r="O39" s="8">
        <f>IFERROR(N39/N444, "NA")</f>
        <v>0.61143989971137513</v>
      </c>
      <c r="P39" s="9"/>
      <c r="Q39" s="7">
        <v>5623.68</v>
      </c>
      <c r="R39" s="8">
        <f>IFERROR(Q39/Q444, "NA")</f>
        <v>7.1835395714521903E-3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5623.68</v>
      </c>
      <c r="X39" s="8">
        <f>IFERROR(W39/W444, "NA")</f>
        <v>-8.6648633357431171E-2</v>
      </c>
      <c r="Y39" s="9"/>
      <c r="Z39" s="7">
        <v>9059.1</v>
      </c>
      <c r="AA39" s="8">
        <f>IFERROR(Z39/Z444, "NA")</f>
        <v>1.1968121050573559E-2</v>
      </c>
      <c r="AB39" s="9"/>
      <c r="AC39" s="10">
        <f t="shared" si="11"/>
        <v>-3435.42</v>
      </c>
      <c r="AD39" s="8">
        <f>IFERROR(AC39/AC444, "NA")</f>
        <v>-0.13253653954102029</v>
      </c>
    </row>
    <row r="40" spans="1:30" ht="16.5" customHeight="1" x14ac:dyDescent="0.45">
      <c r="A40" s="13" t="s">
        <v>40</v>
      </c>
      <c r="B40" s="14">
        <f>IFERROR(B31+B32+B33+B34+B35+B36+B37+B38+B39, "NA")</f>
        <v>13747.169999999998</v>
      </c>
      <c r="C40" s="15">
        <f>IFERROR(B40/B444, "NA")</f>
        <v>0.12042014697786133</v>
      </c>
      <c r="D40" s="2"/>
      <c r="E40" s="14">
        <f>IFERROR(E31+E32+E33+E34+E35+E36+E37+E38+E39, "NA")</f>
        <v>27161.1</v>
      </c>
      <c r="F40" s="15">
        <f>IFERROR(E40/E444, "NA")</f>
        <v>0.21500003007978744</v>
      </c>
      <c r="G40" s="2"/>
      <c r="H40" s="14">
        <f t="shared" si="8"/>
        <v>-13413.93</v>
      </c>
      <c r="I40" s="15">
        <f>IFERROR(H40/H444, "NA")</f>
        <v>1.1021557635060808</v>
      </c>
      <c r="J40" s="2"/>
      <c r="K40" s="14">
        <f>IFERROR(K31+K32+K33+K34+K35+K36+K37+K38+K39, "NA")</f>
        <v>36519.32</v>
      </c>
      <c r="L40" s="15">
        <f>IFERROR(K40/K444, "NA")</f>
        <v>0.31798493409482798</v>
      </c>
      <c r="M40" s="2"/>
      <c r="N40" s="14">
        <f t="shared" si="9"/>
        <v>-22772.15</v>
      </c>
      <c r="O40" s="15">
        <f>IFERROR(N40/N444, "NA")</f>
        <v>33.194586163668504</v>
      </c>
      <c r="P40" s="2"/>
      <c r="Q40" s="14">
        <f>IFERROR(Q31+Q32+Q33+Q34+Q35+Q36+Q37+Q38+Q39, "NA")</f>
        <v>141038.13</v>
      </c>
      <c r="R40" s="15">
        <f>IFERROR(Q40/Q444, "NA")</f>
        <v>0.1801583639073735</v>
      </c>
      <c r="S40" s="2"/>
      <c r="T40" s="14">
        <f>IFERROR(T31+T32+T33+T34+T35+T36+T37+T38+T39, "NA")</f>
        <v>182268.09</v>
      </c>
      <c r="U40" s="15">
        <f>IFERROR(T40/T444, "NA")</f>
        <v>0.21500000713646608</v>
      </c>
      <c r="V40" s="2"/>
      <c r="W40" s="14">
        <f t="shared" si="10"/>
        <v>-41229.959999999992</v>
      </c>
      <c r="X40" s="15">
        <f>IFERROR(W40/W444, "NA")</f>
        <v>0.63526368630177255</v>
      </c>
      <c r="Y40" s="2"/>
      <c r="Z40" s="14">
        <f>IFERROR(Z31+Z32+Z33+Z34+Z35+Z36+Z37+Z38+Z39, "NA")</f>
        <v>153105.23000000001</v>
      </c>
      <c r="AA40" s="15">
        <f>IFERROR(Z40/Z444, "NA")</f>
        <v>0.2022697537410898</v>
      </c>
      <c r="AB40" s="2"/>
      <c r="AC40" s="14">
        <f t="shared" si="11"/>
        <v>-12067.100000000006</v>
      </c>
      <c r="AD40" s="15">
        <f>IFERROR(AC40/AC444, "NA")</f>
        <v>-0.46554181913578163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4952.83</v>
      </c>
      <c r="C43" s="8">
        <f>IFERROR(B43/B444, "NA")</f>
        <v>4.3384966982757976E-2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4952.83</v>
      </c>
      <c r="I43" s="8">
        <f>IFERROR(H43/H444, "NA")</f>
        <v>-0.40694935266292737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4952.83</v>
      </c>
      <c r="O43" s="8">
        <f>IFERROR(N43/N444, "NA")</f>
        <v>-7.2196583189994028</v>
      </c>
      <c r="P43" s="9"/>
      <c r="Q43" s="7">
        <v>44046.81</v>
      </c>
      <c r="R43" s="8">
        <f>IFERROR(Q43/Q444, "NA")</f>
        <v>5.6264226028372173E-2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44046.81</v>
      </c>
      <c r="X43" s="8">
        <f>IFERROR(W43/W444, "NA")</f>
        <v>-0.67866519614459442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44046.81</v>
      </c>
      <c r="AD43" s="8">
        <f>IFERROR(AC43/AC444, "NA")</f>
        <v>1.6993007478622142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18570.61</v>
      </c>
      <c r="F46" s="8">
        <f>IFERROR(E46/E444, "NA")</f>
        <v>0.14700000031662935</v>
      </c>
      <c r="G46" s="9"/>
      <c r="H46" s="10">
        <f t="shared" ref="H46:H62" si="12">IFERROR(B46-E46, "NA")</f>
        <v>-18570.61</v>
      </c>
      <c r="I46" s="8">
        <f>IFERROR(H46/H444, "NA")</f>
        <v>1.5258544545352226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124620.51</v>
      </c>
      <c r="U46" s="8">
        <f>IFERROR(T46/T444, "NA")</f>
        <v>0.14700000718364933</v>
      </c>
      <c r="V46" s="9"/>
      <c r="W46" s="10">
        <f t="shared" ref="W46:W62" si="14">IFERROR(Q46-T46, "NA")</f>
        <v>-124620.51</v>
      </c>
      <c r="X46" s="8">
        <f>IFERROR(W46/W444, "NA")</f>
        <v>1.9201300358139304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591.54999999999995</v>
      </c>
      <c r="C47" s="8">
        <f>IFERROR(B47/B444, "NA")</f>
        <v>5.1817601691660081E-3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591.54999999999995</v>
      </c>
      <c r="I47" s="8">
        <f>IFERROR(H47/H444, "NA")</f>
        <v>-4.8604714792907226E-2</v>
      </c>
      <c r="J47" s="9"/>
      <c r="K47" s="7">
        <v>0</v>
      </c>
      <c r="L47" s="8">
        <f>IFERROR(K47/K444, "NA")</f>
        <v>0</v>
      </c>
      <c r="M47" s="9"/>
      <c r="N47" s="10">
        <f t="shared" si="13"/>
        <v>591.54999999999995</v>
      </c>
      <c r="O47" s="8">
        <f>IFERROR(N47/N444, "NA")</f>
        <v>-0.86229264452930887</v>
      </c>
      <c r="P47" s="9"/>
      <c r="Q47" s="7">
        <v>7103.39</v>
      </c>
      <c r="R47" s="8">
        <f>IFERROR(Q47/Q444, "NA")</f>
        <v>9.0736818518226091E-3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7103.39</v>
      </c>
      <c r="X47" s="8">
        <f>IFERROR(W47/W444, "NA")</f>
        <v>-0.10944773452700776</v>
      </c>
      <c r="Y47" s="9"/>
      <c r="Z47" s="7">
        <v>4473.6000000000004</v>
      </c>
      <c r="AA47" s="8">
        <f>IFERROR(Z47/Z444, "NA")</f>
        <v>5.9101440906763232E-3</v>
      </c>
      <c r="AB47" s="9"/>
      <c r="AC47" s="10">
        <f t="shared" si="15"/>
        <v>2629.79</v>
      </c>
      <c r="AD47" s="8">
        <f>IFERROR(AC47/AC444, "NA")</f>
        <v>0.10145579472657776</v>
      </c>
    </row>
    <row r="48" spans="1:30" ht="16.5" customHeight="1" x14ac:dyDescent="0.45">
      <c r="A48" s="17" t="s">
        <v>46</v>
      </c>
      <c r="B48" s="7">
        <v>2594.4899999999998</v>
      </c>
      <c r="C48" s="8">
        <f>IFERROR(B48/B444, "NA")</f>
        <v>2.2726777011747978E-2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2594.4899999999998</v>
      </c>
      <c r="I48" s="8">
        <f>IFERROR(H48/H444, "NA")</f>
        <v>-0.21317631051145272</v>
      </c>
      <c r="J48" s="9"/>
      <c r="K48" s="7">
        <v>8090.84</v>
      </c>
      <c r="L48" s="8">
        <f>IFERROR(K48/K444, "NA")</f>
        <v>7.044942852637448E-2</v>
      </c>
      <c r="M48" s="9"/>
      <c r="N48" s="10">
        <f t="shared" si="13"/>
        <v>-5496.35</v>
      </c>
      <c r="O48" s="8">
        <f>IFERROR(N48/N444, "NA")</f>
        <v>8.0119384274510477</v>
      </c>
      <c r="P48" s="9"/>
      <c r="Q48" s="7">
        <v>42016.59</v>
      </c>
      <c r="R48" s="8">
        <f>IFERROR(Q48/Q444, "NA")</f>
        <v>5.3670876885328171E-2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42016.59</v>
      </c>
      <c r="X48" s="8">
        <f>IFERROR(W48/W444, "NA")</f>
        <v>-0.64738393753547652</v>
      </c>
      <c r="Y48" s="9"/>
      <c r="Z48" s="7">
        <v>60312.07</v>
      </c>
      <c r="AA48" s="8">
        <f>IFERROR(Z48/Z444, "NA")</f>
        <v>7.9679234644795399E-2</v>
      </c>
      <c r="AB48" s="9"/>
      <c r="AC48" s="10">
        <f t="shared" si="15"/>
        <v>-18295.480000000003</v>
      </c>
      <c r="AD48" s="8">
        <f>IFERROR(AC48/AC444, "NA")</f>
        <v>-0.7058291587176958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3.5127770110485525E-5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-4.2371497263879828E-4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27.5</v>
      </c>
      <c r="AD49" s="8">
        <f>IFERROR(AC49/AC444, "NA")</f>
        <v>1.0609342780149322E-3</v>
      </c>
    </row>
    <row r="50" spans="1:30" ht="16.5" customHeight="1" x14ac:dyDescent="0.45">
      <c r="A50" s="17" t="s">
        <v>48</v>
      </c>
      <c r="B50" s="7">
        <v>5098</v>
      </c>
      <c r="C50" s="8">
        <f>IFERROR(B50/B444, "NA")</f>
        <v>4.4656602725734615E-2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5098</v>
      </c>
      <c r="I50" s="8">
        <f>IFERROR(H50/H444, "NA")</f>
        <v>-0.41887724793211234</v>
      </c>
      <c r="J50" s="9"/>
      <c r="K50" s="7">
        <v>642.5</v>
      </c>
      <c r="L50" s="8">
        <f>IFERROR(K50/K444, "NA")</f>
        <v>5.594444807732646E-3</v>
      </c>
      <c r="M50" s="9"/>
      <c r="N50" s="10">
        <f t="shared" si="13"/>
        <v>4455.5</v>
      </c>
      <c r="O50" s="8">
        <f>IFERROR(N50/N444, "NA")</f>
        <v>-6.4947086090784136</v>
      </c>
      <c r="P50" s="9"/>
      <c r="Q50" s="7">
        <v>20827.07</v>
      </c>
      <c r="R50" s="8">
        <f>IFERROR(Q50/Q444, "NA")</f>
        <v>2.660394643763599E-2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20827.07</v>
      </c>
      <c r="X50" s="8">
        <f>IFERROR(W50/W444, "NA")</f>
        <v>-0.32089968709804861</v>
      </c>
      <c r="Y50" s="9"/>
      <c r="Z50" s="7">
        <v>24107.59</v>
      </c>
      <c r="AA50" s="8">
        <f>IFERROR(Z50/Z444, "NA")</f>
        <v>3.1848920462032276E-2</v>
      </c>
      <c r="AB50" s="9"/>
      <c r="AC50" s="10">
        <f t="shared" si="15"/>
        <v>-3280.5200000000004</v>
      </c>
      <c r="AD50" s="8">
        <f>IFERROR(AC50/AC444, "NA")</f>
        <v>-0.1265605860986744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1377.7</v>
      </c>
      <c r="AA54" s="8">
        <f>IFERROR(Z54/Z444, "NA")</f>
        <v>1.8201013755643708E-3</v>
      </c>
      <c r="AB54" s="9"/>
      <c r="AC54" s="10">
        <f t="shared" si="15"/>
        <v>-1377.7</v>
      </c>
      <c r="AD54" s="8">
        <f>IFERROR(AC54/AC444, "NA")</f>
        <v>-5.315087835713353E-2</v>
      </c>
    </row>
    <row r="55" spans="1:30" ht="16.5" customHeight="1" x14ac:dyDescent="0.45">
      <c r="A55" s="17" t="s">
        <v>53</v>
      </c>
      <c r="B55" s="7">
        <v>2754.95</v>
      </c>
      <c r="C55" s="8">
        <f>IFERROR(B55/B444, "NA")</f>
        <v>2.4132347524374768E-2</v>
      </c>
      <c r="D55" s="9"/>
      <c r="E55" s="7">
        <v>0</v>
      </c>
      <c r="F55" s="8">
        <f>IFERROR(E55/E444, "NA")</f>
        <v>0</v>
      </c>
      <c r="G55" s="9"/>
      <c r="H55" s="10">
        <f t="shared" si="12"/>
        <v>2754.95</v>
      </c>
      <c r="I55" s="8">
        <f>IFERROR(H55/H444, "NA")</f>
        <v>-0.22636050886437284</v>
      </c>
      <c r="J55" s="9"/>
      <c r="K55" s="7">
        <v>0</v>
      </c>
      <c r="L55" s="8">
        <f>IFERROR(K55/K444, "NA")</f>
        <v>0</v>
      </c>
      <c r="M55" s="9"/>
      <c r="N55" s="10">
        <f t="shared" si="13"/>
        <v>2754.95</v>
      </c>
      <c r="O55" s="8">
        <f>IFERROR(N55/N444, "NA")</f>
        <v>-4.0158450190956287</v>
      </c>
      <c r="P55" s="9"/>
      <c r="Q55" s="7">
        <v>3089.24</v>
      </c>
      <c r="R55" s="8">
        <f>IFERROR(Q55/Q444, "NA")</f>
        <v>3.9461131831315015E-3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3089.24</v>
      </c>
      <c r="X55" s="8">
        <f>IFERROR(W55/W444, "NA")</f>
        <v>-4.7598445166352039E-2</v>
      </c>
      <c r="Y55" s="9"/>
      <c r="Z55" s="7">
        <v>2934</v>
      </c>
      <c r="AA55" s="8">
        <f>IFERROR(Z55/Z444, "NA")</f>
        <v>3.8761540508861609E-3</v>
      </c>
      <c r="AB55" s="9"/>
      <c r="AC55" s="10">
        <f t="shared" si="15"/>
        <v>155.23999999999978</v>
      </c>
      <c r="AD55" s="8">
        <f>IFERROR(AC55/AC444, "NA")</f>
        <v>5.9890704479650123E-3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180</v>
      </c>
      <c r="L56" s="8">
        <f>IFERROR(K56/K444, "NA")</f>
        <v>1.5673152768745154E-3</v>
      </c>
      <c r="M56" s="9"/>
      <c r="N56" s="10">
        <f t="shared" si="13"/>
        <v>-180</v>
      </c>
      <c r="O56" s="8">
        <f>IFERROR(N56/N444, "NA")</f>
        <v>0.26238302090317911</v>
      </c>
      <c r="P56" s="9"/>
      <c r="Q56" s="7">
        <v>54.95</v>
      </c>
      <c r="R56" s="8">
        <f>IFERROR(Q56/Q444, "NA")</f>
        <v>7.0191671548042888E-5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-8.4665955441825332E-4</v>
      </c>
      <c r="Y56" s="9"/>
      <c r="Z56" s="7">
        <v>1202.05</v>
      </c>
      <c r="AA56" s="8">
        <f>IFERROR(Z56/Z444, "NA")</f>
        <v>1.5880473677122391E-3</v>
      </c>
      <c r="AB56" s="9"/>
      <c r="AC56" s="10">
        <f t="shared" si="15"/>
        <v>-1147.0999999999999</v>
      </c>
      <c r="AD56" s="8">
        <f>IFERROR(AC56/AC444, "NA")</f>
        <v>-4.4254462193124677E-2</v>
      </c>
    </row>
    <row r="57" spans="1:30" ht="16.5" customHeight="1" x14ac:dyDescent="0.45">
      <c r="A57" s="17" t="s">
        <v>55</v>
      </c>
      <c r="B57" s="7">
        <v>1067.29</v>
      </c>
      <c r="C57" s="8">
        <f>IFERROR(B57/B444, "NA")</f>
        <v>9.3490673839053146E-3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1067.29</v>
      </c>
      <c r="I57" s="8">
        <f>IFERROR(H57/H444, "NA")</f>
        <v>-8.7693899165450007E-2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1067.29</v>
      </c>
      <c r="O57" s="8">
        <f>IFERROR(N57/N444, "NA")</f>
        <v>-1.5557709687764112</v>
      </c>
      <c r="P57" s="9"/>
      <c r="Q57" s="7">
        <v>8515.83</v>
      </c>
      <c r="R57" s="8">
        <f>IFERROR(Q57/Q444, "NA")</f>
        <v>1.0877895219635487E-2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8515.83</v>
      </c>
      <c r="X57" s="8">
        <f>IFERROR(W57/W444, "NA")</f>
        <v>-0.13121035183442389</v>
      </c>
      <c r="Y57" s="9"/>
      <c r="Z57" s="7">
        <v>14356.41</v>
      </c>
      <c r="AA57" s="8">
        <f>IFERROR(Z57/Z444, "NA")</f>
        <v>1.896648151931922E-2</v>
      </c>
      <c r="AB57" s="9"/>
      <c r="AC57" s="10">
        <f t="shared" si="15"/>
        <v>-5840.58</v>
      </c>
      <c r="AD57" s="8">
        <f>IFERROR(AC57/AC444, "NA")</f>
        <v>-0.22532623729048917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12106.280000000002</v>
      </c>
      <c r="C61" s="15">
        <f>IFERROR(B61/B444, "NA")</f>
        <v>0.10604655481492871</v>
      </c>
      <c r="D61" s="2"/>
      <c r="E61" s="14">
        <f>IFERROR(E46+E47+E48+E49+E50+E51+E52+E53+E54+E55+E56+E57+E58+E59+E60, "NA")</f>
        <v>18570.61</v>
      </c>
      <c r="F61" s="15">
        <f>IFERROR(E61/E444, "NA")</f>
        <v>0.14700000031662935</v>
      </c>
      <c r="G61" s="2"/>
      <c r="H61" s="14">
        <f t="shared" si="12"/>
        <v>-6464.3299999999981</v>
      </c>
      <c r="I61" s="15">
        <f>IFERROR(H61/H444, "NA")</f>
        <v>0.5311417732689272</v>
      </c>
      <c r="J61" s="2"/>
      <c r="K61" s="14">
        <f>IFERROR(K46+K47+K48+K49+K50+K51+K52+K53+K54+K55+K56+K57+K58+K59+K60, "NA")</f>
        <v>8913.34</v>
      </c>
      <c r="L61" s="15">
        <f>IFERROR(K61/K444, "NA")</f>
        <v>7.7611188610981638E-2</v>
      </c>
      <c r="M61" s="2"/>
      <c r="N61" s="14">
        <f t="shared" si="13"/>
        <v>3192.9400000000023</v>
      </c>
      <c r="O61" s="15">
        <f>IFERROR(N61/N444, "NA")</f>
        <v>-4.6542957931255406</v>
      </c>
      <c r="P61" s="2"/>
      <c r="Q61" s="14">
        <f>IFERROR(Q46+Q47+Q48+Q49+Q50+Q51+Q52+Q53+Q54+Q55+Q56+Q57+Q58+Q59+Q60, "NA")</f>
        <v>81634.569999999992</v>
      </c>
      <c r="R61" s="15">
        <f>IFERROR(Q61/Q444, "NA")</f>
        <v>0.10427783301921228</v>
      </c>
      <c r="S61" s="2"/>
      <c r="T61" s="14">
        <f>IFERROR(T46+T47+T48+T49+T50+T51+T52+T53+T54+T55+T56+T57+T58+T59+T60, "NA")</f>
        <v>124620.51</v>
      </c>
      <c r="U61" s="15">
        <f>IFERROR(T61/T444, "NA")</f>
        <v>0.14700000718364933</v>
      </c>
      <c r="V61" s="2"/>
      <c r="W61" s="14">
        <f t="shared" si="14"/>
        <v>-42985.94</v>
      </c>
      <c r="X61" s="15">
        <f>IFERROR(W61/W444, "NA")</f>
        <v>0.66231950512556459</v>
      </c>
      <c r="Y61" s="2"/>
      <c r="Z61" s="14">
        <f>IFERROR(Z46+Z47+Z48+Z49+Z50+Z51+Z52+Z53+Z54+Z55+Z56+Z57+Z58+Z59+Z60, "NA")</f>
        <v>108763.42</v>
      </c>
      <c r="AA61" s="15">
        <f>IFERROR(Z61/Z444, "NA")</f>
        <v>0.143689083510986</v>
      </c>
      <c r="AB61" s="2"/>
      <c r="AC61" s="14">
        <f t="shared" si="15"/>
        <v>-27128.850000000006</v>
      </c>
      <c r="AD61" s="15">
        <f>IFERROR(AC61/AC444, "NA")</f>
        <v>-1.04661552320456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17059.11</v>
      </c>
      <c r="C62" s="15">
        <f>IFERROR(B62/B444, "NA")</f>
        <v>0.14943152179768668</v>
      </c>
      <c r="D62" s="2"/>
      <c r="E62" s="14">
        <f>IFERROR(E42+E43+E44+E46+E47+E48+E49+E50+E51+E52+E53+E54+E55+E56+E57+E58+E59+E60, "NA")</f>
        <v>18570.61</v>
      </c>
      <c r="F62" s="15">
        <f>IFERROR(E62/E444, "NA")</f>
        <v>0.14700000031662935</v>
      </c>
      <c r="G62" s="2"/>
      <c r="H62" s="14">
        <f t="shared" si="12"/>
        <v>-1511.5</v>
      </c>
      <c r="I62" s="15">
        <f>IFERROR(H62/H444, "NA")</f>
        <v>0.12419242060599996</v>
      </c>
      <c r="J62" s="2"/>
      <c r="K62" s="14">
        <f>IFERROR(K42+K43+K44+K46+K47+K48+K49+K50+K51+K52+K53+K54+K55+K56+K57+K58+K59+K60, "NA")</f>
        <v>8913.34</v>
      </c>
      <c r="L62" s="15">
        <f>IFERROR(K62/K444, "NA")</f>
        <v>7.7611188610981638E-2</v>
      </c>
      <c r="M62" s="2"/>
      <c r="N62" s="14">
        <f t="shared" si="13"/>
        <v>8145.77</v>
      </c>
      <c r="O62" s="15">
        <f>IFERROR(N62/N444, "NA")</f>
        <v>-11.873954112124942</v>
      </c>
      <c r="P62" s="2"/>
      <c r="Q62" s="14">
        <f>IFERROR(Q42+Q43+Q44+Q46+Q47+Q48+Q49+Q50+Q51+Q52+Q53+Q54+Q55+Q56+Q57+Q58+Q59+Q60, "NA")</f>
        <v>125681.37999999999</v>
      </c>
      <c r="R62" s="15">
        <f>IFERROR(Q62/Q444, "NA")</f>
        <v>0.16054205904758445</v>
      </c>
      <c r="S62" s="2"/>
      <c r="T62" s="14">
        <f>IFERROR(T42+T43+T44+T46+T47+T48+T49+T50+T51+T52+T53+T54+T55+T56+T57+T58+T59+T60, "NA")</f>
        <v>124620.51</v>
      </c>
      <c r="U62" s="15">
        <f>IFERROR(T62/T444, "NA")</f>
        <v>0.14700000718364933</v>
      </c>
      <c r="V62" s="2"/>
      <c r="W62" s="14">
        <f t="shared" si="14"/>
        <v>1060.8699999999953</v>
      </c>
      <c r="X62" s="15">
        <f>IFERROR(W62/W444, "NA")</f>
        <v>-1.6345691019029815E-2</v>
      </c>
      <c r="Y62" s="2"/>
      <c r="Z62" s="14">
        <f>IFERROR(Z42+Z43+Z44+Z46+Z47+Z48+Z49+Z50+Z51+Z52+Z53+Z54+Z55+Z56+Z57+Z58+Z59+Z60, "NA")</f>
        <v>108763.42</v>
      </c>
      <c r="AA62" s="15">
        <f>IFERROR(Z62/Z444, "NA")</f>
        <v>0.143689083510986</v>
      </c>
      <c r="AB62" s="2"/>
      <c r="AC62" s="14">
        <f t="shared" si="15"/>
        <v>16917.959999999992</v>
      </c>
      <c r="AD62" s="15">
        <f>IFERROR(AC62/AC444, "NA")</f>
        <v>0.65268522465765433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9790.9</v>
      </c>
      <c r="C65" s="8">
        <f>IFERROR(B65/B444, "NA")</f>
        <v>8.5764678624439983E-2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9790.9</v>
      </c>
      <c r="I65" s="8">
        <f>IFERROR(H65/H444, "NA")</f>
        <v>-0.80446944817154142</v>
      </c>
      <c r="J65" s="9"/>
      <c r="K65" s="7">
        <v>0</v>
      </c>
      <c r="L65" s="8">
        <f>IFERROR(K65/K444, "NA")</f>
        <v>0</v>
      </c>
      <c r="M65" s="9"/>
      <c r="N65" s="10">
        <f t="shared" si="17"/>
        <v>9790.9</v>
      </c>
      <c r="O65" s="8">
        <f>IFERROR(N65/N444, "NA")</f>
        <v>-14.272032885338534</v>
      </c>
      <c r="P65" s="9"/>
      <c r="Q65" s="7">
        <v>40412.550000000003</v>
      </c>
      <c r="R65" s="8">
        <f>IFERROR(Q65/Q444, "NA")</f>
        <v>5.1621918762854609E-2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40412.550000000003</v>
      </c>
      <c r="X65" s="8">
        <f>IFERROR(W65/W444, "NA")</f>
        <v>-0.62266918245505698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40412.550000000003</v>
      </c>
      <c r="AD65" s="8">
        <f>IFERROR(AC65/AC444, "NA")</f>
        <v>1.5590930747997218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6889.38</v>
      </c>
      <c r="R66" s="8">
        <f>IFERROR(Q66/Q444, "NA")</f>
        <v>8.8003111579555184E-3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-0.10615030757084669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6889.38</v>
      </c>
      <c r="AD66" s="8">
        <f>IFERROR(AC66/AC444, "NA")</f>
        <v>0.26578834168256416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3646.1</v>
      </c>
      <c r="C68" s="8">
        <f>IFERROR(B68/B444, "NA")</f>
        <v>3.1938493369615725E-2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3646.1</v>
      </c>
      <c r="I68" s="8">
        <f>IFERROR(H68/H444, "NA")</f>
        <v>-0.29958186223720573</v>
      </c>
      <c r="J68" s="9"/>
      <c r="K68" s="7">
        <v>0</v>
      </c>
      <c r="L68" s="8">
        <f>IFERROR(K68/K444, "NA")</f>
        <v>0</v>
      </c>
      <c r="M68" s="9"/>
      <c r="N68" s="10">
        <f t="shared" si="17"/>
        <v>3646.1</v>
      </c>
      <c r="O68" s="8">
        <f>IFERROR(N68/N444, "NA")</f>
        <v>-5.314859625083785</v>
      </c>
      <c r="P68" s="9"/>
      <c r="Q68" s="7">
        <v>15554.45</v>
      </c>
      <c r="R68" s="8">
        <f>IFERROR(Q68/Q444, "NA")</f>
        <v>1.9868841592546965E-2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15554.45</v>
      </c>
      <c r="X68" s="8">
        <f>IFERROR(W68/W444, "NA")</f>
        <v>-0.23966012204223841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15554.45</v>
      </c>
      <c r="AD68" s="8">
        <f>IFERROR(AC68/AC444, "NA")</f>
        <v>0.60008178838797688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customHeight="1" x14ac:dyDescent="0.45">
      <c r="A70" s="12" t="s">
        <v>67</v>
      </c>
      <c r="B70" s="7">
        <v>13479.54</v>
      </c>
      <c r="C70" s="8">
        <f>IFERROR(B70/B444, "NA")</f>
        <v>0.11807580672923672</v>
      </c>
      <c r="D70" s="9"/>
      <c r="E70" s="7">
        <v>0</v>
      </c>
      <c r="F70" s="8">
        <f>IFERROR(E70/E444, "NA")</f>
        <v>0</v>
      </c>
      <c r="G70" s="9"/>
      <c r="H70" s="10">
        <f t="shared" si="16"/>
        <v>13479.54</v>
      </c>
      <c r="I70" s="8">
        <f>IFERROR(H70/H444, "NA")</f>
        <v>-1.1075466101590479</v>
      </c>
      <c r="J70" s="9"/>
      <c r="K70" s="7">
        <v>0</v>
      </c>
      <c r="L70" s="8">
        <f>IFERROR(K70/K444, "NA")</f>
        <v>0</v>
      </c>
      <c r="M70" s="9"/>
      <c r="N70" s="10">
        <f t="shared" si="17"/>
        <v>13479.54</v>
      </c>
      <c r="O70" s="8">
        <f>IFERROR(N70/N444, "NA")</f>
        <v>-19.648902364362439</v>
      </c>
      <c r="P70" s="9"/>
      <c r="Q70" s="7">
        <v>13479.54</v>
      </c>
      <c r="R70" s="8">
        <f>IFERROR(Q70/Q444, "NA")</f>
        <v>1.7218406629639783E-2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13479.54</v>
      </c>
      <c r="X70" s="8">
        <f>IFERROR(W70/W444, "NA")</f>
        <v>-0.20769028808303955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13479.54</v>
      </c>
      <c r="AD70" s="8">
        <f>IFERROR(AC70/AC444, "NA")</f>
        <v>0.52003294683176005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26916.54</v>
      </c>
      <c r="C73" s="15">
        <f>IFERROR(B73/B444, "NA")</f>
        <v>0.23577897872329243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26916.54</v>
      </c>
      <c r="I73" s="15">
        <f>IFERROR(H73/H444, "NA")</f>
        <v>-2.2115979205677951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26916.54</v>
      </c>
      <c r="O73" s="15">
        <f>IFERROR(N73/N444, "NA")</f>
        <v>-39.235794874784759</v>
      </c>
      <c r="P73" s="2"/>
      <c r="Q73" s="14">
        <f>IFERROR(Q64+Q65+Q66+Q67+Q68+Q69+Q70+Q71+Q72, "NA")</f>
        <v>76335.920000000013</v>
      </c>
      <c r="R73" s="15">
        <f>IFERROR(Q73/Q444, "NA")</f>
        <v>9.7509478142996889E-2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76335.920000000013</v>
      </c>
      <c r="X73" s="15">
        <f>IFERROR(W73/W444, "NA")</f>
        <v>-1.1761699001511818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76335.920000000013</v>
      </c>
      <c r="AD73" s="15">
        <f>IFERROR(AC73/AC444, "NA")</f>
        <v>2.9449961517020231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1010.65</v>
      </c>
      <c r="F75" s="8">
        <f>IFERROR(E75/E444, "NA")</f>
        <v>8.000036095744914E-3</v>
      </c>
      <c r="G75" s="9"/>
      <c r="H75" s="10">
        <f t="shared" ref="H75:H92" si="20">IFERROR(B75-E75, "NA")</f>
        <v>-1010.65</v>
      </c>
      <c r="I75" s="8">
        <f>IFERROR(H75/H444, "NA")</f>
        <v>8.3040072699605588E-2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6782.08</v>
      </c>
      <c r="U75" s="8">
        <f>IFERROR(T75/T444, "NA")</f>
        <v>8.0000138718745763E-3</v>
      </c>
      <c r="V75" s="9"/>
      <c r="W75" s="10">
        <f t="shared" ref="W75:W92" si="22">IFERROR(Q75-T75, "NA")</f>
        <v>-6782.08</v>
      </c>
      <c r="X75" s="8">
        <f>IFERROR(W75/W444, "NA")</f>
        <v>0.10449704878669604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462.88</v>
      </c>
      <c r="C77" s="8">
        <f>IFERROR(B77/B444, "NA")</f>
        <v>4.0546583502722713E-3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462.88</v>
      </c>
      <c r="I77" s="8">
        <f>IFERROR(H77/H444, "NA")</f>
        <v>-3.8032542275954519E-2</v>
      </c>
      <c r="J77" s="9"/>
      <c r="K77" s="7">
        <v>80.73</v>
      </c>
      <c r="L77" s="8">
        <f>IFERROR(K77/K444, "NA")</f>
        <v>7.0294090167822025E-4</v>
      </c>
      <c r="M77" s="9"/>
      <c r="N77" s="10">
        <f t="shared" si="21"/>
        <v>382.15</v>
      </c>
      <c r="O77" s="8">
        <f>IFERROR(N77/N444, "NA")</f>
        <v>-0.55705373021194382</v>
      </c>
      <c r="P77" s="9"/>
      <c r="Q77" s="7">
        <v>2012.3</v>
      </c>
      <c r="R77" s="8">
        <f>IFERROR(Q77/Q444, "NA")</f>
        <v>2.5704586106665458E-3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2012.3</v>
      </c>
      <c r="X77" s="8">
        <f>IFERROR(W77/W444, "NA")</f>
        <v>-3.1005150525129227E-2</v>
      </c>
      <c r="Y77" s="9"/>
      <c r="Z77" s="7">
        <v>621.91999999999996</v>
      </c>
      <c r="AA77" s="8">
        <f>IFERROR(Z77/Z444, "NA")</f>
        <v>8.2162840058865754E-4</v>
      </c>
      <c r="AB77" s="9"/>
      <c r="AC77" s="10">
        <f t="shared" si="23"/>
        <v>1390.38</v>
      </c>
      <c r="AD77" s="8">
        <f>IFERROR(AC77/AC444, "NA")</f>
        <v>5.364006550786915E-2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400</v>
      </c>
      <c r="R78" s="8">
        <f>IFERROR(Q78/Q444, "NA")</f>
        <v>5.1094938342524394E-4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400</v>
      </c>
      <c r="X78" s="8">
        <f>IFERROR(W78/W444, "NA")</f>
        <v>-6.1631268747461563E-3</v>
      </c>
      <c r="Y78" s="9"/>
      <c r="Z78" s="7">
        <v>300</v>
      </c>
      <c r="AA78" s="8">
        <f>IFERROR(Z78/Z444, "NA")</f>
        <v>3.9633477002925984E-4</v>
      </c>
      <c r="AB78" s="9"/>
      <c r="AC78" s="10">
        <f t="shared" si="23"/>
        <v>100</v>
      </c>
      <c r="AD78" s="8">
        <f>IFERROR(AC78/AC444, "NA")</f>
        <v>3.8579428291452078E-3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50.83</v>
      </c>
      <c r="AA79" s="8">
        <f>IFERROR(Z79/Z444, "NA")</f>
        <v>6.7152321201957593E-5</v>
      </c>
      <c r="AB79" s="9"/>
      <c r="AC79" s="10">
        <f t="shared" si="23"/>
        <v>-50.83</v>
      </c>
      <c r="AD79" s="8">
        <f>IFERROR(AC79/AC444, "NA")</f>
        <v>-1.9609923400545092E-3</v>
      </c>
    </row>
    <row r="80" spans="1:30" ht="16.5" customHeight="1" x14ac:dyDescent="0.45">
      <c r="A80" s="12" t="s">
        <v>76</v>
      </c>
      <c r="B80" s="7">
        <v>227.84</v>
      </c>
      <c r="C80" s="8">
        <f>IFERROR(B80/B444, "NA")</f>
        <v>1.9957945007907756E-3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227.84</v>
      </c>
      <c r="I80" s="8">
        <f>IFERROR(H80/H444, "NA")</f>
        <v>-1.8720477082944775E-2</v>
      </c>
      <c r="J80" s="9"/>
      <c r="K80" s="7">
        <v>742.36</v>
      </c>
      <c r="L80" s="8">
        <f>IFERROR(K80/K444, "NA")</f>
        <v>6.463956494114252E-3</v>
      </c>
      <c r="M80" s="9"/>
      <c r="N80" s="10">
        <f t="shared" si="21"/>
        <v>-514.52</v>
      </c>
      <c r="O80" s="8">
        <f>IFERROR(N80/N444, "NA")</f>
        <v>0.75000728841724285</v>
      </c>
      <c r="P80" s="9"/>
      <c r="Q80" s="7">
        <v>3951.34</v>
      </c>
      <c r="R80" s="8">
        <f>IFERROR(Q80/Q444, "NA")</f>
        <v>5.0473368417587585E-3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3951.34</v>
      </c>
      <c r="X80" s="8">
        <f>IFERROR(W80/W444, "NA")</f>
        <v>-6.0881524363148698E-2</v>
      </c>
      <c r="Y80" s="9"/>
      <c r="Z80" s="7">
        <v>5016.5600000000004</v>
      </c>
      <c r="AA80" s="8">
        <f>IFERROR(Z80/Z444, "NA")</f>
        <v>6.627457179793279E-3</v>
      </c>
      <c r="AB80" s="9"/>
      <c r="AC80" s="10">
        <f t="shared" si="23"/>
        <v>-1065.2200000000003</v>
      </c>
      <c r="AD80" s="8">
        <f>IFERROR(AC80/AC444, "NA")</f>
        <v>-4.1095578604620597E-2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3.1934336464077746E-5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-3.8519542967163477E-4</v>
      </c>
      <c r="Y82" s="9"/>
      <c r="Z82" s="7">
        <v>100</v>
      </c>
      <c r="AA82" s="8">
        <f>IFERROR(Z82/Z444, "NA")</f>
        <v>1.3211159000975326E-4</v>
      </c>
      <c r="AB82" s="9"/>
      <c r="AC82" s="10">
        <f t="shared" si="23"/>
        <v>-75</v>
      </c>
      <c r="AD82" s="8">
        <f>IFERROR(AC82/AC444, "NA")</f>
        <v>-2.8934571218589061E-3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145.97999999999999</v>
      </c>
      <c r="AA85" s="8">
        <f>IFERROR(Z85/Z444, "NA")</f>
        <v>1.9285649909623782E-4</v>
      </c>
      <c r="AB85" s="9"/>
      <c r="AC85" s="10">
        <f t="shared" si="23"/>
        <v>-145.97999999999999</v>
      </c>
      <c r="AD85" s="8">
        <f>IFERROR(AC85/AC444, "NA")</f>
        <v>-5.6318249419861745E-3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2.189907940649991E-4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-2.0541253821700291E-3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-3.6442086236552651E-2</v>
      </c>
      <c r="P86" s="9"/>
      <c r="Q86" s="7">
        <v>150</v>
      </c>
      <c r="R86" s="8">
        <f>IFERROR(Q86/Q444, "NA")</f>
        <v>1.9160601878446648E-4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150</v>
      </c>
      <c r="X86" s="8">
        <f>IFERROR(W86/W444, "NA")</f>
        <v>-2.3111725780298087E-3</v>
      </c>
      <c r="Y86" s="9"/>
      <c r="Z86" s="7">
        <v>820</v>
      </c>
      <c r="AA86" s="8">
        <f>IFERROR(Z86/Z444, "NA")</f>
        <v>1.0833150380799767E-3</v>
      </c>
      <c r="AB86" s="9"/>
      <c r="AC86" s="10">
        <f t="shared" si="23"/>
        <v>-670</v>
      </c>
      <c r="AD86" s="8">
        <f>IFERROR(AC86/AC444, "NA")</f>
        <v>-2.5848216955272892E-2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715.72</v>
      </c>
      <c r="C88" s="15">
        <f>IFERROR(B88/B444, "NA")</f>
        <v>6.269443645128046E-3</v>
      </c>
      <c r="D88" s="2"/>
      <c r="E88" s="14">
        <f>IFERROR(E75+E76+E77+E78+E79+E80+E81+E82+E83+E84+E85+E86+E87, "NA")</f>
        <v>1010.65</v>
      </c>
      <c r="F88" s="15">
        <f>IFERROR(E88/E444, "NA")</f>
        <v>8.000036095744914E-3</v>
      </c>
      <c r="G88" s="2"/>
      <c r="H88" s="14">
        <f t="shared" si="20"/>
        <v>-294.92999999999995</v>
      </c>
      <c r="I88" s="15">
        <f>IFERROR(H88/H444, "NA")</f>
        <v>2.4232927958536262E-2</v>
      </c>
      <c r="J88" s="2"/>
      <c r="K88" s="14">
        <f>IFERROR(K75+K76+K77+K78+K79+K80+K81+K82+K83+K84+K85+K86+K87, "NA")</f>
        <v>823.09</v>
      </c>
      <c r="L88" s="15">
        <f>IFERROR(K88/K444, "NA")</f>
        <v>7.1668973957924719E-3</v>
      </c>
      <c r="M88" s="2"/>
      <c r="N88" s="14">
        <f t="shared" si="21"/>
        <v>-107.37</v>
      </c>
      <c r="O88" s="15">
        <f>IFERROR(N88/N444, "NA")</f>
        <v>0.15651147196874635</v>
      </c>
      <c r="P88" s="2"/>
      <c r="Q88" s="14">
        <f>IFERROR(Q75+Q76+Q77+Q78+Q79+Q80+Q81+Q82+Q83+Q84+Q85+Q86+Q87, "NA")</f>
        <v>6538.64</v>
      </c>
      <c r="R88" s="15">
        <f>IFERROR(Q88/Q444, "NA")</f>
        <v>8.3522851910990924E-3</v>
      </c>
      <c r="S88" s="2"/>
      <c r="T88" s="14">
        <f>IFERROR(T75+T76+T77+T78+T79+T80+T81+T82+T83+T84+T85+T86+T87, "NA")</f>
        <v>6782.08</v>
      </c>
      <c r="U88" s="15">
        <f>IFERROR(T88/T444, "NA")</f>
        <v>8.0000138718745763E-3</v>
      </c>
      <c r="V88" s="2"/>
      <c r="W88" s="14">
        <f t="shared" si="22"/>
        <v>-243.4399999999996</v>
      </c>
      <c r="X88" s="15">
        <f>IFERROR(W88/W444, "NA")</f>
        <v>3.7508790159705048E-3</v>
      </c>
      <c r="Y88" s="2"/>
      <c r="Z88" s="14">
        <f>IFERROR(Z75+Z76+Z77+Z78+Z79+Z80+Z81+Z82+Z83+Z84+Z85+Z86+Z87, "NA")</f>
        <v>7055.29</v>
      </c>
      <c r="AA88" s="15">
        <f>IFERROR(Z88/Z444, "NA")</f>
        <v>9.3208557987991218E-3</v>
      </c>
      <c r="AB88" s="2"/>
      <c r="AC88" s="14">
        <f t="shared" si="23"/>
        <v>-516.64999999999964</v>
      </c>
      <c r="AD88" s="15">
        <f>IFERROR(AC88/AC444, "NA")</f>
        <v>-1.9932061626778703E-2</v>
      </c>
    </row>
    <row r="89" spans="1:30" ht="16.5" customHeight="1" x14ac:dyDescent="0.45">
      <c r="A89" s="6" t="s">
        <v>85</v>
      </c>
      <c r="B89" s="7">
        <v>-45.75</v>
      </c>
      <c r="C89" s="8">
        <f>IFERROR(B89/B444, "NA")</f>
        <v>-4.0075315313894836E-4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-45.75</v>
      </c>
      <c r="I89" s="8">
        <f>IFERROR(H89/H444, "NA")</f>
        <v>3.7590494493711531E-3</v>
      </c>
      <c r="J89" s="9"/>
      <c r="K89" s="7">
        <v>-125.68</v>
      </c>
      <c r="L89" s="8">
        <f>IFERROR(K89/K444, "NA")</f>
        <v>-1.0943343555421619E-3</v>
      </c>
      <c r="M89" s="9"/>
      <c r="N89" s="10">
        <f t="shared" si="21"/>
        <v>79.930000000000007</v>
      </c>
      <c r="O89" s="8">
        <f>IFERROR(N89/N444, "NA")</f>
        <v>-0.11651263811550615</v>
      </c>
      <c r="P89" s="9"/>
      <c r="Q89" s="7">
        <v>-713.76</v>
      </c>
      <c r="R89" s="8">
        <f>IFERROR(Q89/Q444, "NA")</f>
        <v>-9.1173807978400529E-4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-713.76</v>
      </c>
      <c r="X89" s="8">
        <f>IFERROR(W89/W444, "NA")</f>
        <v>1.0997483595297041E-2</v>
      </c>
      <c r="Y89" s="9"/>
      <c r="Z89" s="7">
        <v>-2340.54</v>
      </c>
      <c r="AA89" s="8">
        <f>IFERROR(Z89/Z444, "NA")</f>
        <v>-3.0921246088142793E-3</v>
      </c>
      <c r="AB89" s="9"/>
      <c r="AC89" s="10">
        <f t="shared" si="23"/>
        <v>1626.78</v>
      </c>
      <c r="AD89" s="8">
        <f>IFERROR(AC89/AC444, "NA")</f>
        <v>6.2760242355968415E-2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-5053.2299999999996</v>
      </c>
      <c r="F94" s="8">
        <f>IFERROR(E94/E444, "NA")</f>
        <v>-4.0000022164053892E-2</v>
      </c>
      <c r="G94" s="9"/>
      <c r="H94" s="10">
        <f t="shared" ref="H94:H124" si="24">IFERROR(B94-E94, "NA")</f>
        <v>5053.2299999999996</v>
      </c>
      <c r="I94" s="8">
        <f>IFERROR(H94/H444, "NA")</f>
        <v>-0.41519872019772219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-33910.35</v>
      </c>
      <c r="U94" s="8">
        <f>IFERROR(T94/T444, "NA")</f>
        <v>-4.0000010380314303E-2</v>
      </c>
      <c r="V94" s="9"/>
      <c r="W94" s="10">
        <f t="shared" ref="W94:W124" si="26">IFERROR(Q94-T94, "NA")</f>
        <v>33910.35</v>
      </c>
      <c r="X94" s="8">
        <f>IFERROR(W94/W444, "NA")</f>
        <v>-0.52248447354262084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-1572.9</v>
      </c>
      <c r="C96" s="8">
        <f>IFERROR(B96/B444, "NA")</f>
        <v>-1.3778024799393484E-2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-1572.9</v>
      </c>
      <c r="I96" s="8">
        <f>IFERROR(H96/H444, "NA")</f>
        <v>0.12923735254460955</v>
      </c>
      <c r="J96" s="9"/>
      <c r="K96" s="7">
        <v>-968.98</v>
      </c>
      <c r="L96" s="8">
        <f>IFERROR(K96/K444, "NA")</f>
        <v>-8.4372064276992675E-3</v>
      </c>
      <c r="M96" s="9"/>
      <c r="N96" s="10">
        <f t="shared" si="25"/>
        <v>-603.92000000000007</v>
      </c>
      <c r="O96" s="8">
        <f>IFERROR(N96/N444, "NA")</f>
        <v>0.8803241887991553</v>
      </c>
      <c r="P96" s="9"/>
      <c r="Q96" s="7">
        <v>-10853.71</v>
      </c>
      <c r="R96" s="8">
        <f>IFERROR(Q96/Q444, "NA")</f>
        <v>-1.386424108094101E-2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-10853.71</v>
      </c>
      <c r="X96" s="8">
        <f>IFERROR(W96/W444, "NA")</f>
        <v>0.16723197947925275</v>
      </c>
      <c r="Y96" s="9"/>
      <c r="Z96" s="7">
        <v>-9179.57</v>
      </c>
      <c r="AA96" s="8">
        <f>IFERROR(Z96/Z444, "NA")</f>
        <v>-1.2127275883058309E-2</v>
      </c>
      <c r="AB96" s="9"/>
      <c r="AC96" s="10">
        <f t="shared" si="27"/>
        <v>-1674.1399999999994</v>
      </c>
      <c r="AD96" s="8">
        <f>IFERROR(AC96/AC444, "NA")</f>
        <v>-6.4587364079851564E-2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-2408.75</v>
      </c>
      <c r="C98" s="8">
        <f>IFERROR(B98/B444, "NA")</f>
        <v>-2.1099763008162662E-2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-2408.75</v>
      </c>
      <c r="I98" s="8">
        <f>IFERROR(H98/H444, "NA")</f>
        <v>0.19791498057208229</v>
      </c>
      <c r="J98" s="9"/>
      <c r="K98" s="7">
        <v>-3000.24</v>
      </c>
      <c r="L98" s="8">
        <f>IFERROR(K98/K444, "NA")</f>
        <v>-2.6124011034944421E-2</v>
      </c>
      <c r="M98" s="9"/>
      <c r="N98" s="10">
        <f t="shared" si="25"/>
        <v>591.48999999999978</v>
      </c>
      <c r="O98" s="8">
        <f>IFERROR(N98/N444, "NA")</f>
        <v>-0.86220518352234088</v>
      </c>
      <c r="P98" s="9"/>
      <c r="Q98" s="7">
        <v>-18007.939999999999</v>
      </c>
      <c r="R98" s="8">
        <f>IFERROR(Q98/Q444, "NA")</f>
        <v>-2.3002864599396967E-2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-18007.939999999999</v>
      </c>
      <c r="X98" s="8">
        <f>IFERROR(W98/W444, "NA")</f>
        <v>0.27746304743204075</v>
      </c>
      <c r="Y98" s="9"/>
      <c r="Z98" s="7">
        <v>-18514.47</v>
      </c>
      <c r="AA98" s="8">
        <f>IFERROR(Z98/Z444, "NA")</f>
        <v>-2.4459760698878768E-2</v>
      </c>
      <c r="AB98" s="9"/>
      <c r="AC98" s="10">
        <f t="shared" si="27"/>
        <v>506.53000000000247</v>
      </c>
      <c r="AD98" s="8">
        <f>IFERROR(AC98/AC444, "NA")</f>
        <v>1.9541637812469318E-2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-515.02</v>
      </c>
      <c r="C100" s="8">
        <f>IFERROR(B100/B444, "NA")</f>
        <v>-4.5113855503742329E-3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-515.02</v>
      </c>
      <c r="I100" s="8">
        <f>IFERROR(H100/H444, "NA")</f>
        <v>4.2316626173008333E-2</v>
      </c>
      <c r="J100" s="9"/>
      <c r="K100" s="7">
        <v>-92.96</v>
      </c>
      <c r="L100" s="8">
        <f>IFERROR(K100/K444, "NA")</f>
        <v>-8.0943126743474969E-4</v>
      </c>
      <c r="M100" s="9"/>
      <c r="N100" s="10">
        <f t="shared" si="25"/>
        <v>-422.06</v>
      </c>
      <c r="O100" s="8">
        <f>IFERROR(N100/N444, "NA")</f>
        <v>0.61522987667997653</v>
      </c>
      <c r="P100" s="9"/>
      <c r="Q100" s="7">
        <v>-2628.76</v>
      </c>
      <c r="R100" s="8">
        <f>IFERROR(Q100/Q444, "NA")</f>
        <v>-3.357908252932361E-3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-2628.76</v>
      </c>
      <c r="X100" s="8">
        <f>IFERROR(W100/W444, "NA")</f>
        <v>4.0503453508144271E-2</v>
      </c>
      <c r="Y100" s="9"/>
      <c r="Z100" s="7">
        <v>-1132.1099999999999</v>
      </c>
      <c r="AA100" s="8">
        <f>IFERROR(Z100/Z444, "NA")</f>
        <v>-1.4956485216594177E-3</v>
      </c>
      <c r="AB100" s="9"/>
      <c r="AC100" s="10">
        <f t="shared" si="27"/>
        <v>-1496.6500000000003</v>
      </c>
      <c r="AD100" s="8">
        <f>IFERROR(AC100/AC444, "NA")</f>
        <v>-5.7739901352401771E-2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-1310.0999999999999</v>
      </c>
      <c r="C102" s="8">
        <f>IFERROR(B102/B444, "NA")</f>
        <v>-1.1475993572182212E-2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-1310.0999999999999</v>
      </c>
      <c r="I102" s="8">
        <f>IFERROR(H102/H444, "NA")</f>
        <v>0.10764438652723819</v>
      </c>
      <c r="J102" s="9"/>
      <c r="K102" s="7">
        <v>-220.21</v>
      </c>
      <c r="L102" s="8">
        <f>IFERROR(K102/K444, "NA")</f>
        <v>-1.9174360951140948E-3</v>
      </c>
      <c r="M102" s="9"/>
      <c r="N102" s="10">
        <f t="shared" si="25"/>
        <v>-1089.8899999999999</v>
      </c>
      <c r="O102" s="8">
        <f>IFERROR(N102/N444, "NA")</f>
        <v>1.5887146147342548</v>
      </c>
      <c r="P102" s="9"/>
      <c r="Q102" s="7">
        <v>-8620.81</v>
      </c>
      <c r="R102" s="8">
        <f>IFERROR(Q102/Q444, "NA")</f>
        <v>-1.1011993885315442E-2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-8620.81</v>
      </c>
      <c r="X102" s="8">
        <f>IFERROR(W102/W444, "NA")</f>
        <v>0.13282786448270104</v>
      </c>
      <c r="Y102" s="9"/>
      <c r="Z102" s="7">
        <v>-2443.17</v>
      </c>
      <c r="AA102" s="8">
        <f>IFERROR(Z102/Z444, "NA")</f>
        <v>-3.2277107336412892E-3</v>
      </c>
      <c r="AB102" s="9"/>
      <c r="AC102" s="10">
        <f t="shared" si="27"/>
        <v>-6177.6399999999994</v>
      </c>
      <c r="AD102" s="8">
        <f>IFERROR(AC102/AC444, "NA")</f>
        <v>-0.23832981939040601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-551.38</v>
      </c>
      <c r="C104" s="8">
        <f>IFERROR(B104/B444, "NA")</f>
        <v>-4.8298857612623682E-3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-551.38</v>
      </c>
      <c r="I104" s="8">
        <f>IFERROR(H104/H444, "NA")</f>
        <v>4.5304146128836424E-2</v>
      </c>
      <c r="J104" s="9"/>
      <c r="K104" s="7">
        <v>-1131.55</v>
      </c>
      <c r="L104" s="8">
        <f>IFERROR(K104/K444, "NA")</f>
        <v>-9.8527533419297663E-3</v>
      </c>
      <c r="M104" s="9"/>
      <c r="N104" s="10">
        <f t="shared" si="25"/>
        <v>580.16999999999996</v>
      </c>
      <c r="O104" s="8">
        <f>IFERROR(N104/N444, "NA")</f>
        <v>-0.84570420687443004</v>
      </c>
      <c r="P104" s="9"/>
      <c r="Q104" s="7">
        <v>-4270.1099999999997</v>
      </c>
      <c r="R104" s="8">
        <f>IFERROR(Q104/Q444, "NA")</f>
        <v>-5.4545251791449211E-3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-4270.1099999999997</v>
      </c>
      <c r="X104" s="8">
        <f>IFERROR(W104/W444, "NA")</f>
        <v>6.5793074247805769E-2</v>
      </c>
      <c r="Y104" s="9"/>
      <c r="Z104" s="7">
        <v>-4654.79</v>
      </c>
      <c r="AA104" s="8">
        <f>IFERROR(Z104/Z444, "NA")</f>
        <v>-6.149517080614994E-3</v>
      </c>
      <c r="AB104" s="9"/>
      <c r="AC104" s="10">
        <f t="shared" si="27"/>
        <v>384.68000000000029</v>
      </c>
      <c r="AD104" s="8">
        <f>IFERROR(AC104/AC444, "NA")</f>
        <v>1.4840734475155798E-2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-152.5</v>
      </c>
      <c r="C106" s="8">
        <f>IFERROR(B106/B444, "NA")</f>
        <v>-1.3358438437964945E-3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-152.5</v>
      </c>
      <c r="I106" s="8">
        <f>IFERROR(H106/H444, "NA")</f>
        <v>1.2530164831237176E-2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-152.5</v>
      </c>
      <c r="O106" s="8">
        <f>IFERROR(N106/N444, "NA")</f>
        <v>0.22229672604297118</v>
      </c>
      <c r="P106" s="9"/>
      <c r="Q106" s="7">
        <v>-1220.58</v>
      </c>
      <c r="R106" s="8">
        <f>IFERROR(Q106/Q444, "NA")</f>
        <v>-1.5591364960529605E-3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-1220.58</v>
      </c>
      <c r="X106" s="8">
        <f>IFERROR(W106/W444, "NA")</f>
        <v>1.8806473501944157E-2</v>
      </c>
      <c r="Y106" s="9"/>
      <c r="Z106" s="7">
        <v>-5623.68</v>
      </c>
      <c r="AA106" s="8">
        <f>IFERROR(Z106/Z444, "NA")</f>
        <v>-7.4295330650604929E-3</v>
      </c>
      <c r="AB106" s="9"/>
      <c r="AC106" s="10">
        <f t="shared" si="27"/>
        <v>4403.1000000000004</v>
      </c>
      <c r="AD106" s="8">
        <f>IFERROR(AC106/AC444, "NA")</f>
        <v>0.16986908071009266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-157.19999999999999</v>
      </c>
      <c r="AA108" s="8">
        <f>IFERROR(Z108/Z444, "NA")</f>
        <v>-2.0767941949533214E-4</v>
      </c>
      <c r="AB108" s="9"/>
      <c r="AC108" s="10">
        <f t="shared" si="27"/>
        <v>157.19999999999999</v>
      </c>
      <c r="AD108" s="8">
        <f>IFERROR(AC108/AC444, "NA")</f>
        <v>6.0646861274162665E-3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-6510.6500000000005</v>
      </c>
      <c r="C118" s="15">
        <f>IFERROR(B118/B444, "NA")</f>
        <v>-5.703089653517146E-2</v>
      </c>
      <c r="D118" s="2"/>
      <c r="E118" s="14">
        <f>IFERROR(E94+E95+E96+E97+E98+E99+E100+E101+E102+E103+E104+E105+E106+E107+E108+E109+E110+E111+E112+E113+E114+E115+E116+E117, "NA")</f>
        <v>-5053.2299999999996</v>
      </c>
      <c r="F118" s="15">
        <f>IFERROR(E118/E444, "NA")</f>
        <v>-4.0000022164053892E-2</v>
      </c>
      <c r="G118" s="2"/>
      <c r="H118" s="14">
        <f t="shared" si="24"/>
        <v>-1457.420000000001</v>
      </c>
      <c r="I118" s="15">
        <f>IFERROR(H118/H444, "NA")</f>
        <v>0.11974893657928982</v>
      </c>
      <c r="J118" s="2"/>
      <c r="K118" s="14">
        <f>IFERROR(K94+K95+K96+K97+K98+K99+K100+K101+K102+K103+K104+K105+K106+K107+K108+K109+K110+K111+K112+K113+K114+K115+K116+K117, "NA")</f>
        <v>-5413.94</v>
      </c>
      <c r="L118" s="15">
        <f>IFERROR(K118/K444, "NA")</f>
        <v>-4.71408381671223E-2</v>
      </c>
      <c r="M118" s="2"/>
      <c r="N118" s="14">
        <f t="shared" si="25"/>
        <v>-1096.7100000000009</v>
      </c>
      <c r="O118" s="15">
        <f>IFERROR(N118/N444, "NA")</f>
        <v>1.5986560158595877</v>
      </c>
      <c r="P118" s="2"/>
      <c r="Q118" s="14">
        <f>IFERROR(Q94+Q95+Q96+Q97+Q98+Q99+Q100+Q101+Q102+Q103+Q104+Q105+Q106+Q107+Q108+Q109+Q110+Q111+Q112+Q113+Q114+Q115+Q116+Q117, "NA")</f>
        <v>-45601.909999999996</v>
      </c>
      <c r="R118" s="15">
        <f>IFERROR(Q118/Q444, "NA")</f>
        <v>-5.8250669493783658E-2</v>
      </c>
      <c r="S118" s="2"/>
      <c r="T118" s="14">
        <f>IFERROR(T94+T95+T96+T97+T98+T99+T100+T101+T102+T103+T104+T105+T106+T107+T108+T109+T110+T111+T112+T113+T114+T115+T116+T117, "NA")</f>
        <v>-33910.35</v>
      </c>
      <c r="U118" s="15">
        <f>IFERROR(T118/T444, "NA")</f>
        <v>-4.0000010380314303E-2</v>
      </c>
      <c r="V118" s="2"/>
      <c r="W118" s="14">
        <f t="shared" si="26"/>
        <v>-11691.559999999998</v>
      </c>
      <c r="X118" s="15">
        <f>IFERROR(W118/W444, "NA")</f>
        <v>0.1801414191092679</v>
      </c>
      <c r="Y118" s="2"/>
      <c r="Z118" s="14">
        <f>IFERROR(Z94+Z95+Z96+Z97+Z98+Z99+Z100+Z101+Z102+Z103+Z104+Z105+Z106+Z107+Z108+Z109+Z110+Z111+Z112+Z113+Z114+Z115+Z116+Z117, "NA")</f>
        <v>-41704.99</v>
      </c>
      <c r="AA118" s="15">
        <f>IFERROR(Z118/Z444, "NA")</f>
        <v>-5.5097125402408596E-2</v>
      </c>
      <c r="AB118" s="2"/>
      <c r="AC118" s="14">
        <f t="shared" si="27"/>
        <v>-3896.9199999999983</v>
      </c>
      <c r="AD118" s="15">
        <f>IFERROR(AC118/AC444, "NA")</f>
        <v>-0.15034094569752537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114160.05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126330.68000000001</v>
      </c>
      <c r="F122" s="15">
        <f>IFERROR(E122/E444, "NA")</f>
        <v>1.0000000000000002</v>
      </c>
      <c r="G122" s="2"/>
      <c r="H122" s="14">
        <f t="shared" si="24"/>
        <v>-12170.630000000005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114846.07</v>
      </c>
      <c r="L122" s="15">
        <f>IFERROR(K122/K444, "NA")</f>
        <v>1</v>
      </c>
      <c r="M122" s="2"/>
      <c r="N122" s="14">
        <f t="shared" si="25"/>
        <v>-686.02000000000407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782856.41000000015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847758.52999999991</v>
      </c>
      <c r="U122" s="15">
        <f>IFERROR(T122/T444, "NA")</f>
        <v>0.99999999999999989</v>
      </c>
      <c r="V122" s="2"/>
      <c r="W122" s="14">
        <f t="shared" si="26"/>
        <v>-64902.119999999763</v>
      </c>
      <c r="X122" s="15">
        <f>IFERROR(W122/W444, "NA")</f>
        <v>0.99999999999999645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756935.86</v>
      </c>
      <c r="AA122" s="15">
        <f>IFERROR(Z122/Z444, "NA")</f>
        <v>1</v>
      </c>
      <c r="AB122" s="2"/>
      <c r="AC122" s="14">
        <f t="shared" si="27"/>
        <v>25920.550000000163</v>
      </c>
      <c r="AD122" s="15">
        <f>IFERROR(AC122/AC444, "NA")</f>
        <v>1.0000000000000044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114160.05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126330.68000000001</v>
      </c>
      <c r="F124" s="15">
        <f>IFERROR(E124/E444, "NA")</f>
        <v>1.0000000000000002</v>
      </c>
      <c r="G124" s="2"/>
      <c r="H124" s="14">
        <f t="shared" si="24"/>
        <v>-12170.630000000005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114846.07</v>
      </c>
      <c r="L124" s="15">
        <f>IFERROR(K124/K444, "NA")</f>
        <v>1</v>
      </c>
      <c r="M124" s="2"/>
      <c r="N124" s="14">
        <f t="shared" si="25"/>
        <v>-686.02000000000407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782856.41000000015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847758.52999999991</v>
      </c>
      <c r="U124" s="15">
        <f>IFERROR(T124/T444, "NA")</f>
        <v>0.99999999999999989</v>
      </c>
      <c r="V124" s="2"/>
      <c r="W124" s="14">
        <f t="shared" si="26"/>
        <v>-64902.119999999763</v>
      </c>
      <c r="X124" s="15">
        <f>IFERROR(W124/W444, "NA")</f>
        <v>0.99999999999999645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756935.86</v>
      </c>
      <c r="AA124" s="15">
        <f>IFERROR(Z124/Z444, "NA")</f>
        <v>1</v>
      </c>
      <c r="AB124" s="2"/>
      <c r="AC124" s="14">
        <f t="shared" si="27"/>
        <v>25920.550000000163</v>
      </c>
      <c r="AD124" s="15">
        <f>IFERROR(AC124/AC444, "NA")</f>
        <v>1.0000000000000044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30698.35</v>
      </c>
      <c r="F129" s="8">
        <f>IFERROR(E129/E444, "NA")</f>
        <v>0.24299995852155629</v>
      </c>
      <c r="G129" s="9"/>
      <c r="H129" s="10">
        <f t="shared" ref="H129:H141" si="28">IFERROR(-(B129-E129), "NA")</f>
        <v>30698.35</v>
      </c>
      <c r="I129" s="8">
        <f>IFERROR(H129/H444, "NA")</f>
        <v>-2.5223303970295725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212985.14</v>
      </c>
      <c r="U129" s="8">
        <f>IFERROR(T129/T444, "NA")</f>
        <v>0.25123326096170334</v>
      </c>
      <c r="V129" s="9"/>
      <c r="W129" s="10">
        <f t="shared" ref="W129:W141" si="30">IFERROR(-(Q129-T129), "NA")</f>
        <v>212985.14</v>
      </c>
      <c r="X129" s="8">
        <f>IFERROR(W129/W444, "NA")</f>
        <v>-3.2816361006389316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5385.75</v>
      </c>
      <c r="C130" s="8">
        <f>IFERROR(B130/B444, "NA")</f>
        <v>4.7177186765422756E-2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-5385.75</v>
      </c>
      <c r="I130" s="8">
        <f>IFERROR(H130/H444, "NA")</f>
        <v>0.44252023108088934</v>
      </c>
      <c r="J130" s="9"/>
      <c r="K130" s="7">
        <v>7275.97</v>
      </c>
      <c r="L130" s="8">
        <f>IFERROR(K130/K444, "NA")</f>
        <v>6.335410519489261E-2</v>
      </c>
      <c r="M130" s="9"/>
      <c r="N130" s="10">
        <f t="shared" si="29"/>
        <v>1890.2200000000003</v>
      </c>
      <c r="O130" s="8">
        <f>IFERROR(N130/N444, "NA")</f>
        <v>-2.7553424098422625</v>
      </c>
      <c r="P130" s="9"/>
      <c r="Q130" s="7">
        <v>41336.44</v>
      </c>
      <c r="R130" s="8">
        <f>IFERROR(Q130/Q444, "NA")</f>
        <v>5.2802071327486481E-2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-41336.44</v>
      </c>
      <c r="X130" s="8">
        <f>IFERROR(W130/W444, "NA")</f>
        <v>0.63690431067583009</v>
      </c>
      <c r="Y130" s="9"/>
      <c r="Z130" s="7">
        <v>49546.97</v>
      </c>
      <c r="AA130" s="8">
        <f>IFERROR(Z130/Z444, "NA")</f>
        <v>6.5457289868655455E-2</v>
      </c>
      <c r="AB130" s="9"/>
      <c r="AC130" s="10">
        <f t="shared" si="31"/>
        <v>8210.5299999999988</v>
      </c>
      <c r="AD130" s="8">
        <f>IFERROR(AC130/AC444, "NA")</f>
        <v>0.31675755336981598</v>
      </c>
    </row>
    <row r="131" spans="1:30" ht="16.5" customHeight="1" x14ac:dyDescent="0.45">
      <c r="A131" s="12" t="s">
        <v>123</v>
      </c>
      <c r="B131" s="7">
        <v>3021.31</v>
      </c>
      <c r="C131" s="8">
        <f>IFERROR(B131/B444, "NA")</f>
        <v>2.6465563040660896E-2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-3021.31</v>
      </c>
      <c r="I131" s="8">
        <f>IFERROR(H131/H444, "NA")</f>
        <v>0.24824598233616521</v>
      </c>
      <c r="J131" s="9"/>
      <c r="K131" s="7">
        <v>3629.54</v>
      </c>
      <c r="L131" s="8">
        <f>IFERROR(K131/K444, "NA")</f>
        <v>3.1603519389039603E-2</v>
      </c>
      <c r="M131" s="9"/>
      <c r="N131" s="10">
        <f t="shared" si="29"/>
        <v>608.23</v>
      </c>
      <c r="O131" s="8">
        <f>IFERROR(N131/N444, "NA")</f>
        <v>-0.88660680446633688</v>
      </c>
      <c r="P131" s="9"/>
      <c r="Q131" s="7">
        <v>23280.54</v>
      </c>
      <c r="R131" s="8">
        <f>IFERROR(Q131/Q444, "NA")</f>
        <v>2.9737943897016825E-2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-23280.54</v>
      </c>
      <c r="X131" s="8">
        <f>IFERROR(W131/W444, "NA")</f>
        <v>0.35870230433150724</v>
      </c>
      <c r="Y131" s="9"/>
      <c r="Z131" s="7">
        <v>24170.86</v>
      </c>
      <c r="AA131" s="8">
        <f>IFERROR(Z131/Z444, "NA")</f>
        <v>3.193250746503145E-2</v>
      </c>
      <c r="AB131" s="9"/>
      <c r="AC131" s="10">
        <f t="shared" si="31"/>
        <v>890.31999999999971</v>
      </c>
      <c r="AD131" s="8">
        <f>IFERROR(AC131/AC444, "NA")</f>
        <v>3.4348036596445607E-2</v>
      </c>
    </row>
    <row r="132" spans="1:30" ht="16.5" customHeight="1" x14ac:dyDescent="0.45">
      <c r="A132" s="12" t="s">
        <v>124</v>
      </c>
      <c r="B132" s="7">
        <v>6382.83</v>
      </c>
      <c r="C132" s="8">
        <f>IFERROR(B132/B444, "NA")</f>
        <v>5.5911240403275927E-2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-6382.83</v>
      </c>
      <c r="I132" s="8">
        <f>IFERROR(H132/H444, "NA")</f>
        <v>0.52444532452305304</v>
      </c>
      <c r="J132" s="9"/>
      <c r="K132" s="7">
        <v>4128</v>
      </c>
      <c r="L132" s="8">
        <f>IFERROR(K132/K444, "NA")</f>
        <v>3.5943763682988891E-2</v>
      </c>
      <c r="M132" s="9"/>
      <c r="N132" s="10">
        <f t="shared" si="29"/>
        <v>-2254.83</v>
      </c>
      <c r="O132" s="8">
        <f>IFERROR(N132/N444, "NA")</f>
        <v>3.2868283723506408</v>
      </c>
      <c r="P132" s="9"/>
      <c r="Q132" s="7">
        <v>38788.769999999997</v>
      </c>
      <c r="R132" s="8">
        <f>IFERROR(Q132/Q444, "NA")</f>
        <v>4.9547745288308999E-2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-38788.769999999997</v>
      </c>
      <c r="X132" s="8">
        <f>IFERROR(W132/W444, "NA")</f>
        <v>0.5976502770633686</v>
      </c>
      <c r="Y132" s="9"/>
      <c r="Z132" s="7">
        <v>27649.66</v>
      </c>
      <c r="AA132" s="8">
        <f>IFERROR(Z132/Z444, "NA")</f>
        <v>3.6528405458290746E-2</v>
      </c>
      <c r="AB132" s="9"/>
      <c r="AC132" s="10">
        <f t="shared" si="31"/>
        <v>-11139.109999999997</v>
      </c>
      <c r="AD132" s="8">
        <f>IFERROR(AC132/AC444, "NA")</f>
        <v>-0.42974049547559667</v>
      </c>
    </row>
    <row r="133" spans="1:30" ht="16.5" customHeight="1" x14ac:dyDescent="0.45">
      <c r="A133" s="12" t="s">
        <v>125</v>
      </c>
      <c r="B133" s="7">
        <v>2427.16</v>
      </c>
      <c r="C133" s="8">
        <f>IFERROR(B133/B444, "NA")</f>
        <v>2.1261027828912125E-2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-2427.16</v>
      </c>
      <c r="I133" s="8">
        <f>IFERROR(H133/H444, "NA")</f>
        <v>0.19942763850351231</v>
      </c>
      <c r="J133" s="9"/>
      <c r="K133" s="7">
        <v>2520.6</v>
      </c>
      <c r="L133" s="8">
        <f>IFERROR(K133/K444, "NA")</f>
        <v>2.1947638260499464E-2</v>
      </c>
      <c r="M133" s="9"/>
      <c r="N133" s="10">
        <f t="shared" si="29"/>
        <v>93.440000000000055</v>
      </c>
      <c r="O133" s="8">
        <f>IFERROR(N133/N444, "NA")</f>
        <v>-0.13620594151773927</v>
      </c>
      <c r="P133" s="9"/>
      <c r="Q133" s="7">
        <v>16978.04</v>
      </c>
      <c r="R133" s="8">
        <f>IFERROR(Q133/Q444, "NA")</f>
        <v>2.1687297674422824E-2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-16978.04</v>
      </c>
      <c r="X133" s="8">
        <f>IFERROR(W133/W444, "NA")</f>
        <v>0.26159453651128811</v>
      </c>
      <c r="Y133" s="9"/>
      <c r="Z133" s="7">
        <v>15494.31</v>
      </c>
      <c r="AA133" s="8">
        <f>IFERROR(Z133/Z444, "NA")</f>
        <v>2.0469779302040202E-2</v>
      </c>
      <c r="AB133" s="9"/>
      <c r="AC133" s="10">
        <f t="shared" si="31"/>
        <v>-1483.7300000000014</v>
      </c>
      <c r="AD133" s="8">
        <f>IFERROR(AC133/AC444, "NA")</f>
        <v>-5.7241455138876247E-2</v>
      </c>
    </row>
    <row r="134" spans="1:30" ht="16.5" customHeight="1" x14ac:dyDescent="0.45">
      <c r="A134" s="12" t="s">
        <v>126</v>
      </c>
      <c r="B134" s="7">
        <v>938.92</v>
      </c>
      <c r="C134" s="8">
        <f>IFERROR(B134/B444, "NA")</f>
        <v>8.2245934545403573E-3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-938.92</v>
      </c>
      <c r="I134" s="8">
        <f>IFERROR(H134/H444, "NA")</f>
        <v>7.714637615308334E-2</v>
      </c>
      <c r="J134" s="9"/>
      <c r="K134" s="7">
        <v>1137.69</v>
      </c>
      <c r="L134" s="8">
        <f>IFERROR(K134/K444, "NA")</f>
        <v>9.906216207485375E-3</v>
      </c>
      <c r="M134" s="9"/>
      <c r="N134" s="10">
        <f t="shared" si="29"/>
        <v>198.7700000000001</v>
      </c>
      <c r="O134" s="8">
        <f>IFERROR(N134/N444, "NA")</f>
        <v>-0.28974373924958297</v>
      </c>
      <c r="P134" s="9"/>
      <c r="Q134" s="7">
        <v>6287.41</v>
      </c>
      <c r="R134" s="8">
        <f>IFERROR(Q134/Q444, "NA")</f>
        <v>8.0313706571042819E-3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-6287.41</v>
      </c>
      <c r="X134" s="8">
        <f>IFERROR(W134/W444, "NA")</f>
        <v>9.6875263858869326E-2</v>
      </c>
      <c r="Y134" s="9"/>
      <c r="Z134" s="7">
        <v>8205.2000000000007</v>
      </c>
      <c r="AA134" s="8">
        <f>IFERROR(Z134/Z444, "NA")</f>
        <v>1.0840020183480277E-2</v>
      </c>
      <c r="AB134" s="9"/>
      <c r="AC134" s="10">
        <f t="shared" si="31"/>
        <v>1917.7900000000009</v>
      </c>
      <c r="AD134" s="8">
        <f>IFERROR(AC134/AC444, "NA")</f>
        <v>7.3987241783063915E-2</v>
      </c>
    </row>
    <row r="135" spans="1:30" ht="16.5" customHeight="1" x14ac:dyDescent="0.45">
      <c r="A135" s="12" t="s">
        <v>127</v>
      </c>
      <c r="B135" s="7">
        <v>933.71</v>
      </c>
      <c r="C135" s="8">
        <f>IFERROR(B135/B444, "NA")</f>
        <v>8.1789557730572119E-3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-933.71</v>
      </c>
      <c r="I135" s="8">
        <f>IFERROR(H135/H444, "NA")</f>
        <v>7.6718296423439108E-2</v>
      </c>
      <c r="J135" s="9"/>
      <c r="K135" s="7">
        <v>772.41</v>
      </c>
      <c r="L135" s="8">
        <f>IFERROR(K135/K444, "NA")</f>
        <v>6.7256110722813582E-3</v>
      </c>
      <c r="M135" s="9"/>
      <c r="N135" s="10">
        <f t="shared" si="29"/>
        <v>-161.30000000000007</v>
      </c>
      <c r="O135" s="8">
        <f>IFERROR(N135/N444, "NA")</f>
        <v>0.23512434039823782</v>
      </c>
      <c r="P135" s="9"/>
      <c r="Q135" s="7">
        <v>6207.52</v>
      </c>
      <c r="R135" s="8">
        <f>IFERROR(Q135/Q444, "NA")</f>
        <v>7.9293212914996764E-3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-6207.52</v>
      </c>
      <c r="X135" s="8">
        <f>IFERROR(W135/W444, "NA")</f>
        <v>9.5644333343810659E-2</v>
      </c>
      <c r="Y135" s="9"/>
      <c r="Z135" s="7">
        <v>6916.77</v>
      </c>
      <c r="AA135" s="8">
        <f>IFERROR(Z135/Z444, "NA")</f>
        <v>9.1378548243176115E-3</v>
      </c>
      <c r="AB135" s="9"/>
      <c r="AC135" s="10">
        <f t="shared" si="31"/>
        <v>709.25</v>
      </c>
      <c r="AD135" s="8">
        <f>IFERROR(AC135/AC444, "NA")</f>
        <v>2.7362459515712388E-2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1555.38</v>
      </c>
      <c r="L136" s="8">
        <f>IFERROR(K136/K444, "NA")</f>
        <v>1.3543171307472689E-2</v>
      </c>
      <c r="M136" s="9"/>
      <c r="N136" s="10">
        <f t="shared" si="29"/>
        <v>1555.38</v>
      </c>
      <c r="O136" s="8">
        <f>IFERROR(N136/N444, "NA")</f>
        <v>-2.2672516836243708</v>
      </c>
      <c r="P136" s="9"/>
      <c r="Q136" s="7">
        <v>4916.55</v>
      </c>
      <c r="R136" s="8">
        <f>IFERROR(Q136/Q444, "NA")</f>
        <v>6.2802704776984582E-3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7.5753303590083046E-2</v>
      </c>
      <c r="Y136" s="9"/>
      <c r="Z136" s="7">
        <v>10048.469999999999</v>
      </c>
      <c r="AA136" s="8">
        <f>IFERROR(Z136/Z444, "NA")</f>
        <v>1.3275193488653053E-2</v>
      </c>
      <c r="AB136" s="9"/>
      <c r="AC136" s="10">
        <f t="shared" si="31"/>
        <v>5131.9199999999992</v>
      </c>
      <c r="AD136" s="8">
        <f>IFERROR(AC136/AC444, "NA")</f>
        <v>0.19798653963746873</v>
      </c>
    </row>
    <row r="137" spans="1:30" ht="16.5" customHeight="1" x14ac:dyDescent="0.45">
      <c r="A137" s="12" t="s">
        <v>129</v>
      </c>
      <c r="B137" s="7">
        <v>650.59</v>
      </c>
      <c r="C137" s="8">
        <f>IFERROR(B137/B444, "NA")</f>
        <v>5.6989288284299104E-3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-650.59</v>
      </c>
      <c r="I137" s="8">
        <f>IFERROR(H137/H444, "NA")</f>
        <v>5.3455737295439967E-2</v>
      </c>
      <c r="J137" s="9"/>
      <c r="K137" s="7">
        <v>734.71</v>
      </c>
      <c r="L137" s="8">
        <f>IFERROR(K137/K444, "NA")</f>
        <v>6.3973455948470852E-3</v>
      </c>
      <c r="M137" s="9"/>
      <c r="N137" s="10">
        <f t="shared" si="29"/>
        <v>84.12</v>
      </c>
      <c r="O137" s="8">
        <f>IFERROR(N137/N444, "NA")</f>
        <v>-0.12262033176875238</v>
      </c>
      <c r="P137" s="9"/>
      <c r="Q137" s="7">
        <v>4469.84</v>
      </c>
      <c r="R137" s="8">
        <f>IFERROR(Q137/Q444, "NA")</f>
        <v>5.7096549800237312E-3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-4469.84</v>
      </c>
      <c r="X137" s="8">
        <f>IFERROR(W137/W444, "NA")</f>
        <v>6.8870477574538402E-2</v>
      </c>
      <c r="Y137" s="9"/>
      <c r="Z137" s="7">
        <v>4338.88</v>
      </c>
      <c r="AA137" s="8">
        <f>IFERROR(Z137/Z444, "NA")</f>
        <v>5.7321633566151829E-3</v>
      </c>
      <c r="AB137" s="9"/>
      <c r="AC137" s="10">
        <f t="shared" si="31"/>
        <v>-130.96000000000004</v>
      </c>
      <c r="AD137" s="8">
        <f>IFERROR(AC137/AC444, "NA")</f>
        <v>-5.0523619290485655E-3</v>
      </c>
    </row>
    <row r="138" spans="1:30" ht="16.5" customHeight="1" x14ac:dyDescent="0.45">
      <c r="A138" s="12" t="s">
        <v>130</v>
      </c>
      <c r="B138" s="7">
        <v>6029.93</v>
      </c>
      <c r="C138" s="8">
        <f>IFERROR(B138/B444, "NA")</f>
        <v>5.28199663542544E-2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-6029.93</v>
      </c>
      <c r="I138" s="8">
        <f>IFERROR(H138/H444, "NA")</f>
        <v>0.49544929062834092</v>
      </c>
      <c r="J138" s="9"/>
      <c r="K138" s="7">
        <v>5916.53</v>
      </c>
      <c r="L138" s="8">
        <f>IFERROR(K138/K444, "NA")</f>
        <v>5.1517043639368758E-2</v>
      </c>
      <c r="M138" s="9"/>
      <c r="N138" s="10">
        <f t="shared" si="29"/>
        <v>-113.40000000000055</v>
      </c>
      <c r="O138" s="8">
        <f>IFERROR(N138/N444, "NA")</f>
        <v>0.16530130316900363</v>
      </c>
      <c r="P138" s="9"/>
      <c r="Q138" s="7">
        <v>43992.93</v>
      </c>
      <c r="R138" s="8">
        <f>IFERROR(Q138/Q444, "NA")</f>
        <v>5.6195401146424795E-2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-43992.93</v>
      </c>
      <c r="X138" s="8">
        <f>IFERROR(W138/W444, "NA")</f>
        <v>0.6778350229545661</v>
      </c>
      <c r="Y138" s="9"/>
      <c r="Z138" s="7">
        <v>38537.43</v>
      </c>
      <c r="AA138" s="8">
        <f>IFERROR(Z138/Z444, "NA")</f>
        <v>5.0912411521895663E-2</v>
      </c>
      <c r="AB138" s="9"/>
      <c r="AC138" s="10">
        <f t="shared" si="31"/>
        <v>-5455.5</v>
      </c>
      <c r="AD138" s="8">
        <f>IFERROR(AC138/AC444, "NA")</f>
        <v>-0.21047007104401683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25770.199999999997</v>
      </c>
      <c r="C141" s="15">
        <f>IFERROR(B141/B444, "NA")</f>
        <v>0.22573746244855356</v>
      </c>
      <c r="D141" s="2"/>
      <c r="E141" s="14">
        <f>IFERROR(E129+E130+E131+E132+E133+E134+E135+E136+E137+E138+E139+E140, "NA")</f>
        <v>30698.35</v>
      </c>
      <c r="F141" s="15">
        <f>IFERROR(E141/E444, "NA")</f>
        <v>0.24299995852155629</v>
      </c>
      <c r="G141" s="2"/>
      <c r="H141" s="14">
        <f t="shared" si="28"/>
        <v>4928.1500000000015</v>
      </c>
      <c r="I141" s="15">
        <f>IFERROR(H141/H444, "NA")</f>
        <v>-0.40492152008564924</v>
      </c>
      <c r="J141" s="2"/>
      <c r="K141" s="14">
        <f>IFERROR(K129+K130+K131+K132+K133+K134+K135+K136+K137+K138+K139+K140, "NA")</f>
        <v>27670.829999999998</v>
      </c>
      <c r="L141" s="15">
        <f>IFERROR(K141/K444, "NA")</f>
        <v>0.24093841434887581</v>
      </c>
      <c r="M141" s="2"/>
      <c r="N141" s="14">
        <f t="shared" si="29"/>
        <v>1900.630000000001</v>
      </c>
      <c r="O141" s="15">
        <f>IFERROR(N141/N444, "NA")</f>
        <v>-2.7705168945511645</v>
      </c>
      <c r="P141" s="2"/>
      <c r="Q141" s="14">
        <f>IFERROR(Q129+Q130+Q131+Q132+Q133+Q134+Q135+Q136+Q137+Q138+Q139+Q140, "NA")</f>
        <v>186258.03999999998</v>
      </c>
      <c r="R141" s="15">
        <f>IFERROR(Q141/Q444, "NA")</f>
        <v>0.23792107673998603</v>
      </c>
      <c r="S141" s="2"/>
      <c r="T141" s="14">
        <f>IFERROR(T129+T130+T131+T132+T133+T134+T135+T136+T137+T138+T139+T140, "NA")</f>
        <v>212985.14</v>
      </c>
      <c r="U141" s="15">
        <f>IFERROR(T141/T444, "NA")</f>
        <v>0.25123326096170334</v>
      </c>
      <c r="V141" s="2"/>
      <c r="W141" s="14">
        <f t="shared" si="30"/>
        <v>26727.100000000035</v>
      </c>
      <c r="X141" s="15">
        <f>IFERROR(W141/W444, "NA")</f>
        <v>-0.41180627073507053</v>
      </c>
      <c r="Y141" s="2"/>
      <c r="Z141" s="14">
        <f>IFERROR(Z129+Z130+Z131+Z132+Z133+Z134+Z135+Z136+Z137+Z138+Z139+Z140, "NA")</f>
        <v>184908.55</v>
      </c>
      <c r="AA141" s="15">
        <f>IFERROR(Z141/Z444, "NA")</f>
        <v>0.24428562546897961</v>
      </c>
      <c r="AB141" s="2"/>
      <c r="AC141" s="14">
        <f t="shared" si="31"/>
        <v>-1349.4899999999907</v>
      </c>
      <c r="AD141" s="15">
        <f>IFERROR(AC141/AC444, "NA")</f>
        <v>-5.2062552685031308E-2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1551.32</v>
      </c>
      <c r="C144" s="8">
        <f>IFERROR(B144/B444, "NA")</f>
        <v>1.3588991945956575E-2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-1551.32</v>
      </c>
      <c r="I144" s="8">
        <f>IFERROR(H144/H444, "NA")</f>
        <v>0.12746423151472036</v>
      </c>
      <c r="J144" s="9"/>
      <c r="K144" s="7">
        <v>1075.3900000000001</v>
      </c>
      <c r="L144" s="8">
        <f>IFERROR(K144/K444, "NA")</f>
        <v>9.363750975544918E-3</v>
      </c>
      <c r="M144" s="9"/>
      <c r="N144" s="10">
        <f t="shared" si="33"/>
        <v>-475.92999999999984</v>
      </c>
      <c r="O144" s="8">
        <f>IFERROR(N144/N444, "NA")</f>
        <v>0.69375528410249998</v>
      </c>
      <c r="P144" s="9"/>
      <c r="Q144" s="7">
        <v>11000.74</v>
      </c>
      <c r="R144" s="8">
        <f>IFERROR(Q144/Q444, "NA")</f>
        <v>1.4052053300553546E-2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-11000.74</v>
      </c>
      <c r="X144" s="8">
        <f>IFERROR(W144/W444, "NA")</f>
        <v>0.16949739084023757</v>
      </c>
      <c r="Y144" s="9"/>
      <c r="Z144" s="7">
        <v>8986.85</v>
      </c>
      <c r="AA144" s="8">
        <f>IFERROR(Z144/Z444, "NA")</f>
        <v>1.1872670426791512E-2</v>
      </c>
      <c r="AB144" s="9"/>
      <c r="AC144" s="10">
        <f t="shared" si="35"/>
        <v>-2013.8899999999994</v>
      </c>
      <c r="AD144" s="8">
        <f>IFERROR(AC144/AC444, "NA")</f>
        <v>-7.7694724841872412E-2</v>
      </c>
    </row>
    <row r="145" spans="1:30" ht="16.5" customHeight="1" x14ac:dyDescent="0.45">
      <c r="A145" s="12" t="s">
        <v>136</v>
      </c>
      <c r="B145" s="7">
        <v>155</v>
      </c>
      <c r="C145" s="8">
        <f>IFERROR(B145/B444, "NA")</f>
        <v>1.3577429232029944E-3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-155</v>
      </c>
      <c r="I145" s="8">
        <f>IFERROR(H145/H444, "NA")</f>
        <v>1.273557736945418E-2</v>
      </c>
      <c r="J145" s="9"/>
      <c r="K145" s="7">
        <v>212.39</v>
      </c>
      <c r="L145" s="8">
        <f>IFERROR(K145/K444, "NA")</f>
        <v>1.8493449536409908E-3</v>
      </c>
      <c r="M145" s="9"/>
      <c r="N145" s="10">
        <f t="shared" si="33"/>
        <v>57.389999999999986</v>
      </c>
      <c r="O145" s="8">
        <f>IFERROR(N145/N444, "NA")</f>
        <v>-8.3656453164630246E-2</v>
      </c>
      <c r="P145" s="9"/>
      <c r="Q145" s="7">
        <v>1282.54</v>
      </c>
      <c r="R145" s="8">
        <f>IFERROR(Q145/Q444, "NA")</f>
        <v>1.6382825555455308E-3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-1282.54</v>
      </c>
      <c r="X145" s="8">
        <f>IFERROR(W145/W444, "NA")</f>
        <v>1.9761141854842339E-2</v>
      </c>
      <c r="Y145" s="9"/>
      <c r="Z145" s="7">
        <v>1403.6</v>
      </c>
      <c r="AA145" s="8">
        <f>IFERROR(Z145/Z444, "NA")</f>
        <v>1.8543182773768968E-3</v>
      </c>
      <c r="AB145" s="9"/>
      <c r="AC145" s="10">
        <f t="shared" si="35"/>
        <v>121.05999999999995</v>
      </c>
      <c r="AD145" s="8">
        <f>IFERROR(AC145/AC444, "NA")</f>
        <v>4.670425588963187E-3</v>
      </c>
    </row>
    <row r="146" spans="1:30" ht="16.5" customHeight="1" x14ac:dyDescent="0.45">
      <c r="A146" s="12" t="s">
        <v>137</v>
      </c>
      <c r="B146" s="7">
        <v>94.15</v>
      </c>
      <c r="C146" s="8">
        <f>IFERROR(B146/B444, "NA")</f>
        <v>8.2471933044878662E-4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-94.15</v>
      </c>
      <c r="I146" s="8">
        <f>IFERROR(H146/H444, "NA")</f>
        <v>7.7358361892523294E-3</v>
      </c>
      <c r="J146" s="9"/>
      <c r="K146" s="7">
        <v>1421.05</v>
      </c>
      <c r="L146" s="8">
        <f>IFERROR(K146/K444, "NA")</f>
        <v>1.2373518745569613E-2</v>
      </c>
      <c r="M146" s="9"/>
      <c r="N146" s="10">
        <f t="shared" si="33"/>
        <v>1326.8999999999999</v>
      </c>
      <c r="O146" s="8">
        <f>IFERROR(N146/N444, "NA")</f>
        <v>-1.9342001690912685</v>
      </c>
      <c r="P146" s="9"/>
      <c r="Q146" s="7">
        <v>681.71</v>
      </c>
      <c r="R146" s="8">
        <f>IFERROR(Q146/Q444, "NA")</f>
        <v>8.7079826043705766E-4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-681.71</v>
      </c>
      <c r="X146" s="8">
        <f>IFERROR(W146/W444, "NA")</f>
        <v>1.0503663054458007E-2</v>
      </c>
      <c r="Y146" s="9"/>
      <c r="Z146" s="7">
        <v>4014.79</v>
      </c>
      <c r="AA146" s="8">
        <f>IFERROR(Z146/Z444, "NA")</f>
        <v>5.304002904552573E-3</v>
      </c>
      <c r="AB146" s="9"/>
      <c r="AC146" s="10">
        <f t="shared" si="35"/>
        <v>3333.08</v>
      </c>
      <c r="AD146" s="8">
        <f>IFERROR(AC146/AC444, "NA")</f>
        <v>0.12858832084967309</v>
      </c>
    </row>
    <row r="147" spans="1:30" ht="16.5" customHeight="1" x14ac:dyDescent="0.45">
      <c r="A147" s="12" t="s">
        <v>138</v>
      </c>
      <c r="B147" s="7">
        <v>52.93</v>
      </c>
      <c r="C147" s="8">
        <f>IFERROR(B147/B444, "NA")</f>
        <v>4.6364730919441608E-4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-52.93</v>
      </c>
      <c r="I147" s="8">
        <f>IFERROR(H147/H444, "NA")</f>
        <v>4.3489942591303857E-3</v>
      </c>
      <c r="J147" s="9"/>
      <c r="K147" s="7">
        <v>30.2</v>
      </c>
      <c r="L147" s="8">
        <f>IFERROR(K147/K444, "NA")</f>
        <v>2.6296067423116869E-4</v>
      </c>
      <c r="M147" s="9"/>
      <c r="N147" s="10">
        <f t="shared" si="33"/>
        <v>-22.73</v>
      </c>
      <c r="O147" s="8">
        <f>IFERROR(N147/N444, "NA")</f>
        <v>3.3133144806273676E-2</v>
      </c>
      <c r="P147" s="9"/>
      <c r="Q147" s="7">
        <v>307.52999999999997</v>
      </c>
      <c r="R147" s="8">
        <f>IFERROR(Q147/Q444, "NA")</f>
        <v>3.9283065971191313E-4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-307.52999999999997</v>
      </c>
      <c r="X147" s="8">
        <f>IFERROR(W147/W444, "NA")</f>
        <v>4.7383660194767136E-3</v>
      </c>
      <c r="Y147" s="9"/>
      <c r="Z147" s="7">
        <v>217.66</v>
      </c>
      <c r="AA147" s="8">
        <f>IFERROR(Z147/Z444, "NA")</f>
        <v>2.8755408681522897E-4</v>
      </c>
      <c r="AB147" s="9"/>
      <c r="AC147" s="10">
        <f t="shared" si="35"/>
        <v>-89.869999999999976</v>
      </c>
      <c r="AD147" s="8">
        <f>IFERROR(AC147/AC444, "NA")</f>
        <v>-3.4671332205527977E-3</v>
      </c>
    </row>
    <row r="148" spans="1:30" ht="16.5" customHeight="1" x14ac:dyDescent="0.45">
      <c r="A148" s="13" t="s">
        <v>139</v>
      </c>
      <c r="B148" s="14">
        <f>IFERROR(B143+B144+B145+B146+B147, "NA")</f>
        <v>1853.4</v>
      </c>
      <c r="C148" s="15">
        <f>IFERROR(B148/B444, "NA")</f>
        <v>1.6235101508802773E-2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-1853.4</v>
      </c>
      <c r="I148" s="15">
        <f>IFERROR(H148/H444, "NA")</f>
        <v>0.15228463933255729</v>
      </c>
      <c r="J148" s="2"/>
      <c r="K148" s="14">
        <f>IFERROR(K143+K144+K145+K146+K147, "NA")</f>
        <v>2739.0299999999997</v>
      </c>
      <c r="L148" s="15">
        <f>IFERROR(K148/K444, "NA")</f>
        <v>2.3849575348986688E-2</v>
      </c>
      <c r="M148" s="2"/>
      <c r="N148" s="14">
        <f t="shared" si="33"/>
        <v>885.62999999999965</v>
      </c>
      <c r="O148" s="15">
        <f>IFERROR(N148/N444, "NA")</f>
        <v>-1.2909681933471246</v>
      </c>
      <c r="P148" s="2"/>
      <c r="Q148" s="14">
        <f>IFERROR(Q143+Q144+Q145+Q146+Q147, "NA")</f>
        <v>13272.519999999999</v>
      </c>
      <c r="R148" s="15">
        <f>IFERROR(Q148/Q444, "NA")</f>
        <v>1.6953964776248047E-2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-13272.519999999999</v>
      </c>
      <c r="X148" s="15">
        <f>IFERROR(W148/W444, "NA")</f>
        <v>0.20450056176901463</v>
      </c>
      <c r="Y148" s="2"/>
      <c r="Z148" s="14">
        <f>IFERROR(Z143+Z144+Z145+Z146+Z147, "NA")</f>
        <v>14622.900000000001</v>
      </c>
      <c r="AA148" s="15">
        <f>IFERROR(Z148/Z444, "NA")</f>
        <v>1.9318545695536215E-2</v>
      </c>
      <c r="AB148" s="2"/>
      <c r="AC148" s="14">
        <f t="shared" si="35"/>
        <v>1350.3800000000028</v>
      </c>
      <c r="AD148" s="15">
        <f>IFERROR(AC148/AC444, "NA")</f>
        <v>5.2096888376211167E-2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27623.599999999999</v>
      </c>
      <c r="C149" s="15">
        <f>IFERROR(B149/B444, "NA")</f>
        <v>0.24197256395735633</v>
      </c>
      <c r="D149" s="2"/>
      <c r="E149" s="14">
        <f>IFERROR(E127+E129+E130+E131+E132+E133+E134+E135+E136+E137+E138+E139+E140+E143+E144+E145+E146+E147, "NA")</f>
        <v>30698.35</v>
      </c>
      <c r="F149" s="15">
        <f>IFERROR(E149/E444, "NA")</f>
        <v>0.24299995852155629</v>
      </c>
      <c r="G149" s="2"/>
      <c r="H149" s="14">
        <f t="shared" si="32"/>
        <v>3074.75</v>
      </c>
      <c r="I149" s="15">
        <f>IFERROR(H149/H444, "NA")</f>
        <v>-0.25263688075309187</v>
      </c>
      <c r="J149" s="2"/>
      <c r="K149" s="14">
        <f>IFERROR(K127+K129+K130+K131+K132+K133+K134+K135+K136+K137+K138+K139+K140+K143+K144+K145+K146+K147, "NA")</f>
        <v>30409.859999999997</v>
      </c>
      <c r="L149" s="15">
        <f>IFERROR(K149/K444, "NA")</f>
        <v>0.26478798969786249</v>
      </c>
      <c r="M149" s="2"/>
      <c r="N149" s="14">
        <f t="shared" si="33"/>
        <v>2786.2599999999984</v>
      </c>
      <c r="O149" s="15">
        <f>IFERROR(N149/N444, "NA")</f>
        <v>-4.0614850878982853</v>
      </c>
      <c r="P149" s="2"/>
      <c r="Q149" s="14">
        <f>IFERROR(Q127+Q129+Q130+Q131+Q132+Q133+Q134+Q135+Q136+Q137+Q138+Q139+Q140+Q143+Q144+Q145+Q146+Q147, "NA")</f>
        <v>199530.55999999997</v>
      </c>
      <c r="R149" s="15">
        <f>IFERROR(Q149/Q444, "NA")</f>
        <v>0.25487504151623408</v>
      </c>
      <c r="S149" s="2"/>
      <c r="T149" s="14">
        <f>IFERROR(T127+T129+T130+T131+T132+T133+T134+T135+T136+T137+T138+T139+T140+T143+T144+T145+T146+T147, "NA")</f>
        <v>212985.14</v>
      </c>
      <c r="U149" s="15">
        <f>IFERROR(T149/T444, "NA")</f>
        <v>0.25123326096170334</v>
      </c>
      <c r="V149" s="2"/>
      <c r="W149" s="14">
        <f t="shared" si="34"/>
        <v>13454.580000000045</v>
      </c>
      <c r="X149" s="15">
        <f>IFERROR(W149/W444, "NA")</f>
        <v>-0.20730570896605607</v>
      </c>
      <c r="Y149" s="2"/>
      <c r="Z149" s="14">
        <f>IFERROR(Z127+Z129+Z130+Z131+Z132+Z133+Z134+Z135+Z136+Z137+Z138+Z139+Z140+Z143+Z144+Z145+Z146+Z147, "NA")</f>
        <v>199531.45</v>
      </c>
      <c r="AA149" s="15">
        <f>IFERROR(Z149/Z444, "NA")</f>
        <v>0.26360417116451584</v>
      </c>
      <c r="AB149" s="2"/>
      <c r="AC149" s="14">
        <f t="shared" si="35"/>
        <v>0.89000000004307367</v>
      </c>
      <c r="AD149" s="15">
        <f>IFERROR(AC149/AC444, "NA")</f>
        <v>3.4335691181054112E-5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1894.96</v>
      </c>
      <c r="F153" s="8">
        <f>IFERROR(E153/E444, "NA")</f>
        <v>1.4999998416853294E-2</v>
      </c>
      <c r="G153" s="9"/>
      <c r="H153" s="10">
        <f t="shared" ref="H153:H158" si="36">IFERROR(-(B153-E153), "NA")</f>
        <v>1894.96</v>
      </c>
      <c r="I153" s="8">
        <f>IFERROR(H153/H444, "NA")</f>
        <v>-0.15569941736787674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13283.73</v>
      </c>
      <c r="U153" s="8">
        <f>IFERROR(T153/T444, "NA")</f>
        <v>1.5669237795814334E-2</v>
      </c>
      <c r="V153" s="9"/>
      <c r="W153" s="10">
        <f t="shared" ref="W153:W158" si="38">IFERROR(-(Q153-T153), "NA")</f>
        <v>13283.73</v>
      </c>
      <c r="X153" s="8">
        <f>IFERROR(W153/W444, "NA")</f>
        <v>-0.20467328339967941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3695.02</v>
      </c>
      <c r="C154" s="8">
        <f>IFERROR(B154/B444, "NA")</f>
        <v>3.2367014555442115E-2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-3695.02</v>
      </c>
      <c r="I154" s="8">
        <f>IFERROR(H154/H444, "NA")</f>
        <v>0.30360137478503602</v>
      </c>
      <c r="J154" s="9"/>
      <c r="K154" s="7">
        <v>4200.3900000000003</v>
      </c>
      <c r="L154" s="8">
        <f>IFERROR(K154/K444, "NA")</f>
        <v>3.6574085643505262E-2</v>
      </c>
      <c r="M154" s="9"/>
      <c r="N154" s="10">
        <f t="shared" si="37"/>
        <v>505.37000000000035</v>
      </c>
      <c r="O154" s="8">
        <f>IFERROR(N154/N444, "NA")</f>
        <v>-0.7366694848546651</v>
      </c>
      <c r="P154" s="9"/>
      <c r="Q154" s="7">
        <v>26917.21</v>
      </c>
      <c r="R154" s="8">
        <f>IFERROR(Q154/Q444, "NA")</f>
        <v>3.4383329632569529E-2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-26917.21</v>
      </c>
      <c r="X154" s="8">
        <f>IFERROR(W154/W444, "NA")</f>
        <v>0.41473545086046498</v>
      </c>
      <c r="Y154" s="9"/>
      <c r="Z154" s="7">
        <v>28979.22</v>
      </c>
      <c r="AA154" s="8">
        <f>IFERROR(Z154/Z444, "NA")</f>
        <v>3.8284908314424423E-2</v>
      </c>
      <c r="AB154" s="9"/>
      <c r="AC154" s="10">
        <f t="shared" si="39"/>
        <v>2062.010000000002</v>
      </c>
      <c r="AD154" s="8">
        <f>IFERROR(AC154/AC444, "NA")</f>
        <v>7.9551166931257175E-2</v>
      </c>
    </row>
    <row r="155" spans="1:30" ht="16.5" customHeight="1" x14ac:dyDescent="0.45">
      <c r="A155" s="12" t="s">
        <v>144</v>
      </c>
      <c r="B155" s="7">
        <v>958.94</v>
      </c>
      <c r="C155" s="8">
        <f>IFERROR(B155/B444, "NA")</f>
        <v>8.39996128242761E-3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-958.94</v>
      </c>
      <c r="I155" s="8">
        <f>IFERROR(H155/H444, "NA")</f>
        <v>7.8791319759125109E-2</v>
      </c>
      <c r="J155" s="9"/>
      <c r="K155" s="7">
        <v>583.63</v>
      </c>
      <c r="L155" s="8">
        <f>IFERROR(K155/K444, "NA")</f>
        <v>5.0818456391237415E-3</v>
      </c>
      <c r="M155" s="9"/>
      <c r="N155" s="10">
        <f t="shared" si="37"/>
        <v>-375.31000000000006</v>
      </c>
      <c r="O155" s="8">
        <f>IFERROR(N155/N444, "NA")</f>
        <v>0.54708317541762319</v>
      </c>
      <c r="P155" s="9"/>
      <c r="Q155" s="7">
        <v>6227.74</v>
      </c>
      <c r="R155" s="8">
        <f>IFERROR(Q155/Q444, "NA")</f>
        <v>7.9551497828318218E-3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-6227.74</v>
      </c>
      <c r="X155" s="8">
        <f>IFERROR(W155/W444, "NA")</f>
        <v>9.5955879407329067E-2</v>
      </c>
      <c r="Y155" s="9"/>
      <c r="Z155" s="7">
        <v>4683.1400000000003</v>
      </c>
      <c r="AA155" s="8">
        <f>IFERROR(Z155/Z444, "NA")</f>
        <v>6.1869707163827595E-3</v>
      </c>
      <c r="AB155" s="9"/>
      <c r="AC155" s="10">
        <f t="shared" si="39"/>
        <v>-1544.5999999999995</v>
      </c>
      <c r="AD155" s="8">
        <f>IFERROR(AC155/AC444, "NA")</f>
        <v>-5.9589784938976861E-2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4653.96</v>
      </c>
      <c r="C158" s="15">
        <f>IFERROR(B158/B444, "NA")</f>
        <v>4.0766975837869729E-2</v>
      </c>
      <c r="D158" s="2"/>
      <c r="E158" s="14">
        <f>IFERROR(E153+E154+E155+E156+E157, "NA")</f>
        <v>1894.96</v>
      </c>
      <c r="F158" s="15">
        <f>IFERROR(E158/E444, "NA")</f>
        <v>1.4999998416853294E-2</v>
      </c>
      <c r="G158" s="2"/>
      <c r="H158" s="14">
        <f t="shared" si="36"/>
        <v>-2759</v>
      </c>
      <c r="I158" s="15">
        <f>IFERROR(H158/H444, "NA")</f>
        <v>0.2266932771762844</v>
      </c>
      <c r="J158" s="2"/>
      <c r="K158" s="14">
        <f>IFERROR(K153+K154+K155+K156+K157, "NA")</f>
        <v>4784.0200000000004</v>
      </c>
      <c r="L158" s="15">
        <f>IFERROR(K158/K444, "NA")</f>
        <v>4.1655931282629004E-2</v>
      </c>
      <c r="M158" s="2"/>
      <c r="N158" s="14">
        <f t="shared" si="37"/>
        <v>130.0600000000004</v>
      </c>
      <c r="O158" s="15">
        <f>IFERROR(N158/N444, "NA")</f>
        <v>-0.18958630943704211</v>
      </c>
      <c r="P158" s="2"/>
      <c r="Q158" s="14">
        <f>IFERROR(Q153+Q154+Q155+Q156+Q157, "NA")</f>
        <v>33144.949999999997</v>
      </c>
      <c r="R158" s="15">
        <f>IFERROR(Q158/Q444, "NA")</f>
        <v>4.2338479415401344E-2</v>
      </c>
      <c r="S158" s="2"/>
      <c r="T158" s="14">
        <f>IFERROR(T153+T154+T155+T156+T157, "NA")</f>
        <v>13283.73</v>
      </c>
      <c r="U158" s="15">
        <f>IFERROR(T158/T444, "NA")</f>
        <v>1.5669237795814334E-2</v>
      </c>
      <c r="V158" s="2"/>
      <c r="W158" s="14">
        <f t="shared" si="38"/>
        <v>-19861.219999999998</v>
      </c>
      <c r="X158" s="15">
        <f>IFERROR(W158/W444, "NA")</f>
        <v>0.30601804686811462</v>
      </c>
      <c r="Y158" s="2"/>
      <c r="Z158" s="14">
        <f>IFERROR(Z153+Z154+Z155+Z156+Z157, "NA")</f>
        <v>33662.36</v>
      </c>
      <c r="AA158" s="15">
        <f>IFERROR(Z158/Z444, "NA")</f>
        <v>4.4471879030807182E-2</v>
      </c>
      <c r="AB158" s="2"/>
      <c r="AC158" s="14">
        <f t="shared" si="39"/>
        <v>517.41000000000349</v>
      </c>
      <c r="AD158" s="15">
        <f>IFERROR(AC158/AC444, "NA")</f>
        <v>1.9961381992280355E-2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442.8</v>
      </c>
      <c r="C161" s="8">
        <f>IFERROR(B161/B444, "NA")</f>
        <v>3.8787649444792642E-3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-442.8</v>
      </c>
      <c r="I161" s="8">
        <f>IFERROR(H161/H444, "NA")</f>
        <v>3.6382668768995555E-2</v>
      </c>
      <c r="J161" s="9"/>
      <c r="K161" s="7">
        <v>389.17</v>
      </c>
      <c r="L161" s="8">
        <f>IFERROR(K161/K444, "NA")</f>
        <v>3.3886227016736402E-3</v>
      </c>
      <c r="M161" s="9"/>
      <c r="N161" s="10">
        <f t="shared" si="41"/>
        <v>-53.629999999999995</v>
      </c>
      <c r="O161" s="8">
        <f>IFERROR(N161/N444, "NA")</f>
        <v>7.8175563394652745E-2</v>
      </c>
      <c r="P161" s="9"/>
      <c r="Q161" s="7">
        <v>2622.08</v>
      </c>
      <c r="R161" s="8">
        <f>IFERROR(Q161/Q444, "NA")</f>
        <v>3.3493753982291592E-3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-2622.08</v>
      </c>
      <c r="X161" s="8">
        <f>IFERROR(W161/W444, "NA")</f>
        <v>4.0400529289336004E-2</v>
      </c>
      <c r="Y161" s="9"/>
      <c r="Z161" s="7">
        <v>2090.02</v>
      </c>
      <c r="AA161" s="8">
        <f>IFERROR(Z161/Z444, "NA")</f>
        <v>2.7611586535218452E-3</v>
      </c>
      <c r="AB161" s="9"/>
      <c r="AC161" s="10">
        <f t="shared" si="43"/>
        <v>-532.05999999999995</v>
      </c>
      <c r="AD161" s="8">
        <f>IFERROR(AC161/AC444, "NA")</f>
        <v>-2.0526570616749992E-2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442.8</v>
      </c>
      <c r="C166" s="15">
        <f>IFERROR(B166/B444, "NA")</f>
        <v>3.8787649444792642E-3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-442.8</v>
      </c>
      <c r="I166" s="15">
        <f>IFERROR(H166/H444, "NA")</f>
        <v>3.6382668768995555E-2</v>
      </c>
      <c r="J166" s="2"/>
      <c r="K166" s="14">
        <f>IFERROR(K160+K161+K162+K163+K164+K165, "NA")</f>
        <v>389.17</v>
      </c>
      <c r="L166" s="15">
        <f>IFERROR(K166/K444, "NA")</f>
        <v>3.3886227016736402E-3</v>
      </c>
      <c r="M166" s="2"/>
      <c r="N166" s="14">
        <f t="shared" si="41"/>
        <v>-53.629999999999995</v>
      </c>
      <c r="O166" s="15">
        <f>IFERROR(N166/N444, "NA")</f>
        <v>7.8175563394652745E-2</v>
      </c>
      <c r="P166" s="2"/>
      <c r="Q166" s="14">
        <f>IFERROR(Q160+Q161+Q162+Q163+Q164+Q165, "NA")</f>
        <v>2622.08</v>
      </c>
      <c r="R166" s="15">
        <f>IFERROR(Q166/Q444, "NA")</f>
        <v>3.3493753982291592E-3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-2622.08</v>
      </c>
      <c r="X166" s="15">
        <f>IFERROR(W166/W444, "NA")</f>
        <v>4.0400529289336004E-2</v>
      </c>
      <c r="Y166" s="2"/>
      <c r="Z166" s="14">
        <f>IFERROR(Z160+Z161+Z162+Z163+Z164+Z165, "NA")</f>
        <v>2090.02</v>
      </c>
      <c r="AA166" s="15">
        <f>IFERROR(Z166/Z444, "NA")</f>
        <v>2.7611586535218452E-3</v>
      </c>
      <c r="AB166" s="2"/>
      <c r="AC166" s="14">
        <f t="shared" si="43"/>
        <v>-532.05999999999995</v>
      </c>
      <c r="AD166" s="15">
        <f>IFERROR(AC166/AC444, "NA")</f>
        <v>-2.0526570616749992E-2</v>
      </c>
    </row>
    <row r="167" spans="1:30" ht="16.5" customHeight="1" x14ac:dyDescent="0.45">
      <c r="A167" s="6" t="s">
        <v>155</v>
      </c>
      <c r="B167" s="7">
        <v>63.7</v>
      </c>
      <c r="C167" s="8">
        <f>IFERROR(B167/B444, "NA")</f>
        <v>5.579885432776177E-4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-63.7</v>
      </c>
      <c r="I167" s="8">
        <f>IFERROR(H167/H444, "NA")</f>
        <v>5.2339114737692339E-3</v>
      </c>
      <c r="J167" s="9"/>
      <c r="K167" s="7">
        <v>75.12</v>
      </c>
      <c r="L167" s="8">
        <f>IFERROR(K167/K444, "NA")</f>
        <v>6.5409290888229787E-4</v>
      </c>
      <c r="M167" s="9"/>
      <c r="N167" s="10">
        <f t="shared" si="41"/>
        <v>11.420000000000002</v>
      </c>
      <c r="O167" s="8">
        <f>IFERROR(N167/N444, "NA")</f>
        <v>-1.6646744992857256E-2</v>
      </c>
      <c r="P167" s="9"/>
      <c r="Q167" s="7">
        <v>756.16</v>
      </c>
      <c r="R167" s="8">
        <f>IFERROR(Q167/Q444, "NA")</f>
        <v>9.6589871442708116E-4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-756.16</v>
      </c>
      <c r="X167" s="8">
        <f>IFERROR(W167/W444, "NA")</f>
        <v>1.1650775044020133E-2</v>
      </c>
      <c r="Y167" s="9"/>
      <c r="Z167" s="7">
        <v>1031.5</v>
      </c>
      <c r="AA167" s="8">
        <f>IFERROR(Z167/Z444, "NA")</f>
        <v>1.3627310509506049E-3</v>
      </c>
      <c r="AB167" s="9"/>
      <c r="AC167" s="10">
        <f t="shared" si="43"/>
        <v>275.34000000000003</v>
      </c>
      <c r="AD167" s="8">
        <f>IFERROR(AC167/AC444, "NA")</f>
        <v>1.0622459785768416E-2</v>
      </c>
    </row>
    <row r="168" spans="1:30" ht="16.5" customHeight="1" x14ac:dyDescent="0.45">
      <c r="A168" s="6" t="s">
        <v>156</v>
      </c>
      <c r="B168" s="7">
        <v>171.14</v>
      </c>
      <c r="C168" s="8">
        <f>IFERROR(B168/B444, "NA")</f>
        <v>1.4991233798513576E-3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-171.14</v>
      </c>
      <c r="I168" s="8">
        <f>IFERROR(H168/H444, "NA")</f>
        <v>1.4061720716183149E-2</v>
      </c>
      <c r="J168" s="9"/>
      <c r="K168" s="7">
        <v>59.4</v>
      </c>
      <c r="L168" s="8">
        <f>IFERROR(K168/K444, "NA")</f>
        <v>5.1721404136859008E-4</v>
      </c>
      <c r="M168" s="9"/>
      <c r="N168" s="10">
        <f t="shared" si="41"/>
        <v>-111.73999999999998</v>
      </c>
      <c r="O168" s="8">
        <f>IFERROR(N168/N444, "NA")</f>
        <v>0.16288154864289572</v>
      </c>
      <c r="P168" s="9"/>
      <c r="Q168" s="7">
        <v>383.47</v>
      </c>
      <c r="R168" s="8">
        <f>IFERROR(Q168/Q444, "NA")</f>
        <v>4.8983440015519574E-4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-383.47</v>
      </c>
      <c r="X168" s="8">
        <f>IFERROR(W168/W444, "NA")</f>
        <v>5.9084356566472722E-3</v>
      </c>
      <c r="Y168" s="9"/>
      <c r="Z168" s="7">
        <v>410.09</v>
      </c>
      <c r="AA168" s="8">
        <f>IFERROR(Z168/Z444, "NA")</f>
        <v>5.4177641947099721E-4</v>
      </c>
      <c r="AB168" s="9"/>
      <c r="AC168" s="10">
        <f t="shared" si="43"/>
        <v>26.619999999999948</v>
      </c>
      <c r="AD168" s="8">
        <f>IFERROR(AC168/AC444, "NA")</f>
        <v>1.0269843811184524E-3</v>
      </c>
    </row>
    <row r="169" spans="1:30" ht="16.5" customHeight="1" x14ac:dyDescent="0.45">
      <c r="A169" s="6" t="s">
        <v>157</v>
      </c>
      <c r="B169" s="7">
        <v>-1621.59</v>
      </c>
      <c r="C169" s="8">
        <f>IFERROR(B169/B444, "NA")</f>
        <v>-1.4204531269914474E-2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1621.59</v>
      </c>
      <c r="I169" s="8">
        <f>IFERROR(H169/H444, "NA")</f>
        <v>-0.13323796713892389</v>
      </c>
      <c r="J169" s="9"/>
      <c r="K169" s="7">
        <v>-2510.08</v>
      </c>
      <c r="L169" s="8">
        <f>IFERROR(K169/K444, "NA")</f>
        <v>-2.1856037389873243E-2</v>
      </c>
      <c r="M169" s="9"/>
      <c r="N169" s="10">
        <f t="shared" si="41"/>
        <v>-888.49</v>
      </c>
      <c r="O169" s="8">
        <f>IFERROR(N169/N444, "NA")</f>
        <v>1.2951371680125867</v>
      </c>
      <c r="P169" s="9"/>
      <c r="Q169" s="7">
        <v>-14226.04</v>
      </c>
      <c r="R169" s="8">
        <f>IFERROR(Q169/Q444, "NA")</f>
        <v>-1.8171965916457145E-2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14226.04</v>
      </c>
      <c r="X169" s="8">
        <f>IFERROR(W169/W444, "NA")</f>
        <v>-0.21919222361303456</v>
      </c>
      <c r="Y169" s="9"/>
      <c r="Z169" s="7">
        <v>-20159.310000000001</v>
      </c>
      <c r="AA169" s="8">
        <f>IFERROR(Z169/Z444, "NA")</f>
        <v>-2.6632784975995194E-2</v>
      </c>
      <c r="AB169" s="9"/>
      <c r="AC169" s="10">
        <f t="shared" si="43"/>
        <v>-5933.27</v>
      </c>
      <c r="AD169" s="8">
        <f>IFERROR(AC169/AC444, "NA")</f>
        <v>-0.22890216449882389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3710.01</v>
      </c>
      <c r="C170" s="15">
        <f>IFERROR(B170/B444, "NA")</f>
        <v>3.2498321435563492E-2</v>
      </c>
      <c r="D170" s="2"/>
      <c r="E170" s="14">
        <f>IFERROR(E151+E153+E154+E155+E156+E157+E160+E161+E162+E163+E164+E165+E167+E168+E169, "NA")</f>
        <v>1894.96</v>
      </c>
      <c r="F170" s="15">
        <f>IFERROR(E170/E444, "NA")</f>
        <v>1.4999998416853294E-2</v>
      </c>
      <c r="G170" s="2"/>
      <c r="H170" s="14">
        <f t="shared" si="40"/>
        <v>-1815.0500000000002</v>
      </c>
      <c r="I170" s="15">
        <f>IFERROR(H170/H444, "NA")</f>
        <v>0.14913361099630845</v>
      </c>
      <c r="J170" s="2"/>
      <c r="K170" s="14">
        <f>IFERROR(K151+K153+K154+K155+K156+K157+K160+K161+K162+K163+K164+K165+K167+K168+K169, "NA")</f>
        <v>2797.63</v>
      </c>
      <c r="L170" s="15">
        <f>IFERROR(K170/K444, "NA")</f>
        <v>2.4359823544680283E-2</v>
      </c>
      <c r="M170" s="2"/>
      <c r="N170" s="14">
        <f t="shared" si="41"/>
        <v>-912.38000000000011</v>
      </c>
      <c r="O170" s="15">
        <f>IFERROR(N170/N444, "NA")</f>
        <v>1.3299612256202367</v>
      </c>
      <c r="P170" s="2"/>
      <c r="Q170" s="14">
        <f>IFERROR(Q151+Q153+Q154+Q155+Q156+Q157+Q160+Q161+Q162+Q163+Q164+Q165+Q167+Q168+Q169, "NA")</f>
        <v>22680.620000000003</v>
      </c>
      <c r="R170" s="15">
        <f>IFERROR(Q170/Q444, "NA")</f>
        <v>2.8971622011755644E-2</v>
      </c>
      <c r="S170" s="2"/>
      <c r="T170" s="14">
        <f>IFERROR(T151+T153+T154+T155+T156+T157+T160+T161+T162+T163+T164+T165+T167+T168+T169, "NA")</f>
        <v>13283.73</v>
      </c>
      <c r="U170" s="15">
        <f>IFERROR(T170/T444, "NA")</f>
        <v>1.5669237795814334E-2</v>
      </c>
      <c r="V170" s="2"/>
      <c r="W170" s="14">
        <f t="shared" si="42"/>
        <v>-9396.8900000000031</v>
      </c>
      <c r="X170" s="15">
        <f>IFERROR(W170/W444, "NA")</f>
        <v>0.14478556324508357</v>
      </c>
      <c r="Y170" s="2"/>
      <c r="Z170" s="14">
        <f>IFERROR(Z151+Z153+Z154+Z155+Z156+Z157+Z160+Z161+Z162+Z163+Z164+Z165+Z167+Z168+Z169, "NA")</f>
        <v>17034.659999999993</v>
      </c>
      <c r="AA170" s="15">
        <f>IFERROR(Z170/Z444, "NA")</f>
        <v>2.2504760178755426E-2</v>
      </c>
      <c r="AB170" s="2"/>
      <c r="AC170" s="14">
        <f t="shared" si="43"/>
        <v>-5645.96000000001</v>
      </c>
      <c r="AD170" s="15">
        <f>IFERROR(AC170/AC444, "NA")</f>
        <v>-0.21781790895640718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31333.609999999997</v>
      </c>
      <c r="C171" s="15">
        <f>IFERROR(B171/B444, "NA")</f>
        <v>0.27447088539291981</v>
      </c>
      <c r="D171" s="2"/>
      <c r="E171" s="14">
        <f>IFERROR(E127+E129+E130+E131+E132+E133+E134+E135+E136+E137+E138+E139+E140+E143+E144+E145+E146+E147+E151+E153+E154+E155+E156+E157+E160+E161+E162+E163+E164+E165+E167+E168+E169, "NA")</f>
        <v>32593.309999999998</v>
      </c>
      <c r="F171" s="15">
        <f>IFERROR(E171/E444, "NA")</f>
        <v>0.25799995693840955</v>
      </c>
      <c r="G171" s="2"/>
      <c r="H171" s="14">
        <f t="shared" si="40"/>
        <v>1259.7000000000007</v>
      </c>
      <c r="I171" s="15">
        <f>IFERROR(H171/H444, "NA")</f>
        <v>-0.10350326975678348</v>
      </c>
      <c r="J171" s="2"/>
      <c r="K171" s="14">
        <f>IFERROR(K127+K129+K130+K131+K132+K133+K134+K135+K136+K137+K138+K139+K140+K143+K144+K145+K146+K147+K151+K153+K154+K155+K156+K157+K160+K161+K162+K163+K164+K165+K167+K168+K169, "NA")</f>
        <v>33207.49</v>
      </c>
      <c r="L171" s="15">
        <f>IFERROR(K171/K444, "NA")</f>
        <v>0.28914781324254279</v>
      </c>
      <c r="M171" s="2"/>
      <c r="N171" s="14">
        <f t="shared" si="41"/>
        <v>1873.880000000001</v>
      </c>
      <c r="O171" s="15">
        <f>IFERROR(N171/N444, "NA")</f>
        <v>-2.7315238622780531</v>
      </c>
      <c r="P171" s="2"/>
      <c r="Q171" s="14">
        <f>IFERROR(Q127+Q129+Q130+Q131+Q132+Q133+Q134+Q135+Q136+Q137+Q138+Q139+Q140+Q143+Q144+Q145+Q146+Q147+Q151+Q153+Q154+Q155+Q156+Q157+Q160+Q161+Q162+Q163+Q164+Q165+Q167+Q168+Q169, "NA")</f>
        <v>222211.17999999993</v>
      </c>
      <c r="R171" s="15">
        <f>IFERROR(Q171/Q444, "NA")</f>
        <v>0.28384666352798965</v>
      </c>
      <c r="S171" s="2"/>
      <c r="T171" s="14">
        <f>IFERROR(T127+T129+T130+T131+T132+T133+T134+T135+T136+T137+T138+T139+T140+T143+T144+T145+T146+T147+T151+T153+T154+T155+T156+T157+T160+T161+T162+T163+T164+T165+T167+T168+T169, "NA")</f>
        <v>226268.87000000002</v>
      </c>
      <c r="U171" s="15">
        <f>IFERROR(T171/T444, "NA")</f>
        <v>0.2669024987575177</v>
      </c>
      <c r="V171" s="2"/>
      <c r="W171" s="14">
        <f t="shared" si="42"/>
        <v>4057.6900000000896</v>
      </c>
      <c r="X171" s="15">
        <f>IFERROR(W171/W444, "NA")</f>
        <v>-6.2520145720973211E-2</v>
      </c>
      <c r="Y171" s="2"/>
      <c r="Z171" s="14">
        <f>IFERROR(Z127+Z129+Z130+Z131+Z132+Z133+Z134+Z135+Z136+Z137+Z138+Z139+Z140+Z143+Z144+Z145+Z146+Z147+Z151+Z153+Z154+Z155+Z156+Z157+Z160+Z161+Z162+Z163+Z164+Z165+Z167+Z168+Z169, "NA")</f>
        <v>216566.11000000002</v>
      </c>
      <c r="AA171" s="15">
        <f>IFERROR(Z171/Z444, "NA")</f>
        <v>0.28610893134327131</v>
      </c>
      <c r="AB171" s="2"/>
      <c r="AC171" s="14">
        <f t="shared" si="43"/>
        <v>-5645.0699999999197</v>
      </c>
      <c r="AD171" s="15">
        <f>IFERROR(AC171/AC444, "NA")</f>
        <v>-0.2177835732652243</v>
      </c>
    </row>
    <row r="172" spans="1:30" ht="16.5" customHeight="1" x14ac:dyDescent="0.45">
      <c r="A172" s="22" t="s">
        <v>160</v>
      </c>
      <c r="B172" s="23">
        <f>IFERROR(B124-B171, "NA")</f>
        <v>82826.44</v>
      </c>
      <c r="C172" s="24">
        <f>IFERROR(B172/B444, "NA")</f>
        <v>0.72552911460708014</v>
      </c>
      <c r="D172" s="25"/>
      <c r="E172" s="23">
        <f>IFERROR(E124-E171, "NA")</f>
        <v>93737.37000000001</v>
      </c>
      <c r="F172" s="24">
        <f>IFERROR(E172/E444, "NA")</f>
        <v>0.74200004306159051</v>
      </c>
      <c r="G172" s="25"/>
      <c r="H172" s="23">
        <f>IFERROR(B172-E172, "NA")</f>
        <v>-10910.930000000008</v>
      </c>
      <c r="I172" s="24">
        <f>IFERROR(H172/H444, "NA")</f>
        <v>0.89649673024321797</v>
      </c>
      <c r="J172" s="25"/>
      <c r="K172" s="23">
        <f>IFERROR(K124-K171, "NA")</f>
        <v>81638.580000000016</v>
      </c>
      <c r="L172" s="24">
        <f>IFERROR(K172/K444, "NA")</f>
        <v>0.71085218675745732</v>
      </c>
      <c r="M172" s="25"/>
      <c r="N172" s="23">
        <f>IFERROR(B172-K172, "NA")</f>
        <v>1187.859999999986</v>
      </c>
      <c r="O172" s="24">
        <f>IFERROR(N172/N444, "NA")</f>
        <v>-1.7315238622780371</v>
      </c>
      <c r="P172" s="25"/>
      <c r="Q172" s="23">
        <f>IFERROR(Q124-Q171, "NA")</f>
        <v>560645.23000000021</v>
      </c>
      <c r="R172" s="24">
        <f>IFERROR(Q172/Q444, "NA")</f>
        <v>0.71615333647201052</v>
      </c>
      <c r="S172" s="25"/>
      <c r="T172" s="23">
        <f>IFERROR(T124-T171, "NA")</f>
        <v>621489.65999999992</v>
      </c>
      <c r="U172" s="24">
        <f>IFERROR(T172/T444, "NA")</f>
        <v>0.73309750124248219</v>
      </c>
      <c r="V172" s="25"/>
      <c r="W172" s="23">
        <f>IFERROR(Q172-T172, "NA")</f>
        <v>-60844.429999999702</v>
      </c>
      <c r="X172" s="24">
        <f>IFERROR(W172/W444, "NA")</f>
        <v>0.93747985427902369</v>
      </c>
      <c r="Y172" s="25"/>
      <c r="Z172" s="23">
        <f>IFERROR(Z124-Z171, "NA")</f>
        <v>540369.75</v>
      </c>
      <c r="AA172" s="24">
        <f>IFERROR(Z172/Z444, "NA")</f>
        <v>0.71389106865672869</v>
      </c>
      <c r="AB172" s="25"/>
      <c r="AC172" s="23">
        <f>IFERROR(Q172-Z172, "NA")</f>
        <v>20275.480000000214</v>
      </c>
      <c r="AD172" s="24">
        <f>IFERROR(AC172/AC444, "NA")</f>
        <v>0.78221642673477909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6346.15</v>
      </c>
      <c r="C178" s="8">
        <f>IFERROR(B178/B444, "NA")</f>
        <v>5.5589937110223753E-2</v>
      </c>
      <c r="D178" s="9"/>
      <c r="E178" s="7">
        <v>6250</v>
      </c>
      <c r="F178" s="8">
        <f>IFERROR(E178/E444, "NA")</f>
        <v>4.9473334585074663E-2</v>
      </c>
      <c r="G178" s="9"/>
      <c r="H178" s="10">
        <f t="shared" si="44"/>
        <v>-96.149999999999636</v>
      </c>
      <c r="I178" s="8">
        <f>IFERROR(H178/H444, "NA")</f>
        <v>7.9001662198259024E-3</v>
      </c>
      <c r="J178" s="9"/>
      <c r="K178" s="7">
        <v>6634.6</v>
      </c>
      <c r="L178" s="8">
        <f>IFERROR(K178/K444, "NA")</f>
        <v>5.7769499644175895E-2</v>
      </c>
      <c r="M178" s="9"/>
      <c r="N178" s="10">
        <f t="shared" si="45"/>
        <v>288.45000000000073</v>
      </c>
      <c r="O178" s="8">
        <f>IFERROR(N178/N444, "NA")</f>
        <v>-0.42046879099734558</v>
      </c>
      <c r="P178" s="9"/>
      <c r="Q178" s="7">
        <v>46225.09</v>
      </c>
      <c r="R178" s="8">
        <f>IFERROR(Q178/Q444, "NA")</f>
        <v>5.9046703085691023E-2</v>
      </c>
      <c r="S178" s="9"/>
      <c r="T178" s="7">
        <v>48750</v>
      </c>
      <c r="U178" s="8">
        <f>IFERROR(T178/T444, "NA")</f>
        <v>5.750458211255037E-2</v>
      </c>
      <c r="V178" s="9"/>
      <c r="W178" s="10">
        <f t="shared" si="46"/>
        <v>2524.9100000000035</v>
      </c>
      <c r="X178" s="8">
        <f>IFERROR(W178/W444, "NA")</f>
        <v>-3.8903351693288353E-2</v>
      </c>
      <c r="Y178" s="9"/>
      <c r="Z178" s="7">
        <v>51749.88</v>
      </c>
      <c r="AA178" s="8">
        <f>IFERROR(Z178/Z444, "NA")</f>
        <v>6.83675892961393E-2</v>
      </c>
      <c r="AB178" s="9"/>
      <c r="AC178" s="10">
        <f t="shared" si="47"/>
        <v>5524.7900000000009</v>
      </c>
      <c r="AD178" s="8">
        <f>IFERROR(AC178/AC444, "NA")</f>
        <v>0.21314323963033158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24802.44</v>
      </c>
      <c r="C180" s="8">
        <f>IFERROR(B180/B444, "NA")</f>
        <v>0.21726024121397983</v>
      </c>
      <c r="D180" s="9"/>
      <c r="E180" s="7">
        <v>23371.18</v>
      </c>
      <c r="F180" s="8">
        <f>IFERROR(E180/E444, "NA")</f>
        <v>0.18500003324608086</v>
      </c>
      <c r="G180" s="9"/>
      <c r="H180" s="10">
        <f t="shared" si="44"/>
        <v>-1431.2599999999984</v>
      </c>
      <c r="I180" s="8">
        <f>IFERROR(H180/H444, "NA")</f>
        <v>0.1175994997793869</v>
      </c>
      <c r="J180" s="9"/>
      <c r="K180" s="7">
        <v>21568.54</v>
      </c>
      <c r="L180" s="8">
        <f>IFERROR(K180/K444, "NA")</f>
        <v>0.18780390134377259</v>
      </c>
      <c r="M180" s="9"/>
      <c r="N180" s="10">
        <f t="shared" si="45"/>
        <v>-3233.8999999999978</v>
      </c>
      <c r="O180" s="8">
        <f>IFERROR(N180/N444, "NA")</f>
        <v>4.7140025072155023</v>
      </c>
      <c r="P180" s="9"/>
      <c r="Q180" s="7">
        <v>166535.97</v>
      </c>
      <c r="R180" s="8">
        <f>IFERROR(Q180/Q444, "NA")</f>
        <v>0.21272862797406231</v>
      </c>
      <c r="S180" s="9"/>
      <c r="T180" s="7">
        <v>159580.26</v>
      </c>
      <c r="U180" s="8">
        <f>IFERROR(T180/T444, "NA")</f>
        <v>0.1882378700453772</v>
      </c>
      <c r="V180" s="9"/>
      <c r="W180" s="10">
        <f t="shared" si="46"/>
        <v>-6955.7099999999919</v>
      </c>
      <c r="X180" s="8">
        <f>IFERROR(W180/W444, "NA")</f>
        <v>0.10717230808485134</v>
      </c>
      <c r="Y180" s="9"/>
      <c r="Z180" s="7">
        <v>149839.95000000001</v>
      </c>
      <c r="AA180" s="8">
        <f>IFERROR(Z180/Z444, "NA")</f>
        <v>0.19795594041481931</v>
      </c>
      <c r="AB180" s="9"/>
      <c r="AC180" s="10">
        <f t="shared" si="47"/>
        <v>-16696.01999999999</v>
      </c>
      <c r="AD180" s="8">
        <f>IFERROR(AC180/AC444, "NA")</f>
        <v>-0.64412290634264935</v>
      </c>
    </row>
    <row r="181" spans="1:30" ht="16.5" customHeight="1" x14ac:dyDescent="0.45">
      <c r="A181" s="12" t="s">
        <v>166</v>
      </c>
      <c r="B181" s="7">
        <v>664.18</v>
      </c>
      <c r="C181" s="8">
        <f>IFERROR(B181/B444, "NA")</f>
        <v>5.8179722240836434E-3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-664.18</v>
      </c>
      <c r="I181" s="8">
        <f>IFERROR(H181/H444, "NA")</f>
        <v>5.4572359853187591E-2</v>
      </c>
      <c r="J181" s="9"/>
      <c r="K181" s="7">
        <v>96.75</v>
      </c>
      <c r="L181" s="8">
        <f>IFERROR(K181/K444, "NA")</f>
        <v>8.4243196132005214E-4</v>
      </c>
      <c r="M181" s="9"/>
      <c r="N181" s="10">
        <f t="shared" si="45"/>
        <v>-567.42999999999995</v>
      </c>
      <c r="O181" s="8">
        <f>IFERROR(N181/N444, "NA")</f>
        <v>0.82713331972828286</v>
      </c>
      <c r="P181" s="9"/>
      <c r="Q181" s="7">
        <v>1005.62</v>
      </c>
      <c r="R181" s="8">
        <f>IFERROR(Q181/Q444, "NA")</f>
        <v>1.2845522974002347E-3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-1005.62</v>
      </c>
      <c r="X181" s="8">
        <f>IFERROR(W181/W444, "NA")</f>
        <v>1.5494409119455575E-2</v>
      </c>
      <c r="Y181" s="9"/>
      <c r="Z181" s="7">
        <v>268.64999999999998</v>
      </c>
      <c r="AA181" s="8">
        <f>IFERROR(Z181/Z444, "NA")</f>
        <v>3.5491778656120213E-4</v>
      </c>
      <c r="AB181" s="9"/>
      <c r="AC181" s="10">
        <f t="shared" si="47"/>
        <v>-736.97</v>
      </c>
      <c r="AD181" s="8">
        <f>IFERROR(AC181/AC444, "NA")</f>
        <v>-2.8431881267951441E-2</v>
      </c>
    </row>
    <row r="182" spans="1:30" ht="16.5" customHeight="1" x14ac:dyDescent="0.45">
      <c r="A182" s="13" t="s">
        <v>167</v>
      </c>
      <c r="B182" s="14">
        <f>IFERROR(B177+B178+B179+B180+B181, "NA")</f>
        <v>31812.769999999997</v>
      </c>
      <c r="C182" s="15">
        <f>IFERROR(B182/B444, "NA")</f>
        <v>0.2786681505482872</v>
      </c>
      <c r="D182" s="2"/>
      <c r="E182" s="14">
        <f>IFERROR(E177+E178+E179+E180+E181, "NA")</f>
        <v>29621.18</v>
      </c>
      <c r="F182" s="15">
        <f>IFERROR(E182/E444, "NA")</f>
        <v>0.23447336783115552</v>
      </c>
      <c r="G182" s="2"/>
      <c r="H182" s="14">
        <f t="shared" si="44"/>
        <v>-2191.5899999999965</v>
      </c>
      <c r="I182" s="15">
        <f>IFERROR(H182/H444, "NA")</f>
        <v>0.18007202585240026</v>
      </c>
      <c r="J182" s="2"/>
      <c r="K182" s="14">
        <f>IFERROR(K177+K178+K179+K180+K181, "NA")</f>
        <v>28299.89</v>
      </c>
      <c r="L182" s="15">
        <f>IFERROR(K182/K444, "NA")</f>
        <v>0.2464158329492685</v>
      </c>
      <c r="M182" s="2"/>
      <c r="N182" s="14">
        <f t="shared" si="45"/>
        <v>-3512.8799999999974</v>
      </c>
      <c r="O182" s="15">
        <f>IFERROR(N182/N444, "NA")</f>
        <v>5.1206670359464397</v>
      </c>
      <c r="P182" s="2"/>
      <c r="Q182" s="14">
        <f>IFERROR(Q177+Q178+Q179+Q180+Q181, "NA")</f>
        <v>213766.68</v>
      </c>
      <c r="R182" s="15">
        <f>IFERROR(Q182/Q444, "NA")</f>
        <v>0.27305988335715359</v>
      </c>
      <c r="S182" s="2"/>
      <c r="T182" s="14">
        <f>IFERROR(T177+T178+T179+T180+T181, "NA")</f>
        <v>208330.26</v>
      </c>
      <c r="U182" s="15">
        <f>IFERROR(T182/T444, "NA")</f>
        <v>0.24574245215792756</v>
      </c>
      <c r="V182" s="2"/>
      <c r="W182" s="14">
        <f t="shared" si="46"/>
        <v>-5436.4199999999837</v>
      </c>
      <c r="X182" s="15">
        <f>IFERROR(W182/W444, "NA")</f>
        <v>8.3763365511018498E-2</v>
      </c>
      <c r="Y182" s="2"/>
      <c r="Z182" s="14">
        <f>IFERROR(Z177+Z178+Z179+Z180+Z181, "NA")</f>
        <v>201858.48</v>
      </c>
      <c r="AA182" s="15">
        <f>IFERROR(Z182/Z444, "NA")</f>
        <v>0.26667844749751984</v>
      </c>
      <c r="AB182" s="2"/>
      <c r="AC182" s="14">
        <f t="shared" si="47"/>
        <v>-11908.199999999983</v>
      </c>
      <c r="AD182" s="15">
        <f>IFERROR(AC182/AC444, "NA")</f>
        <v>-0.45941154798026901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2.627889528779989E-3</v>
      </c>
      <c r="D184" s="9"/>
      <c r="E184" s="7">
        <v>300</v>
      </c>
      <c r="F184" s="8">
        <f>IFERROR(E184/E444, "NA")</f>
        <v>2.3747200600835838E-3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2.6121921281241924E-3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1700</v>
      </c>
      <c r="R184" s="8">
        <f>IFERROR(Q184/Q444, "NA")</f>
        <v>2.171534879557287E-3</v>
      </c>
      <c r="S184" s="9"/>
      <c r="T184" s="7">
        <v>2700</v>
      </c>
      <c r="U184" s="8">
        <f>IFERROR(T184/T444, "NA")</f>
        <v>3.1848691631566361E-3</v>
      </c>
      <c r="V184" s="9"/>
      <c r="W184" s="10">
        <f t="shared" si="46"/>
        <v>1000</v>
      </c>
      <c r="X184" s="8">
        <f>IFERROR(W184/W444, "NA")</f>
        <v>-1.5407817186865392E-2</v>
      </c>
      <c r="Y184" s="9"/>
      <c r="Z184" s="7">
        <v>2250</v>
      </c>
      <c r="AA184" s="8">
        <f>IFERROR(Z184/Z444, "NA")</f>
        <v>2.9725107752194488E-3</v>
      </c>
      <c r="AB184" s="9"/>
      <c r="AC184" s="10">
        <f t="shared" si="47"/>
        <v>550</v>
      </c>
      <c r="AD184" s="8">
        <f>IFERROR(AC184/AC444, "NA")</f>
        <v>2.1218685560298645E-2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3138.22</v>
      </c>
      <c r="C186" s="8">
        <f>IFERROR(B186/B444, "NA")</f>
        <v>2.7489651590026455E-2</v>
      </c>
      <c r="D186" s="9"/>
      <c r="E186" s="7">
        <v>2845.16</v>
      </c>
      <c r="F186" s="8">
        <f>IFERROR(E186/E444, "NA")</f>
        <v>2.2521528420491363E-2</v>
      </c>
      <c r="G186" s="9"/>
      <c r="H186" s="10">
        <f t="shared" ref="H186:H197" si="48">IFERROR(-(B186-E186), "NA")</f>
        <v>-293.05999999999995</v>
      </c>
      <c r="I186" s="8">
        <f>IFERROR(H186/H444, "NA")</f>
        <v>2.4079279379949945E-2</v>
      </c>
      <c r="J186" s="9"/>
      <c r="K186" s="7">
        <v>3130.43</v>
      </c>
      <c r="L186" s="8">
        <f>IFERROR(K186/K444, "NA")</f>
        <v>2.7257615345479384E-2</v>
      </c>
      <c r="M186" s="9"/>
      <c r="N186" s="10">
        <f t="shared" ref="N186:N197" si="49">IFERROR(-(B186-K186), "NA")</f>
        <v>-7.7899999999999636</v>
      </c>
      <c r="O186" s="8">
        <f>IFERROR(N186/N444, "NA")</f>
        <v>1.1355354071309753E-2</v>
      </c>
      <c r="P186" s="9"/>
      <c r="Q186" s="7">
        <v>24592.28</v>
      </c>
      <c r="R186" s="8">
        <f>IFERROR(Q186/Q444, "NA")</f>
        <v>3.1413525757552394E-2</v>
      </c>
      <c r="S186" s="9"/>
      <c r="T186" s="7">
        <v>22795.94</v>
      </c>
      <c r="U186" s="8">
        <f>IFERROR(T186/T444, "NA")</f>
        <v>2.6889661611544029E-2</v>
      </c>
      <c r="V186" s="9"/>
      <c r="W186" s="10">
        <f t="shared" ref="W186:W197" si="50">IFERROR(-(Q186-T186), "NA")</f>
        <v>-1796.3400000000001</v>
      </c>
      <c r="X186" s="8">
        <f>IFERROR(W186/W444, "NA")</f>
        <v>2.7677678325453779E-2</v>
      </c>
      <c r="Y186" s="9"/>
      <c r="Z186" s="7">
        <v>24923.32</v>
      </c>
      <c r="AA186" s="8">
        <f>IFERROR(Z186/Z444, "NA")</f>
        <v>3.2926594335218842E-2</v>
      </c>
      <c r="AB186" s="9"/>
      <c r="AC186" s="10">
        <f t="shared" ref="AC186:AC197" si="51">IFERROR(-(Q186-Z186), "NA")</f>
        <v>331.04000000000087</v>
      </c>
      <c r="AD186" s="8">
        <f>IFERROR(AC186/AC444, "NA")</f>
        <v>1.277133394160233E-2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6.6055795004876637E-8</v>
      </c>
      <c r="AB187" s="9"/>
      <c r="AC187" s="10">
        <f t="shared" si="51"/>
        <v>0.05</v>
      </c>
      <c r="AD187" s="8">
        <f>IFERROR(AC187/AC444, "NA")</f>
        <v>1.9289714145726039E-6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3138.22</v>
      </c>
      <c r="C193" s="15">
        <f>IFERROR(B193/B444, "NA")</f>
        <v>2.7489651590026455E-2</v>
      </c>
      <c r="D193" s="2"/>
      <c r="E193" s="14">
        <f>IFERROR(E186+E187+E188+E189+E190+E191+E192, "NA")</f>
        <v>2845.16</v>
      </c>
      <c r="F193" s="15">
        <f>IFERROR(E193/E444, "NA")</f>
        <v>2.2521528420491363E-2</v>
      </c>
      <c r="G193" s="2"/>
      <c r="H193" s="14">
        <f t="shared" si="48"/>
        <v>-293.05999999999995</v>
      </c>
      <c r="I193" s="15">
        <f>IFERROR(H193/H444, "NA")</f>
        <v>2.4079279379949945E-2</v>
      </c>
      <c r="J193" s="2"/>
      <c r="K193" s="14">
        <f>IFERROR(K186+K187+K188+K189+K190+K191+K192, "NA")</f>
        <v>3130.43</v>
      </c>
      <c r="L193" s="15">
        <f>IFERROR(K193/K444, "NA")</f>
        <v>2.7257615345479384E-2</v>
      </c>
      <c r="M193" s="2"/>
      <c r="N193" s="14">
        <f t="shared" si="49"/>
        <v>-7.7899999999999636</v>
      </c>
      <c r="O193" s="15">
        <f>IFERROR(N193/N444, "NA")</f>
        <v>1.1355354071309753E-2</v>
      </c>
      <c r="P193" s="2"/>
      <c r="Q193" s="14">
        <f>IFERROR(Q186+Q187+Q188+Q189+Q190+Q191+Q192, "NA")</f>
        <v>24592.28</v>
      </c>
      <c r="R193" s="15">
        <f>IFERROR(Q193/Q444, "NA")</f>
        <v>3.1413525757552394E-2</v>
      </c>
      <c r="S193" s="2"/>
      <c r="T193" s="14">
        <f>IFERROR(T186+T187+T188+T189+T190+T191+T192, "NA")</f>
        <v>22795.94</v>
      </c>
      <c r="U193" s="15">
        <f>IFERROR(T193/T444, "NA")</f>
        <v>2.6889661611544029E-2</v>
      </c>
      <c r="V193" s="2"/>
      <c r="W193" s="14">
        <f t="shared" si="50"/>
        <v>-1796.3400000000001</v>
      </c>
      <c r="X193" s="15">
        <f>IFERROR(W193/W444, "NA")</f>
        <v>2.7677678325453779E-2</v>
      </c>
      <c r="Y193" s="2"/>
      <c r="Z193" s="14">
        <f>IFERROR(Z186+Z187+Z188+Z189+Z190+Z191+Z192, "NA")</f>
        <v>24923.37</v>
      </c>
      <c r="AA193" s="15">
        <f>IFERROR(Z193/Z444, "NA")</f>
        <v>3.2926660391013843E-2</v>
      </c>
      <c r="AB193" s="2"/>
      <c r="AC193" s="14">
        <f t="shared" si="51"/>
        <v>331.09000000000015</v>
      </c>
      <c r="AD193" s="15">
        <f>IFERROR(AC193/AC444, "NA")</f>
        <v>1.2773262913016874E-2</v>
      </c>
    </row>
    <row r="194" spans="1:30" ht="16.5" customHeight="1" x14ac:dyDescent="0.45">
      <c r="A194" s="6" t="s">
        <v>178</v>
      </c>
      <c r="B194" s="7">
        <v>224.72</v>
      </c>
      <c r="C194" s="8">
        <f>IFERROR(B194/B444, "NA")</f>
        <v>1.9684644496914638E-3</v>
      </c>
      <c r="D194" s="9"/>
      <c r="E194" s="7">
        <v>239.37</v>
      </c>
      <c r="F194" s="8">
        <f>IFERROR(E194/E444, "NA")</f>
        <v>1.8947891359406917E-3</v>
      </c>
      <c r="G194" s="9"/>
      <c r="H194" s="10">
        <f t="shared" si="48"/>
        <v>14.650000000000006</v>
      </c>
      <c r="I194" s="8">
        <f>IFERROR(H194/H444, "NA")</f>
        <v>-1.2037174739516375E-3</v>
      </c>
      <c r="J194" s="9"/>
      <c r="K194" s="7">
        <v>224.72</v>
      </c>
      <c r="L194" s="8">
        <f>IFERROR(K194/K444, "NA")</f>
        <v>1.9567060501068951E-3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2112.58</v>
      </c>
      <c r="R194" s="8">
        <f>IFERROR(Q194/Q444, "NA")</f>
        <v>2.6985536210912546E-3</v>
      </c>
      <c r="S194" s="9"/>
      <c r="T194" s="7">
        <v>1688.25</v>
      </c>
      <c r="U194" s="8">
        <f>IFERROR(T194/T444, "NA")</f>
        <v>1.9914279128515522E-3</v>
      </c>
      <c r="V194" s="9"/>
      <c r="W194" s="10">
        <f t="shared" si="50"/>
        <v>-424.32999999999993</v>
      </c>
      <c r="X194" s="8">
        <f>IFERROR(W194/W444, "NA")</f>
        <v>6.5379990669025903E-3</v>
      </c>
      <c r="Y194" s="9"/>
      <c r="Z194" s="7">
        <v>1870.9</v>
      </c>
      <c r="AA194" s="8">
        <f>IFERROR(Z194/Z444, "NA")</f>
        <v>2.4716757374924742E-3</v>
      </c>
      <c r="AB194" s="9"/>
      <c r="AC194" s="10">
        <f t="shared" si="51"/>
        <v>-241.67999999999984</v>
      </c>
      <c r="AD194" s="8">
        <f>IFERROR(AC194/AC444, "NA")</f>
        <v>-9.3238762294781327E-3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209.45</v>
      </c>
      <c r="F195" s="8">
        <f>IFERROR(E195/E444, "NA")</f>
        <v>1.6579503886150222E-3</v>
      </c>
      <c r="G195" s="9"/>
      <c r="H195" s="10">
        <f t="shared" si="48"/>
        <v>209.45</v>
      </c>
      <c r="I195" s="8">
        <f>IFERROR(H195/H444, "NA")</f>
        <v>-1.7209462451820503E-2</v>
      </c>
      <c r="J195" s="9"/>
      <c r="K195" s="7">
        <v>149.69</v>
      </c>
      <c r="L195" s="8">
        <f>IFERROR(K195/K444, "NA")</f>
        <v>1.3033967988630346E-3</v>
      </c>
      <c r="M195" s="9"/>
      <c r="N195" s="10">
        <f t="shared" si="49"/>
        <v>149.69</v>
      </c>
      <c r="O195" s="8">
        <f>IFERROR(N195/N444, "NA")</f>
        <v>-0.21820063554998267</v>
      </c>
      <c r="P195" s="9"/>
      <c r="Q195" s="7">
        <v>0</v>
      </c>
      <c r="R195" s="8">
        <f>IFERROR(Q195/Q444, "NA")</f>
        <v>0</v>
      </c>
      <c r="S195" s="9"/>
      <c r="T195" s="7">
        <v>1477.21</v>
      </c>
      <c r="U195" s="8">
        <f>IFERROR(T195/T444, "NA")</f>
        <v>1.7424891024098571E-3</v>
      </c>
      <c r="V195" s="9"/>
      <c r="W195" s="10">
        <f t="shared" si="50"/>
        <v>1477.21</v>
      </c>
      <c r="X195" s="8">
        <f>IFERROR(W195/W444, "NA")</f>
        <v>-2.2760581626609426E-2</v>
      </c>
      <c r="Y195" s="9"/>
      <c r="Z195" s="7">
        <v>1665.57</v>
      </c>
      <c r="AA195" s="8">
        <f>IFERROR(Z195/Z444, "NA")</f>
        <v>2.2004110097254477E-3</v>
      </c>
      <c r="AB195" s="9"/>
      <c r="AC195" s="10">
        <f t="shared" si="51"/>
        <v>1665.57</v>
      </c>
      <c r="AD195" s="8">
        <f>IFERROR(AC195/AC444, "NA")</f>
        <v>6.4256738379393843E-2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35475.71</v>
      </c>
      <c r="C196" s="15">
        <f>IFERROR(B196/B444, "NA")</f>
        <v>0.31075415611678514</v>
      </c>
      <c r="D196" s="2"/>
      <c r="E196" s="14">
        <f>IFERROR(E175+E177+E178+E179+E180+E181+E183+E184+E186+E187+E188+E189+E190+E191+E192+E194+E195, "NA")</f>
        <v>33215.159999999996</v>
      </c>
      <c r="F196" s="15">
        <f>IFERROR(E196/E444, "NA")</f>
        <v>0.26292235583628615</v>
      </c>
      <c r="G196" s="2"/>
      <c r="H196" s="14">
        <f t="shared" si="48"/>
        <v>-2260.5500000000029</v>
      </c>
      <c r="I196" s="15">
        <f>IFERROR(H196/H444, "NA")</f>
        <v>0.1857381253065786</v>
      </c>
      <c r="J196" s="2"/>
      <c r="K196" s="14">
        <f>IFERROR(K175+K177+K178+K179+K180+K181+K183+K184+K186+K187+K188+K189+K190+K191+K192+K194+K195, "NA")</f>
        <v>32104.73</v>
      </c>
      <c r="L196" s="15">
        <f>IFERROR(K196/K444, "NA")</f>
        <v>0.27954574327184201</v>
      </c>
      <c r="M196" s="2"/>
      <c r="N196" s="14">
        <f t="shared" si="49"/>
        <v>-3370.9799999999996</v>
      </c>
      <c r="O196" s="15">
        <f>IFERROR(N196/N444, "NA")</f>
        <v>4.9138217544677696</v>
      </c>
      <c r="P196" s="2"/>
      <c r="Q196" s="14">
        <f>IFERROR(Q175+Q177+Q178+Q179+Q180+Q181+Q183+Q184+Q186+Q187+Q188+Q189+Q190+Q191+Q192+Q194+Q195, "NA")</f>
        <v>242171.53999999998</v>
      </c>
      <c r="R196" s="15">
        <f>IFERROR(Q196/Q444, "NA")</f>
        <v>0.30934349761535446</v>
      </c>
      <c r="S196" s="2"/>
      <c r="T196" s="14">
        <f>IFERROR(T175+T177+T178+T179+T180+T181+T183+T184+T186+T187+T188+T189+T190+T191+T192+T194+T195, "NA")</f>
        <v>236991.66</v>
      </c>
      <c r="U196" s="15">
        <f>IFERROR(T196/T444, "NA")</f>
        <v>0.27955089994788962</v>
      </c>
      <c r="V196" s="2"/>
      <c r="W196" s="14">
        <f t="shared" si="50"/>
        <v>-5179.8799999999756</v>
      </c>
      <c r="X196" s="15">
        <f>IFERROR(W196/W444, "NA")</f>
        <v>7.9810644089899935E-2</v>
      </c>
      <c r="Y196" s="2"/>
      <c r="Z196" s="14">
        <f>IFERROR(Z175+Z177+Z178+Z179+Z180+Z181+Z183+Z184+Z186+Z187+Z188+Z189+Z190+Z191+Z192+Z194+Z195, "NA")</f>
        <v>232568.32000000001</v>
      </c>
      <c r="AA196" s="15">
        <f>IFERROR(Z196/Z444, "NA")</f>
        <v>0.30724970541097102</v>
      </c>
      <c r="AB196" s="2"/>
      <c r="AC196" s="14">
        <f t="shared" si="51"/>
        <v>-9603.2199999999721</v>
      </c>
      <c r="AD196" s="15">
        <f>IFERROR(AC196/AC444, "NA")</f>
        <v>-0.37048673735703735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35475.71</v>
      </c>
      <c r="C197" s="15">
        <f>IFERROR(B197/B444, "NA")</f>
        <v>0.31075415611678514</v>
      </c>
      <c r="D197" s="2"/>
      <c r="E197" s="14">
        <f>IFERROR(E175+E177+E178+E179+E180+E181+E183+E184+E186+E187+E188+E189+E190+E191+E192+E194+E195, "NA")</f>
        <v>33215.159999999996</v>
      </c>
      <c r="F197" s="15">
        <f>IFERROR(E197/E444, "NA")</f>
        <v>0.26292235583628615</v>
      </c>
      <c r="G197" s="2"/>
      <c r="H197" s="14">
        <f t="shared" si="48"/>
        <v>-2260.5500000000029</v>
      </c>
      <c r="I197" s="15">
        <f>IFERROR(H197/H444, "NA")</f>
        <v>0.1857381253065786</v>
      </c>
      <c r="J197" s="2"/>
      <c r="K197" s="14">
        <f>IFERROR(K175+K177+K178+K179+K180+K181+K183+K184+K186+K187+K188+K189+K190+K191+K192+K194+K195, "NA")</f>
        <v>32104.73</v>
      </c>
      <c r="L197" s="15">
        <f>IFERROR(K197/K444, "NA")</f>
        <v>0.27954574327184201</v>
      </c>
      <c r="M197" s="2"/>
      <c r="N197" s="14">
        <f t="shared" si="49"/>
        <v>-3370.9799999999996</v>
      </c>
      <c r="O197" s="15">
        <f>IFERROR(N197/N444, "NA")</f>
        <v>4.9138217544677696</v>
      </c>
      <c r="P197" s="2"/>
      <c r="Q197" s="14">
        <f>IFERROR(Q175+Q177+Q178+Q179+Q180+Q181+Q183+Q184+Q186+Q187+Q188+Q189+Q190+Q191+Q192+Q194+Q195, "NA")</f>
        <v>242171.53999999998</v>
      </c>
      <c r="R197" s="15">
        <f>IFERROR(Q197/Q444, "NA")</f>
        <v>0.30934349761535446</v>
      </c>
      <c r="S197" s="2"/>
      <c r="T197" s="14">
        <f>IFERROR(T175+T177+T178+T179+T180+T181+T183+T184+T186+T187+T188+T189+T190+T191+T192+T194+T195, "NA")</f>
        <v>236991.66</v>
      </c>
      <c r="U197" s="15">
        <f>IFERROR(T197/T444, "NA")</f>
        <v>0.27955089994788962</v>
      </c>
      <c r="V197" s="2"/>
      <c r="W197" s="14">
        <f t="shared" si="50"/>
        <v>-5179.8799999999756</v>
      </c>
      <c r="X197" s="15">
        <f>IFERROR(W197/W444, "NA")</f>
        <v>7.9810644089899935E-2</v>
      </c>
      <c r="Y197" s="2"/>
      <c r="Z197" s="14">
        <f>IFERROR(Z175+Z177+Z178+Z179+Z180+Z181+Z183+Z184+Z186+Z187+Z188+Z189+Z190+Z191+Z192+Z194+Z195, "NA")</f>
        <v>232568.32000000001</v>
      </c>
      <c r="AA197" s="15">
        <f>IFERROR(Z197/Z444, "NA")</f>
        <v>0.30724970541097102</v>
      </c>
      <c r="AB197" s="2"/>
      <c r="AC197" s="14">
        <f t="shared" si="51"/>
        <v>-9603.2199999999721</v>
      </c>
      <c r="AD197" s="15">
        <f>IFERROR(AC197/AC444, "NA")</f>
        <v>-0.37048673735703735</v>
      </c>
    </row>
    <row r="198" spans="1:30" ht="16.5" customHeight="1" x14ac:dyDescent="0.45">
      <c r="A198" s="22" t="s">
        <v>181</v>
      </c>
      <c r="B198" s="23">
        <f>IFERROR(B172-B197, "NA")</f>
        <v>47350.73</v>
      </c>
      <c r="C198" s="24">
        <f>IFERROR(B198/B444, "NA")</f>
        <v>0.414774958490295</v>
      </c>
      <c r="D198" s="25"/>
      <c r="E198" s="23">
        <f>IFERROR(E172-E197, "NA")</f>
        <v>60522.210000000014</v>
      </c>
      <c r="F198" s="24">
        <f>IFERROR(E198/E444, "NA")</f>
        <v>0.47907768722530442</v>
      </c>
      <c r="G198" s="25"/>
      <c r="H198" s="23">
        <f>IFERROR(B198-E198, "NA")</f>
        <v>-13171.48000000001</v>
      </c>
      <c r="I198" s="24">
        <f>IFERROR(H198/H444, "NA")</f>
        <v>1.0822348555497967</v>
      </c>
      <c r="J198" s="25"/>
      <c r="K198" s="23">
        <f>IFERROR(K172-K197, "NA")</f>
        <v>49533.85000000002</v>
      </c>
      <c r="L198" s="24">
        <f>IFERROR(K198/K444, "NA")</f>
        <v>0.43130644348561531</v>
      </c>
      <c r="M198" s="25"/>
      <c r="N198" s="23">
        <f>IFERROR(B198-K198, "NA")</f>
        <v>-2183.1200000000172</v>
      </c>
      <c r="O198" s="24">
        <f>IFERROR(N198/N444, "NA")</f>
        <v>3.1822978921897382</v>
      </c>
      <c r="P198" s="25"/>
      <c r="Q198" s="23">
        <f>IFERROR(Q172-Q197, "NA")</f>
        <v>318473.69000000024</v>
      </c>
      <c r="R198" s="24">
        <f>IFERROR(Q198/Q444, "NA")</f>
        <v>0.406809838856656</v>
      </c>
      <c r="S198" s="25"/>
      <c r="T198" s="23">
        <f>IFERROR(T172-T197, "NA")</f>
        <v>384497.99999999988</v>
      </c>
      <c r="U198" s="24">
        <f>IFERROR(T198/T444, "NA")</f>
        <v>0.45354660129459257</v>
      </c>
      <c r="V198" s="25"/>
      <c r="W198" s="23">
        <f>IFERROR(Q198-T198, "NA")</f>
        <v>-66024.309999999648</v>
      </c>
      <c r="X198" s="24">
        <f>IFERROR(W198/W444, "NA")</f>
        <v>1.017290498368923</v>
      </c>
      <c r="Y198" s="25"/>
      <c r="Z198" s="23">
        <f>IFERROR(Z172-Z197, "NA")</f>
        <v>307801.43</v>
      </c>
      <c r="AA198" s="24">
        <f>IFERROR(Z198/Z444, "NA")</f>
        <v>0.40664136324575773</v>
      </c>
      <c r="AB198" s="25"/>
      <c r="AC198" s="23">
        <f>IFERROR(Q198-Z198, "NA")</f>
        <v>10672.260000000242</v>
      </c>
      <c r="AD198" s="24">
        <f>IFERROR(AC198/AC444, "NA")</f>
        <v>0.41172968937774174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2779.27</v>
      </c>
      <c r="F201" s="8">
        <f>IFERROR(E201/E444, "NA")</f>
        <v>2.1999960737961673E-2</v>
      </c>
      <c r="G201" s="9"/>
      <c r="H201" s="10">
        <f t="shared" ref="H201:H209" si="52">IFERROR(-(B201-E201), "NA")</f>
        <v>2779.27</v>
      </c>
      <c r="I201" s="8">
        <f>IFERROR(H201/H444, "NA")</f>
        <v>-0.22835876203614786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18877.61</v>
      </c>
      <c r="U201" s="8">
        <f>IFERROR(T201/T444, "NA")</f>
        <v>2.2267673319665685E-2</v>
      </c>
      <c r="V201" s="9"/>
      <c r="W201" s="10">
        <f t="shared" ref="W201:W209" si="54">IFERROR(-(Q201-T201), "NA")</f>
        <v>18877.61</v>
      </c>
      <c r="X201" s="8">
        <f>IFERROR(W201/W444, "NA")</f>
        <v>-0.29086276380494197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703.19</v>
      </c>
      <c r="C202" s="8">
        <f>IFERROR(B202/B444, "NA")</f>
        <v>6.159685459142669E-3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-703.19</v>
      </c>
      <c r="I202" s="8">
        <f>IFERROR(H202/H444, "NA")</f>
        <v>5.777761709952571E-2</v>
      </c>
      <c r="J202" s="9"/>
      <c r="K202" s="7">
        <v>606.94000000000005</v>
      </c>
      <c r="L202" s="8">
        <f>IFERROR(K202/K444, "NA")</f>
        <v>5.2848129674789917E-3</v>
      </c>
      <c r="M202" s="9"/>
      <c r="N202" s="10">
        <f t="shared" si="53"/>
        <v>-96.25</v>
      </c>
      <c r="O202" s="8">
        <f>IFERROR(N202/N444, "NA")</f>
        <v>0.14030203201072772</v>
      </c>
      <c r="P202" s="9"/>
      <c r="Q202" s="7">
        <v>6190.75</v>
      </c>
      <c r="R202" s="8">
        <f>IFERROR(Q202/Q444, "NA")</f>
        <v>7.9078997385995733E-3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-6190.75</v>
      </c>
      <c r="X202" s="8">
        <f>IFERROR(W202/W444, "NA")</f>
        <v>9.5385944249586921E-2</v>
      </c>
      <c r="Y202" s="9"/>
      <c r="Z202" s="7">
        <v>7367.84</v>
      </c>
      <c r="AA202" s="8">
        <f>IFERROR(Z202/Z444, "NA")</f>
        <v>9.7337705733746057E-3</v>
      </c>
      <c r="AB202" s="9"/>
      <c r="AC202" s="10">
        <f t="shared" si="55"/>
        <v>1177.0900000000001</v>
      </c>
      <c r="AD202" s="8">
        <f>IFERROR(AC202/AC444, "NA")</f>
        <v>4.5411459247585335E-2</v>
      </c>
    </row>
    <row r="203" spans="1:30" ht="16.5" customHeight="1" x14ac:dyDescent="0.45">
      <c r="A203" s="6" t="s">
        <v>185</v>
      </c>
      <c r="B203" s="7">
        <v>589.32000000000005</v>
      </c>
      <c r="C203" s="8">
        <f>IFERROR(B203/B444, "NA")</f>
        <v>5.1622261903354113E-3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-589.32000000000005</v>
      </c>
      <c r="I203" s="8">
        <f>IFERROR(H203/H444, "NA")</f>
        <v>4.8421486808817665E-2</v>
      </c>
      <c r="J203" s="9"/>
      <c r="K203" s="7">
        <v>662.37</v>
      </c>
      <c r="L203" s="8">
        <f>IFERROR(K203/K444, "NA")</f>
        <v>5.7674589996854044E-3</v>
      </c>
      <c r="M203" s="9"/>
      <c r="N203" s="10">
        <f t="shared" si="53"/>
        <v>73.049999999999955</v>
      </c>
      <c r="O203" s="8">
        <f>IFERROR(N203/N444, "NA")</f>
        <v>-0.10648377598320678</v>
      </c>
      <c r="P203" s="9"/>
      <c r="Q203" s="7">
        <v>7574.11</v>
      </c>
      <c r="R203" s="8">
        <f>IFERROR(Q203/Q444, "NA")</f>
        <v>9.6749670862374352E-3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-7574.11</v>
      </c>
      <c r="X203" s="8">
        <f>IFERROR(W203/W444, "NA")</f>
        <v>0.11670050223320903</v>
      </c>
      <c r="Y203" s="9"/>
      <c r="Z203" s="7">
        <v>7249.66</v>
      </c>
      <c r="AA203" s="8">
        <f>IFERROR(Z203/Z444, "NA")</f>
        <v>9.5776410963010795E-3</v>
      </c>
      <c r="AB203" s="9"/>
      <c r="AC203" s="10">
        <f t="shared" si="55"/>
        <v>-324.44999999999982</v>
      </c>
      <c r="AD203" s="8">
        <f>IFERROR(AC203/AC444, "NA")</f>
        <v>-1.251709550916162E-2</v>
      </c>
    </row>
    <row r="204" spans="1:30" ht="16.5" customHeight="1" x14ac:dyDescent="0.45">
      <c r="A204" s="6" t="s">
        <v>186</v>
      </c>
      <c r="B204" s="7">
        <v>335.12</v>
      </c>
      <c r="C204" s="8">
        <f>IFERROR(B204/B444, "NA")</f>
        <v>2.9355277962824998E-3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-335.12</v>
      </c>
      <c r="I204" s="8">
        <f>IFERROR(H204/H444, "NA")</f>
        <v>2.7535139922912805E-2</v>
      </c>
      <c r="J204" s="9"/>
      <c r="K204" s="7">
        <v>251.76</v>
      </c>
      <c r="L204" s="8">
        <f>IFERROR(K204/K444, "NA")</f>
        <v>2.1921516339218224E-3</v>
      </c>
      <c r="M204" s="9"/>
      <c r="N204" s="10">
        <f t="shared" si="53"/>
        <v>-83.360000000000014</v>
      </c>
      <c r="O204" s="8">
        <f>IFERROR(N204/N444, "NA")</f>
        <v>0.12151249234716119</v>
      </c>
      <c r="P204" s="9"/>
      <c r="Q204" s="7">
        <v>2405.46</v>
      </c>
      <c r="R204" s="8">
        <f>IFERROR(Q204/Q444, "NA")</f>
        <v>3.0726707596352184E-3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-2405.46</v>
      </c>
      <c r="X204" s="8">
        <f>IFERROR(W204/W444, "NA")</f>
        <v>3.7062887930317229E-2</v>
      </c>
      <c r="Y204" s="9"/>
      <c r="Z204" s="7">
        <v>1872.6</v>
      </c>
      <c r="AA204" s="8">
        <f>IFERROR(Z204/Z444, "NA")</f>
        <v>2.4739216345226397E-3</v>
      </c>
      <c r="AB204" s="9"/>
      <c r="AC204" s="10">
        <f t="shared" si="55"/>
        <v>-532.86000000000013</v>
      </c>
      <c r="AD204" s="8">
        <f>IFERROR(AC204/AC444, "NA")</f>
        <v>-2.0557434159383159E-2</v>
      </c>
    </row>
    <row r="205" spans="1:30" ht="16.5" customHeight="1" x14ac:dyDescent="0.45">
      <c r="A205" s="6" t="s">
        <v>187</v>
      </c>
      <c r="B205" s="7">
        <v>495.57</v>
      </c>
      <c r="C205" s="8">
        <f>IFERROR(B205/B444, "NA")</f>
        <v>4.3410107125916638E-3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-495.57</v>
      </c>
      <c r="I205" s="8">
        <f>IFERROR(H205/H444, "NA")</f>
        <v>4.0718516625680053E-2</v>
      </c>
      <c r="J205" s="9"/>
      <c r="K205" s="7">
        <v>467.45</v>
      </c>
      <c r="L205" s="8">
        <f>IFERROR(K205/K444, "NA")</f>
        <v>4.0702307009721789E-3</v>
      </c>
      <c r="M205" s="9"/>
      <c r="N205" s="10">
        <f t="shared" si="53"/>
        <v>-28.120000000000005</v>
      </c>
      <c r="O205" s="8">
        <f>IFERROR(N205/N444, "NA")</f>
        <v>4.0990058598874432E-2</v>
      </c>
      <c r="P205" s="9"/>
      <c r="Q205" s="7">
        <v>3332.37</v>
      </c>
      <c r="R205" s="8">
        <f>IFERROR(Q205/Q444, "NA")</f>
        <v>4.2566809921119504E-3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-3332.37</v>
      </c>
      <c r="X205" s="8">
        <f>IFERROR(W205/W444, "NA")</f>
        <v>5.1344547758994621E-2</v>
      </c>
      <c r="Y205" s="9"/>
      <c r="Z205" s="7">
        <v>4011.24</v>
      </c>
      <c r="AA205" s="8">
        <f>IFERROR(Z205/Z444, "NA")</f>
        <v>5.2993129431072265E-3</v>
      </c>
      <c r="AB205" s="9"/>
      <c r="AC205" s="10">
        <f t="shared" si="55"/>
        <v>678.86999999999989</v>
      </c>
      <c r="AD205" s="8">
        <f>IFERROR(AC205/AC444, "NA")</f>
        <v>2.619041648421807E-2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229.17</v>
      </c>
      <c r="L206" s="8">
        <f>IFERROR(K206/K444, "NA")</f>
        <v>1.9954535666740704E-3</v>
      </c>
      <c r="M206" s="9"/>
      <c r="N206" s="10">
        <f t="shared" si="53"/>
        <v>229.17</v>
      </c>
      <c r="O206" s="8">
        <f>IFERROR(N206/N444, "NA")</f>
        <v>-0.33405731611323086</v>
      </c>
      <c r="P206" s="9"/>
      <c r="Q206" s="7">
        <v>490.44</v>
      </c>
      <c r="R206" s="8">
        <f>IFERROR(Q206/Q444, "NA")</f>
        <v>6.2647503901769157E-4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-490.44</v>
      </c>
      <c r="X206" s="8">
        <f>IFERROR(W206/W444, "NA")</f>
        <v>7.5566098611262629E-3</v>
      </c>
      <c r="Y206" s="9"/>
      <c r="Z206" s="7">
        <v>611.83000000000004</v>
      </c>
      <c r="AA206" s="8">
        <f>IFERROR(Z206/Z444, "NA")</f>
        <v>8.0829834115667349E-4</v>
      </c>
      <c r="AB206" s="9"/>
      <c r="AC206" s="10">
        <f t="shared" si="55"/>
        <v>121.39000000000004</v>
      </c>
      <c r="AD206" s="8">
        <f>IFERROR(AC206/AC444, "NA")</f>
        <v>4.6831568002993693E-3</v>
      </c>
    </row>
    <row r="207" spans="1:30" ht="16.5" customHeight="1" x14ac:dyDescent="0.45">
      <c r="A207" s="6" t="s">
        <v>189</v>
      </c>
      <c r="B207" s="7">
        <v>84.71</v>
      </c>
      <c r="C207" s="8">
        <f>IFERROR(B207/B444, "NA")</f>
        <v>7.4202840660984285E-4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-84.71</v>
      </c>
      <c r="I207" s="8">
        <f>IFERROR(H207/H444, "NA")</f>
        <v>6.9601984449449254E-3</v>
      </c>
      <c r="J207" s="9"/>
      <c r="K207" s="7">
        <v>266.12</v>
      </c>
      <c r="L207" s="8">
        <f>IFERROR(K207/K444, "NA")</f>
        <v>2.3171885637880336E-3</v>
      </c>
      <c r="M207" s="9"/>
      <c r="N207" s="10">
        <f t="shared" si="53"/>
        <v>181.41000000000003</v>
      </c>
      <c r="O207" s="8">
        <f>IFERROR(N207/N444, "NA")</f>
        <v>-0.26443835456692072</v>
      </c>
      <c r="P207" s="9"/>
      <c r="Q207" s="7">
        <v>847.68</v>
      </c>
      <c r="R207" s="8">
        <f>IFERROR(Q207/Q444, "NA")</f>
        <v>1.082803933354777E-3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-847.68</v>
      </c>
      <c r="X207" s="8">
        <f>IFERROR(W207/W444, "NA")</f>
        <v>1.3060898472962055E-2</v>
      </c>
      <c r="Y207" s="9"/>
      <c r="Z207" s="7">
        <v>574.41999999999996</v>
      </c>
      <c r="AA207" s="8">
        <f>IFERROR(Z207/Z444, "NA")</f>
        <v>7.5887539533402474E-4</v>
      </c>
      <c r="AB207" s="9"/>
      <c r="AC207" s="10">
        <f t="shared" si="55"/>
        <v>-273.26</v>
      </c>
      <c r="AD207" s="8">
        <f>IFERROR(AC207/AC444, "NA")</f>
        <v>-1.0542214574922194E-2</v>
      </c>
    </row>
    <row r="208" spans="1:30" ht="16.5" customHeight="1" x14ac:dyDescent="0.45">
      <c r="A208" s="6" t="s">
        <v>190</v>
      </c>
      <c r="B208" s="7">
        <v>125.68</v>
      </c>
      <c r="C208" s="8">
        <f>IFERROR(B208/B444, "NA")</f>
        <v>1.1009105199235635E-3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-125.68</v>
      </c>
      <c r="I208" s="8">
        <f>IFERROR(H208/H444, "NA")</f>
        <v>1.0326499121245171E-2</v>
      </c>
      <c r="J208" s="9"/>
      <c r="K208" s="7">
        <v>19.7</v>
      </c>
      <c r="L208" s="8">
        <f>IFERROR(K208/K444, "NA")</f>
        <v>1.7153394974682196E-4</v>
      </c>
      <c r="M208" s="9"/>
      <c r="N208" s="10">
        <f t="shared" si="53"/>
        <v>-105.98</v>
      </c>
      <c r="O208" s="8">
        <f>IFERROR(N208/N444, "NA")</f>
        <v>0.15448529197399402</v>
      </c>
      <c r="P208" s="9"/>
      <c r="Q208" s="7">
        <v>1559.81</v>
      </c>
      <c r="R208" s="8">
        <f>IFERROR(Q208/Q444, "NA")</f>
        <v>1.9924598944013245E-3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-1559.81</v>
      </c>
      <c r="X208" s="8">
        <f>IFERROR(W208/W444, "NA")</f>
        <v>2.4033267326244504E-2</v>
      </c>
      <c r="Y208" s="9"/>
      <c r="Z208" s="7">
        <v>928.94</v>
      </c>
      <c r="AA208" s="8">
        <f>IFERROR(Z208/Z444, "NA")</f>
        <v>1.227237404236602E-3</v>
      </c>
      <c r="AB208" s="9"/>
      <c r="AC208" s="10">
        <f t="shared" si="55"/>
        <v>-630.86999999999989</v>
      </c>
      <c r="AD208" s="8">
        <f>IFERROR(AC208/AC444, "NA")</f>
        <v>-2.4338603926228369E-2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2333.59</v>
      </c>
      <c r="C209" s="15">
        <f>IFERROR(B209/B444, "NA")</f>
        <v>2.0441389084885651E-2</v>
      </c>
      <c r="D209" s="2"/>
      <c r="E209" s="14">
        <f>IFERROR(E201+E202+E203+E204+E205+E206+E207+E208, "NA")</f>
        <v>2779.27</v>
      </c>
      <c r="F209" s="15">
        <f>IFERROR(E209/E444, "NA")</f>
        <v>2.1999960737961673E-2</v>
      </c>
      <c r="G209" s="2"/>
      <c r="H209" s="14">
        <f t="shared" si="52"/>
        <v>445.67999999999984</v>
      </c>
      <c r="I209" s="15">
        <f>IFERROR(H209/H444, "NA")</f>
        <v>-3.6619304013021527E-2</v>
      </c>
      <c r="J209" s="2"/>
      <c r="K209" s="14">
        <f>IFERROR(K201+K202+K203+K204+K205+K206+K207+K208, "NA")</f>
        <v>2503.5099999999998</v>
      </c>
      <c r="L209" s="15">
        <f>IFERROR(K209/K444, "NA")</f>
        <v>2.1798830382267324E-2</v>
      </c>
      <c r="M209" s="2"/>
      <c r="N209" s="14">
        <f t="shared" si="53"/>
        <v>169.91999999999962</v>
      </c>
      <c r="O209" s="15">
        <f>IFERROR(N209/N444, "NA")</f>
        <v>-0.24768957173260053</v>
      </c>
      <c r="P209" s="2"/>
      <c r="Q209" s="14">
        <f>IFERROR(Q201+Q202+Q203+Q204+Q205+Q206+Q207+Q208, "NA")</f>
        <v>22400.62</v>
      </c>
      <c r="R209" s="15">
        <f>IFERROR(Q209/Q444, "NA")</f>
        <v>2.8613957443357971E-2</v>
      </c>
      <c r="S209" s="2"/>
      <c r="T209" s="14">
        <f>IFERROR(T201+T202+T203+T204+T205+T206+T207+T208, "NA")</f>
        <v>18877.61</v>
      </c>
      <c r="U209" s="15">
        <f>IFERROR(T209/T444, "NA")</f>
        <v>2.2267673319665685E-2</v>
      </c>
      <c r="V209" s="2"/>
      <c r="W209" s="14">
        <f t="shared" si="54"/>
        <v>-3523.0099999999984</v>
      </c>
      <c r="X209" s="15">
        <f>IFERROR(W209/W444, "NA")</f>
        <v>5.4281894027498619E-2</v>
      </c>
      <c r="Y209" s="2"/>
      <c r="Z209" s="14">
        <f>IFERROR(Z201+Z202+Z203+Z204+Z205+Z206+Z207+Z208, "NA")</f>
        <v>22616.529999999995</v>
      </c>
      <c r="AA209" s="15">
        <f>IFERROR(Z209/Z444, "NA")</f>
        <v>2.9879057388032846E-2</v>
      </c>
      <c r="AB209" s="2"/>
      <c r="AC209" s="14">
        <f t="shared" si="55"/>
        <v>215.90999999999622</v>
      </c>
      <c r="AD209" s="15">
        <f>IFERROR(AC209/AC444, "NA")</f>
        <v>8.329684362407273E-3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4320.2299999999996</v>
      </c>
      <c r="F213" s="8">
        <f>IFERROR(E213/E444, "NA")</f>
        <v>3.4197789483916337E-2</v>
      </c>
      <c r="G213" s="9"/>
      <c r="H213" s="10">
        <f t="shared" ref="H213:H227" si="56">IFERROR(-(B213-E213), "NA")</f>
        <v>4320.2299999999996</v>
      </c>
      <c r="I213" s="8">
        <f>IFERROR(H213/H444, "NA")</f>
        <v>-0.35497176399249697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28474.11</v>
      </c>
      <c r="U213" s="8">
        <f>IFERROR(T213/T444, "NA")</f>
        <v>3.3587524032344447E-2</v>
      </c>
      <c r="V213" s="9"/>
      <c r="W213" s="10">
        <f t="shared" ref="W213:W227" si="58">IFERROR(-(Q213-T213), "NA")</f>
        <v>28474.11</v>
      </c>
      <c r="X213" s="8">
        <f>IFERROR(W213/W444, "NA")</f>
        <v>-0.43872388143869573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650.65</v>
      </c>
      <c r="C214" s="8">
        <f>IFERROR(B214/B444, "NA")</f>
        <v>5.6994544063356661E-3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-650.65</v>
      </c>
      <c r="I214" s="8">
        <f>IFERROR(H214/H444, "NA")</f>
        <v>5.346066719635717E-2</v>
      </c>
      <c r="J214" s="9"/>
      <c r="K214" s="7">
        <v>1112.1199999999999</v>
      </c>
      <c r="L214" s="8">
        <f>IFERROR(K214/K444, "NA")</f>
        <v>9.6835703650982562E-3</v>
      </c>
      <c r="M214" s="9"/>
      <c r="N214" s="10">
        <f t="shared" si="57"/>
        <v>461.46999999999991</v>
      </c>
      <c r="O214" s="8">
        <f>IFERROR(N214/N444, "NA")</f>
        <v>-0.67267718142327804</v>
      </c>
      <c r="P214" s="9"/>
      <c r="Q214" s="7">
        <v>9370.68</v>
      </c>
      <c r="R214" s="8">
        <f>IFERROR(Q214/Q444, "NA")</f>
        <v>1.1969857920688163E-2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-9370.68</v>
      </c>
      <c r="X214" s="8">
        <f>IFERROR(W214/W444, "NA")</f>
        <v>0.14438172435661578</v>
      </c>
      <c r="Y214" s="9"/>
      <c r="Z214" s="7">
        <v>3816.66</v>
      </c>
      <c r="AA214" s="8">
        <f>IFERROR(Z214/Z444, "NA")</f>
        <v>5.0422502112662491E-3</v>
      </c>
      <c r="AB214" s="9"/>
      <c r="AC214" s="10">
        <f t="shared" si="59"/>
        <v>-5554.02</v>
      </c>
      <c r="AD214" s="8">
        <f>IFERROR(AC214/AC444, "NA")</f>
        <v>-0.21427091631929068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161.99</v>
      </c>
      <c r="L216" s="8">
        <f>IFERROR(K216/K444, "NA")</f>
        <v>1.4104966761161266E-3</v>
      </c>
      <c r="M216" s="9"/>
      <c r="N216" s="10">
        <f t="shared" si="57"/>
        <v>161.99</v>
      </c>
      <c r="O216" s="8">
        <f>IFERROR(N216/N444, "NA")</f>
        <v>-0.2361301419783666</v>
      </c>
      <c r="P216" s="9"/>
      <c r="Q216" s="7">
        <v>61.09</v>
      </c>
      <c r="R216" s="8">
        <f>IFERROR(Q216/Q444, "NA")</f>
        <v>7.8034744583620392E-5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9.4126355194560686E-4</v>
      </c>
      <c r="Y216" s="9"/>
      <c r="Z216" s="7">
        <v>189.79</v>
      </c>
      <c r="AA216" s="8">
        <f>IFERROR(Z216/Z444, "NA")</f>
        <v>2.5073458667951071E-4</v>
      </c>
      <c r="AB216" s="9"/>
      <c r="AC216" s="10">
        <f t="shared" si="59"/>
        <v>128.69999999999999</v>
      </c>
      <c r="AD216" s="8">
        <f>IFERROR(AC216/AC444, "NA")</f>
        <v>4.9651724211098825E-3</v>
      </c>
    </row>
    <row r="217" spans="1:30" ht="16.5" customHeight="1" x14ac:dyDescent="0.45">
      <c r="A217" s="12" t="s">
        <v>197</v>
      </c>
      <c r="B217" s="7">
        <v>575.15</v>
      </c>
      <c r="C217" s="8">
        <f>IFERROR(B217/B444, "NA")</f>
        <v>5.038102208259369E-3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-575.15</v>
      </c>
      <c r="I217" s="8">
        <f>IFERROR(H217/H444, "NA")</f>
        <v>4.7257208542203687E-2</v>
      </c>
      <c r="J217" s="9"/>
      <c r="K217" s="7">
        <v>13871.65</v>
      </c>
      <c r="L217" s="8">
        <f>IFERROR(K217/K444, "NA")</f>
        <v>0.12078471644697984</v>
      </c>
      <c r="M217" s="9"/>
      <c r="N217" s="10">
        <f t="shared" si="57"/>
        <v>13296.5</v>
      </c>
      <c r="O217" s="8">
        <f>IFERROR(N217/N444, "NA")</f>
        <v>-19.382087985772895</v>
      </c>
      <c r="P217" s="9"/>
      <c r="Q217" s="7">
        <v>14508.31</v>
      </c>
      <c r="R217" s="8">
        <f>IFERROR(Q217/Q444, "NA")</f>
        <v>1.853253012260575E-2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-14508.31</v>
      </c>
      <c r="X217" s="8">
        <f>IFERROR(W217/W444, "NA")</f>
        <v>0.22354138817037103</v>
      </c>
      <c r="Y217" s="9"/>
      <c r="Z217" s="7">
        <v>19110.34</v>
      </c>
      <c r="AA217" s="8">
        <f>IFERROR(Z217/Z444, "NA")</f>
        <v>2.5246974030269882E-2</v>
      </c>
      <c r="AB217" s="9"/>
      <c r="AC217" s="10">
        <f t="shared" si="59"/>
        <v>4602.0300000000007</v>
      </c>
      <c r="AD217" s="8">
        <f>IFERROR(AC217/AC444, "NA")</f>
        <v>0.17754368638011123</v>
      </c>
    </row>
    <row r="218" spans="1:30" ht="16.5" customHeight="1" x14ac:dyDescent="0.45">
      <c r="A218" s="13" t="s">
        <v>198</v>
      </c>
      <c r="B218" s="14">
        <f>IFERROR(B213+B214+B215+B216+B217, "NA")</f>
        <v>1225.8</v>
      </c>
      <c r="C218" s="15">
        <f>IFERROR(B218/B444, "NA")</f>
        <v>1.0737556614595035E-2</v>
      </c>
      <c r="D218" s="2"/>
      <c r="E218" s="14">
        <f>IFERROR(E213+E214+E215+E216+E217, "NA")</f>
        <v>4320.2299999999996</v>
      </c>
      <c r="F218" s="15">
        <f>IFERROR(E218/E444, "NA")</f>
        <v>3.4197789483916337E-2</v>
      </c>
      <c r="G218" s="2"/>
      <c r="H218" s="14">
        <f t="shared" si="56"/>
        <v>3094.4299999999994</v>
      </c>
      <c r="I218" s="15">
        <f>IFERROR(H218/H444, "NA")</f>
        <v>-0.25425388825393608</v>
      </c>
      <c r="J218" s="2"/>
      <c r="K218" s="14">
        <f>IFERROR(K213+K214+K215+K216+K217, "NA")</f>
        <v>15145.76</v>
      </c>
      <c r="L218" s="15">
        <f>IFERROR(K218/K444, "NA")</f>
        <v>0.13187878348819423</v>
      </c>
      <c r="M218" s="2"/>
      <c r="N218" s="14">
        <f t="shared" si="57"/>
        <v>13919.960000000001</v>
      </c>
      <c r="O218" s="15">
        <f>IFERROR(N218/N444, "NA")</f>
        <v>-20.290895309174541</v>
      </c>
      <c r="P218" s="2"/>
      <c r="Q218" s="14">
        <f>IFERROR(Q213+Q214+Q215+Q216+Q217, "NA")</f>
        <v>23940.080000000002</v>
      </c>
      <c r="R218" s="15">
        <f>IFERROR(Q218/Q444, "NA")</f>
        <v>3.0580422787877537E-2</v>
      </c>
      <c r="S218" s="2"/>
      <c r="T218" s="14">
        <f>IFERROR(T213+T214+T215+T216+T217, "NA")</f>
        <v>28474.11</v>
      </c>
      <c r="U218" s="15">
        <f>IFERROR(T218/T444, "NA")</f>
        <v>3.3587524032344447E-2</v>
      </c>
      <c r="V218" s="2"/>
      <c r="W218" s="14">
        <f t="shared" si="58"/>
        <v>4534.0299999999988</v>
      </c>
      <c r="X218" s="15">
        <f>IFERROR(W218/W444, "NA")</f>
        <v>-6.9859505359763277E-2</v>
      </c>
      <c r="Y218" s="2"/>
      <c r="Z218" s="14">
        <f>IFERROR(Z213+Z214+Z215+Z216+Z217, "NA")</f>
        <v>23116.79</v>
      </c>
      <c r="AA218" s="15">
        <f>IFERROR(Z218/Z444, "NA")</f>
        <v>3.0539958828215644E-2</v>
      </c>
      <c r="AB218" s="2"/>
      <c r="AC218" s="14">
        <f t="shared" si="59"/>
        <v>-823.29000000000087</v>
      </c>
      <c r="AD218" s="15">
        <f>IFERROR(AC218/AC444, "NA")</f>
        <v>-3.1762057518069618E-2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237.61</v>
      </c>
      <c r="C222" s="8">
        <f>IFERROR(B222/B444, "NA")</f>
        <v>2.0813761031113773E-3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-237.61</v>
      </c>
      <c r="I222" s="8">
        <f>IFERROR(H222/H444, "NA")</f>
        <v>1.9523229282296824E-2</v>
      </c>
      <c r="J222" s="9"/>
      <c r="K222" s="7">
        <v>170.04</v>
      </c>
      <c r="L222" s="8">
        <f>IFERROR(K222/K444, "NA")</f>
        <v>1.4805904982207923E-3</v>
      </c>
      <c r="M222" s="9"/>
      <c r="N222" s="10">
        <f t="shared" si="57"/>
        <v>-67.570000000000022</v>
      </c>
      <c r="O222" s="8">
        <f>IFERROR(N222/N444, "NA")</f>
        <v>9.8495670680154537E-2</v>
      </c>
      <c r="P222" s="9"/>
      <c r="Q222" s="7">
        <v>1526.73</v>
      </c>
      <c r="R222" s="8">
        <f>IFERROR(Q222/Q444, "NA")</f>
        <v>1.9502043803920567E-3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-1526.73</v>
      </c>
      <c r="X222" s="8">
        <f>IFERROR(W222/W444, "NA")</f>
        <v>2.3523576733702999E-2</v>
      </c>
      <c r="Y222" s="9"/>
      <c r="Z222" s="7">
        <v>670.04</v>
      </c>
      <c r="AA222" s="8">
        <f>IFERROR(Z222/Z444, "NA")</f>
        <v>8.8520049770135078E-4</v>
      </c>
      <c r="AB222" s="9"/>
      <c r="AC222" s="10">
        <f t="shared" si="59"/>
        <v>-856.69</v>
      </c>
      <c r="AD222" s="8">
        <f>IFERROR(AC222/AC444, "NA")</f>
        <v>-3.3050610423004084E-2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126.33</v>
      </c>
      <c r="F226" s="8">
        <f>IFERROR(E226/E444, "NA")</f>
        <v>9.9999461730119728E-4</v>
      </c>
      <c r="G226" s="9"/>
      <c r="H226" s="10">
        <f t="shared" si="56"/>
        <v>126.33</v>
      </c>
      <c r="I226" s="8">
        <f>IFERROR(H226/H444, "NA")</f>
        <v>-1.0379906381181591E-2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847.76</v>
      </c>
      <c r="U226" s="8">
        <f>IFERROR(T226/T444, "NA")</f>
        <v>1.000001733984322E-3</v>
      </c>
      <c r="V226" s="9"/>
      <c r="W226" s="10">
        <f t="shared" si="58"/>
        <v>847.76</v>
      </c>
      <c r="X226" s="8">
        <f>IFERROR(W226/W444, "NA")</f>
        <v>-1.3062131098337005E-2</v>
      </c>
      <c r="Y226" s="9"/>
      <c r="Z226" s="7">
        <v>1554.17</v>
      </c>
      <c r="AA226" s="8">
        <f>IFERROR(Z226/Z444, "NA")</f>
        <v>2.0532386984545826E-3</v>
      </c>
      <c r="AB226" s="9"/>
      <c r="AC226" s="10">
        <f t="shared" si="59"/>
        <v>1554.17</v>
      </c>
      <c r="AD226" s="8">
        <f>IFERROR(AC226/AC444, "NA")</f>
        <v>5.9958990067726078E-2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1463.4099999999999</v>
      </c>
      <c r="C227" s="15">
        <f>IFERROR(B227/B444, "NA")</f>
        <v>1.2818932717706412E-2</v>
      </c>
      <c r="D227" s="2"/>
      <c r="E227" s="14">
        <f>IFERROR(E211+E213+E214+E215+E216+E217+E219+E220+E221+E222+E223+E224+E225+E226, "NA")</f>
        <v>4446.5599999999995</v>
      </c>
      <c r="F227" s="15">
        <f>IFERROR(E227/E444, "NA")</f>
        <v>3.519778410121753E-2</v>
      </c>
      <c r="G227" s="2"/>
      <c r="H227" s="14">
        <f t="shared" si="56"/>
        <v>2983.1499999999996</v>
      </c>
      <c r="I227" s="15">
        <f>IFERROR(H227/H444, "NA")</f>
        <v>-0.24511056535282086</v>
      </c>
      <c r="J227" s="2"/>
      <c r="K227" s="14">
        <f>IFERROR(K211+K213+K214+K215+K216+K217+K219+K220+K221+K222+K223+K224+K225+K226, "NA")</f>
        <v>15315.800000000001</v>
      </c>
      <c r="L227" s="15">
        <f>IFERROR(K227/K444, "NA")</f>
        <v>0.13335937398641504</v>
      </c>
      <c r="M227" s="2"/>
      <c r="N227" s="14">
        <f t="shared" si="57"/>
        <v>13852.390000000001</v>
      </c>
      <c r="O227" s="15">
        <f>IFERROR(N227/N444, "NA")</f>
        <v>-20.192399638494386</v>
      </c>
      <c r="P227" s="2"/>
      <c r="Q227" s="14">
        <f>IFERROR(Q211+Q213+Q214+Q215+Q216+Q217+Q219+Q220+Q221+Q222+Q223+Q224+Q225+Q226, "NA")</f>
        <v>25466.81</v>
      </c>
      <c r="R227" s="15">
        <f>IFERROR(Q227/Q444, "NA")</f>
        <v>3.2530627168269592E-2</v>
      </c>
      <c r="S227" s="2"/>
      <c r="T227" s="14">
        <f>IFERROR(T211+T213+T214+T215+T216+T217+T219+T220+T221+T222+T223+T224+T225+T226, "NA")</f>
        <v>29321.87</v>
      </c>
      <c r="U227" s="15">
        <f>IFERROR(T227/T444, "NA")</f>
        <v>3.4587525766328765E-2</v>
      </c>
      <c r="V227" s="2"/>
      <c r="W227" s="14">
        <f t="shared" si="58"/>
        <v>3855.0599999999977</v>
      </c>
      <c r="X227" s="15">
        <f>IFERROR(W227/W444, "NA")</f>
        <v>-5.9398059724397261E-2</v>
      </c>
      <c r="Y227" s="2"/>
      <c r="Z227" s="14">
        <f>IFERROR(Z211+Z213+Z214+Z215+Z216+Z217+Z219+Z220+Z221+Z222+Z223+Z224+Z225+Z226, "NA")</f>
        <v>25341</v>
      </c>
      <c r="AA227" s="15">
        <f>IFERROR(Z227/Z444, "NA")</f>
        <v>3.3478398024371574E-2</v>
      </c>
      <c r="AB227" s="2"/>
      <c r="AC227" s="14">
        <f t="shared" si="59"/>
        <v>-125.81000000000131</v>
      </c>
      <c r="AD227" s="15">
        <f>IFERROR(AC227/AC444, "NA")</f>
        <v>-4.8536778733476371E-3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1034.6500000000001</v>
      </c>
      <c r="F229" s="8">
        <f>IFERROR(E229/E444, "NA")</f>
        <v>8.1900137005516006E-3</v>
      </c>
      <c r="G229" s="9"/>
      <c r="H229" s="10">
        <f t="shared" ref="H229:H236" si="60">IFERROR(-(B229-E229), "NA")</f>
        <v>1034.6500000000001</v>
      </c>
      <c r="I229" s="8">
        <f>IFERROR(H229/H444, "NA")</f>
        <v>-8.5012033066488829E-2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6943.15</v>
      </c>
      <c r="U229" s="8">
        <f>IFERROR(T229/T444, "NA")</f>
        <v>8.1900090111744431E-3</v>
      </c>
      <c r="V229" s="9"/>
      <c r="W229" s="10">
        <f t="shared" ref="W229:W236" si="62">IFERROR(-(Q229-T229), "NA")</f>
        <v>6943.15</v>
      </c>
      <c r="X229" s="8">
        <f>IFERROR(W229/W444, "NA")</f>
        <v>-0.10697878590098443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1.0723550184637308E-4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1.2934862528373497E-3</v>
      </c>
      <c r="Y230" s="9"/>
      <c r="Z230" s="7">
        <v>730</v>
      </c>
      <c r="AA230" s="8">
        <f>IFERROR(Z230/Z444, "NA")</f>
        <v>9.6441460707119889E-4</v>
      </c>
      <c r="AB230" s="9"/>
      <c r="AC230" s="10">
        <f t="shared" si="63"/>
        <v>646.04999999999995</v>
      </c>
      <c r="AD230" s="8">
        <f>IFERROR(AC230/AC444, "NA")</f>
        <v>2.4924239647692616E-2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198.86</v>
      </c>
      <c r="L231" s="8">
        <f>IFERROR(K231/K444, "NA")</f>
        <v>1.7315350886625898E-3</v>
      </c>
      <c r="M231" s="9"/>
      <c r="N231" s="10">
        <f t="shared" si="61"/>
        <v>198.86</v>
      </c>
      <c r="O231" s="8">
        <f>IFERROR(N231/N444, "NA")</f>
        <v>-0.28987493076003445</v>
      </c>
      <c r="P231" s="9"/>
      <c r="Q231" s="7">
        <v>888.05</v>
      </c>
      <c r="R231" s="8">
        <f>IFERROR(Q231/Q444, "NA")</f>
        <v>1.1343714998769696E-3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-888.05</v>
      </c>
      <c r="X231" s="8">
        <f>IFERROR(W231/W444, "NA")</f>
        <v>1.368291205279581E-2</v>
      </c>
      <c r="Y231" s="9"/>
      <c r="Z231" s="7">
        <v>1966.57</v>
      </c>
      <c r="AA231" s="8">
        <f>IFERROR(Z231/Z444, "NA")</f>
        <v>2.5980668956548047E-3</v>
      </c>
      <c r="AB231" s="9"/>
      <c r="AC231" s="10">
        <f t="shared" si="63"/>
        <v>1078.52</v>
      </c>
      <c r="AD231" s="8">
        <f>IFERROR(AC231/AC444, "NA")</f>
        <v>4.1608685000896893E-2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2.2458970301658056E-5</v>
      </c>
      <c r="AB233" s="9"/>
      <c r="AC233" s="10">
        <f t="shared" si="63"/>
        <v>17</v>
      </c>
      <c r="AD233" s="8">
        <f>IFERROR(AC233/AC444, "NA")</f>
        <v>6.5585028095468533E-4</v>
      </c>
    </row>
    <row r="234" spans="1:30" ht="16.5" customHeight="1" x14ac:dyDescent="0.45">
      <c r="A234" s="6" t="s">
        <v>213</v>
      </c>
      <c r="B234" s="7">
        <v>471.29</v>
      </c>
      <c r="C234" s="8">
        <f>IFERROR(B234/B444, "NA")</f>
        <v>4.1283268533957368E-3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-471.29</v>
      </c>
      <c r="I234" s="8">
        <f>IFERROR(H234/H444, "NA")</f>
        <v>3.8723550054516519E-2</v>
      </c>
      <c r="J234" s="9"/>
      <c r="K234" s="7">
        <v>699.47</v>
      </c>
      <c r="L234" s="8">
        <f>IFERROR(K234/K444, "NA")</f>
        <v>6.09050009286343E-3</v>
      </c>
      <c r="M234" s="9"/>
      <c r="N234" s="10">
        <f t="shared" si="61"/>
        <v>228.18</v>
      </c>
      <c r="O234" s="8">
        <f>IFERROR(N234/N444, "NA")</f>
        <v>-0.33261420949826337</v>
      </c>
      <c r="P234" s="9"/>
      <c r="Q234" s="7">
        <v>4888.74</v>
      </c>
      <c r="R234" s="8">
        <f>IFERROR(Q234/Q444, "NA")</f>
        <v>6.2447467218158179E-3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-4888.74</v>
      </c>
      <c r="X234" s="8">
        <f>IFERROR(W234/W444, "NA")</f>
        <v>7.5324812194116311E-2</v>
      </c>
      <c r="Y234" s="9"/>
      <c r="Z234" s="7">
        <v>5701.74</v>
      </c>
      <c r="AA234" s="8">
        <f>IFERROR(Z234/Z444, "NA")</f>
        <v>7.5326593722221061E-3</v>
      </c>
      <c r="AB234" s="9"/>
      <c r="AC234" s="10">
        <f t="shared" si="63"/>
        <v>813</v>
      </c>
      <c r="AD234" s="8">
        <f>IFERROR(AC234/AC444, "NA")</f>
        <v>3.136507520095054E-2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471.29</v>
      </c>
      <c r="C236" s="15">
        <f>IFERROR(B236/B444, "NA")</f>
        <v>4.1283268533957368E-3</v>
      </c>
      <c r="D236" s="2"/>
      <c r="E236" s="14">
        <f>IFERROR(E229+E230+E231+E232+E233+E234+E235, "NA")</f>
        <v>1034.6500000000001</v>
      </c>
      <c r="F236" s="15">
        <f>IFERROR(E236/E444, "NA")</f>
        <v>8.1900137005516006E-3</v>
      </c>
      <c r="G236" s="2"/>
      <c r="H236" s="14">
        <f t="shared" si="60"/>
        <v>563.36000000000013</v>
      </c>
      <c r="I236" s="15">
        <f>IFERROR(H236/H444, "NA")</f>
        <v>-4.628848301197231E-2</v>
      </c>
      <c r="J236" s="2"/>
      <c r="K236" s="14">
        <f>IFERROR(K229+K230+K231+K232+K233+K234+K235, "NA")</f>
        <v>898.33</v>
      </c>
      <c r="L236" s="15">
        <f>IFERROR(K236/K444, "NA")</f>
        <v>7.8220351815260197E-3</v>
      </c>
      <c r="M236" s="2"/>
      <c r="N236" s="14">
        <f t="shared" si="61"/>
        <v>427.04</v>
      </c>
      <c r="O236" s="15">
        <f>IFERROR(N236/N444, "NA")</f>
        <v>-0.62248914025829782</v>
      </c>
      <c r="P236" s="2"/>
      <c r="Q236" s="14">
        <f>IFERROR(Q229+Q230+Q231+Q232+Q233+Q234+Q235, "NA")</f>
        <v>5860.74</v>
      </c>
      <c r="R236" s="15">
        <f>IFERROR(Q236/Q444, "NA")</f>
        <v>7.4863537235391603E-3</v>
      </c>
      <c r="S236" s="2"/>
      <c r="T236" s="14">
        <f>IFERROR(T229+T230+T231+T232+T233+T234+T235, "NA")</f>
        <v>6943.15</v>
      </c>
      <c r="U236" s="15">
        <f>IFERROR(T236/T444, "NA")</f>
        <v>8.1900090111744431E-3</v>
      </c>
      <c r="V236" s="2"/>
      <c r="W236" s="14">
        <f t="shared" si="62"/>
        <v>1082.4099999999999</v>
      </c>
      <c r="X236" s="15">
        <f>IFERROR(W236/W444, "NA")</f>
        <v>-1.6677575401234965E-2</v>
      </c>
      <c r="Y236" s="2"/>
      <c r="Z236" s="14">
        <f>IFERROR(Z229+Z230+Z231+Z232+Z233+Z234+Z235, "NA")</f>
        <v>8415.31</v>
      </c>
      <c r="AA236" s="15">
        <f>IFERROR(Z236/Z444, "NA")</f>
        <v>1.1117599845249768E-2</v>
      </c>
      <c r="AB236" s="2"/>
      <c r="AC236" s="14">
        <f t="shared" si="63"/>
        <v>2554.5699999999997</v>
      </c>
      <c r="AD236" s="15">
        <f>IFERROR(AC236/AC444, "NA")</f>
        <v>9.8553850130494725E-2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6323.61</v>
      </c>
      <c r="F240" s="8">
        <f>IFERROR(E240/E444, "NA")</f>
        <v>5.0056011730483838E-2</v>
      </c>
      <c r="G240" s="9"/>
      <c r="H240" s="10">
        <f t="shared" ref="H240:H263" si="64">IFERROR(-(B240-E240), "NA")</f>
        <v>6323.61</v>
      </c>
      <c r="I240" s="8">
        <f>IFERROR(H240/H444, "NA")</f>
        <v>-0.51957951231776867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42573.5</v>
      </c>
      <c r="U240" s="8">
        <f>IFERROR(T240/T444, "NA")</f>
        <v>5.0218899006536685E-2</v>
      </c>
      <c r="V240" s="9"/>
      <c r="W240" s="10">
        <f t="shared" ref="W240:W263" si="66">IFERROR(-(Q240-T240), "NA")</f>
        <v>42573.5</v>
      </c>
      <c r="X240" s="8">
        <f>IFERROR(W240/W444, "NA")</f>
        <v>-0.6559647050050138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93.24</v>
      </c>
      <c r="C241" s="8">
        <f>IFERROR(B241/B444, "NA")</f>
        <v>8.1674806554482061E-4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-93.24</v>
      </c>
      <c r="I241" s="8">
        <f>IFERROR(H241/H444, "NA")</f>
        <v>7.6610660253413395E-3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-93.24</v>
      </c>
      <c r="O241" s="8">
        <f>IFERROR(N241/N444, "NA")</f>
        <v>0.13591440482784678</v>
      </c>
      <c r="P241" s="9"/>
      <c r="Q241" s="7">
        <v>1069.42</v>
      </c>
      <c r="R241" s="8">
        <f>IFERROR(Q241/Q444, "NA")</f>
        <v>1.3660487240565612E-3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-1069.42</v>
      </c>
      <c r="X241" s="8">
        <f>IFERROR(W241/W444, "NA")</f>
        <v>1.6477427855977587E-2</v>
      </c>
      <c r="Y241" s="9"/>
      <c r="Z241" s="7">
        <v>759.99</v>
      </c>
      <c r="AA241" s="8">
        <f>IFERROR(Z241/Z444, "NA")</f>
        <v>1.0040348729151239E-3</v>
      </c>
      <c r="AB241" s="9"/>
      <c r="AC241" s="10">
        <f t="shared" si="67"/>
        <v>-309.43000000000006</v>
      </c>
      <c r="AD241" s="8">
        <f>IFERROR(AC241/AC444, "NA")</f>
        <v>-1.193763249622402E-2</v>
      </c>
    </row>
    <row r="242" spans="1:30" ht="16.5" customHeight="1" x14ac:dyDescent="0.45">
      <c r="A242" s="12" t="s">
        <v>219</v>
      </c>
      <c r="B242" s="7">
        <v>565.65</v>
      </c>
      <c r="C242" s="8">
        <f>IFERROR(B242/B444, "NA")</f>
        <v>4.9548857065146688E-3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-565.65</v>
      </c>
      <c r="I242" s="8">
        <f>IFERROR(H242/H444, "NA")</f>
        <v>4.6476640896979074E-2</v>
      </c>
      <c r="J242" s="9"/>
      <c r="K242" s="7">
        <v>553.05999999999995</v>
      </c>
      <c r="L242" s="8">
        <f>IFERROR(K242/K444, "NA")</f>
        <v>4.8156632612678862E-3</v>
      </c>
      <c r="M242" s="9"/>
      <c r="N242" s="10">
        <f t="shared" si="65"/>
        <v>-12.590000000000032</v>
      </c>
      <c r="O242" s="8">
        <f>IFERROR(N242/N444, "NA")</f>
        <v>1.8352234628727964E-2</v>
      </c>
      <c r="P242" s="9"/>
      <c r="Q242" s="7">
        <v>5196.1099999999997</v>
      </c>
      <c r="R242" s="8">
        <f>IFERROR(Q242/Q444, "NA")</f>
        <v>6.6373730017743604E-3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-5196.1099999999997</v>
      </c>
      <c r="X242" s="8">
        <f>IFERROR(W242/W444, "NA")</f>
        <v>8.0060712962843131E-2</v>
      </c>
      <c r="Y242" s="9"/>
      <c r="Z242" s="7">
        <v>4576.72</v>
      </c>
      <c r="AA242" s="8">
        <f>IFERROR(Z242/Z444, "NA")</f>
        <v>6.0463775622943807E-3</v>
      </c>
      <c r="AB242" s="9"/>
      <c r="AC242" s="10">
        <f t="shared" si="67"/>
        <v>-619.38999999999942</v>
      </c>
      <c r="AD242" s="8">
        <f>IFERROR(AC242/AC444, "NA")</f>
        <v>-2.3895712089442481E-2</v>
      </c>
    </row>
    <row r="243" spans="1:30" ht="16.5" customHeight="1" x14ac:dyDescent="0.45">
      <c r="A243" s="12" t="s">
        <v>220</v>
      </c>
      <c r="B243" s="7">
        <v>425.39</v>
      </c>
      <c r="C243" s="8">
        <f>IFERROR(B243/B444, "NA")</f>
        <v>3.7262597554923982E-3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-425.39</v>
      </c>
      <c r="I243" s="8">
        <f>IFERROR(H243/H444, "NA")</f>
        <v>3.4952175852852346E-2</v>
      </c>
      <c r="J243" s="9"/>
      <c r="K243" s="7">
        <v>1064.45</v>
      </c>
      <c r="L243" s="8">
        <f>IFERROR(K243/K444, "NA")</f>
        <v>9.2684930359393236E-3</v>
      </c>
      <c r="M243" s="9"/>
      <c r="N243" s="10">
        <f t="shared" si="65"/>
        <v>639.06000000000006</v>
      </c>
      <c r="O243" s="8">
        <f>IFERROR(N243/N444, "NA")</f>
        <v>-0.93154718521325364</v>
      </c>
      <c r="P243" s="9"/>
      <c r="Q243" s="7">
        <v>6773.95</v>
      </c>
      <c r="R243" s="8">
        <f>IFERROR(Q243/Q444, "NA")</f>
        <v>8.6528639396335778E-3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-6773.95</v>
      </c>
      <c r="X243" s="8">
        <f>IFERROR(W243/W444, "NA")</f>
        <v>0.10437178323296682</v>
      </c>
      <c r="Y243" s="9"/>
      <c r="Z243" s="7">
        <v>7300.93</v>
      </c>
      <c r="AA243" s="8">
        <f>IFERROR(Z243/Z444, "NA")</f>
        <v>9.6453747084990805E-3</v>
      </c>
      <c r="AB243" s="9"/>
      <c r="AC243" s="10">
        <f t="shared" si="67"/>
        <v>526.98000000000047</v>
      </c>
      <c r="AD243" s="8">
        <f>IFERROR(AC243/AC444, "NA")</f>
        <v>2.0330587121029434E-2</v>
      </c>
    </row>
    <row r="244" spans="1:30" ht="16.5" customHeight="1" x14ac:dyDescent="0.45">
      <c r="A244" s="12" t="s">
        <v>221</v>
      </c>
      <c r="B244" s="7">
        <v>1929</v>
      </c>
      <c r="C244" s="8">
        <f>IFERROR(B244/B444, "NA")</f>
        <v>1.689732967005533E-2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-1929</v>
      </c>
      <c r="I244" s="8">
        <f>IFERROR(H244/H444, "NA")</f>
        <v>0.15849631448823945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-1929</v>
      </c>
      <c r="O244" s="8">
        <f>IFERROR(N244/N444, "NA")</f>
        <v>2.8118713740124028</v>
      </c>
      <c r="P244" s="9"/>
      <c r="Q244" s="7">
        <v>8221.44</v>
      </c>
      <c r="R244" s="8">
        <f>IFERROR(Q244/Q444, "NA")</f>
        <v>1.0501849247169095E-2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-8221.44</v>
      </c>
      <c r="X244" s="8">
        <f>IFERROR(W244/W444, "NA")</f>
        <v>0.12667444453278262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-8221.44</v>
      </c>
      <c r="AD244" s="8">
        <f>IFERROR(AC244/AC444, "NA")</f>
        <v>-0.31717845493247582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107.98</v>
      </c>
      <c r="C246" s="8">
        <f>IFERROR(B246/B444, "NA")</f>
        <v>9.4586503772554409E-4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-107.98</v>
      </c>
      <c r="I246" s="8">
        <f>IFERROR(H246/H444, "NA")</f>
        <v>8.8721783506687905E-3</v>
      </c>
      <c r="J246" s="9"/>
      <c r="K246" s="7">
        <v>264.08999999999997</v>
      </c>
      <c r="L246" s="8">
        <f>IFERROR(K246/K444, "NA")</f>
        <v>2.2995127303877265E-3</v>
      </c>
      <c r="M246" s="9"/>
      <c r="N246" s="10">
        <f t="shared" si="65"/>
        <v>156.10999999999996</v>
      </c>
      <c r="O246" s="8">
        <f>IFERROR(N246/N444, "NA")</f>
        <v>-0.22755896329552933</v>
      </c>
      <c r="P246" s="9"/>
      <c r="Q246" s="7">
        <v>1387.87</v>
      </c>
      <c r="R246" s="8">
        <f>IFERROR(Q246/Q444, "NA")</f>
        <v>1.7728283019359831E-3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-1387.87</v>
      </c>
      <c r="X246" s="8">
        <f>IFERROR(W246/W444, "NA")</f>
        <v>2.1384047239134868E-2</v>
      </c>
      <c r="Y246" s="9"/>
      <c r="Z246" s="7">
        <v>442.06</v>
      </c>
      <c r="AA246" s="8">
        <f>IFERROR(Z246/Z444, "NA")</f>
        <v>5.8401249479711535E-4</v>
      </c>
      <c r="AB246" s="9"/>
      <c r="AC246" s="10">
        <f t="shared" si="67"/>
        <v>-945.81</v>
      </c>
      <c r="AD246" s="8">
        <f>IFERROR(AC246/AC444, "NA")</f>
        <v>-3.6488809072338292E-2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8.6199999999999992</v>
      </c>
      <c r="L247" s="8">
        <f>IFERROR(K247/K444, "NA")</f>
        <v>7.5056987148101794E-5</v>
      </c>
      <c r="M247" s="9"/>
      <c r="N247" s="10">
        <f t="shared" si="65"/>
        <v>8.6199999999999992</v>
      </c>
      <c r="O247" s="8">
        <f>IFERROR(N247/N444, "NA")</f>
        <v>-1.2565231334363354E-2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301.69</v>
      </c>
      <c r="AA247" s="8">
        <f>IFERROR(Z247/Z444, "NA")</f>
        <v>3.9856745590042462E-4</v>
      </c>
      <c r="AB247" s="9"/>
      <c r="AC247" s="10">
        <f t="shared" si="67"/>
        <v>301.69</v>
      </c>
      <c r="AD247" s="8">
        <f>IFERROR(AC247/AC444, "NA")</f>
        <v>1.1639027721248177E-2</v>
      </c>
    </row>
    <row r="248" spans="1:30" ht="16.5" customHeight="1" x14ac:dyDescent="0.45">
      <c r="A248" s="12" t="s">
        <v>225</v>
      </c>
      <c r="B248" s="7">
        <v>204.33</v>
      </c>
      <c r="C248" s="8">
        <f>IFERROR(B248/B444, "NA")</f>
        <v>1.7898555580520507E-3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-204.33</v>
      </c>
      <c r="I248" s="8">
        <f>IFERROR(H248/H444, "NA")</f>
        <v>1.6788777573552082E-2</v>
      </c>
      <c r="J248" s="9"/>
      <c r="K248" s="7">
        <v>204.33</v>
      </c>
      <c r="L248" s="8">
        <f>IFERROR(K248/K444, "NA")</f>
        <v>1.7791640584653877E-3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1824.3</v>
      </c>
      <c r="R248" s="8">
        <f>IFERROR(Q248/Q444, "NA")</f>
        <v>2.3303124004566815E-3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-1824.3</v>
      </c>
      <c r="X248" s="8">
        <f>IFERROR(W248/W444, "NA")</f>
        <v>2.8108480893998533E-2</v>
      </c>
      <c r="Y248" s="9"/>
      <c r="Z248" s="7">
        <v>1848.61</v>
      </c>
      <c r="AA248" s="8">
        <f>IFERROR(Z248/Z444, "NA")</f>
        <v>2.4422280640792999E-3</v>
      </c>
      <c r="AB248" s="9"/>
      <c r="AC248" s="10">
        <f t="shared" si="67"/>
        <v>24.309999999999945</v>
      </c>
      <c r="AD248" s="8">
        <f>IFERROR(AC248/AC444, "NA")</f>
        <v>9.3786590176519796E-4</v>
      </c>
    </row>
    <row r="249" spans="1:30" ht="16.5" customHeight="1" x14ac:dyDescent="0.45">
      <c r="A249" s="12" t="s">
        <v>226</v>
      </c>
      <c r="B249" s="7">
        <v>1244.24</v>
      </c>
      <c r="C249" s="8">
        <f>IFERROR(B249/B444, "NA")</f>
        <v>1.0899084224297379E-2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-1244.24</v>
      </c>
      <c r="I249" s="8">
        <f>IFERROR(H249/H444, "NA")</f>
        <v>0.10223299862044948</v>
      </c>
      <c r="J249" s="9"/>
      <c r="K249" s="7">
        <v>2911</v>
      </c>
      <c r="L249" s="8">
        <f>IFERROR(K249/K444, "NA")</f>
        <v>2.5346970949898413E-2</v>
      </c>
      <c r="M249" s="9"/>
      <c r="N249" s="10">
        <f t="shared" si="65"/>
        <v>1666.76</v>
      </c>
      <c r="O249" s="8">
        <f>IFERROR(N249/N444, "NA")</f>
        <v>-2.42960846622546</v>
      </c>
      <c r="P249" s="9"/>
      <c r="Q249" s="7">
        <v>12023.02</v>
      </c>
      <c r="R249" s="8">
        <f>IFERROR(Q249/Q444, "NA")</f>
        <v>1.5357886639773442E-2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-12023.02</v>
      </c>
      <c r="X249" s="8">
        <f>IFERROR(W249/W444, "NA")</f>
        <v>0.18524849419402634</v>
      </c>
      <c r="Y249" s="9"/>
      <c r="Z249" s="7">
        <v>14960.83</v>
      </c>
      <c r="AA249" s="8">
        <f>IFERROR(Z249/Z444, "NA")</f>
        <v>1.9764990391656169E-2</v>
      </c>
      <c r="AB249" s="9"/>
      <c r="AC249" s="10">
        <f t="shared" si="67"/>
        <v>2937.8099999999995</v>
      </c>
      <c r="AD249" s="8">
        <f>IFERROR(AC249/AC444, "NA")</f>
        <v>0.11333903022891081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5.9846550274418235E-6</v>
      </c>
      <c r="AB250" s="9"/>
      <c r="AC250" s="10">
        <f t="shared" si="67"/>
        <v>4.53</v>
      </c>
      <c r="AD250" s="8">
        <f>IFERROR(AC250/AC444, "NA")</f>
        <v>1.7476481016027792E-4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29.09</v>
      </c>
      <c r="R251" s="8">
        <f>IFERROR(Q251/Q444, "NA")</f>
        <v>3.7158793909600867E-5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4.4821340196591426E-4</v>
      </c>
      <c r="Y251" s="9"/>
      <c r="Z251" s="7">
        <v>262.81</v>
      </c>
      <c r="AA251" s="8">
        <f>IFERROR(Z251/Z444, "NA")</f>
        <v>3.4720246970463257E-4</v>
      </c>
      <c r="AB251" s="9"/>
      <c r="AC251" s="10">
        <f t="shared" si="67"/>
        <v>233.72</v>
      </c>
      <c r="AD251" s="8">
        <f>IFERROR(AC251/AC444, "NA")</f>
        <v>9.0167839802781802E-3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11.2</v>
      </c>
      <c r="L252" s="8">
        <f>IFERROR(K252/K444, "NA")</f>
        <v>9.7521839449969853E-5</v>
      </c>
      <c r="M252" s="9"/>
      <c r="N252" s="10">
        <f t="shared" si="65"/>
        <v>11.2</v>
      </c>
      <c r="O252" s="8">
        <f>IFERROR(N252/N444, "NA")</f>
        <v>-1.6326054633975587E-2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153.31</v>
      </c>
      <c r="AA252" s="8">
        <f>IFERROR(Z252/Z444, "NA")</f>
        <v>2.0254027864395274E-4</v>
      </c>
      <c r="AB252" s="9"/>
      <c r="AC252" s="10">
        <f t="shared" si="67"/>
        <v>153.31</v>
      </c>
      <c r="AD252" s="8">
        <f>IFERROR(AC252/AC444, "NA")</f>
        <v>5.9146121513625185E-3</v>
      </c>
    </row>
    <row r="253" spans="1:30" ht="16.5" customHeight="1" x14ac:dyDescent="0.45">
      <c r="A253" s="12" t="s">
        <v>230</v>
      </c>
      <c r="B253" s="7">
        <v>266.82</v>
      </c>
      <c r="C253" s="8">
        <f>IFERROR(B253/B444, "NA")</f>
        <v>2.337244946896922E-3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-266.82</v>
      </c>
      <c r="I253" s="8">
        <f>IFERROR(H253/H444, "NA")</f>
        <v>2.1923269378824287E-2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-266.82</v>
      </c>
      <c r="O253" s="8">
        <f>IFERROR(N253/N444, "NA")</f>
        <v>0.38893909798547915</v>
      </c>
      <c r="P253" s="9"/>
      <c r="Q253" s="7">
        <v>2126.06</v>
      </c>
      <c r="R253" s="8">
        <f>IFERROR(Q253/Q444, "NA")</f>
        <v>2.7157726153126853E-3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-2126.06</v>
      </c>
      <c r="X253" s="8">
        <f>IFERROR(W253/W444, "NA")</f>
        <v>3.2757943808307037E-2</v>
      </c>
      <c r="Y253" s="9"/>
      <c r="Z253" s="7">
        <v>3664.95</v>
      </c>
      <c r="AA253" s="8">
        <f>IFERROR(Z253/Z444, "NA")</f>
        <v>4.8418237180624527E-3</v>
      </c>
      <c r="AB253" s="9"/>
      <c r="AC253" s="10">
        <f t="shared" si="67"/>
        <v>1538.8899999999999</v>
      </c>
      <c r="AD253" s="8">
        <f>IFERROR(AC253/AC444, "NA")</f>
        <v>5.9369496403432684E-2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721.84</v>
      </c>
      <c r="R254" s="8">
        <f>IFERROR(Q254/Q444, "NA")</f>
        <v>9.2205925732919531E-4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1.1121978758166914E-2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-721.84</v>
      </c>
      <c r="AD254" s="8">
        <f>IFERROR(AC254/AC444, "NA")</f>
        <v>-2.784817451790177E-2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584.36</v>
      </c>
      <c r="C258" s="8">
        <f>IFERROR(B258/B444, "NA")</f>
        <v>5.1187784167929145E-3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-584.36</v>
      </c>
      <c r="I258" s="8">
        <f>IFERROR(H258/H444, "NA")</f>
        <v>4.8013948332995125E-2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-584.36</v>
      </c>
      <c r="O258" s="8">
        <f>IFERROR(N258/N444, "NA")</f>
        <v>0.85181190052767641</v>
      </c>
      <c r="P258" s="9"/>
      <c r="Q258" s="7">
        <v>2673.02</v>
      </c>
      <c r="R258" s="8">
        <f>IFERROR(Q258/Q444, "NA")</f>
        <v>3.414444802208364E-3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-2673.02</v>
      </c>
      <c r="X258" s="8">
        <f>IFERROR(W258/W444, "NA")</f>
        <v>4.118540349683493E-2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-2673.02</v>
      </c>
      <c r="AD258" s="8">
        <f>IFERROR(AC258/AC444, "NA")</f>
        <v>-0.10312358341161723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2695.91</v>
      </c>
      <c r="C260" s="8">
        <f>IFERROR(B260/B444, "NA")</f>
        <v>2.3615178865110865E-2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-2695.91</v>
      </c>
      <c r="I260" s="8">
        <f>IFERROR(H260/H444, "NA")</f>
        <v>0.22150948636184012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-2695.91</v>
      </c>
      <c r="O260" s="8">
        <f>IFERROR(N260/N444, "NA")</f>
        <v>3.9297833882393864</v>
      </c>
      <c r="P260" s="9"/>
      <c r="Q260" s="7">
        <v>2695.91</v>
      </c>
      <c r="R260" s="8">
        <f>IFERROR(Q260/Q444, "NA")</f>
        <v>3.4436838806748732E-3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-2695.91</v>
      </c>
      <c r="X260" s="8">
        <f>IFERROR(W260/W444, "NA")</f>
        <v>4.1538088432242277E-2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-2695.91</v>
      </c>
      <c r="AD260" s="8">
        <f>IFERROR(AC260/AC444, "NA")</f>
        <v>-0.10400666652520857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8116.9199999999992</v>
      </c>
      <c r="C262" s="15">
        <f>IFERROR(B262/B444, "NA")</f>
        <v>7.1101230246482891E-2</v>
      </c>
      <c r="D262" s="2"/>
      <c r="E262" s="14">
        <f>IFERROR(E240+E241+E242+E243+E244+E245+E246+E247+E248+E249+E250+E251+E252+E253+E254+E255+E256+E257+E258+E259+E260+E261, "NA")</f>
        <v>6323.61</v>
      </c>
      <c r="F262" s="15">
        <f>IFERROR(E262/E444, "NA")</f>
        <v>5.0056011730483838E-2</v>
      </c>
      <c r="G262" s="2"/>
      <c r="H262" s="14">
        <f t="shared" si="64"/>
        <v>-1793.3099999999995</v>
      </c>
      <c r="I262" s="15">
        <f>IFERROR(H262/H444, "NA")</f>
        <v>0.14734734356397336</v>
      </c>
      <c r="J262" s="2"/>
      <c r="K262" s="14">
        <f>IFERROR(K240+K241+K242+K243+K244+K245+K246+K247+K248+K249+K250+K251+K252+K253+K254+K255+K256+K257+K258+K259+K260+K261, "NA")</f>
        <v>5016.7499999999991</v>
      </c>
      <c r="L262" s="15">
        <f>IFERROR(K262/K444, "NA")</f>
        <v>4.3682382862556803E-2</v>
      </c>
      <c r="M262" s="2"/>
      <c r="N262" s="14">
        <f t="shared" si="65"/>
        <v>-3100.17</v>
      </c>
      <c r="O262" s="15">
        <f>IFERROR(N262/N444, "NA")</f>
        <v>4.5190664995189378</v>
      </c>
      <c r="P262" s="2"/>
      <c r="Q262" s="14">
        <f>IFERROR(Q240+Q241+Q242+Q243+Q244+Q245+Q246+Q247+Q248+Q249+Q250+Q251+Q252+Q253+Q254+Q255+Q256+Q257+Q258+Q259+Q260+Q261, "NA")</f>
        <v>44742.029999999984</v>
      </c>
      <c r="R262" s="15">
        <f>IFERROR(Q262/Q444, "NA")</f>
        <v>5.7152281604234398E-2</v>
      </c>
      <c r="S262" s="2"/>
      <c r="T262" s="14">
        <f>IFERROR(T240+T241+T242+T243+T244+T245+T246+T247+T248+T249+T250+T251+T252+T253+T254+T255+T256+T257+T258+T259+T260+T261, "NA")</f>
        <v>42573.5</v>
      </c>
      <c r="U262" s="15">
        <f>IFERROR(T262/T444, "NA")</f>
        <v>5.0218899006536685E-2</v>
      </c>
      <c r="V262" s="2"/>
      <c r="W262" s="14">
        <f t="shared" si="66"/>
        <v>-2168.5299999999843</v>
      </c>
      <c r="X262" s="15">
        <f>IFERROR(W262/W444, "NA")</f>
        <v>3.3412313804232964E-2</v>
      </c>
      <c r="Y262" s="2"/>
      <c r="Z262" s="14">
        <f>IFERROR(Z240+Z241+Z242+Z243+Z244+Z245+Z246+Z247+Z248+Z249+Z250+Z251+Z252+Z253+Z254+Z255+Z256+Z257+Z258+Z259+Z260+Z261, "NA")</f>
        <v>34276.43</v>
      </c>
      <c r="AA262" s="15">
        <f>IFERROR(Z262/Z444, "NA")</f>
        <v>4.5283136671580071E-2</v>
      </c>
      <c r="AB262" s="2"/>
      <c r="AC262" s="14">
        <f t="shared" si="67"/>
        <v>-10465.599999999984</v>
      </c>
      <c r="AD262" s="15">
        <f>IFERROR(AC262/AC444, "NA")</f>
        <v>-0.40375686472702027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8116.9199999999992</v>
      </c>
      <c r="C263" s="15">
        <f>IFERROR(B263/B444, "NA")</f>
        <v>7.1101230246482891E-2</v>
      </c>
      <c r="D263" s="2"/>
      <c r="E263" s="14">
        <f>IFERROR(E238+E240+E241+E242+E243+E244+E245+E246+E247+E248+E249+E250+E251+E252+E253+E254+E255+E256+E257+E258+E259+E260+E261, "NA")</f>
        <v>6323.61</v>
      </c>
      <c r="F263" s="15">
        <f>IFERROR(E263/E444, "NA")</f>
        <v>5.0056011730483838E-2</v>
      </c>
      <c r="G263" s="2"/>
      <c r="H263" s="14">
        <f t="shared" si="64"/>
        <v>-1793.3099999999995</v>
      </c>
      <c r="I263" s="15">
        <f>IFERROR(H263/H444, "NA")</f>
        <v>0.14734734356397336</v>
      </c>
      <c r="J263" s="2"/>
      <c r="K263" s="14">
        <f>IFERROR(K238+K240+K241+K242+K243+K244+K245+K246+K247+K248+K249+K250+K251+K252+K253+K254+K255+K256+K257+K258+K259+K260+K261, "NA")</f>
        <v>5016.7499999999991</v>
      </c>
      <c r="L263" s="15">
        <f>IFERROR(K263/K444, "NA")</f>
        <v>4.3682382862556803E-2</v>
      </c>
      <c r="M263" s="2"/>
      <c r="N263" s="14">
        <f t="shared" si="65"/>
        <v>-3100.17</v>
      </c>
      <c r="O263" s="15">
        <f>IFERROR(N263/N444, "NA")</f>
        <v>4.5190664995189378</v>
      </c>
      <c r="P263" s="2"/>
      <c r="Q263" s="14">
        <f>IFERROR(Q238+Q240+Q241+Q242+Q243+Q244+Q245+Q246+Q247+Q248+Q249+Q250+Q251+Q252+Q253+Q254+Q255+Q256+Q257+Q258+Q259+Q260+Q261, "NA")</f>
        <v>44742.029999999984</v>
      </c>
      <c r="R263" s="15">
        <f>IFERROR(Q263/Q444, "NA")</f>
        <v>5.7152281604234398E-2</v>
      </c>
      <c r="S263" s="2"/>
      <c r="T263" s="14">
        <f>IFERROR(T238+T240+T241+T242+T243+T244+T245+T246+T247+T248+T249+T250+T251+T252+T253+T254+T255+T256+T257+T258+T259+T260+T261, "NA")</f>
        <v>42573.5</v>
      </c>
      <c r="U263" s="15">
        <f>IFERROR(T263/T444, "NA")</f>
        <v>5.0218899006536685E-2</v>
      </c>
      <c r="V263" s="2"/>
      <c r="W263" s="14">
        <f t="shared" si="66"/>
        <v>-2168.5299999999843</v>
      </c>
      <c r="X263" s="15">
        <f>IFERROR(W263/W444, "NA")</f>
        <v>3.3412313804232964E-2</v>
      </c>
      <c r="Y263" s="2"/>
      <c r="Z263" s="14">
        <f>IFERROR(Z238+Z240+Z241+Z242+Z243+Z244+Z245+Z246+Z247+Z248+Z249+Z250+Z251+Z252+Z253+Z254+Z255+Z256+Z257+Z258+Z259+Z260+Z261, "NA")</f>
        <v>34276.43</v>
      </c>
      <c r="AA263" s="15">
        <f>IFERROR(Z263/Z444, "NA")</f>
        <v>4.5283136671580071E-2</v>
      </c>
      <c r="AB263" s="2"/>
      <c r="AC263" s="14">
        <f t="shared" si="67"/>
        <v>-10465.599999999984</v>
      </c>
      <c r="AD263" s="15">
        <f>IFERROR(AC263/AC444, "NA")</f>
        <v>-0.40375686472702027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2702.71</v>
      </c>
      <c r="C265" s="8">
        <f>IFERROR(B265/B444, "NA")</f>
        <v>2.367474436109655E-2</v>
      </c>
      <c r="D265" s="9"/>
      <c r="E265" s="7">
        <v>3537.26</v>
      </c>
      <c r="F265" s="8">
        <f>IFERROR(E265/E444, "NA")</f>
        <v>2.8000007599104197E-2</v>
      </c>
      <c r="G265" s="9"/>
      <c r="H265" s="10">
        <f>IFERROR(-(B265-E265), "NA")</f>
        <v>834.55000000000018</v>
      </c>
      <c r="I265" s="8">
        <f>IFERROR(H265/H444, "NA")</f>
        <v>-6.8570813507599929E-2</v>
      </c>
      <c r="J265" s="9"/>
      <c r="K265" s="7">
        <v>2887.9</v>
      </c>
      <c r="L265" s="8">
        <f>IFERROR(K265/K444, "NA")</f>
        <v>2.5145832156032853E-2</v>
      </c>
      <c r="M265" s="9"/>
      <c r="N265" s="10">
        <f>IFERROR(-(B265-K265), "NA")</f>
        <v>185.19000000000005</v>
      </c>
      <c r="O265" s="8">
        <f>IFERROR(N265/N444, "NA")</f>
        <v>-0.26994839800588749</v>
      </c>
      <c r="P265" s="9"/>
      <c r="Q265" s="7">
        <v>21239.09</v>
      </c>
      <c r="R265" s="8">
        <f>IFERROR(Q265/Q444, "NA")</f>
        <v>2.7130249850033161E-2</v>
      </c>
      <c r="S265" s="9"/>
      <c r="T265" s="7">
        <v>23850.720000000001</v>
      </c>
      <c r="U265" s="8">
        <f>IFERROR(T265/T444, "NA")</f>
        <v>2.8133860239660462E-2</v>
      </c>
      <c r="V265" s="9"/>
      <c r="W265" s="10">
        <f>IFERROR(-(Q265-T265), "NA")</f>
        <v>2611.630000000001</v>
      </c>
      <c r="X265" s="8">
        <f>IFERROR(W265/W444, "NA")</f>
        <v>-4.0239517599733279E-2</v>
      </c>
      <c r="Y265" s="9"/>
      <c r="Z265" s="7">
        <v>21117.64</v>
      </c>
      <c r="AA265" s="8">
        <f>IFERROR(Z265/Z444, "NA")</f>
        <v>2.7898849976535661E-2</v>
      </c>
      <c r="AB265" s="9"/>
      <c r="AC265" s="10">
        <f>IFERROR(-(Q265-Z265), "NA")</f>
        <v>-121.45000000000073</v>
      </c>
      <c r="AD265" s="8">
        <f>IFERROR(AC265/AC444, "NA")</f>
        <v>-4.6854715659968831E-3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441.97</v>
      </c>
      <c r="R266" s="8">
        <f>IFERROR(Q266/Q444, "NA")</f>
        <v>5.6456074748113773E-4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6.8097929620788977E-3</v>
      </c>
      <c r="Y266" s="9"/>
      <c r="Z266" s="7">
        <v>328.93</v>
      </c>
      <c r="AA266" s="8">
        <f>IFERROR(Z266/Z444, "NA")</f>
        <v>4.3455465301908144E-4</v>
      </c>
      <c r="AB266" s="9"/>
      <c r="AC266" s="10">
        <f>IFERROR(-(Q266-Z266), "NA")</f>
        <v>-113.04000000000002</v>
      </c>
      <c r="AD266" s="8">
        <f>IFERROR(AC266/AC444, "NA")</f>
        <v>-4.3610185740657441E-3</v>
      </c>
    </row>
    <row r="267" spans="1:30" ht="16.5" customHeight="1" x14ac:dyDescent="0.45">
      <c r="A267" s="19" t="s">
        <v>243</v>
      </c>
      <c r="B267" s="14">
        <f>IFERROR(B265+B266, "NA")</f>
        <v>2702.71</v>
      </c>
      <c r="C267" s="15">
        <f>IFERROR(B267/B444, "NA")</f>
        <v>2.367474436109655E-2</v>
      </c>
      <c r="D267" s="2"/>
      <c r="E267" s="14">
        <f>IFERROR(E265+E266, "NA")</f>
        <v>3537.26</v>
      </c>
      <c r="F267" s="15">
        <f>IFERROR(E267/E444, "NA")</f>
        <v>2.8000007599104197E-2</v>
      </c>
      <c r="G267" s="2"/>
      <c r="H267" s="14">
        <f>IFERROR(-(B267-E267), "NA")</f>
        <v>834.55000000000018</v>
      </c>
      <c r="I267" s="15">
        <f>IFERROR(H267/H444, "NA")</f>
        <v>-6.8570813507599929E-2</v>
      </c>
      <c r="J267" s="2"/>
      <c r="K267" s="14">
        <f>IFERROR(K265+K266, "NA")</f>
        <v>2887.9</v>
      </c>
      <c r="L267" s="15">
        <f>IFERROR(K267/K444, "NA")</f>
        <v>2.5145832156032853E-2</v>
      </c>
      <c r="M267" s="2"/>
      <c r="N267" s="14">
        <f>IFERROR(-(B267-K267), "NA")</f>
        <v>185.19000000000005</v>
      </c>
      <c r="O267" s="15">
        <f>IFERROR(N267/N444, "NA")</f>
        <v>-0.26994839800588749</v>
      </c>
      <c r="P267" s="2"/>
      <c r="Q267" s="14">
        <f>IFERROR(Q265+Q266, "NA")</f>
        <v>21681.06</v>
      </c>
      <c r="R267" s="15">
        <f>IFERROR(Q267/Q444, "NA")</f>
        <v>2.7694810597514302E-2</v>
      </c>
      <c r="S267" s="2"/>
      <c r="T267" s="14">
        <f>IFERROR(T265+T266, "NA")</f>
        <v>23850.720000000001</v>
      </c>
      <c r="U267" s="15">
        <f>IFERROR(T267/T444, "NA")</f>
        <v>2.8133860239660462E-2</v>
      </c>
      <c r="V267" s="2"/>
      <c r="W267" s="14">
        <f>IFERROR(-(Q267-T267), "NA")</f>
        <v>2169.66</v>
      </c>
      <c r="X267" s="15">
        <f>IFERROR(W267/W444, "NA")</f>
        <v>-3.3429724637654361E-2</v>
      </c>
      <c r="Y267" s="2"/>
      <c r="Z267" s="14">
        <f>IFERROR(Z265+Z266, "NA")</f>
        <v>21446.57</v>
      </c>
      <c r="AA267" s="15">
        <f>IFERROR(Z267/Z444, "NA")</f>
        <v>2.8333404629554741E-2</v>
      </c>
      <c r="AB267" s="2"/>
      <c r="AC267" s="14">
        <f>IFERROR(-(Q267-Z267), "NA")</f>
        <v>-234.4900000000016</v>
      </c>
      <c r="AD267" s="15">
        <f>IFERROR(AC267/AC444, "NA")</f>
        <v>-9.0464901400626602E-3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1.913716751175214E-3</v>
      </c>
      <c r="D270" s="9"/>
      <c r="E270" s="7">
        <v>179.53</v>
      </c>
      <c r="F270" s="8">
        <f>IFERROR(E270/E444, "NA")</f>
        <v>1.4211116412893529E-3</v>
      </c>
      <c r="G270" s="9"/>
      <c r="H270" s="10">
        <f>IFERROR(-(B270-E270), "NA")</f>
        <v>-38.94</v>
      </c>
      <c r="I270" s="8">
        <f>IFERROR(H270/H444, "NA")</f>
        <v>3.1995056952680372E-3</v>
      </c>
      <c r="J270" s="9"/>
      <c r="K270" s="7">
        <v>182.93</v>
      </c>
      <c r="L270" s="8">
        <f>IFERROR(K270/K444, "NA")</f>
        <v>1.5928276866591952E-3</v>
      </c>
      <c r="M270" s="9"/>
      <c r="N270" s="10">
        <f>IFERROR(-(B270-K270), "NA")</f>
        <v>-35.539999999999992</v>
      </c>
      <c r="O270" s="8">
        <f>IFERROR(N270/N444, "NA")</f>
        <v>5.180606979388324E-2</v>
      </c>
      <c r="P270" s="9"/>
      <c r="Q270" s="7">
        <v>1966.23</v>
      </c>
      <c r="R270" s="8">
        <f>IFERROR(Q270/Q444, "NA")</f>
        <v>2.5116100154305436E-3</v>
      </c>
      <c r="S270" s="9"/>
      <c r="T270" s="7">
        <v>1397.24</v>
      </c>
      <c r="U270" s="8">
        <f>IFERROR(T270/T444, "NA")</f>
        <v>1.6481579961218438E-3</v>
      </c>
      <c r="V270" s="9"/>
      <c r="W270" s="10">
        <f>IFERROR(-(Q270-T270), "NA")</f>
        <v>-568.99</v>
      </c>
      <c r="X270" s="8">
        <f>IFERROR(W270/W444, "NA")</f>
        <v>8.7668939011545394E-3</v>
      </c>
      <c r="Y270" s="9"/>
      <c r="Z270" s="7">
        <v>1646.37</v>
      </c>
      <c r="AA270" s="8">
        <f>IFERROR(Z270/Z444, "NA")</f>
        <v>2.1750455844435747E-3</v>
      </c>
      <c r="AB270" s="9"/>
      <c r="AC270" s="10">
        <f>IFERROR(-(Q270-Z270), "NA")</f>
        <v>-319.86000000000013</v>
      </c>
      <c r="AD270" s="8">
        <f>IFERROR(AC270/AC444, "NA")</f>
        <v>-1.2340015933303868E-2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1.0477132762292937E-2</v>
      </c>
      <c r="D271" s="9"/>
      <c r="E271" s="7">
        <v>1515.97</v>
      </c>
      <c r="F271" s="8">
        <f>IFERROR(E271/E444, "NA")</f>
        <v>1.2000014564949703E-2</v>
      </c>
      <c r="G271" s="9"/>
      <c r="H271" s="10">
        <f>IFERROR(-(B271-E271), "NA")</f>
        <v>319.90000000000009</v>
      </c>
      <c r="I271" s="8">
        <f>IFERROR(H271/H444, "NA")</f>
        <v>-2.62845883902477E-2</v>
      </c>
      <c r="J271" s="9"/>
      <c r="K271" s="7">
        <v>1086.1400000000001</v>
      </c>
      <c r="L271" s="8">
        <f>IFERROR(K271/K444, "NA")</f>
        <v>9.4573545268027016E-3</v>
      </c>
      <c r="M271" s="9"/>
      <c r="N271" s="10">
        <f>IFERROR(-(B271-K271), "NA")</f>
        <v>-109.92999999999984</v>
      </c>
      <c r="O271" s="8">
        <f>IFERROR(N271/N444, "NA")</f>
        <v>0.16024314159936909</v>
      </c>
      <c r="P271" s="9"/>
      <c r="Q271" s="7">
        <v>10808.89</v>
      </c>
      <c r="R271" s="8">
        <f>IFERROR(Q271/Q444, "NA")</f>
        <v>1.3806989202528212E-2</v>
      </c>
      <c r="S271" s="9"/>
      <c r="T271" s="7">
        <v>10173.11</v>
      </c>
      <c r="U271" s="8">
        <f>IFERROR(T271/T444, "NA")</f>
        <v>1.2000009012000152E-2</v>
      </c>
      <c r="V271" s="9"/>
      <c r="W271" s="10">
        <f>IFERROR(-(Q271-T271), "NA")</f>
        <v>-635.77999999999884</v>
      </c>
      <c r="X271" s="8">
        <f>IFERROR(W271/W444, "NA")</f>
        <v>9.7959820110652615E-3</v>
      </c>
      <c r="Y271" s="9"/>
      <c r="Z271" s="7">
        <v>9775.26</v>
      </c>
      <c r="AA271" s="8">
        <f>IFERROR(Z271/Z444, "NA")</f>
        <v>1.2914251413587407E-2</v>
      </c>
      <c r="AB271" s="9"/>
      <c r="AC271" s="10">
        <f>IFERROR(-(Q271-Z271), "NA")</f>
        <v>-1033.6299999999992</v>
      </c>
      <c r="AD271" s="8">
        <f>IFERROR(AC271/AC444, "NA")</f>
        <v>-3.9876854464893585E-2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1.2390849513468152E-2</v>
      </c>
      <c r="D273" s="2"/>
      <c r="E273" s="14">
        <f>IFERROR(E269+E270+E271+E272, "NA")</f>
        <v>1695.5</v>
      </c>
      <c r="F273" s="15">
        <f>IFERROR(E273/E444, "NA")</f>
        <v>1.3421126206239056E-2</v>
      </c>
      <c r="G273" s="2"/>
      <c r="H273" s="14">
        <f>IFERROR(-(B273-E273), "NA")</f>
        <v>280.96000000000004</v>
      </c>
      <c r="I273" s="15">
        <f>IFERROR(H273/H444, "NA")</f>
        <v>-2.3085082694979657E-2</v>
      </c>
      <c r="J273" s="2"/>
      <c r="K273" s="14">
        <f>IFERROR(K269+K270+K271+K272, "NA")</f>
        <v>1269.0700000000002</v>
      </c>
      <c r="L273" s="15">
        <f>IFERROR(K273/K444, "NA")</f>
        <v>1.1050182213461898E-2</v>
      </c>
      <c r="M273" s="2"/>
      <c r="N273" s="14">
        <f>IFERROR(-(B273-K273), "NA")</f>
        <v>-145.4699999999998</v>
      </c>
      <c r="O273" s="15">
        <f>IFERROR(N273/N444, "NA")</f>
        <v>0.21204921139325228</v>
      </c>
      <c r="P273" s="2"/>
      <c r="Q273" s="14">
        <f>IFERROR(Q269+Q270+Q271+Q272, "NA")</f>
        <v>12775.119999999999</v>
      </c>
      <c r="R273" s="15">
        <f>IFERROR(Q273/Q444, "NA")</f>
        <v>1.6318599217958755E-2</v>
      </c>
      <c r="S273" s="2"/>
      <c r="T273" s="14">
        <f>IFERROR(T269+T270+T271+T272, "NA")</f>
        <v>11570.35</v>
      </c>
      <c r="U273" s="15">
        <f>IFERROR(T273/T444, "NA")</f>
        <v>1.3648167008121994E-2</v>
      </c>
      <c r="V273" s="2"/>
      <c r="W273" s="14">
        <f>IFERROR(-(Q273-T273), "NA")</f>
        <v>-1204.7699999999986</v>
      </c>
      <c r="X273" s="15">
        <f>IFERROR(W273/W444, "NA")</f>
        <v>1.8562875912219796E-2</v>
      </c>
      <c r="Y273" s="2"/>
      <c r="Z273" s="14">
        <f>IFERROR(Z269+Z270+Z271+Z272, "NA")</f>
        <v>11421.630000000001</v>
      </c>
      <c r="AA273" s="15">
        <f>IFERROR(Z273/Z444, "NA")</f>
        <v>1.5089296998030985E-2</v>
      </c>
      <c r="AB273" s="2"/>
      <c r="AC273" s="14">
        <f>IFERROR(-(Q273-Z273), "NA")</f>
        <v>-1353.489999999998</v>
      </c>
      <c r="AD273" s="15">
        <f>IFERROR(AC273/AC444, "NA")</f>
        <v>-5.2216870398197397E-2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8.5014854145561425E-3</v>
      </c>
      <c r="D287" s="9"/>
      <c r="E287" s="7">
        <v>1350</v>
      </c>
      <c r="F287" s="8">
        <f>IFERROR(E287/E444, "NA")</f>
        <v>1.0686240270376127E-2</v>
      </c>
      <c r="G287" s="9"/>
      <c r="H287" s="10">
        <f t="shared" si="72"/>
        <v>379.47</v>
      </c>
      <c r="I287" s="8">
        <f>IFERROR(H287/H444, "NA")</f>
        <v>-3.117915835088244E-2</v>
      </c>
      <c r="J287" s="9"/>
      <c r="K287" s="7">
        <v>970.53</v>
      </c>
      <c r="L287" s="8">
        <f>IFERROR(K287/K444, "NA")</f>
        <v>8.4507027536945747E-3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8734.77</v>
      </c>
      <c r="R287" s="8">
        <f>IFERROR(Q287/Q444, "NA")</f>
        <v>1.1157563364653296E-2</v>
      </c>
      <c r="S287" s="9"/>
      <c r="T287" s="7">
        <v>12150</v>
      </c>
      <c r="U287" s="8">
        <f>IFERROR(T287/T444, "NA")</f>
        <v>1.4331911234204861E-2</v>
      </c>
      <c r="V287" s="9"/>
      <c r="W287" s="10">
        <f t="shared" si="74"/>
        <v>3415.2299999999996</v>
      </c>
      <c r="X287" s="8">
        <f>IFERROR(W287/W444, "NA")</f>
        <v>-5.2621239491098287E-2</v>
      </c>
      <c r="Y287" s="9"/>
      <c r="Z287" s="7">
        <v>8734.77</v>
      </c>
      <c r="AA287" s="8">
        <f>IFERROR(Z287/Z444, "NA")</f>
        <v>1.1539643530694926E-2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1.6276271778086992E-3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1.5267081490440523E-2</v>
      </c>
      <c r="J288" s="9"/>
      <c r="K288" s="7">
        <v>165.98</v>
      </c>
      <c r="L288" s="8">
        <f>IFERROR(K288/K444, "NA")</f>
        <v>1.4452388314201781E-3</v>
      </c>
      <c r="M288" s="9"/>
      <c r="N288" s="10">
        <f t="shared" si="73"/>
        <v>-19.830000000000013</v>
      </c>
      <c r="O288" s="8">
        <f>IFERROR(N288/N444, "NA")</f>
        <v>2.8905862802833582E-2</v>
      </c>
      <c r="P288" s="9"/>
      <c r="Q288" s="7">
        <v>2601.3000000000002</v>
      </c>
      <c r="R288" s="8">
        <f>IFERROR(Q288/Q444, "NA")</f>
        <v>3.3228315777602178E-3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-2601.3000000000002</v>
      </c>
      <c r="X288" s="8">
        <f>IFERROR(W288/W444, "NA")</f>
        <v>4.0080354848192945E-2</v>
      </c>
      <c r="Y288" s="9"/>
      <c r="Z288" s="7">
        <v>1032.8699999999999</v>
      </c>
      <c r="AA288" s="8">
        <f>IFERROR(Z288/Z444, "NA")</f>
        <v>1.3645409797337384E-3</v>
      </c>
      <c r="AB288" s="9"/>
      <c r="AC288" s="10">
        <f t="shared" si="75"/>
        <v>-1568.4300000000003</v>
      </c>
      <c r="AD288" s="8">
        <f>IFERROR(AC288/AC444, "NA")</f>
        <v>-6.0509132715162194E-2</v>
      </c>
    </row>
    <row r="289" spans="1:30" ht="16.5" customHeight="1" x14ac:dyDescent="0.45">
      <c r="A289" s="6" t="s">
        <v>262</v>
      </c>
      <c r="B289" s="7">
        <v>218.66</v>
      </c>
      <c r="C289" s="8">
        <f>IFERROR(B289/B444, "NA")</f>
        <v>1.9153810812101079E-3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-218.66</v>
      </c>
      <c r="I289" s="8">
        <f>IFERROR(H289/H444, "NA")</f>
        <v>1.7966202242611942E-2</v>
      </c>
      <c r="J289" s="9"/>
      <c r="K289" s="7">
        <v>259.52</v>
      </c>
      <c r="L289" s="8">
        <f>IFERROR(K289/K444, "NA")</f>
        <v>2.2597203369693012E-3</v>
      </c>
      <c r="M289" s="9"/>
      <c r="N289" s="10">
        <f t="shared" si="73"/>
        <v>40.859999999999985</v>
      </c>
      <c r="O289" s="8">
        <f>IFERROR(N289/N444, "NA")</f>
        <v>-5.9560945745021639E-2</v>
      </c>
      <c r="P289" s="9"/>
      <c r="Q289" s="7">
        <v>2102.8200000000002</v>
      </c>
      <c r="R289" s="8">
        <f>IFERROR(Q289/Q444, "NA")</f>
        <v>2.686086456135679E-3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-2102.8200000000002</v>
      </c>
      <c r="X289" s="8">
        <f>IFERROR(W289/W444, "NA")</f>
        <v>3.2399866136884288E-2</v>
      </c>
      <c r="Y289" s="9"/>
      <c r="Z289" s="7">
        <v>2150.12</v>
      </c>
      <c r="AA289" s="8">
        <f>IFERROR(Z289/Z444, "NA")</f>
        <v>2.8405577191177069E-3</v>
      </c>
      <c r="AB289" s="9"/>
      <c r="AC289" s="10">
        <f t="shared" si="75"/>
        <v>47.299999999999727</v>
      </c>
      <c r="AD289" s="8">
        <f>IFERROR(AC289/AC444, "NA")</f>
        <v>1.8248069581856729E-3</v>
      </c>
    </row>
    <row r="290" spans="1:30" ht="16.5" customHeight="1" x14ac:dyDescent="0.45">
      <c r="A290" s="6" t="s">
        <v>263</v>
      </c>
      <c r="B290" s="7">
        <v>1025</v>
      </c>
      <c r="C290" s="8">
        <f>IFERROR(B290/B444, "NA")</f>
        <v>8.9786225566649627E-3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-1025</v>
      </c>
      <c r="I290" s="8">
        <f>IFERROR(H290/H444, "NA")</f>
        <v>8.4219140668971196E-2</v>
      </c>
      <c r="J290" s="9"/>
      <c r="K290" s="7">
        <v>781.17</v>
      </c>
      <c r="L290" s="8">
        <f>IFERROR(K290/K444, "NA")</f>
        <v>6.8018870824225848E-3</v>
      </c>
      <c r="M290" s="9"/>
      <c r="N290" s="10">
        <f t="shared" si="73"/>
        <v>-243.83000000000004</v>
      </c>
      <c r="O290" s="8">
        <f>IFERROR(N290/N444, "NA")</f>
        <v>0.35542695548234537</v>
      </c>
      <c r="P290" s="9"/>
      <c r="Q290" s="7">
        <v>4808.03</v>
      </c>
      <c r="R290" s="8">
        <f>IFERROR(Q290/Q444, "NA")</f>
        <v>6.1416499099751888E-3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-4808.03</v>
      </c>
      <c r="X290" s="8">
        <f>IFERROR(W290/W444, "NA")</f>
        <v>7.4081247268964409E-2</v>
      </c>
      <c r="Y290" s="9"/>
      <c r="Z290" s="7">
        <v>7976.06</v>
      </c>
      <c r="AA290" s="8">
        <f>IFERROR(Z290/Z444, "NA")</f>
        <v>1.0537299686131927E-2</v>
      </c>
      <c r="AB290" s="9"/>
      <c r="AC290" s="10">
        <f t="shared" si="75"/>
        <v>3168.0300000000007</v>
      </c>
      <c r="AD290" s="8">
        <f>IFERROR(AC290/AC444, "NA")</f>
        <v>0.12222078621016896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1894.96</v>
      </c>
      <c r="F291" s="8">
        <f>IFERROR(E291/E444, "NA")</f>
        <v>1.4999998416853294E-2</v>
      </c>
      <c r="G291" s="9"/>
      <c r="H291" s="10">
        <f t="shared" si="72"/>
        <v>1894.96</v>
      </c>
      <c r="I291" s="8">
        <f>IFERROR(H291/H444, "NA")</f>
        <v>-0.15569941736787674</v>
      </c>
      <c r="J291" s="9"/>
      <c r="K291" s="7">
        <v>184.44</v>
      </c>
      <c r="L291" s="8">
        <f>IFERROR(K291/K444, "NA")</f>
        <v>1.6059757203707534E-3</v>
      </c>
      <c r="M291" s="9"/>
      <c r="N291" s="10">
        <f t="shared" si="73"/>
        <v>184.44</v>
      </c>
      <c r="O291" s="8">
        <f>IFERROR(N291/N444, "NA")</f>
        <v>-0.26885513541879086</v>
      </c>
      <c r="P291" s="9"/>
      <c r="Q291" s="7">
        <v>3653.1</v>
      </c>
      <c r="R291" s="8">
        <f>IFERROR(Q291/Q444, "NA")</f>
        <v>4.6663729814768965E-3</v>
      </c>
      <c r="S291" s="9"/>
      <c r="T291" s="7">
        <v>12716.37</v>
      </c>
      <c r="U291" s="8">
        <f>IFERROR(T291/T444, "NA")</f>
        <v>1.4999990622329687E-2</v>
      </c>
      <c r="V291" s="9"/>
      <c r="W291" s="10">
        <f t="shared" si="74"/>
        <v>9063.27</v>
      </c>
      <c r="X291" s="8">
        <f>IFERROR(W291/W444, "NA")</f>
        <v>-0.13964520727520149</v>
      </c>
      <c r="Y291" s="9"/>
      <c r="Z291" s="7">
        <v>6332.69</v>
      </c>
      <c r="AA291" s="8">
        <f>IFERROR(Z291/Z444, "NA")</f>
        <v>8.3662174493886448E-3</v>
      </c>
      <c r="AB291" s="9"/>
      <c r="AC291" s="10">
        <f t="shared" si="75"/>
        <v>2679.5899999999997</v>
      </c>
      <c r="AD291" s="8">
        <f>IFERROR(AC291/AC444, "NA")</f>
        <v>0.10337705025549207</v>
      </c>
    </row>
    <row r="292" spans="1:30" ht="16.5" customHeight="1" x14ac:dyDescent="0.45">
      <c r="A292" s="6" t="s">
        <v>265</v>
      </c>
      <c r="B292" s="7">
        <v>563.15</v>
      </c>
      <c r="C292" s="8">
        <f>IFERROR(B292/B444, "NA")</f>
        <v>4.9329866271081695E-3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-563.15</v>
      </c>
      <c r="I292" s="8">
        <f>IFERROR(H292/H444, "NA")</f>
        <v>4.6271228358762073E-2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-563.15</v>
      </c>
      <c r="O292" s="8">
        <f>IFERROR(N292/N444, "NA")</f>
        <v>0.820894434564585</v>
      </c>
      <c r="P292" s="9"/>
      <c r="Q292" s="7">
        <v>2893.81</v>
      </c>
      <c r="R292" s="8">
        <f>IFERROR(Q292/Q444, "NA")</f>
        <v>3.6964760881245131E-3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-2893.81</v>
      </c>
      <c r="X292" s="8">
        <f>IFERROR(W292/W444, "NA")</f>
        <v>4.458729545352294E-2</v>
      </c>
      <c r="Y292" s="9"/>
      <c r="Z292" s="7">
        <v>3594.02</v>
      </c>
      <c r="AA292" s="8">
        <f>IFERROR(Z292/Z444, "NA")</f>
        <v>4.7481169672685345E-3</v>
      </c>
      <c r="AB292" s="9"/>
      <c r="AC292" s="10">
        <f t="shared" si="75"/>
        <v>700.21</v>
      </c>
      <c r="AD292" s="8">
        <f>IFERROR(AC292/AC444, "NA")</f>
        <v>2.7013701483957663E-2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2724.85</v>
      </c>
      <c r="R293" s="8">
        <f>IFERROR(Q293/Q444, "NA")</f>
        <v>3.48065106856569E-3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-2724.85</v>
      </c>
      <c r="X293" s="8">
        <f>IFERROR(W293/W444, "NA")</f>
        <v>4.1983990661630159E-2</v>
      </c>
      <c r="Y293" s="9"/>
      <c r="Z293" s="7">
        <v>343.94</v>
      </c>
      <c r="AA293" s="8">
        <f>IFERROR(Z293/Z444, "NA")</f>
        <v>4.5438460267954538E-4</v>
      </c>
      <c r="AB293" s="9"/>
      <c r="AC293" s="10">
        <f t="shared" si="75"/>
        <v>-2380.91</v>
      </c>
      <c r="AD293" s="8">
        <f>IFERROR(AC293/AC444, "NA")</f>
        <v>-9.1854146613401161E-2</v>
      </c>
    </row>
    <row r="294" spans="1:30" ht="16.5" customHeight="1" x14ac:dyDescent="0.45">
      <c r="A294" s="6" t="s">
        <v>267</v>
      </c>
      <c r="B294" s="7">
        <v>538.98</v>
      </c>
      <c r="C294" s="8">
        <f>IFERROR(B294/B444, "NA")</f>
        <v>4.7212663274061283E-3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-538.98</v>
      </c>
      <c r="I294" s="8">
        <f>IFERROR(H294/H444, "NA")</f>
        <v>4.4285299939280091E-2</v>
      </c>
      <c r="J294" s="9"/>
      <c r="K294" s="7">
        <v>607.30999999999995</v>
      </c>
      <c r="L294" s="8">
        <f>IFERROR(K294/K444, "NA")</f>
        <v>5.2880346711036775E-3</v>
      </c>
      <c r="M294" s="9"/>
      <c r="N294" s="10">
        <f t="shared" si="73"/>
        <v>68.329999999999927</v>
      </c>
      <c r="O294" s="8">
        <f>IFERROR(N294/N444, "NA")</f>
        <v>-9.9603510101745604E-2</v>
      </c>
      <c r="P294" s="9"/>
      <c r="Q294" s="7">
        <v>3394.57</v>
      </c>
      <c r="R294" s="8">
        <f>IFERROR(Q294/Q444, "NA")</f>
        <v>4.3361336212345758E-3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-3394.57</v>
      </c>
      <c r="X294" s="8">
        <f>IFERROR(W294/W444, "NA")</f>
        <v>5.2302913988017653E-2</v>
      </c>
      <c r="Y294" s="9"/>
      <c r="Z294" s="7">
        <v>1241.45</v>
      </c>
      <c r="AA294" s="8">
        <f>IFERROR(Z294/Z444, "NA")</f>
        <v>1.6400993341760821E-3</v>
      </c>
      <c r="AB294" s="9"/>
      <c r="AC294" s="10">
        <f t="shared" si="75"/>
        <v>-2153.12</v>
      </c>
      <c r="AD294" s="8">
        <f>IFERROR(AC294/AC444, "NA")</f>
        <v>-8.3066138642891293E-2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3502.13</v>
      </c>
      <c r="C295" s="15">
        <f>IFERROR(B295/B444, "NA")</f>
        <v>3.0677369184754211E-2</v>
      </c>
      <c r="D295" s="2"/>
      <c r="E295" s="14">
        <f>IFERROR(E286+E287+E288+E289+E290+E291+E292+E293+E294, "NA")</f>
        <v>3244.96</v>
      </c>
      <c r="F295" s="15">
        <f>IFERROR(E295/E444, "NA")</f>
        <v>2.5686238687229423E-2</v>
      </c>
      <c r="G295" s="2"/>
      <c r="H295" s="14">
        <f t="shared" si="72"/>
        <v>-257.17000000000007</v>
      </c>
      <c r="I295" s="15">
        <f>IFERROR(H295/H444, "NA")</f>
        <v>2.113037698130666E-2</v>
      </c>
      <c r="J295" s="2"/>
      <c r="K295" s="14">
        <f>IFERROR(K286+K287+K288+K289+K290+K291+K292+K293+K294, "NA")</f>
        <v>2968.95</v>
      </c>
      <c r="L295" s="15">
        <f>IFERROR(K295/K444, "NA")</f>
        <v>2.585155939598107E-2</v>
      </c>
      <c r="M295" s="2"/>
      <c r="N295" s="14">
        <f t="shared" si="73"/>
        <v>-533.18000000000029</v>
      </c>
      <c r="O295" s="15">
        <f>IFERROR(N295/N444, "NA")</f>
        <v>0.77720766158420618</v>
      </c>
      <c r="P295" s="2"/>
      <c r="Q295" s="14">
        <f>IFERROR(Q286+Q287+Q288+Q289+Q290+Q291+Q292+Q293+Q294, "NA")</f>
        <v>30913.249999999996</v>
      </c>
      <c r="R295" s="15">
        <f>IFERROR(Q295/Q444, "NA")</f>
        <v>3.9487765067926055E-2</v>
      </c>
      <c r="S295" s="2"/>
      <c r="T295" s="14">
        <f>IFERROR(T286+T287+T288+T289+T290+T291+T292+T293+T294, "NA")</f>
        <v>24866.370000000003</v>
      </c>
      <c r="U295" s="15">
        <f>IFERROR(T295/T444, "NA")</f>
        <v>2.9331901856534552E-2</v>
      </c>
      <c r="V295" s="2"/>
      <c r="W295" s="14">
        <f t="shared" si="74"/>
        <v>-6046.8799999999937</v>
      </c>
      <c r="X295" s="15">
        <f>IFERROR(W295/W444, "NA")</f>
        <v>9.316922159091251E-2</v>
      </c>
      <c r="Y295" s="2"/>
      <c r="Z295" s="14">
        <f>IFERROR(Z286+Z287+Z288+Z289+Z290+Z291+Z292+Z293+Z294, "NA")</f>
        <v>31405.919999999998</v>
      </c>
      <c r="AA295" s="15">
        <f>IFERROR(Z295/Z444, "NA")</f>
        <v>4.1490860269191104E-2</v>
      </c>
      <c r="AB295" s="2"/>
      <c r="AC295" s="14">
        <f t="shared" si="75"/>
        <v>492.67000000000189</v>
      </c>
      <c r="AD295" s="15">
        <f>IFERROR(AC295/AC444, "NA")</f>
        <v>1.9006926936349769E-2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1642.3</v>
      </c>
      <c r="F297" s="8">
        <f>IFERROR(E297/E444, "NA")</f>
        <v>1.30000091822509E-2</v>
      </c>
      <c r="G297" s="9"/>
      <c r="H297" s="10">
        <f t="shared" ref="H297:H325" si="76">IFERROR(-(B297-E297), "NA")</f>
        <v>1642.3</v>
      </c>
      <c r="I297" s="8">
        <f>IFERROR(H297/H444, "NA")</f>
        <v>-0.13493960460551355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11020.86</v>
      </c>
      <c r="U297" s="8">
        <f>IFERROR(T297/T444, "NA")</f>
        <v>1.2999998950172757E-2</v>
      </c>
      <c r="V297" s="9"/>
      <c r="W297" s="10">
        <f t="shared" ref="W297:W325" si="78">IFERROR(-(Q297-T297), "NA")</f>
        <v>11020.86</v>
      </c>
      <c r="X297" s="8">
        <f>IFERROR(W297/W444, "NA")</f>
        <v>-0.16980739612203732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1025.8900000000001</v>
      </c>
      <c r="C299" s="8">
        <f>IFERROR(B299/B444, "NA")</f>
        <v>8.9864186289336772E-3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-1025.8900000000001</v>
      </c>
      <c r="I299" s="8">
        <f>IFERROR(H299/H444, "NA")</f>
        <v>8.4292267532576445E-2</v>
      </c>
      <c r="J299" s="9"/>
      <c r="K299" s="7">
        <v>500.37</v>
      </c>
      <c r="L299" s="8">
        <f>IFERROR(K299/K444, "NA")</f>
        <v>4.3568752504983405E-3</v>
      </c>
      <c r="M299" s="9"/>
      <c r="N299" s="10">
        <f t="shared" si="77"/>
        <v>-525.5200000000001</v>
      </c>
      <c r="O299" s="8">
        <f>IFERROR(N299/N444, "NA")</f>
        <v>0.76604180636132613</v>
      </c>
      <c r="P299" s="9"/>
      <c r="Q299" s="7">
        <v>6237.67</v>
      </c>
      <c r="R299" s="8">
        <f>IFERROR(Q299/Q444, "NA")</f>
        <v>7.9678341012753544E-3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-6237.67</v>
      </c>
      <c r="X299" s="8">
        <f>IFERROR(W299/W444, "NA")</f>
        <v>9.6108879031994651E-2</v>
      </c>
      <c r="Y299" s="9"/>
      <c r="Z299" s="7">
        <v>4506.53</v>
      </c>
      <c r="AA299" s="8">
        <f>IFERROR(Z299/Z444, "NA")</f>
        <v>5.9536484372665335E-3</v>
      </c>
      <c r="AB299" s="9"/>
      <c r="AC299" s="10">
        <f t="shared" si="79"/>
        <v>-1731.1400000000003</v>
      </c>
      <c r="AD299" s="8">
        <f>IFERROR(AC299/AC444, "NA")</f>
        <v>-6.6786391492464361E-2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102.67</v>
      </c>
      <c r="C305" s="8">
        <f>IFERROR(B305/B444, "NA")</f>
        <v>8.9935139306613829E-4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-102.67</v>
      </c>
      <c r="I305" s="8">
        <f>IFERROR(H305/H444, "NA")</f>
        <v>8.4358821194958755E-3</v>
      </c>
      <c r="J305" s="9"/>
      <c r="K305" s="7">
        <v>58.33</v>
      </c>
      <c r="L305" s="8">
        <f>IFERROR(K305/K444, "NA")</f>
        <v>5.0789722277828052E-4</v>
      </c>
      <c r="M305" s="9"/>
      <c r="N305" s="10">
        <f t="shared" si="77"/>
        <v>-44.34</v>
      </c>
      <c r="O305" s="8">
        <f>IFERROR(N305/N444, "NA")</f>
        <v>6.4633684149149787E-2</v>
      </c>
      <c r="P305" s="9"/>
      <c r="Q305" s="7">
        <v>317.35000000000002</v>
      </c>
      <c r="R305" s="8">
        <f>IFERROR(Q305/Q444, "NA")</f>
        <v>4.0537446707500293E-4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-317.35000000000002</v>
      </c>
      <c r="X305" s="8">
        <f>IFERROR(W305/W444, "NA")</f>
        <v>4.8896707842517326E-3</v>
      </c>
      <c r="Y305" s="9"/>
      <c r="Z305" s="7">
        <v>509.53</v>
      </c>
      <c r="AA305" s="8">
        <f>IFERROR(Z305/Z444, "NA")</f>
        <v>6.7314818457669577E-4</v>
      </c>
      <c r="AB305" s="9"/>
      <c r="AC305" s="10">
        <f t="shared" si="79"/>
        <v>192.17999999999995</v>
      </c>
      <c r="AD305" s="8">
        <f>IFERROR(AC305/AC444, "NA")</f>
        <v>7.4141945290512584E-3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167.02</v>
      </c>
      <c r="C310" s="8">
        <f>IFERROR(B310/B444, "NA")</f>
        <v>1.4630336969894461E-3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-167.02</v>
      </c>
      <c r="I310" s="8">
        <f>IFERROR(H310/H444, "NA")</f>
        <v>1.372320085320153E-2</v>
      </c>
      <c r="J310" s="9"/>
      <c r="K310" s="7">
        <v>40.21</v>
      </c>
      <c r="L310" s="8">
        <f>IFERROR(K310/K444, "NA")</f>
        <v>3.5012081823957927E-4</v>
      </c>
      <c r="M310" s="9"/>
      <c r="N310" s="10">
        <f t="shared" si="77"/>
        <v>-126.81</v>
      </c>
      <c r="O310" s="8">
        <f>IFERROR(N310/N444, "NA")</f>
        <v>0.1848488382262897</v>
      </c>
      <c r="P310" s="9"/>
      <c r="Q310" s="7">
        <v>874.48</v>
      </c>
      <c r="R310" s="8">
        <f>IFERROR(Q310/Q444, "NA")</f>
        <v>1.1170375420442684E-3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-874.48</v>
      </c>
      <c r="X310" s="8">
        <f>IFERROR(W310/W444, "NA")</f>
        <v>1.3473827973570048E-2</v>
      </c>
      <c r="Y310" s="9"/>
      <c r="Z310" s="7">
        <v>83.34</v>
      </c>
      <c r="AA310" s="8">
        <f>IFERROR(Z310/Z444, "NA")</f>
        <v>1.1010179911412838E-4</v>
      </c>
      <c r="AB310" s="9"/>
      <c r="AC310" s="10">
        <f t="shared" si="79"/>
        <v>-791.14</v>
      </c>
      <c r="AD310" s="8">
        <f>IFERROR(AC310/AC444, "NA")</f>
        <v>-3.0521728898499398E-2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3.4144192547391927E-5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4.1185095340491194E-4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-1.0312281182305141E-3</v>
      </c>
    </row>
    <row r="312" spans="1:30" ht="16.5" customHeight="1" x14ac:dyDescent="0.45">
      <c r="A312" s="6" t="s">
        <v>284</v>
      </c>
      <c r="B312" s="7">
        <v>1777.3</v>
      </c>
      <c r="C312" s="8">
        <f>IFERROR(B312/B444, "NA")</f>
        <v>1.5568493531668915E-2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-1777.3</v>
      </c>
      <c r="I312" s="8">
        <f>IFERROR(H312/H444, "NA")</f>
        <v>0.1460318816692317</v>
      </c>
      <c r="J312" s="9"/>
      <c r="K312" s="7">
        <v>68.78</v>
      </c>
      <c r="L312" s="8">
        <f>IFERROR(K312/K444, "NA")</f>
        <v>5.9888858190793991E-4</v>
      </c>
      <c r="M312" s="9"/>
      <c r="N312" s="10">
        <f t="shared" si="77"/>
        <v>-1708.52</v>
      </c>
      <c r="O312" s="8">
        <f>IFERROR(N312/N444, "NA")</f>
        <v>2.4904813270749977</v>
      </c>
      <c r="P312" s="9"/>
      <c r="Q312" s="7">
        <v>3420.93</v>
      </c>
      <c r="R312" s="8">
        <f>IFERROR(Q312/Q444, "NA")</f>
        <v>4.3698051856022992E-3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-3420.93</v>
      </c>
      <c r="X312" s="8">
        <f>IFERROR(W312/W444, "NA")</f>
        <v>5.270906404906342E-2</v>
      </c>
      <c r="Y312" s="9"/>
      <c r="Z312" s="7">
        <v>331.95</v>
      </c>
      <c r="AA312" s="8">
        <f>IFERROR(Z312/Z444, "NA")</f>
        <v>4.3854442303737598E-4</v>
      </c>
      <c r="AB312" s="9"/>
      <c r="AC312" s="10">
        <f t="shared" si="79"/>
        <v>-3088.98</v>
      </c>
      <c r="AD312" s="8">
        <f>IFERROR(AC312/AC444, "NA")</f>
        <v>-0.11917108240372964</v>
      </c>
    </row>
    <row r="313" spans="1:30" ht="16.5" customHeight="1" x14ac:dyDescent="0.45">
      <c r="A313" s="6" t="s">
        <v>285</v>
      </c>
      <c r="B313" s="7">
        <v>18</v>
      </c>
      <c r="C313" s="8">
        <f>IFERROR(B313/B444, "NA")</f>
        <v>1.5767337172679935E-4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-18</v>
      </c>
      <c r="I313" s="8">
        <f>IFERROR(H313/H444, "NA")</f>
        <v>1.4789702751624209E-3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-18</v>
      </c>
      <c r="O313" s="8">
        <f>IFERROR(N313/N444, "NA")</f>
        <v>2.6238302090317911E-2</v>
      </c>
      <c r="P313" s="9"/>
      <c r="Q313" s="7">
        <v>199.1</v>
      </c>
      <c r="R313" s="8">
        <f>IFERROR(Q313/Q444, "NA")</f>
        <v>2.5432505559991515E-4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-199.1</v>
      </c>
      <c r="X313" s="8">
        <f>IFERROR(W313/W444, "NA")</f>
        <v>3.0676964019048995E-3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-199.1</v>
      </c>
      <c r="AD313" s="8">
        <f>IFERROR(AC313/AC444, "NA")</f>
        <v>-7.6811641728281085E-3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2.2617504209669761E-5</v>
      </c>
      <c r="AB316" s="9"/>
      <c r="AC316" s="10">
        <f t="shared" si="79"/>
        <v>17.12</v>
      </c>
      <c r="AD316" s="8">
        <f>IFERROR(AC316/AC444, "NA")</f>
        <v>6.604798123496596E-4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3.6314805398210671E-3</v>
      </c>
      <c r="D318" s="9"/>
      <c r="E318" s="7">
        <v>915</v>
      </c>
      <c r="F318" s="8">
        <f>IFERROR(E318/E444, "NA")</f>
        <v>7.2428961832549307E-3</v>
      </c>
      <c r="G318" s="9"/>
      <c r="H318" s="10">
        <f t="shared" si="76"/>
        <v>500.43</v>
      </c>
      <c r="I318" s="8">
        <f>IFERROR(H318/H444, "NA")</f>
        <v>-4.1117838599973908E-2</v>
      </c>
      <c r="J318" s="9"/>
      <c r="K318" s="7">
        <v>414.57</v>
      </c>
      <c r="L318" s="8">
        <f>IFERROR(K318/K444, "NA")</f>
        <v>3.6097883018548216E-3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3731.13</v>
      </c>
      <c r="R318" s="8">
        <f>IFERROR(Q318/Q444, "NA")</f>
        <v>4.7660464324485764E-3</v>
      </c>
      <c r="S318" s="9"/>
      <c r="T318" s="7">
        <v>8235</v>
      </c>
      <c r="U318" s="8">
        <f>IFERROR(T318/T444, "NA")</f>
        <v>9.7138509476277397E-3</v>
      </c>
      <c r="V318" s="9"/>
      <c r="W318" s="10">
        <f t="shared" si="78"/>
        <v>4503.87</v>
      </c>
      <c r="X318" s="8">
        <f>IFERROR(W318/W444, "NA")</f>
        <v>-6.9394805593407424E-2</v>
      </c>
      <c r="Y318" s="9"/>
      <c r="Z318" s="7">
        <v>3731.13</v>
      </c>
      <c r="AA318" s="8">
        <f>IFERROR(Z318/Z444, "NA")</f>
        <v>4.9292551683309078E-3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149.51</v>
      </c>
      <c r="C319" s="8">
        <f>IFERROR(B319/B444, "NA")</f>
        <v>1.3096525448263205E-3</v>
      </c>
      <c r="D319" s="9"/>
      <c r="E319" s="7">
        <v>149</v>
      </c>
      <c r="F319" s="8">
        <f>IFERROR(E319/E444, "NA")</f>
        <v>1.17944429650818E-3</v>
      </c>
      <c r="G319" s="9"/>
      <c r="H319" s="10">
        <f t="shared" si="76"/>
        <v>-0.50999999999999091</v>
      </c>
      <c r="I319" s="8">
        <f>IFERROR(H319/H444, "NA")</f>
        <v>4.1904157796267844E-5</v>
      </c>
      <c r="J319" s="9"/>
      <c r="K319" s="7">
        <v>149.44</v>
      </c>
      <c r="L319" s="8">
        <f>IFERROR(K319/K444, "NA")</f>
        <v>1.3012199720895978E-3</v>
      </c>
      <c r="M319" s="9"/>
      <c r="N319" s="10">
        <f t="shared" si="77"/>
        <v>-6.9999999999993179E-2</v>
      </c>
      <c r="O319" s="8">
        <f>IFERROR(N319/N444, "NA")</f>
        <v>1.0203784146233748E-4</v>
      </c>
      <c r="P319" s="9"/>
      <c r="Q319" s="7">
        <v>1345.95</v>
      </c>
      <c r="R319" s="8">
        <f>IFERROR(Q319/Q444, "NA")</f>
        <v>1.7192808065530178E-3</v>
      </c>
      <c r="S319" s="9"/>
      <c r="T319" s="7">
        <v>1341</v>
      </c>
      <c r="U319" s="8">
        <f>IFERROR(T319/T444, "NA")</f>
        <v>1.5818183510344626E-3</v>
      </c>
      <c r="V319" s="9"/>
      <c r="W319" s="10">
        <f t="shared" si="78"/>
        <v>-4.9500000000000455</v>
      </c>
      <c r="X319" s="8">
        <f>IFERROR(W319/W444, "NA")</f>
        <v>7.6268695074984395E-5</v>
      </c>
      <c r="Y319" s="9"/>
      <c r="Z319" s="7">
        <v>1345.05</v>
      </c>
      <c r="AA319" s="8">
        <f>IFERROR(Z319/Z444, "NA")</f>
        <v>1.7769669414261864E-3</v>
      </c>
      <c r="AB319" s="9"/>
      <c r="AC319" s="10">
        <f t="shared" si="79"/>
        <v>-0.90000000000009095</v>
      </c>
      <c r="AD319" s="8">
        <f>IFERROR(AC319/AC444, "NA")</f>
        <v>-3.4721485462310381E-5</v>
      </c>
    </row>
    <row r="320" spans="1:30" ht="16.5" customHeight="1" x14ac:dyDescent="0.45">
      <c r="A320" s="6" t="s">
        <v>292</v>
      </c>
      <c r="B320" s="7">
        <v>1702.83</v>
      </c>
      <c r="C320" s="8">
        <f>IFERROR(B320/B444, "NA")</f>
        <v>1.4916163754308095E-2</v>
      </c>
      <c r="D320" s="9"/>
      <c r="E320" s="7">
        <v>800</v>
      </c>
      <c r="F320" s="8">
        <f>IFERROR(E320/E444, "NA")</f>
        <v>6.3325868268895571E-3</v>
      </c>
      <c r="G320" s="9"/>
      <c r="H320" s="10">
        <f t="shared" si="76"/>
        <v>-902.82999999999993</v>
      </c>
      <c r="I320" s="8">
        <f>IFERROR(H320/H444, "NA")</f>
        <v>7.4181040751382682E-2</v>
      </c>
      <c r="J320" s="9"/>
      <c r="K320" s="7">
        <v>565.73</v>
      </c>
      <c r="L320" s="8">
        <f>IFERROR(K320/K444, "NA")</f>
        <v>4.9259848421456653E-3</v>
      </c>
      <c r="M320" s="9"/>
      <c r="N320" s="10">
        <f t="shared" si="77"/>
        <v>-1137.0999999999999</v>
      </c>
      <c r="O320" s="8">
        <f>IFERROR(N320/N444, "NA")</f>
        <v>1.6575318503833607</v>
      </c>
      <c r="P320" s="9"/>
      <c r="Q320" s="7">
        <v>10578.63</v>
      </c>
      <c r="R320" s="8">
        <f>IFERROR(Q320/Q444, "NA")</f>
        <v>1.3512861189959469E-2</v>
      </c>
      <c r="S320" s="9"/>
      <c r="T320" s="7">
        <v>7200</v>
      </c>
      <c r="U320" s="8">
        <f>IFERROR(T320/T444, "NA")</f>
        <v>8.4929844350843629E-3</v>
      </c>
      <c r="V320" s="9"/>
      <c r="W320" s="10">
        <f t="shared" si="78"/>
        <v>-3378.6299999999992</v>
      </c>
      <c r="X320" s="8">
        <f>IFERROR(W320/W444, "NA")</f>
        <v>5.2057313382059003E-2</v>
      </c>
      <c r="Y320" s="9"/>
      <c r="Z320" s="7">
        <v>6306.89</v>
      </c>
      <c r="AA320" s="8">
        <f>IFERROR(Z320/Z444, "NA")</f>
        <v>8.3321326591661287E-3</v>
      </c>
      <c r="AB320" s="9"/>
      <c r="AC320" s="10">
        <f t="shared" si="79"/>
        <v>-4271.7399999999989</v>
      </c>
      <c r="AD320" s="8">
        <f>IFERROR(AC320/AC444, "NA")</f>
        <v>-0.16480128700972746</v>
      </c>
    </row>
    <row r="321" spans="1:30" ht="16.5" customHeight="1" x14ac:dyDescent="0.45">
      <c r="A321" s="6" t="s">
        <v>293</v>
      </c>
      <c r="B321" s="7">
        <v>1621.59</v>
      </c>
      <c r="C321" s="8">
        <f>IFERROR(B321/B444, "NA")</f>
        <v>1.4204531269914474E-2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-1621.59</v>
      </c>
      <c r="I321" s="8">
        <f>IFERROR(H321/H444, "NA")</f>
        <v>0.13323796713892389</v>
      </c>
      <c r="J321" s="9"/>
      <c r="K321" s="7">
        <v>2510.08</v>
      </c>
      <c r="L321" s="8">
        <f>IFERROR(K321/K444, "NA")</f>
        <v>2.1856037389873243E-2</v>
      </c>
      <c r="M321" s="9"/>
      <c r="N321" s="10">
        <f t="shared" si="77"/>
        <v>888.49</v>
      </c>
      <c r="O321" s="8">
        <f>IFERROR(N321/N444, "NA")</f>
        <v>-1.2951371680125867</v>
      </c>
      <c r="P321" s="9"/>
      <c r="Q321" s="7">
        <v>14226.04</v>
      </c>
      <c r="R321" s="8">
        <f>IFERROR(Q321/Q444, "NA")</f>
        <v>1.8171965916457145E-2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-14226.04</v>
      </c>
      <c r="X321" s="8">
        <f>IFERROR(W321/W444, "NA")</f>
        <v>0.21919222361303456</v>
      </c>
      <c r="Y321" s="9"/>
      <c r="Z321" s="7">
        <v>18776.59</v>
      </c>
      <c r="AA321" s="8">
        <f>IFERROR(Z321/Z444, "NA")</f>
        <v>2.4806051598612332E-2</v>
      </c>
      <c r="AB321" s="9"/>
      <c r="AC321" s="10">
        <f t="shared" si="79"/>
        <v>4550.5499999999993</v>
      </c>
      <c r="AD321" s="8">
        <f>IFERROR(AC321/AC444, "NA")</f>
        <v>0.17555761741166723</v>
      </c>
    </row>
    <row r="322" spans="1:30" ht="16.5" customHeight="1" x14ac:dyDescent="0.45">
      <c r="A322" s="6" t="s">
        <v>294</v>
      </c>
      <c r="B322" s="7">
        <v>212.27</v>
      </c>
      <c r="C322" s="8">
        <f>IFERROR(B322/B444, "NA")</f>
        <v>1.8594070342470943E-3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-212.27</v>
      </c>
      <c r="I322" s="8">
        <f>IFERROR(H322/H444, "NA")</f>
        <v>1.7441167794929283E-2</v>
      </c>
      <c r="J322" s="9"/>
      <c r="K322" s="7">
        <v>162.27000000000001</v>
      </c>
      <c r="L322" s="8">
        <f>IFERROR(K322/K444, "NA")</f>
        <v>1.4129347221023757E-3</v>
      </c>
      <c r="M322" s="9"/>
      <c r="N322" s="10">
        <f t="shared" si="77"/>
        <v>-50</v>
      </c>
      <c r="O322" s="8">
        <f>IFERROR(N322/N444, "NA")</f>
        <v>7.2884172473105302E-2</v>
      </c>
      <c r="P322" s="9"/>
      <c r="Q322" s="7">
        <v>2513.25</v>
      </c>
      <c r="R322" s="8">
        <f>IFERROR(Q322/Q444, "NA")</f>
        <v>3.210358844733736E-3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-2513.25</v>
      </c>
      <c r="X322" s="8">
        <f>IFERROR(W322/W444, "NA")</f>
        <v>3.8723696544889448E-2</v>
      </c>
      <c r="Y322" s="9"/>
      <c r="Z322" s="7">
        <v>1738.96</v>
      </c>
      <c r="AA322" s="8">
        <f>IFERROR(Z322/Z444, "NA")</f>
        <v>2.2973677056336056E-3</v>
      </c>
      <c r="AB322" s="9"/>
      <c r="AC322" s="10">
        <f t="shared" si="79"/>
        <v>-774.29</v>
      </c>
      <c r="AD322" s="8">
        <f>IFERROR(AC322/AC444, "NA")</f>
        <v>-2.9871665531788428E-2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7191.6500000000005</v>
      </c>
      <c r="C324" s="15">
        <f>IFERROR(B324/B444, "NA")</f>
        <v>6.2996205765502036E-2</v>
      </c>
      <c r="D324" s="2"/>
      <c r="E324" s="14">
        <f>IFERROR(E297+E298+E299+E300+E301+E302+E303+E304+E305+E306+E307+E308+E309+E310+E311+E312+E313+E314+E315+E316+E317+E318+E319+E320+E321+E322+E323, "NA")</f>
        <v>3506.3</v>
      </c>
      <c r="F324" s="15">
        <f>IFERROR(E324/E444, "NA")</f>
        <v>2.7754936488903568E-2</v>
      </c>
      <c r="G324" s="2"/>
      <c r="H324" s="14">
        <f t="shared" si="76"/>
        <v>-3685.3500000000004</v>
      </c>
      <c r="I324" s="15">
        <f>IFERROR(H324/H444, "NA")</f>
        <v>0.30280683908721268</v>
      </c>
      <c r="J324" s="2"/>
      <c r="K324" s="14">
        <f>IFERROR(K297+K298+K299+K300+K301+K302+K303+K304+K305+K306+K307+K308+K309+K310+K311+K312+K313+K314+K315+K316+K317+K318+K319+K320+K321+K322+K323, "NA")</f>
        <v>4469.7800000000007</v>
      </c>
      <c r="L324" s="15">
        <f>IFERROR(K324/K444, "NA")</f>
        <v>3.8919747101489849E-2</v>
      </c>
      <c r="M324" s="2"/>
      <c r="N324" s="14">
        <f t="shared" si="77"/>
        <v>-2721.87</v>
      </c>
      <c r="O324" s="15">
        <f>IFERROR(N324/N444, "NA")</f>
        <v>3.9676248505874225</v>
      </c>
      <c r="P324" s="2"/>
      <c r="Q324" s="14">
        <f>IFERROR(Q297+Q298+Q299+Q300+Q301+Q302+Q303+Q304+Q305+Q306+Q307+Q308+Q309+Q310+Q311+Q312+Q313+Q314+Q315+Q316+Q317+Q318+Q319+Q320+Q321+Q322+Q323, "NA")</f>
        <v>43471.26</v>
      </c>
      <c r="R324" s="15">
        <f>IFERROR(Q324/Q444, "NA")</f>
        <v>5.5529033734296178E-2</v>
      </c>
      <c r="S324" s="2"/>
      <c r="T324" s="14">
        <f>IFERROR(T297+T298+T299+T300+T301+T302+T303+T304+T305+T306+T307+T308+T309+T310+T311+T312+T313+T314+T315+T316+T317+T318+T319+T320+T321+T322+T323, "NA")</f>
        <v>27796.86</v>
      </c>
      <c r="U324" s="15">
        <f>IFERROR(T324/T444, "NA")</f>
        <v>3.2788652683919325E-2</v>
      </c>
      <c r="V324" s="2"/>
      <c r="W324" s="14">
        <f t="shared" si="78"/>
        <v>-15674.400000000001</v>
      </c>
      <c r="X324" s="15">
        <f>IFERROR(W324/W444, "NA")</f>
        <v>0.24150828971380292</v>
      </c>
      <c r="Y324" s="2"/>
      <c r="Z324" s="14">
        <f>IFERROR(Z297+Z298+Z299+Z300+Z301+Z302+Z303+Z304+Z305+Z306+Z307+Z308+Z309+Z310+Z311+Z312+Z313+Z314+Z315+Z316+Z317+Z318+Z319+Z320+Z321+Z322+Z323, "NA")</f>
        <v>37347.089999999997</v>
      </c>
      <c r="AA324" s="15">
        <f>IFERROR(Z324/Z444, "NA")</f>
        <v>4.933983442137356E-2</v>
      </c>
      <c r="AB324" s="2"/>
      <c r="AC324" s="14">
        <f t="shared" si="79"/>
        <v>-6124.1700000000055</v>
      </c>
      <c r="AD324" s="15">
        <f>IFERROR(AC324/AC444, "NA")</f>
        <v>-0.23626697735966229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27196.239999999998</v>
      </c>
      <c r="C325" s="15">
        <f>IFERROR(B325/B444, "NA")</f>
        <v>0.23822904772729162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26568.109999999997</v>
      </c>
      <c r="F325" s="15">
        <f>IFERROR(E325/E444, "NA")</f>
        <v>0.21030607925169087</v>
      </c>
      <c r="G325" s="2"/>
      <c r="H325" s="14">
        <f t="shared" si="76"/>
        <v>-628.13000000000102</v>
      </c>
      <c r="I325" s="15">
        <f>IFERROR(H325/H444, "NA")</f>
        <v>5.1610311052098498E-2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35330.089999999997</v>
      </c>
      <c r="L325" s="15">
        <f>IFERROR(K325/K444, "NA")</f>
        <v>0.30762994327973081</v>
      </c>
      <c r="M325" s="2"/>
      <c r="N325" s="14">
        <f t="shared" si="77"/>
        <v>8133.8499999999985</v>
      </c>
      <c r="O325" s="15">
        <f>IFERROR(N325/N444, "NA")</f>
        <v>-11.85657852540735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207310.89000000007</v>
      </c>
      <c r="R325" s="15">
        <f>IFERROR(Q325/Q444, "NA")</f>
        <v>0.2648134285570965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185800.43</v>
      </c>
      <c r="U325" s="15">
        <f>IFERROR(T325/T444, "NA")</f>
        <v>0.21916668889194188</v>
      </c>
      <c r="V325" s="2"/>
      <c r="W325" s="14">
        <f t="shared" si="78"/>
        <v>-21510.460000000079</v>
      </c>
      <c r="X325" s="15">
        <f>IFERROR(W325/W444, "NA")</f>
        <v>0.33142923528538176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192270.47999999995</v>
      </c>
      <c r="AA325" s="15">
        <f>IFERROR(Z325/Z444, "NA")</f>
        <v>0.25401158824738462</v>
      </c>
      <c r="AB325" s="2"/>
      <c r="AC325" s="14">
        <f t="shared" si="79"/>
        <v>-15040.41000000012</v>
      </c>
      <c r="AD325" s="15">
        <f>IFERROR(AC325/AC444, "NA")</f>
        <v>-0.5802504190690434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4.0274684532811612E-2</v>
      </c>
      <c r="D329" s="9"/>
      <c r="E329" s="7">
        <v>6063.87</v>
      </c>
      <c r="F329" s="8">
        <f>IFERROR(E329/E444, "NA")</f>
        <v>4.7999979102463473E-2</v>
      </c>
      <c r="G329" s="9"/>
      <c r="H329" s="10">
        <f t="shared" si="80"/>
        <v>1466.1099999999997</v>
      </c>
      <c r="I329" s="8">
        <f>IFERROR(H329/H444, "NA")</f>
        <v>-0.12046295056213202</v>
      </c>
      <c r="J329" s="9"/>
      <c r="K329" s="7">
        <v>6377.92</v>
      </c>
      <c r="L329" s="8">
        <f>IFERROR(K329/K444, "NA")</f>
        <v>5.5534508059352831E-2</v>
      </c>
      <c r="M329" s="9"/>
      <c r="N329" s="10">
        <f t="shared" si="81"/>
        <v>1780.1599999999999</v>
      </c>
      <c r="O329" s="8">
        <f>IFERROR(N329/N444, "NA")</f>
        <v>-2.5949097693944627</v>
      </c>
      <c r="P329" s="9"/>
      <c r="Q329" s="7">
        <v>41379.839999999997</v>
      </c>
      <c r="R329" s="8">
        <f>IFERROR(Q329/Q444, "NA")</f>
        <v>5.285750933558811E-2</v>
      </c>
      <c r="S329" s="9"/>
      <c r="T329" s="7">
        <v>44247.41</v>
      </c>
      <c r="U329" s="8">
        <f>IFERROR(T329/T444, "NA")</f>
        <v>5.2193411725388363E-2</v>
      </c>
      <c r="V329" s="9"/>
      <c r="W329" s="10">
        <f t="shared" si="82"/>
        <v>2867.570000000007</v>
      </c>
      <c r="X329" s="8">
        <f>IFERROR(W329/W444, "NA")</f>
        <v>-4.4182994330539696E-2</v>
      </c>
      <c r="Y329" s="9"/>
      <c r="Z329" s="7">
        <v>57401.279999999999</v>
      </c>
      <c r="AA329" s="8">
        <f>IFERROR(Z329/Z444, "NA")</f>
        <v>7.5833743693950503E-2</v>
      </c>
      <c r="AB329" s="9"/>
      <c r="AC329" s="10">
        <f t="shared" si="83"/>
        <v>16021.440000000002</v>
      </c>
      <c r="AD329" s="8">
        <f>IFERROR(AC329/AC444, "NA")</f>
        <v>0.61809799560580214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1.476891434437879E-2</v>
      </c>
      <c r="D330" s="9"/>
      <c r="E330" s="7">
        <v>1686</v>
      </c>
      <c r="F330" s="8">
        <f>IFERROR(E330/E444, "NA")</f>
        <v>1.3345926737669742E-2</v>
      </c>
      <c r="G330" s="9"/>
      <c r="H330" s="10">
        <f t="shared" si="80"/>
        <v>-1.999999999998181E-2</v>
      </c>
      <c r="I330" s="8">
        <f>IFERROR(H330/H444, "NA")</f>
        <v>1.6433003057345287E-6</v>
      </c>
      <c r="J330" s="9"/>
      <c r="K330" s="7">
        <v>1636.91</v>
      </c>
      <c r="L330" s="8">
        <f>IFERROR(K330/K444, "NA")</f>
        <v>1.4253078054825907E-2</v>
      </c>
      <c r="M330" s="9"/>
      <c r="N330" s="10">
        <f t="shared" si="81"/>
        <v>-49.1099999999999</v>
      </c>
      <c r="O330" s="8">
        <f>IFERROR(N330/N444, "NA")</f>
        <v>7.1586834203083885E-2</v>
      </c>
      <c r="P330" s="9"/>
      <c r="Q330" s="7">
        <v>16425.29</v>
      </c>
      <c r="R330" s="8">
        <f>IFERROR(Q330/Q444, "NA")</f>
        <v>2.0981229495202064E-2</v>
      </c>
      <c r="S330" s="9"/>
      <c r="T330" s="7">
        <v>15174</v>
      </c>
      <c r="U330" s="8">
        <f>IFERROR(T330/T444, "NA")</f>
        <v>1.7898964696940294E-2</v>
      </c>
      <c r="V330" s="9"/>
      <c r="W330" s="10">
        <f t="shared" si="82"/>
        <v>-1251.2900000000009</v>
      </c>
      <c r="X330" s="8">
        <f>IFERROR(W330/W444, "NA")</f>
        <v>1.927964756775281E-2</v>
      </c>
      <c r="Y330" s="9"/>
      <c r="Z330" s="7">
        <v>13231.01</v>
      </c>
      <c r="AA330" s="8">
        <f>IFERROR(Z330/Z444, "NA")</f>
        <v>1.7479697685349457E-2</v>
      </c>
      <c r="AB330" s="9"/>
      <c r="AC330" s="10">
        <f t="shared" si="83"/>
        <v>-3194.2800000000007</v>
      </c>
      <c r="AD330" s="8">
        <f>IFERROR(AC330/AC444, "NA")</f>
        <v>-0.12323349620281958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1.6765672404663451E-2</v>
      </c>
      <c r="D333" s="9"/>
      <c r="E333" s="7">
        <v>1686</v>
      </c>
      <c r="F333" s="8">
        <f>IFERROR(E333/E444, "NA")</f>
        <v>1.3345926737669742E-2</v>
      </c>
      <c r="G333" s="9"/>
      <c r="H333" s="10">
        <f t="shared" si="80"/>
        <v>-227.97000000000003</v>
      </c>
      <c r="I333" s="8">
        <f>IFERROR(H333/H444, "NA")</f>
        <v>1.8731158534932062E-2</v>
      </c>
      <c r="J333" s="9"/>
      <c r="K333" s="7">
        <v>1853.78</v>
      </c>
      <c r="L333" s="8">
        <f>IFERROR(K333/K444, "NA")</f>
        <v>1.6141431744246884E-2</v>
      </c>
      <c r="M333" s="9"/>
      <c r="N333" s="10">
        <f t="shared" si="81"/>
        <v>-60.190000000000055</v>
      </c>
      <c r="O333" s="8">
        <f>IFERROR(N333/N444, "NA")</f>
        <v>8.773796682312425E-2</v>
      </c>
      <c r="P333" s="9"/>
      <c r="Q333" s="7">
        <v>16466.990000000002</v>
      </c>
      <c r="R333" s="8">
        <f>IFERROR(Q333/Q444, "NA")</f>
        <v>2.1034495968424147E-2</v>
      </c>
      <c r="S333" s="9"/>
      <c r="T333" s="7">
        <v>15174</v>
      </c>
      <c r="U333" s="8">
        <f>IFERROR(T333/T444, "NA")</f>
        <v>1.7898964696940294E-2</v>
      </c>
      <c r="V333" s="9"/>
      <c r="W333" s="10">
        <f t="shared" si="82"/>
        <v>-1292.9900000000016</v>
      </c>
      <c r="X333" s="8">
        <f>IFERROR(W333/W444, "NA")</f>
        <v>1.9922153544445109E-2</v>
      </c>
      <c r="Y333" s="9"/>
      <c r="Z333" s="7">
        <v>16894.84</v>
      </c>
      <c r="AA333" s="8">
        <f>IFERROR(Z333/Z444, "NA")</f>
        <v>2.23200417536038E-2</v>
      </c>
      <c r="AB333" s="9"/>
      <c r="AC333" s="10">
        <f t="shared" si="83"/>
        <v>427.84999999999854</v>
      </c>
      <c r="AD333" s="8">
        <f>IFERROR(AC333/AC444, "NA")</f>
        <v>1.6506208394497717E-2</v>
      </c>
    </row>
    <row r="334" spans="1:30" ht="16.5" customHeight="1" x14ac:dyDescent="0.45">
      <c r="A334" s="6" t="s">
        <v>305</v>
      </c>
      <c r="B334" s="7">
        <v>708.06</v>
      </c>
      <c r="C334" s="8">
        <f>IFERROR(B334/B444, "NA")</f>
        <v>6.2023448658265297E-3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-708.06</v>
      </c>
      <c r="I334" s="8">
        <f>IFERROR(H334/H444, "NA")</f>
        <v>5.8177760723972426E-2</v>
      </c>
      <c r="J334" s="9"/>
      <c r="K334" s="7">
        <v>982.2</v>
      </c>
      <c r="L334" s="8">
        <f>IFERROR(K334/K444, "NA")</f>
        <v>8.5523170274786064E-3</v>
      </c>
      <c r="M334" s="9"/>
      <c r="N334" s="10">
        <f t="shared" si="81"/>
        <v>274.1400000000001</v>
      </c>
      <c r="O334" s="8">
        <f>IFERROR(N334/N444, "NA")</f>
        <v>-0.39960934083554195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3097.38</v>
      </c>
      <c r="F337" s="8">
        <f>IFERROR(E337/E444, "NA")</f>
        <v>2.4518034732338972E-2</v>
      </c>
      <c r="G337" s="9"/>
      <c r="H337" s="10">
        <f t="shared" ref="H337:H344" si="84">IFERROR(-(B337-E337), "NA")</f>
        <v>3097.38</v>
      </c>
      <c r="I337" s="8">
        <f>IFERROR(H337/H444, "NA")</f>
        <v>-0.25449627504903216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26447.71</v>
      </c>
      <c r="U337" s="8">
        <f>IFERROR(T337/T444, "NA")</f>
        <v>3.1197220746336813E-2</v>
      </c>
      <c r="V337" s="9"/>
      <c r="W337" s="10">
        <f t="shared" ref="W337:W344" si="86">IFERROR(-(Q337-T337), "NA")</f>
        <v>26447.71</v>
      </c>
      <c r="X337" s="8">
        <f>IFERROR(W337/W444, "NA")</f>
        <v>-0.40750148069123165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2636.95</v>
      </c>
      <c r="C338" s="8">
        <f>IFERROR(B338/B444, "NA")</f>
        <v>2.3098710976387972E-2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-2636.95</v>
      </c>
      <c r="I338" s="8">
        <f>IFERROR(H338/H444, "NA")</f>
        <v>0.21666503706053031</v>
      </c>
      <c r="J338" s="9"/>
      <c r="K338" s="7">
        <v>2355.1</v>
      </c>
      <c r="L338" s="8">
        <f>IFERROR(K338/K444, "NA")</f>
        <v>2.0506578936484283E-2</v>
      </c>
      <c r="M338" s="9"/>
      <c r="N338" s="10">
        <f t="shared" si="85"/>
        <v>-281.84999999999991</v>
      </c>
      <c r="O338" s="8">
        <f>IFERROR(N338/N444, "NA")</f>
        <v>0.41084808023089447</v>
      </c>
      <c r="P338" s="9"/>
      <c r="Q338" s="7">
        <v>23921.02</v>
      </c>
      <c r="R338" s="8">
        <f>IFERROR(Q338/Q444, "NA")</f>
        <v>3.0556076049757325E-2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-23921.02</v>
      </c>
      <c r="X338" s="8">
        <f>IFERROR(W338/W444, "NA")</f>
        <v>0.36857070308335077</v>
      </c>
      <c r="Y338" s="9"/>
      <c r="Z338" s="7">
        <v>20066.53</v>
      </c>
      <c r="AA338" s="8">
        <f>IFERROR(Z338/Z444, "NA")</f>
        <v>2.6510211842784143E-2</v>
      </c>
      <c r="AB338" s="9"/>
      <c r="AC338" s="10">
        <f t="shared" si="87"/>
        <v>-3854.4900000000016</v>
      </c>
      <c r="AD338" s="8">
        <f>IFERROR(AC338/AC444, "NA")</f>
        <v>-0.14870402055511919</v>
      </c>
    </row>
    <row r="339" spans="1:30" ht="16.5" customHeight="1" x14ac:dyDescent="0.45">
      <c r="A339" s="12" t="s">
        <v>309</v>
      </c>
      <c r="B339" s="7">
        <v>316.86</v>
      </c>
      <c r="C339" s="8">
        <f>IFERROR(B339/B444, "NA")</f>
        <v>2.7755769202974247E-3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-316.86</v>
      </c>
      <c r="I339" s="8">
        <f>IFERROR(H339/H444, "NA")</f>
        <v>2.6034806743775816E-2</v>
      </c>
      <c r="J339" s="9"/>
      <c r="K339" s="7">
        <v>364.74</v>
      </c>
      <c r="L339" s="8">
        <f>IFERROR(K339/K444, "NA")</f>
        <v>3.1759031893733932E-3</v>
      </c>
      <c r="M339" s="9"/>
      <c r="N339" s="10">
        <f t="shared" si="85"/>
        <v>47.879999999999995</v>
      </c>
      <c r="O339" s="8">
        <f>IFERROR(N339/N444, "NA")</f>
        <v>-6.9793883560245643E-2</v>
      </c>
      <c r="P339" s="9"/>
      <c r="Q339" s="7">
        <v>2939.66</v>
      </c>
      <c r="R339" s="8">
        <f>IFERROR(Q339/Q444, "NA")</f>
        <v>3.7550436611996315E-3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-2939.66</v>
      </c>
      <c r="X339" s="8">
        <f>IFERROR(W339/W444, "NA")</f>
        <v>4.5293743871540712E-2</v>
      </c>
      <c r="Y339" s="9"/>
      <c r="Z339" s="7">
        <v>2849.08</v>
      </c>
      <c r="AA339" s="8">
        <f>IFERROR(Z339/Z444, "NA")</f>
        <v>3.7639648886498784E-3</v>
      </c>
      <c r="AB339" s="9"/>
      <c r="AC339" s="10">
        <f t="shared" si="87"/>
        <v>-90.579999999999927</v>
      </c>
      <c r="AD339" s="8">
        <f>IFERROR(AC339/AC444, "NA")</f>
        <v>-3.4945246146397264E-3</v>
      </c>
    </row>
    <row r="340" spans="1:30" ht="16.5" customHeight="1" x14ac:dyDescent="0.45">
      <c r="A340" s="12" t="s">
        <v>310</v>
      </c>
      <c r="B340" s="7">
        <v>270.75</v>
      </c>
      <c r="C340" s="8">
        <f>IFERROR(B340/B444, "NA")</f>
        <v>2.3716702997239403E-3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-270.75</v>
      </c>
      <c r="I340" s="8">
        <f>IFERROR(H340/H444, "NA")</f>
        <v>2.2246177888901413E-2</v>
      </c>
      <c r="J340" s="9"/>
      <c r="K340" s="7">
        <v>167.48</v>
      </c>
      <c r="L340" s="8">
        <f>IFERROR(K340/K444, "NA")</f>
        <v>1.458299792060799E-3</v>
      </c>
      <c r="M340" s="9"/>
      <c r="N340" s="10">
        <f t="shared" si="85"/>
        <v>-103.27000000000001</v>
      </c>
      <c r="O340" s="8">
        <f>IFERROR(N340/N444, "NA")</f>
        <v>0.15053496982595171</v>
      </c>
      <c r="P340" s="9"/>
      <c r="Q340" s="7">
        <v>3587.81</v>
      </c>
      <c r="R340" s="8">
        <f>IFERROR(Q340/Q444, "NA")</f>
        <v>4.5829732683673116E-3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-3587.81</v>
      </c>
      <c r="X340" s="8">
        <f>IFERROR(W340/W444, "NA")</f>
        <v>5.528032058120752E-2</v>
      </c>
      <c r="Y340" s="9"/>
      <c r="Z340" s="7">
        <v>3288.22</v>
      </c>
      <c r="AA340" s="8">
        <f>IFERROR(Z340/Z444, "NA")</f>
        <v>4.3441197250187087E-3</v>
      </c>
      <c r="AB340" s="9"/>
      <c r="AC340" s="10">
        <f t="shared" si="87"/>
        <v>-299.59000000000015</v>
      </c>
      <c r="AD340" s="8">
        <f>IFERROR(AC340/AC444, "NA")</f>
        <v>-1.1558010921836134E-2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3224.56</v>
      </c>
      <c r="C342" s="15">
        <f>IFERROR(B342/B444, "NA")</f>
        <v>2.8245958196409338E-2</v>
      </c>
      <c r="D342" s="2"/>
      <c r="E342" s="14">
        <f>IFERROR(E337+E338+E339+E340+E341, "NA")</f>
        <v>3097.38</v>
      </c>
      <c r="F342" s="15">
        <f>IFERROR(E342/E444, "NA")</f>
        <v>2.4518034732338972E-2</v>
      </c>
      <c r="G342" s="2"/>
      <c r="H342" s="14">
        <f t="shared" si="84"/>
        <v>-127.17999999999984</v>
      </c>
      <c r="I342" s="15">
        <f>IFERROR(H342/H444, "NA")</f>
        <v>1.0449746644175358E-2</v>
      </c>
      <c r="J342" s="2"/>
      <c r="K342" s="14">
        <f>IFERROR(K337+K338+K339+K340+K341, "NA")</f>
        <v>2887.32</v>
      </c>
      <c r="L342" s="15">
        <f>IFERROR(K342/K444, "NA")</f>
        <v>2.5140781917918478E-2</v>
      </c>
      <c r="M342" s="2"/>
      <c r="N342" s="14">
        <f t="shared" si="85"/>
        <v>-337.23999999999978</v>
      </c>
      <c r="O342" s="15">
        <f>IFERROR(N342/N444, "NA")</f>
        <v>0.49158916649660034</v>
      </c>
      <c r="P342" s="2"/>
      <c r="Q342" s="14">
        <f>IFERROR(Q337+Q338+Q339+Q340+Q341, "NA")</f>
        <v>30448.49</v>
      </c>
      <c r="R342" s="15">
        <f>IFERROR(Q342/Q444, "NA")</f>
        <v>3.8894092979324266E-2</v>
      </c>
      <c r="S342" s="2"/>
      <c r="T342" s="14">
        <f>IFERROR(T337+T338+T339+T340+T341, "NA")</f>
        <v>26447.71</v>
      </c>
      <c r="U342" s="15">
        <f>IFERROR(T342/T444, "NA")</f>
        <v>3.1197220746336813E-2</v>
      </c>
      <c r="V342" s="2"/>
      <c r="W342" s="14">
        <f t="shared" si="86"/>
        <v>-4000.7800000000025</v>
      </c>
      <c r="X342" s="15">
        <f>IFERROR(W342/W444, "NA")</f>
        <v>6.1643286844867362E-2</v>
      </c>
      <c r="Y342" s="2"/>
      <c r="Z342" s="14">
        <f>IFERROR(Z337+Z338+Z339+Z340+Z341, "NA")</f>
        <v>26203.83</v>
      </c>
      <c r="AA342" s="15">
        <f>IFERROR(Z342/Z444, "NA")</f>
        <v>3.4618296456452737E-2</v>
      </c>
      <c r="AB342" s="2"/>
      <c r="AC342" s="14">
        <f t="shared" si="87"/>
        <v>-4244.66</v>
      </c>
      <c r="AD342" s="15">
        <f>IFERROR(AC342/AC444, "NA")</f>
        <v>-0.16375655609159498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12130.369999999999</v>
      </c>
      <c r="C343" s="15">
        <f>IFERROR(B343/B444, "NA")</f>
        <v>0.10625757434408971</v>
      </c>
      <c r="D343" s="2"/>
      <c r="E343" s="14">
        <f>IFERROR(E328+E329+E330+E331+E332+E333+E334+E335+E337+E338+E339+E340+E341, "NA")</f>
        <v>12533.25</v>
      </c>
      <c r="F343" s="15">
        <f>IFERROR(E343/E444, "NA")</f>
        <v>9.9209867310141933E-2</v>
      </c>
      <c r="G343" s="2"/>
      <c r="H343" s="14">
        <f t="shared" si="84"/>
        <v>402.88000000000102</v>
      </c>
      <c r="I343" s="15">
        <f>IFERROR(H343/H444, "NA")</f>
        <v>-3.3102641358746535E-2</v>
      </c>
      <c r="J343" s="2"/>
      <c r="K343" s="14">
        <f>IFERROR(K328+K329+K330+K331+K332+K333+K334+K335+K337+K338+K339+K340+K341, "NA")</f>
        <v>13738.130000000001</v>
      </c>
      <c r="L343" s="15">
        <f>IFERROR(K343/K444, "NA")</f>
        <v>0.11962211680382272</v>
      </c>
      <c r="M343" s="2"/>
      <c r="N343" s="14">
        <f t="shared" si="85"/>
        <v>1607.760000000002</v>
      </c>
      <c r="O343" s="15">
        <f>IFERROR(N343/N444, "NA")</f>
        <v>-2.3436051427071987</v>
      </c>
      <c r="P343" s="2"/>
      <c r="Q343" s="14">
        <f>IFERROR(Q328+Q329+Q330+Q331+Q332+Q333+Q334+Q335+Q337+Q338+Q339+Q340+Q341, "NA")</f>
        <v>104720.61</v>
      </c>
      <c r="R343" s="15">
        <f>IFERROR(Q343/Q444, "NA")</f>
        <v>0.13376732777853859</v>
      </c>
      <c r="S343" s="2"/>
      <c r="T343" s="14">
        <f>IFERROR(T328+T329+T330+T331+T332+T333+T334+T335+T337+T338+T339+T340+T341, "NA")</f>
        <v>101043.12</v>
      </c>
      <c r="U343" s="15">
        <f>IFERROR(T343/T444, "NA")</f>
        <v>0.11918856186560575</v>
      </c>
      <c r="V343" s="2"/>
      <c r="W343" s="14">
        <f t="shared" si="86"/>
        <v>-3677.4900000000052</v>
      </c>
      <c r="X343" s="15">
        <f>IFERROR(W343/W444, "NA")</f>
        <v>5.6662093626525689E-2</v>
      </c>
      <c r="Y343" s="2"/>
      <c r="Z343" s="14">
        <f>IFERROR(Z328+Z329+Z330+Z331+Z332+Z333+Z334+Z335+Z337+Z338+Z339+Z340+Z341, "NA")</f>
        <v>113730.95999999999</v>
      </c>
      <c r="AA343" s="15">
        <f>IFERROR(Z343/Z444, "NA")</f>
        <v>0.15025177958935648</v>
      </c>
      <c r="AB343" s="2"/>
      <c r="AC343" s="14">
        <f t="shared" si="87"/>
        <v>9010.3499999999913</v>
      </c>
      <c r="AD343" s="15">
        <f>IFERROR(AC343/AC444, "NA")</f>
        <v>0.34761415170588489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12130.369999999999</v>
      </c>
      <c r="C344" s="15">
        <f>IFERROR(B344/B444, "NA")</f>
        <v>0.10625757434408971</v>
      </c>
      <c r="D344" s="2"/>
      <c r="E344" s="14">
        <f>IFERROR(E328+E329+E330+E331+E332+E333+E334+E335+E337+E338+E339+E340+E341, "NA")</f>
        <v>12533.25</v>
      </c>
      <c r="F344" s="15">
        <f>IFERROR(E344/E444, "NA")</f>
        <v>9.9209867310141933E-2</v>
      </c>
      <c r="G344" s="2"/>
      <c r="H344" s="14">
        <f t="shared" si="84"/>
        <v>402.88000000000102</v>
      </c>
      <c r="I344" s="15">
        <f>IFERROR(H344/H444, "NA")</f>
        <v>-3.3102641358746535E-2</v>
      </c>
      <c r="J344" s="2"/>
      <c r="K344" s="14">
        <f>IFERROR(K328+K329+K330+K331+K332+K333+K334+K335+K337+K338+K339+K340+K341, "NA")</f>
        <v>13738.130000000001</v>
      </c>
      <c r="L344" s="15">
        <f>IFERROR(K344/K444, "NA")</f>
        <v>0.11962211680382272</v>
      </c>
      <c r="M344" s="2"/>
      <c r="N344" s="14">
        <f t="shared" si="85"/>
        <v>1607.760000000002</v>
      </c>
      <c r="O344" s="15">
        <f>IFERROR(N344/N444, "NA")</f>
        <v>-2.3436051427071987</v>
      </c>
      <c r="P344" s="2"/>
      <c r="Q344" s="14">
        <f>IFERROR(Q328+Q329+Q330+Q331+Q332+Q333+Q334+Q335+Q337+Q338+Q339+Q340+Q341, "NA")</f>
        <v>104720.61</v>
      </c>
      <c r="R344" s="15">
        <f>IFERROR(Q344/Q444, "NA")</f>
        <v>0.13376732777853859</v>
      </c>
      <c r="S344" s="2"/>
      <c r="T344" s="14">
        <f>IFERROR(T328+T329+T330+T331+T332+T333+T334+T335+T337+T338+T339+T340+T341, "NA")</f>
        <v>101043.12</v>
      </c>
      <c r="U344" s="15">
        <f>IFERROR(T344/T444, "NA")</f>
        <v>0.11918856186560575</v>
      </c>
      <c r="V344" s="2"/>
      <c r="W344" s="14">
        <f t="shared" si="86"/>
        <v>-3677.4900000000052</v>
      </c>
      <c r="X344" s="15">
        <f>IFERROR(W344/W444, "NA")</f>
        <v>5.6662093626525689E-2</v>
      </c>
      <c r="Y344" s="2"/>
      <c r="Z344" s="14">
        <f>IFERROR(Z328+Z329+Z330+Z331+Z332+Z333+Z334+Z335+Z337+Z338+Z339+Z340+Z341, "NA")</f>
        <v>113730.95999999999</v>
      </c>
      <c r="AA344" s="15">
        <f>IFERROR(Z344/Z444, "NA")</f>
        <v>0.15025177958935648</v>
      </c>
      <c r="AB344" s="2"/>
      <c r="AC344" s="14">
        <f t="shared" si="87"/>
        <v>9010.3499999999913</v>
      </c>
      <c r="AD344" s="15">
        <f>IFERROR(AC344/AC444, "NA")</f>
        <v>0.34761415170588489</v>
      </c>
    </row>
    <row r="345" spans="1:30" ht="16.5" customHeight="1" x14ac:dyDescent="0.45">
      <c r="A345" s="22" t="s">
        <v>315</v>
      </c>
      <c r="B345" s="23">
        <f>IFERROR(B198-B325-B344, "NA")</f>
        <v>8024.1200000000063</v>
      </c>
      <c r="C345" s="24">
        <f>IFERROR(B345/B444, "NA")</f>
        <v>7.0288336418913674E-2</v>
      </c>
      <c r="D345" s="25"/>
      <c r="E345" s="23">
        <f>IFERROR(E198-E325-E344, "NA")</f>
        <v>21420.85000000002</v>
      </c>
      <c r="F345" s="24">
        <f>IFERROR(E345/E444, "NA")</f>
        <v>0.16956174066347163</v>
      </c>
      <c r="G345" s="25"/>
      <c r="H345" s="23">
        <f>IFERROR(B345-E345, "NA")</f>
        <v>-13396.730000000014</v>
      </c>
      <c r="I345" s="24">
        <f>IFERROR(H345/H444, "NA")</f>
        <v>1.1007425252431489</v>
      </c>
      <c r="J345" s="25"/>
      <c r="K345" s="23">
        <f>IFERROR(K198-K325-K344, "NA")</f>
        <v>465.63000000002285</v>
      </c>
      <c r="L345" s="24">
        <f>IFERROR(K345/K444, "NA")</f>
        <v>4.054383402061758E-3</v>
      </c>
      <c r="M345" s="25"/>
      <c r="N345" s="23">
        <f>IFERROR(B345-K345, "NA")</f>
        <v>7558.4899999999834</v>
      </c>
      <c r="O345" s="24">
        <f>IFERROR(N345/N444, "NA")</f>
        <v>-11.01788577592481</v>
      </c>
      <c r="P345" s="25"/>
      <c r="Q345" s="23">
        <f>IFERROR(Q198-Q325-Q344, "NA")</f>
        <v>6442.1900000001624</v>
      </c>
      <c r="R345" s="24">
        <f>IFERROR(Q345/Q444, "NA")</f>
        <v>8.2290825210208883E-3</v>
      </c>
      <c r="S345" s="25"/>
      <c r="T345" s="23">
        <f>IFERROR(T198-T325-T344, "NA")</f>
        <v>97654.449999999895</v>
      </c>
      <c r="U345" s="24">
        <f>IFERROR(T345/T444, "NA")</f>
        <v>0.11519135053704489</v>
      </c>
      <c r="V345" s="25"/>
      <c r="W345" s="23">
        <f>IFERROR(Q345-T345, "NA")</f>
        <v>-91212.259999999733</v>
      </c>
      <c r="X345" s="24">
        <f>IFERROR(W345/W444, "NA")</f>
        <v>1.4053818272808305</v>
      </c>
      <c r="Y345" s="25"/>
      <c r="Z345" s="23">
        <f>IFERROR(Z198-Z325-Z344, "NA")</f>
        <v>1799.9900000000489</v>
      </c>
      <c r="AA345" s="24">
        <f>IFERROR(Z345/Z444, "NA")</f>
        <v>2.3779954090166226E-3</v>
      </c>
      <c r="AB345" s="25"/>
      <c r="AC345" s="23">
        <f>IFERROR(Q345-Z345, "NA")</f>
        <v>4642.2000000001135</v>
      </c>
      <c r="AD345" s="24">
        <f>IFERROR(AC345/AC444, "NA")</f>
        <v>0.17909342201458323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8024.1200000000063</v>
      </c>
      <c r="C404" s="24">
        <f>IFERROR(B404/B444, "NA")</f>
        <v>7.0288336418913674E-2</v>
      </c>
      <c r="D404" s="25"/>
      <c r="E404" s="23">
        <f>IFERROR(E345-E403, "NA")</f>
        <v>21420.85000000002</v>
      </c>
      <c r="F404" s="24">
        <f>IFERROR(E404/E444, "NA")</f>
        <v>0.16956174066347163</v>
      </c>
      <c r="G404" s="25"/>
      <c r="H404" s="23">
        <f>IFERROR(B404-E404, "NA")</f>
        <v>-13396.730000000014</v>
      </c>
      <c r="I404" s="24">
        <f>IFERROR(H404/H444, "NA")</f>
        <v>1.1007425252431489</v>
      </c>
      <c r="J404" s="25"/>
      <c r="K404" s="23">
        <f>IFERROR(K345-K403, "NA")</f>
        <v>465.63000000002285</v>
      </c>
      <c r="L404" s="24">
        <f>IFERROR(K404/K444, "NA")</f>
        <v>4.054383402061758E-3</v>
      </c>
      <c r="M404" s="25"/>
      <c r="N404" s="23">
        <f>IFERROR(B404-K404, "NA")</f>
        <v>7558.4899999999834</v>
      </c>
      <c r="O404" s="24">
        <f>IFERROR(N404/N444, "NA")</f>
        <v>-11.01788577592481</v>
      </c>
      <c r="P404" s="25"/>
      <c r="Q404" s="23">
        <f>IFERROR(Q345-Q403, "NA")</f>
        <v>6442.1900000001624</v>
      </c>
      <c r="R404" s="24">
        <f>IFERROR(Q404/Q444, "NA")</f>
        <v>8.2290825210208883E-3</v>
      </c>
      <c r="S404" s="25"/>
      <c r="T404" s="23">
        <f>IFERROR(T345-T403, "NA")</f>
        <v>97654.449999999895</v>
      </c>
      <c r="U404" s="24">
        <f>IFERROR(T404/T444, "NA")</f>
        <v>0.11519135053704489</v>
      </c>
      <c r="V404" s="25"/>
      <c r="W404" s="23">
        <f>IFERROR(Q404-T404, "NA")</f>
        <v>-91212.259999999733</v>
      </c>
      <c r="X404" s="24">
        <f>IFERROR(W404/W444, "NA")</f>
        <v>1.4053818272808305</v>
      </c>
      <c r="Y404" s="25"/>
      <c r="Z404" s="23">
        <f>IFERROR(Z345-Z403, "NA")</f>
        <v>1799.9900000000489</v>
      </c>
      <c r="AA404" s="24">
        <f>IFERROR(Z404/Z444, "NA")</f>
        <v>2.3779954090166226E-3</v>
      </c>
      <c r="AB404" s="25"/>
      <c r="AC404" s="23">
        <f>IFERROR(Q404-Z404, "NA")</f>
        <v>4642.2000000001135</v>
      </c>
      <c r="AD404" s="24">
        <f>IFERROR(AC404/AC444, "NA")</f>
        <v>0.17909342201458323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-7.7811507041032513E-2</v>
      </c>
      <c r="AB407" s="9"/>
      <c r="AC407" s="10">
        <f t="shared" ref="AC407:AC429" si="103">IFERROR(-(Q407-Z407), "NA")</f>
        <v>-58898.32</v>
      </c>
      <c r="AD407" s="8">
        <f>IFERROR(AC407/AC444, "NA")</f>
        <v>-2.2722635129269979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3132.88</v>
      </c>
      <c r="L408" s="8">
        <f>IFERROR(K408/K444, "NA")</f>
        <v>2.7278948247859067E-2</v>
      </c>
      <c r="M408" s="9"/>
      <c r="N408" s="10">
        <f t="shared" si="101"/>
        <v>3132.88</v>
      </c>
      <c r="O408" s="8">
        <f>IFERROR(N408/N444, "NA")</f>
        <v>-4.5667473251508435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4021.17</v>
      </c>
      <c r="AA408" s="8">
        <f>IFERROR(Z408/Z444, "NA")</f>
        <v>5.3124316239951961E-3</v>
      </c>
      <c r="AB408" s="9"/>
      <c r="AC408" s="10">
        <f t="shared" si="103"/>
        <v>4021.17</v>
      </c>
      <c r="AD408" s="8">
        <f>IFERROR(AC408/AC444, "NA")</f>
        <v>0.15513443966273835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4766.34</v>
      </c>
      <c r="C410" s="8">
        <f>IFERROR(B410/B444, "NA")</f>
        <v>4.1751383255350709E-2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-4766.34</v>
      </c>
      <c r="I410" s="8">
        <f>IFERROR(H410/H444, "NA")</f>
        <v>0.39162639896209184</v>
      </c>
      <c r="J410" s="9"/>
      <c r="K410" s="7">
        <v>3672.29</v>
      </c>
      <c r="L410" s="8">
        <f>IFERROR(K410/K444, "NA")</f>
        <v>3.1975756767297303E-2</v>
      </c>
      <c r="M410" s="9"/>
      <c r="N410" s="10">
        <f t="shared" si="101"/>
        <v>-1094.0500000000002</v>
      </c>
      <c r="O410" s="8">
        <f>IFERROR(N410/N444, "NA")</f>
        <v>1.5947785778840176</v>
      </c>
      <c r="P410" s="9"/>
      <c r="Q410" s="7">
        <v>37290.629999999997</v>
      </c>
      <c r="R410" s="8">
        <f>IFERROR(Q410/Q444, "NA")</f>
        <v>4.7634061015097262E-2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-37290.629999999997</v>
      </c>
      <c r="X410" s="8">
        <f>IFERROR(W410/W444, "NA")</f>
        <v>0.57456720982303811</v>
      </c>
      <c r="Y410" s="9"/>
      <c r="Z410" s="7">
        <v>32212.7</v>
      </c>
      <c r="AA410" s="8">
        <f>IFERROR(Z410/Z444, "NA")</f>
        <v>4.2556710155071793E-2</v>
      </c>
      <c r="AB410" s="9"/>
      <c r="AC410" s="10">
        <f t="shared" si="103"/>
        <v>-5077.9299999999967</v>
      </c>
      <c r="AD410" s="8">
        <f>IFERROR(AC410/AC444, "NA")</f>
        <v>-0.19590363630401314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27.6</v>
      </c>
      <c r="C417" s="8">
        <f>IFERROR(B417/B444, "NA")</f>
        <v>2.4176583664775901E-4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-27.6</v>
      </c>
      <c r="I417" s="8">
        <f>IFERROR(H417/H444, "NA")</f>
        <v>2.2677544219157123E-3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-27.6</v>
      </c>
      <c r="O417" s="8">
        <f>IFERROR(N417/N444, "NA")</f>
        <v>4.0232063205154135E-2</v>
      </c>
      <c r="P417" s="9"/>
      <c r="Q417" s="7">
        <v>-39.25</v>
      </c>
      <c r="R417" s="8">
        <f>IFERROR(Q417/Q444, "NA")</f>
        <v>-5.0136908248602062E-5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39.25</v>
      </c>
      <c r="X417" s="8">
        <f>IFERROR(W417/W444, "NA")</f>
        <v>-6.0475682458446659E-4</v>
      </c>
      <c r="Y417" s="9"/>
      <c r="Z417" s="7">
        <v>-43.3</v>
      </c>
      <c r="AA417" s="8">
        <f>IFERROR(Z417/Z444, "NA")</f>
        <v>-5.7204318474223166E-5</v>
      </c>
      <c r="AB417" s="9"/>
      <c r="AC417" s="10">
        <f t="shared" si="103"/>
        <v>-4.0499999999999972</v>
      </c>
      <c r="AD417" s="8">
        <f>IFERROR(AC417/AC444, "NA")</f>
        <v>-1.5624668458038082E-4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2.8609598917925532E-3</v>
      </c>
      <c r="M424" s="9"/>
      <c r="N424" s="10">
        <f t="shared" si="101"/>
        <v>328.57</v>
      </c>
      <c r="O424" s="8">
        <f>IFERROR(N424/N444, "NA")</f>
        <v>-0.4789510509897642</v>
      </c>
      <c r="P424" s="9"/>
      <c r="Q424" s="7">
        <v>239.6</v>
      </c>
      <c r="R424" s="8">
        <f>IFERROR(Q424/Q444, "NA")</f>
        <v>3.0605868067172114E-4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3.6917129979729475E-3</v>
      </c>
      <c r="Y424" s="9"/>
      <c r="Z424" s="7">
        <v>1314.28</v>
      </c>
      <c r="AA424" s="8">
        <f>IFERROR(Z424/Z444, "NA")</f>
        <v>1.7363162051801852E-3</v>
      </c>
      <c r="AB424" s="9"/>
      <c r="AC424" s="10">
        <f t="shared" si="103"/>
        <v>1074.68</v>
      </c>
      <c r="AD424" s="8">
        <f>IFERROR(AC424/AC444, "NA")</f>
        <v>4.1460539996257727E-2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-136.72999999999999</v>
      </c>
      <c r="C426" s="8">
        <f>IFERROR(B426/B444, "NA")</f>
        <v>-1.197704450900293E-3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136.72999999999999</v>
      </c>
      <c r="I426" s="8">
        <f>IFERROR(H426/H444, "NA")</f>
        <v>-1.1234422540164322E-2</v>
      </c>
      <c r="J426" s="9"/>
      <c r="K426" s="7">
        <v>-192.53</v>
      </c>
      <c r="L426" s="8">
        <f>IFERROR(K426/K444, "NA")</f>
        <v>-1.6764178347591693E-3</v>
      </c>
      <c r="M426" s="9"/>
      <c r="N426" s="10">
        <f t="shared" si="101"/>
        <v>-55.800000000000011</v>
      </c>
      <c r="O426" s="8">
        <f>IFERROR(N426/N444, "NA")</f>
        <v>8.1338736479985546E-2</v>
      </c>
      <c r="P426" s="9"/>
      <c r="Q426" s="7">
        <v>-1207.78</v>
      </c>
      <c r="R426" s="8">
        <f>IFERROR(Q426/Q444, "NA")</f>
        <v>-1.5427861157833527E-3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1207.78</v>
      </c>
      <c r="X426" s="8">
        <f>IFERROR(W426/W444, "NA")</f>
        <v>-1.8609253441952283E-2</v>
      </c>
      <c r="Y426" s="9"/>
      <c r="Z426" s="7">
        <v>-1524.17</v>
      </c>
      <c r="AA426" s="8">
        <f>IFERROR(Z426/Z444, "NA")</f>
        <v>-2.0136052214516564E-3</v>
      </c>
      <c r="AB426" s="9"/>
      <c r="AC426" s="10">
        <f t="shared" si="103"/>
        <v>-316.3900000000001</v>
      </c>
      <c r="AD426" s="8">
        <f>IFERROR(AC426/AC444, "NA")</f>
        <v>-1.2206145317132527E-2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4657.2100000000009</v>
      </c>
      <c r="C428" s="15">
        <f>IFERROR(B428/B444, "NA")</f>
        <v>4.0795444641098182E-2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-4657.2100000000009</v>
      </c>
      <c r="I428" s="15">
        <f>IFERROR(H428/H444, "NA")</f>
        <v>0.3826597308438433</v>
      </c>
      <c r="J428" s="2"/>
      <c r="K428" s="14">
        <f>IFERROR(K407+K408+K409+K410+K411+K412+K413+K414+K415+K416+K417+K418+K419+K420+K421+K422+K423+K424+K425+K426+K427, "NA")</f>
        <v>6941.21</v>
      </c>
      <c r="L428" s="15">
        <f>IFERROR(K428/K444, "NA")</f>
        <v>6.0439247072189756E-2</v>
      </c>
      <c r="M428" s="2"/>
      <c r="N428" s="14">
        <f t="shared" si="101"/>
        <v>2283.9999999999991</v>
      </c>
      <c r="O428" s="15">
        <f>IFERROR(N428/N444, "NA")</f>
        <v>-3.3293489985714491</v>
      </c>
      <c r="P428" s="2"/>
      <c r="Q428" s="14">
        <f>IFERROR(Q407+Q408+Q409+Q410+Q411+Q412+Q413+Q414+Q415+Q416+Q417+Q418+Q419+Q420+Q421+Q422+Q423+Q424+Q425+Q426+Q427, "NA")</f>
        <v>36283.199999999997</v>
      </c>
      <c r="R428" s="15">
        <f>IFERROR(Q428/Q444, "NA")</f>
        <v>4.6347196671737027E-2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-36283.199999999997</v>
      </c>
      <c r="X428" s="15">
        <f>IFERROR(W428/W444, "NA")</f>
        <v>0.5590449125544743</v>
      </c>
      <c r="Y428" s="2"/>
      <c r="Z428" s="14">
        <f>IFERROR(Z407+Z408+Z409+Z410+Z411+Z412+Z413+Z414+Z415+Z416+Z417+Z418+Z419+Z420+Z421+Z422+Z423+Z424+Z425+Z426+Z427, "NA")</f>
        <v>-22917.64</v>
      </c>
      <c r="AA428" s="15">
        <f>IFERROR(Z428/Z444, "NA")</f>
        <v>-3.0276858596711219E-2</v>
      </c>
      <c r="AB428" s="2"/>
      <c r="AC428" s="14">
        <f t="shared" si="103"/>
        <v>-59200.84</v>
      </c>
      <c r="AD428" s="15">
        <f>IFERROR(AC428/AC444, "NA")</f>
        <v>-2.2839345615737279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4657.2100000000009</v>
      </c>
      <c r="C429" s="15">
        <f>IFERROR(B429/B444, "NA")</f>
        <v>4.0795444641098182E-2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-4657.2100000000009</v>
      </c>
      <c r="I429" s="15">
        <f>IFERROR(H429/H444, "NA")</f>
        <v>0.3826597308438433</v>
      </c>
      <c r="J429" s="2"/>
      <c r="K429" s="14">
        <f>IFERROR(K407+K408+K409+K410+K411+K412+K413+K414+K415+K416+K417+K418+K419+K420+K421+K422+K423+K424+K425+K426+K427, "NA")</f>
        <v>6941.21</v>
      </c>
      <c r="L429" s="15">
        <f>IFERROR(K429/K444, "NA")</f>
        <v>6.0439247072189756E-2</v>
      </c>
      <c r="M429" s="2"/>
      <c r="N429" s="14">
        <f t="shared" si="101"/>
        <v>2283.9999999999991</v>
      </c>
      <c r="O429" s="15">
        <f>IFERROR(N429/N444, "NA")</f>
        <v>-3.3293489985714491</v>
      </c>
      <c r="P429" s="2"/>
      <c r="Q429" s="14">
        <f>IFERROR(Q407+Q408+Q409+Q410+Q411+Q412+Q413+Q414+Q415+Q416+Q417+Q418+Q419+Q420+Q421+Q422+Q423+Q424+Q425+Q426+Q427, "NA")</f>
        <v>36283.199999999997</v>
      </c>
      <c r="R429" s="15">
        <f>IFERROR(Q429/Q444, "NA")</f>
        <v>4.6347196671737027E-2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-36283.199999999997</v>
      </c>
      <c r="X429" s="15">
        <f>IFERROR(W429/W444, "NA")</f>
        <v>0.5590449125544743</v>
      </c>
      <c r="Y429" s="2"/>
      <c r="Z429" s="14">
        <f>IFERROR(Z407+Z408+Z409+Z410+Z411+Z412+Z413+Z414+Z415+Z416+Z417+Z418+Z419+Z420+Z421+Z422+Z423+Z424+Z425+Z426+Z427, "NA")</f>
        <v>-22917.64</v>
      </c>
      <c r="AA429" s="15">
        <f>IFERROR(Z429/Z444, "NA")</f>
        <v>-3.0276858596711219E-2</v>
      </c>
      <c r="AB429" s="2"/>
      <c r="AC429" s="14">
        <f t="shared" si="103"/>
        <v>-59200.84</v>
      </c>
      <c r="AD429" s="15">
        <f>IFERROR(AC429/AC444, "NA")</f>
        <v>-2.2839345615737279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3366.9100000000053</v>
      </c>
      <c r="C443" s="24">
        <f>IFERROR(B443/B444, "NA")</f>
        <v>2.9492891777815489E-2</v>
      </c>
      <c r="D443" s="25"/>
      <c r="E443" s="23">
        <f>IFERROR(E404-E429-E442, "NA")</f>
        <v>21420.85000000002</v>
      </c>
      <c r="F443" s="24">
        <f>IFERROR(E443/E444, "NA")</f>
        <v>0.16956174066347163</v>
      </c>
      <c r="G443" s="25"/>
      <c r="H443" s="23">
        <f>IFERROR(B443-E443, "NA")</f>
        <v>-18053.940000000017</v>
      </c>
      <c r="I443" s="24">
        <f>IFERROR(H443/H444, "NA")</f>
        <v>1.4834022560869924</v>
      </c>
      <c r="J443" s="25"/>
      <c r="K443" s="23">
        <f>IFERROR(K404-K429-K442, "NA")</f>
        <v>-6475.5799999999772</v>
      </c>
      <c r="L443" s="24">
        <f>IFERROR(K443/K444, "NA")</f>
        <v>-5.6384863670127995E-2</v>
      </c>
      <c r="M443" s="25"/>
      <c r="N443" s="23">
        <f>IFERROR(B443-K443, "NA")</f>
        <v>9842.4899999999834</v>
      </c>
      <c r="O443" s="24">
        <f>IFERROR(N443/N444, "NA")</f>
        <v>-14.347234774496261</v>
      </c>
      <c r="P443" s="25"/>
      <c r="Q443" s="23">
        <f>IFERROR(Q404-Q429-Q442, "NA")</f>
        <v>-29841.009999999835</v>
      </c>
      <c r="R443" s="24">
        <f>IFERROR(Q443/Q444, "NA")</f>
        <v>-3.8118114150716136E-2</v>
      </c>
      <c r="S443" s="25"/>
      <c r="T443" s="23">
        <f>IFERROR(T404-T429-T442, "NA")</f>
        <v>97654.449999999895</v>
      </c>
      <c r="U443" s="24">
        <f>IFERROR(T443/T444, "NA")</f>
        <v>0.11519135053704489</v>
      </c>
      <c r="V443" s="25"/>
      <c r="W443" s="23">
        <f>IFERROR(Q443-T443, "NA")</f>
        <v>-127495.45999999973</v>
      </c>
      <c r="X443" s="24">
        <f>IFERROR(W443/W444, "NA")</f>
        <v>1.9644267398353048</v>
      </c>
      <c r="Y443" s="25"/>
      <c r="Z443" s="23">
        <f>IFERROR(Z404-Z429-Z442, "NA")</f>
        <v>24717.630000000048</v>
      </c>
      <c r="AA443" s="24">
        <f>IFERROR(Z443/Z444, "NA")</f>
        <v>3.2654854005727839E-2</v>
      </c>
      <c r="AB443" s="25"/>
      <c r="AC443" s="23">
        <f>IFERROR(Q443-Z443, "NA")</f>
        <v>-54558.639999999883</v>
      </c>
      <c r="AD443" s="24">
        <f>IFERROR(AC443/AC444, "NA")</f>
        <v>-2.1048411395591446</v>
      </c>
    </row>
    <row r="444" spans="1:30" ht="15.75" hidden="1" x14ac:dyDescent="0.45">
      <c r="A444" s="26" t="s">
        <v>117</v>
      </c>
      <c r="B444" s="7">
        <v>114160.05</v>
      </c>
      <c r="C444" s="27"/>
      <c r="D444" s="9"/>
      <c r="E444" s="7">
        <v>126330.68</v>
      </c>
      <c r="F444" s="27"/>
      <c r="G444" s="9"/>
      <c r="H444" s="10">
        <f>IFERROR(B444-E444, "NA")</f>
        <v>-12170.62999999999</v>
      </c>
      <c r="I444" s="27"/>
      <c r="J444" s="9"/>
      <c r="K444" s="7">
        <v>114846.07</v>
      </c>
      <c r="L444" s="27"/>
      <c r="M444" s="9"/>
      <c r="N444" s="10">
        <f>IFERROR(B444-K444, "NA")</f>
        <v>-686.02000000000407</v>
      </c>
      <c r="O444" s="27"/>
      <c r="P444" s="9"/>
      <c r="Q444" s="7">
        <v>782856.41</v>
      </c>
      <c r="R444" s="27"/>
      <c r="S444" s="9"/>
      <c r="T444" s="7">
        <v>847758.53</v>
      </c>
      <c r="U444" s="27"/>
      <c r="V444" s="9"/>
      <c r="W444" s="10">
        <f>IFERROR(Q444-T444, "NA")</f>
        <v>-64902.119999999995</v>
      </c>
      <c r="X444" s="27"/>
      <c r="Y444" s="9"/>
      <c r="Z444" s="7">
        <v>756935.86</v>
      </c>
      <c r="AA444" s="27"/>
      <c r="AB444" s="9"/>
      <c r="AC444" s="10">
        <f>IFERROR(Q444-Z444, "NA")</f>
        <v>25920.550000000047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70249.27</v>
      </c>
      <c r="F10" s="8">
        <f>IFERROR(E10/E444, "NA")</f>
        <v>0.23999999316718901</v>
      </c>
      <c r="G10" s="9"/>
      <c r="H10" s="10">
        <f t="shared" ref="H10:H19" si="0">IFERROR(B10-E10, "NA")</f>
        <v>-70249.27</v>
      </c>
      <c r="I10" s="8">
        <f>IFERROR(H10/H444, "NA")</f>
        <v>0.87149501840827515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385049.95</v>
      </c>
      <c r="U10" s="8">
        <f>IFERROR(T10/T444, "NA")</f>
        <v>0.23999999725749871</v>
      </c>
      <c r="V10" s="9"/>
      <c r="W10" s="10">
        <f t="shared" ref="W10:W19" si="2">IFERROR(Q10-T10, "NA")</f>
        <v>-385049.95</v>
      </c>
      <c r="X10" s="8">
        <f>IFERROR(W10/W444, "NA")</f>
        <v>-10.097064783804036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60409.98</v>
      </c>
      <c r="C11" s="8">
        <f>IFERROR(B11/B444, "NA")</f>
        <v>0.28482170443003274</v>
      </c>
      <c r="D11" s="9"/>
      <c r="E11" s="7">
        <v>0</v>
      </c>
      <c r="F11" s="8">
        <f>IFERROR(E11/E444, "NA")</f>
        <v>0</v>
      </c>
      <c r="G11" s="9"/>
      <c r="H11" s="10">
        <f t="shared" si="0"/>
        <v>60409.98</v>
      </c>
      <c r="I11" s="8">
        <f>IFERROR(H11/H444, "NA")</f>
        <v>-0.74943122728739442</v>
      </c>
      <c r="J11" s="9"/>
      <c r="K11" s="7">
        <v>48368.160000000003</v>
      </c>
      <c r="L11" s="8">
        <f>IFERROR(K11/K444, "NA")</f>
        <v>0.17763864200614066</v>
      </c>
      <c r="M11" s="9"/>
      <c r="N11" s="10">
        <f t="shared" si="1"/>
        <v>12041.82</v>
      </c>
      <c r="O11" s="8">
        <f>IFERROR(N11/N444, "NA")</f>
        <v>-0.20007519962543074</v>
      </c>
      <c r="P11" s="9"/>
      <c r="Q11" s="7">
        <v>457000.74</v>
      </c>
      <c r="R11" s="8">
        <f>IFERROR(Q11/Q444, "NA")</f>
        <v>0.27823321464199618</v>
      </c>
      <c r="S11" s="9"/>
      <c r="T11" s="7">
        <v>0</v>
      </c>
      <c r="U11" s="8">
        <f>IFERROR(T11/T444, "NA")</f>
        <v>0</v>
      </c>
      <c r="V11" s="9"/>
      <c r="W11" s="10">
        <f t="shared" si="2"/>
        <v>457000.74</v>
      </c>
      <c r="X11" s="8">
        <f>IFERROR(W11/W444, "NA")</f>
        <v>11.983811653595552</v>
      </c>
      <c r="Y11" s="9"/>
      <c r="Z11" s="7">
        <v>365621.72</v>
      </c>
      <c r="AA11" s="8">
        <f>IFERROR(Z11/Z444, "NA")</f>
        <v>0.2506545733659441</v>
      </c>
      <c r="AB11" s="9"/>
      <c r="AC11" s="10">
        <f t="shared" si="3"/>
        <v>91379.020000000019</v>
      </c>
      <c r="AD11" s="8">
        <f>IFERROR(AC11/AC444, "NA")</f>
        <v>0.49705195205948338</v>
      </c>
    </row>
    <row r="12" spans="1:30" ht="16.5" customHeight="1" x14ac:dyDescent="0.45">
      <c r="A12" s="12" t="s">
        <v>14</v>
      </c>
      <c r="B12" s="7">
        <v>5997.65</v>
      </c>
      <c r="C12" s="8">
        <f>IFERROR(B12/B444, "NA")</f>
        <v>2.8277792768260902E-2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5997.65</v>
      </c>
      <c r="I12" s="8">
        <f>IFERROR(H12/H444, "NA")</f>
        <v>-7.440535819313697E-2</v>
      </c>
      <c r="J12" s="9"/>
      <c r="K12" s="7">
        <v>4406.8999999999996</v>
      </c>
      <c r="L12" s="8">
        <f>IFERROR(K12/K444, "NA")</f>
        <v>1.6184939254601811E-2</v>
      </c>
      <c r="M12" s="9"/>
      <c r="N12" s="10">
        <f t="shared" si="1"/>
        <v>1590.75</v>
      </c>
      <c r="O12" s="8">
        <f>IFERROR(N12/N444, "NA")</f>
        <v>-2.6430358849754771E-2</v>
      </c>
      <c r="P12" s="9"/>
      <c r="Q12" s="7">
        <v>44689.49</v>
      </c>
      <c r="R12" s="8">
        <f>IFERROR(Q12/Q444, "NA")</f>
        <v>2.720805323731279E-2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44689.49</v>
      </c>
      <c r="X12" s="8">
        <f>IFERROR(W12/W444, "NA")</f>
        <v>1.1718808837273258</v>
      </c>
      <c r="Y12" s="9"/>
      <c r="Z12" s="7">
        <v>32403.25</v>
      </c>
      <c r="AA12" s="8">
        <f>IFERROR(Z12/Z444, "NA")</f>
        <v>2.2214278748046008E-2</v>
      </c>
      <c r="AB12" s="9"/>
      <c r="AC12" s="10">
        <f t="shared" si="3"/>
        <v>12286.239999999998</v>
      </c>
      <c r="AD12" s="8">
        <f>IFERROR(AC12/AC444, "NA")</f>
        <v>6.6830434113555881E-2</v>
      </c>
    </row>
    <row r="13" spans="1:30" ht="16.5" customHeight="1" x14ac:dyDescent="0.45">
      <c r="A13" s="12" t="s">
        <v>15</v>
      </c>
      <c r="B13" s="7">
        <v>259</v>
      </c>
      <c r="C13" s="8">
        <f>IFERROR(B13/B444, "NA")</f>
        <v>1.2211363328936456E-3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259</v>
      </c>
      <c r="I13" s="8">
        <f>IFERROR(H13/H444, "NA")</f>
        <v>-3.2130897554913133E-3</v>
      </c>
      <c r="J13" s="9"/>
      <c r="K13" s="7">
        <v>280</v>
      </c>
      <c r="L13" s="8">
        <f>IFERROR(K13/K444, "NA")</f>
        <v>1.0283380587915558E-3</v>
      </c>
      <c r="M13" s="9"/>
      <c r="N13" s="10">
        <f t="shared" si="1"/>
        <v>-21</v>
      </c>
      <c r="O13" s="8">
        <f>IFERROR(N13/N444, "NA")</f>
        <v>3.4891562837960095E-4</v>
      </c>
      <c r="P13" s="9"/>
      <c r="Q13" s="7">
        <v>2918.5</v>
      </c>
      <c r="R13" s="8">
        <f>IFERROR(Q13/Q444, "NA")</f>
        <v>1.7768540964127669E-3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2918.5</v>
      </c>
      <c r="X13" s="8">
        <f>IFERROR(W13/W444, "NA")</f>
        <v>7.6531067129166172E-2</v>
      </c>
      <c r="Y13" s="9"/>
      <c r="Z13" s="7">
        <v>2355</v>
      </c>
      <c r="AA13" s="8">
        <f>IFERROR(Z13/Z444, "NA")</f>
        <v>1.6144870175568301E-3</v>
      </c>
      <c r="AB13" s="9"/>
      <c r="AC13" s="10">
        <f t="shared" si="3"/>
        <v>563.5</v>
      </c>
      <c r="AD13" s="8">
        <f>IFERROR(AC13/AC444, "NA")</f>
        <v>3.0651321822615174E-3</v>
      </c>
    </row>
    <row r="14" spans="1:30" ht="16.5" customHeight="1" x14ac:dyDescent="0.45">
      <c r="A14" s="12" t="s">
        <v>16</v>
      </c>
      <c r="B14" s="7">
        <v>180</v>
      </c>
      <c r="C14" s="8">
        <f>IFERROR(B14/B444, "NA")</f>
        <v>8.4866617730060322E-4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180</v>
      </c>
      <c r="I14" s="8">
        <f>IFERROR(H14/H444, "NA")</f>
        <v>-2.2330353513067042E-3</v>
      </c>
      <c r="J14" s="9"/>
      <c r="K14" s="7">
        <v>575</v>
      </c>
      <c r="L14" s="8">
        <f>IFERROR(K14/K444, "NA")</f>
        <v>2.1117656564469452E-3</v>
      </c>
      <c r="M14" s="9"/>
      <c r="N14" s="10">
        <f t="shared" si="1"/>
        <v>-395</v>
      </c>
      <c r="O14" s="8">
        <f>IFERROR(N14/N444, "NA")</f>
        <v>6.5629368195210648E-3</v>
      </c>
      <c r="P14" s="9"/>
      <c r="Q14" s="7">
        <v>3195</v>
      </c>
      <c r="R14" s="8">
        <f>IFERROR(Q14/Q444, "NA")</f>
        <v>1.9451940510669147E-3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3195</v>
      </c>
      <c r="X14" s="8">
        <f>IFERROR(W14/W444, "NA")</f>
        <v>8.3781654780772971E-2</v>
      </c>
      <c r="Y14" s="9"/>
      <c r="Z14" s="7">
        <v>6077</v>
      </c>
      <c r="AA14" s="8">
        <f>IFERROR(Z14/Z444, "NA")</f>
        <v>4.1661306181286009E-3</v>
      </c>
      <c r="AB14" s="9"/>
      <c r="AC14" s="10">
        <f t="shared" si="3"/>
        <v>-2882</v>
      </c>
      <c r="AD14" s="8">
        <f>IFERROR(AC14/AC444, "NA")</f>
        <v>-1.5676505677511433E-2</v>
      </c>
    </row>
    <row r="15" spans="1:30" ht="16.5" customHeight="1" x14ac:dyDescent="0.45">
      <c r="A15" s="12" t="s">
        <v>17</v>
      </c>
      <c r="B15" s="7">
        <v>106</v>
      </c>
      <c r="C15" s="8">
        <f>IFERROR(B15/B444, "NA")</f>
        <v>4.99770082188133E-4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106</v>
      </c>
      <c r="I15" s="8">
        <f>IFERROR(H15/H444, "NA")</f>
        <v>-1.3150097068806148E-3</v>
      </c>
      <c r="J15" s="9"/>
      <c r="K15" s="7">
        <v>39</v>
      </c>
      <c r="L15" s="8">
        <f>IFERROR(K15/K444, "NA")</f>
        <v>1.432328010459667E-4</v>
      </c>
      <c r="M15" s="9"/>
      <c r="N15" s="10">
        <f t="shared" si="1"/>
        <v>67</v>
      </c>
      <c r="O15" s="8">
        <f>IFERROR(N15/N444, "NA")</f>
        <v>-1.1132070048301553E-3</v>
      </c>
      <c r="P15" s="9"/>
      <c r="Q15" s="7">
        <v>818</v>
      </c>
      <c r="R15" s="8">
        <f>IFERROR(Q15/Q444, "NA")</f>
        <v>4.9801838302746047E-4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818</v>
      </c>
      <c r="X15" s="8">
        <f>IFERROR(W15/W444, "NA")</f>
        <v>2.1450201443089921E-2</v>
      </c>
      <c r="Y15" s="9"/>
      <c r="Z15" s="7">
        <v>817</v>
      </c>
      <c r="AA15" s="8">
        <f>IFERROR(Z15/Z444, "NA")</f>
        <v>5.6010016702502338E-4</v>
      </c>
      <c r="AB15" s="9"/>
      <c r="AC15" s="10">
        <f t="shared" si="3"/>
        <v>1</v>
      </c>
      <c r="AD15" s="8">
        <f>IFERROR(AC15/AC444, "NA")</f>
        <v>5.4394537395945292E-6</v>
      </c>
    </row>
    <row r="16" spans="1:30" ht="16.5" customHeight="1" x14ac:dyDescent="0.45">
      <c r="A16" s="12" t="s">
        <v>18</v>
      </c>
      <c r="B16" s="7">
        <v>3</v>
      </c>
      <c r="C16" s="8">
        <f>IFERROR(B16/B444, "NA")</f>
        <v>1.4144436288343386E-5</v>
      </c>
      <c r="D16" s="9"/>
      <c r="E16" s="7">
        <v>0</v>
      </c>
      <c r="F16" s="8">
        <f>IFERROR(E16/E444, "NA")</f>
        <v>0</v>
      </c>
      <c r="G16" s="9"/>
      <c r="H16" s="10">
        <f t="shared" si="0"/>
        <v>3</v>
      </c>
      <c r="I16" s="8">
        <f>IFERROR(H16/H444, "NA")</f>
        <v>-3.7217255855111741E-5</v>
      </c>
      <c r="J16" s="9"/>
      <c r="K16" s="7">
        <v>1</v>
      </c>
      <c r="L16" s="8">
        <f>IFERROR(K16/K444, "NA")</f>
        <v>3.6726359242555567E-6</v>
      </c>
      <c r="M16" s="9"/>
      <c r="N16" s="10">
        <f t="shared" si="1"/>
        <v>2</v>
      </c>
      <c r="O16" s="8">
        <f>IFERROR(N16/N444, "NA")</f>
        <v>-3.3230059845676278E-5</v>
      </c>
      <c r="P16" s="9"/>
      <c r="Q16" s="7">
        <v>3.6</v>
      </c>
      <c r="R16" s="8">
        <f>IFERROR(Q16/Q444, "NA")</f>
        <v>2.1917679448641291E-6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3.6</v>
      </c>
      <c r="X16" s="8">
        <f>IFERROR(W16/W444, "NA")</f>
        <v>9.4401864541716028E-5</v>
      </c>
      <c r="Y16" s="9"/>
      <c r="Z16" s="7">
        <v>1</v>
      </c>
      <c r="AA16" s="8">
        <f>IFERROR(Z16/Z444, "NA")</f>
        <v>6.8555711998166877E-7</v>
      </c>
      <c r="AB16" s="9"/>
      <c r="AC16" s="10">
        <f t="shared" si="3"/>
        <v>2.6</v>
      </c>
      <c r="AD16" s="8">
        <f>IFERROR(AC16/AC444, "NA")</f>
        <v>1.4142579722945776E-5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66955.63</v>
      </c>
      <c r="C18" s="15">
        <f>IFERROR(B18/B444, "NA")</f>
        <v>0.31568321422696438</v>
      </c>
      <c r="D18" s="2"/>
      <c r="E18" s="14">
        <f>IFERROR(E10+E11+E12+E13+E14+E15+E16+E17, "NA")</f>
        <v>70249.27</v>
      </c>
      <c r="F18" s="15">
        <f>IFERROR(E18/E444, "NA")</f>
        <v>0.23999999316718901</v>
      </c>
      <c r="G18" s="2"/>
      <c r="H18" s="14">
        <f t="shared" si="0"/>
        <v>-3293.6399999999994</v>
      </c>
      <c r="I18" s="15">
        <f>IFERROR(H18/H444, "NA")</f>
        <v>4.0860080858210066E-2</v>
      </c>
      <c r="J18" s="2"/>
      <c r="K18" s="14">
        <f>IFERROR(K10+K11+K12+K13+K14+K15+K16+K17, "NA")</f>
        <v>53670.060000000005</v>
      </c>
      <c r="L18" s="15">
        <f>IFERROR(K18/K444, "NA")</f>
        <v>0.1971105904129512</v>
      </c>
      <c r="M18" s="2"/>
      <c r="N18" s="14">
        <f t="shared" si="1"/>
        <v>13285.57</v>
      </c>
      <c r="O18" s="15">
        <f>IFERROR(N18/N444, "NA")</f>
        <v>-0.22074014309196069</v>
      </c>
      <c r="P18" s="2"/>
      <c r="Q18" s="14">
        <f>IFERROR(Q10+Q11+Q12+Q13+Q14+Q15+Q16+Q17, "NA")</f>
        <v>508625.32999999996</v>
      </c>
      <c r="R18" s="15">
        <f>IFERROR(Q18/Q444, "NA")</f>
        <v>0.30966352617776094</v>
      </c>
      <c r="S18" s="2"/>
      <c r="T18" s="14">
        <f>IFERROR(T10+T11+T12+T13+T14+T15+T16+T17, "NA")</f>
        <v>385049.95</v>
      </c>
      <c r="U18" s="15">
        <f>IFERROR(T18/T444, "NA")</f>
        <v>0.23999999725749871</v>
      </c>
      <c r="V18" s="2"/>
      <c r="W18" s="14">
        <f t="shared" si="2"/>
        <v>123575.37999999995</v>
      </c>
      <c r="X18" s="15">
        <f>IFERROR(W18/W444, "NA")</f>
        <v>3.2404850787364108</v>
      </c>
      <c r="Y18" s="2"/>
      <c r="Z18" s="14">
        <f>IFERROR(Z10+Z11+Z12+Z13+Z14+Z15+Z16+Z17, "NA")</f>
        <v>407274.97</v>
      </c>
      <c r="AA18" s="15">
        <f>IFERROR(Z18/Z444, "NA")</f>
        <v>0.27921025547382056</v>
      </c>
      <c r="AB18" s="2"/>
      <c r="AC18" s="14">
        <f t="shared" si="3"/>
        <v>101350.35999999999</v>
      </c>
      <c r="AD18" s="15">
        <f>IFERROR(AC18/AC444, "NA")</f>
        <v>0.55129059471125175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16391.5</v>
      </c>
      <c r="F21" s="8">
        <f>IFERROR(E21/E444, "NA")</f>
        <v>5.6000010932497638E-2</v>
      </c>
      <c r="G21" s="9"/>
      <c r="H21" s="10">
        <f t="shared" ref="H21:H29" si="4">IFERROR(B21-E21, "NA")</f>
        <v>-16391.5</v>
      </c>
      <c r="I21" s="8">
        <f>IFERROR(H21/H444, "NA")</f>
        <v>0.20334888311635468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89844.99</v>
      </c>
      <c r="U21" s="8">
        <f>IFERROR(T21/T444, "NA")</f>
        <v>5.6000000398909282E-2</v>
      </c>
      <c r="V21" s="9"/>
      <c r="W21" s="10">
        <f t="shared" ref="W21:W29" si="6">IFERROR(Q21-T21, "NA")</f>
        <v>-89844.99</v>
      </c>
      <c r="X21" s="8">
        <f>IFERROR(W21/W444, "NA")</f>
        <v>-2.3559818265921755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8907.0499999999993</v>
      </c>
      <c r="C22" s="8">
        <f>IFERROR(B22/B444, "NA")</f>
        <v>4.1995067080696315E-2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8907.0499999999993</v>
      </c>
      <c r="I22" s="8">
        <f>IFERROR(H22/H444, "NA")</f>
        <v>-0.11049865292142433</v>
      </c>
      <c r="J22" s="9"/>
      <c r="K22" s="7">
        <v>8105.3</v>
      </c>
      <c r="L22" s="8">
        <f>IFERROR(K22/K444, "NA")</f>
        <v>2.9767815956868563E-2</v>
      </c>
      <c r="M22" s="9"/>
      <c r="N22" s="10">
        <f t="shared" si="5"/>
        <v>801.74999999999909</v>
      </c>
      <c r="O22" s="8">
        <f>IFERROR(N22/N444, "NA")</f>
        <v>-1.3321100240635464E-2</v>
      </c>
      <c r="P22" s="9"/>
      <c r="Q22" s="7">
        <v>72886.45</v>
      </c>
      <c r="R22" s="8">
        <f>IFERROR(Q22/Q444, "NA")</f>
        <v>4.4375051312483919E-2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72886.45</v>
      </c>
      <c r="X22" s="8">
        <f>IFERROR(W22/W444, "NA")</f>
        <v>1.9112824388407106</v>
      </c>
      <c r="Y22" s="9"/>
      <c r="Z22" s="7">
        <v>60014.82</v>
      </c>
      <c r="AA22" s="8">
        <f>IFERROR(Z22/Z444, "NA")</f>
        <v>4.1143587155418257E-2</v>
      </c>
      <c r="AB22" s="9"/>
      <c r="AC22" s="10">
        <f t="shared" si="7"/>
        <v>12871.629999999997</v>
      </c>
      <c r="AD22" s="8">
        <f>IFERROR(AC22/AC444, "NA")</f>
        <v>7.0014635938177111E-2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1277.98</v>
      </c>
      <c r="C24" s="8">
        <f>IFERROR(B24/B444, "NA")</f>
        <v>6.0254355625923607E-3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1277.98</v>
      </c>
      <c r="I24" s="8">
        <f>IFERROR(H24/H444, "NA")</f>
        <v>-1.5854302879238568E-2</v>
      </c>
      <c r="J24" s="9"/>
      <c r="K24" s="7">
        <v>1510.88</v>
      </c>
      <c r="L24" s="8">
        <f>IFERROR(K24/K444, "NA")</f>
        <v>5.548912165239236E-3</v>
      </c>
      <c r="M24" s="9"/>
      <c r="N24" s="10">
        <f t="shared" si="5"/>
        <v>-232.90000000000009</v>
      </c>
      <c r="O24" s="8">
        <f>IFERROR(N24/N444, "NA")</f>
        <v>3.8696404690290041E-3</v>
      </c>
      <c r="P24" s="9"/>
      <c r="Q24" s="7">
        <v>14371.29</v>
      </c>
      <c r="R24" s="8">
        <f>IFERROR(Q24/Q444, "NA")</f>
        <v>8.7495924300962265E-3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14371.29</v>
      </c>
      <c r="X24" s="8">
        <f>IFERROR(W24/W444, "NA")</f>
        <v>0.37685460329714393</v>
      </c>
      <c r="Y24" s="9"/>
      <c r="Z24" s="7">
        <v>5415.86</v>
      </c>
      <c r="AA24" s="8">
        <f>IFERROR(Z24/Z444, "NA")</f>
        <v>3.7128813838239205E-3</v>
      </c>
      <c r="AB24" s="9"/>
      <c r="AC24" s="10">
        <f t="shared" si="7"/>
        <v>8955.43</v>
      </c>
      <c r="AD24" s="8">
        <f>IFERROR(AC24/AC444, "NA")</f>
        <v>4.8712647203177036E-2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1009.22</v>
      </c>
      <c r="C26" s="8">
        <f>IFERROR(B26/B444, "NA")</f>
        <v>4.7582826636406372E-3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1009.22</v>
      </c>
      <c r="I26" s="8">
        <f>IFERROR(H26/H444, "NA")</f>
        <v>-1.2520132984698623E-2</v>
      </c>
      <c r="J26" s="9"/>
      <c r="K26" s="7">
        <v>8218.81</v>
      </c>
      <c r="L26" s="8">
        <f>IFERROR(K26/K444, "NA")</f>
        <v>3.018469686063081E-2</v>
      </c>
      <c r="M26" s="9"/>
      <c r="N26" s="10">
        <f t="shared" si="5"/>
        <v>-7209.5899999999992</v>
      </c>
      <c r="O26" s="8">
        <f>IFERROR(N26/N444, "NA")</f>
        <v>0.1197875535813946</v>
      </c>
      <c r="P26" s="9"/>
      <c r="Q26" s="7">
        <v>18906.11</v>
      </c>
      <c r="R26" s="8">
        <f>IFERROR(Q26/Q444, "NA")</f>
        <v>1.1510501627798656E-2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18906.11</v>
      </c>
      <c r="X26" s="8">
        <f>IFERROR(W26/W444, "NA")</f>
        <v>0.49577000978632857</v>
      </c>
      <c r="Y26" s="9"/>
      <c r="Z26" s="7">
        <v>14793.73</v>
      </c>
      <c r="AA26" s="8">
        <f>IFERROR(Z26/Z444, "NA")</f>
        <v>1.0141946932586413E-2</v>
      </c>
      <c r="AB26" s="9"/>
      <c r="AC26" s="10">
        <f t="shared" si="7"/>
        <v>4112.380000000001</v>
      </c>
      <c r="AD26" s="8">
        <f>IFERROR(AC26/AC444, "NA")</f>
        <v>2.2369100769633755E-2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52</v>
      </c>
      <c r="L27" s="8">
        <f>IFERROR(K27/K444, "NA")</f>
        <v>1.9097706806128894E-4</v>
      </c>
      <c r="M27" s="9"/>
      <c r="N27" s="10">
        <f t="shared" si="5"/>
        <v>-52</v>
      </c>
      <c r="O27" s="8">
        <f>IFERROR(N27/N444, "NA")</f>
        <v>8.6398155598758322E-4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179.91</v>
      </c>
      <c r="AA27" s="8">
        <f>IFERROR(Z27/Z444, "NA")</f>
        <v>1.2333858145590203E-4</v>
      </c>
      <c r="AB27" s="9"/>
      <c r="AC27" s="10">
        <f t="shared" si="7"/>
        <v>-179.91</v>
      </c>
      <c r="AD27" s="8">
        <f>IFERROR(AC27/AC444, "NA")</f>
        <v>-9.7861212229045165E-4</v>
      </c>
    </row>
    <row r="28" spans="1:30" ht="16.5" customHeight="1" x14ac:dyDescent="0.45">
      <c r="A28" s="12" t="s">
        <v>29</v>
      </c>
      <c r="B28" s="7">
        <v>844.59</v>
      </c>
      <c r="C28" s="8">
        <f>IFERROR(B28/B444, "NA")</f>
        <v>3.9820831482573135E-3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844.59</v>
      </c>
      <c r="I28" s="8">
        <f>IFERROR(H28/H444, "NA")</f>
        <v>-1.0477774040889608E-2</v>
      </c>
      <c r="J28" s="9"/>
      <c r="K28" s="7">
        <v>647.02</v>
      </c>
      <c r="L28" s="8">
        <f>IFERROR(K28/K444, "NA")</f>
        <v>2.3762688957118302E-3</v>
      </c>
      <c r="M28" s="9"/>
      <c r="N28" s="10">
        <f t="shared" si="5"/>
        <v>197.57000000000005</v>
      </c>
      <c r="O28" s="8">
        <f>IFERROR(N28/N444, "NA")</f>
        <v>-3.2826314618551321E-3</v>
      </c>
      <c r="P28" s="9"/>
      <c r="Q28" s="7">
        <v>7451.56</v>
      </c>
      <c r="R28" s="8">
        <f>IFERROR(Q28/Q444, "NA")</f>
        <v>4.5366917631199308E-3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7451.56</v>
      </c>
      <c r="X28" s="8">
        <f>IFERROR(W28/W444, "NA")</f>
        <v>0.19540032159568599</v>
      </c>
      <c r="Y28" s="9"/>
      <c r="Z28" s="7">
        <v>6733.79</v>
      </c>
      <c r="AA28" s="8">
        <f>IFERROR(Z28/Z444, "NA")</f>
        <v>4.6163976789613615E-3</v>
      </c>
      <c r="AB28" s="9"/>
      <c r="AC28" s="10">
        <f t="shared" si="7"/>
        <v>717.77000000000044</v>
      </c>
      <c r="AD28" s="8">
        <f>IFERROR(AC28/AC444, "NA")</f>
        <v>3.9042767106687677E-3</v>
      </c>
    </row>
    <row r="29" spans="1:30" ht="16.5" customHeight="1" x14ac:dyDescent="0.45">
      <c r="A29" s="13" t="s">
        <v>30</v>
      </c>
      <c r="B29" s="14">
        <f>IFERROR(B21+B22+B23+B24+B25+B26+B27+B28, "NA")</f>
        <v>12038.839999999998</v>
      </c>
      <c r="C29" s="15">
        <f>IFERROR(B29/B444, "NA")</f>
        <v>5.6760868455186624E-2</v>
      </c>
      <c r="D29" s="2"/>
      <c r="E29" s="14">
        <f>IFERROR(E21+E22+E23+E24+E25+E26+E27+E28, "NA")</f>
        <v>16391.5</v>
      </c>
      <c r="F29" s="15">
        <f>IFERROR(E29/E444, "NA")</f>
        <v>5.6000010932497638E-2</v>
      </c>
      <c r="G29" s="2"/>
      <c r="H29" s="14">
        <f t="shared" si="4"/>
        <v>-4352.6600000000017</v>
      </c>
      <c r="I29" s="15">
        <f>IFERROR(H29/H444, "NA")</f>
        <v>5.3998020290103574E-2</v>
      </c>
      <c r="J29" s="2"/>
      <c r="K29" s="14">
        <f>IFERROR(K21+K22+K23+K24+K25+K26+K27+K28, "NA")</f>
        <v>18534.009999999998</v>
      </c>
      <c r="L29" s="15">
        <f>IFERROR(K29/K444, "NA")</f>
        <v>6.8068670946511728E-2</v>
      </c>
      <c r="M29" s="2"/>
      <c r="N29" s="14">
        <f t="shared" si="5"/>
        <v>-6495.17</v>
      </c>
      <c r="O29" s="15">
        <f>IFERROR(N29/N444, "NA")</f>
        <v>0.10791744390392059</v>
      </c>
      <c r="P29" s="2"/>
      <c r="Q29" s="14">
        <f>IFERROR(Q21+Q22+Q23+Q24+Q25+Q26+Q27+Q28, "NA")</f>
        <v>113615.40999999999</v>
      </c>
      <c r="R29" s="15">
        <f>IFERROR(Q29/Q444, "NA")</f>
        <v>6.9171837133498726E-2</v>
      </c>
      <c r="S29" s="2"/>
      <c r="T29" s="14">
        <f>IFERROR(T21+T22+T23+T24+T25+T26+T27+T28, "NA")</f>
        <v>89844.99</v>
      </c>
      <c r="U29" s="15">
        <f>IFERROR(T29/T444, "NA")</f>
        <v>5.6000000398909282E-2</v>
      </c>
      <c r="V29" s="2"/>
      <c r="W29" s="14">
        <f t="shared" si="6"/>
        <v>23770.419999999984</v>
      </c>
      <c r="X29" s="15">
        <f>IFERROR(W29/W444, "NA")</f>
        <v>0.62332554692769337</v>
      </c>
      <c r="Y29" s="2"/>
      <c r="Z29" s="14">
        <f>IFERROR(Z21+Z22+Z23+Z24+Z25+Z26+Z27+Z28, "NA")</f>
        <v>87138.11</v>
      </c>
      <c r="AA29" s="15">
        <f>IFERROR(Z29/Z444, "NA")</f>
        <v>5.9738151732245851E-2</v>
      </c>
      <c r="AB29" s="2"/>
      <c r="AC29" s="14">
        <f t="shared" si="7"/>
        <v>26477.299999999988</v>
      </c>
      <c r="AD29" s="15">
        <f>IFERROR(AC29/AC444, "NA")</f>
        <v>0.14402204849936617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78737.73</v>
      </c>
      <c r="F31" s="8">
        <f>IFERROR(E31/E444, "NA")</f>
        <v>0.26900001469054369</v>
      </c>
      <c r="G31" s="9"/>
      <c r="H31" s="10">
        <f t="shared" ref="H31:H40" si="8">IFERROR(B31-E31, "NA")</f>
        <v>-78737.73</v>
      </c>
      <c r="I31" s="8">
        <f>IFERROR(H31/H444, "NA")</f>
        <v>0.97680074762023572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431576.83</v>
      </c>
      <c r="U31" s="8">
        <f>IFERROR(T31/T444, "NA")</f>
        <v>0.26900000380833705</v>
      </c>
      <c r="V31" s="9"/>
      <c r="W31" s="10">
        <f t="shared" ref="W31:W40" si="10">IFERROR(Q31-T31, "NA")</f>
        <v>-431576.83</v>
      </c>
      <c r="X31" s="8">
        <f>IFERROR(W31/W444, "NA")</f>
        <v>-11.317127068056447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19497.3</v>
      </c>
      <c r="C33" s="8">
        <f>IFERROR(B33/B444, "NA")</f>
        <v>9.1926105881572504E-2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19497.3</v>
      </c>
      <c r="I33" s="8">
        <f>IFERROR(H33/H444, "NA")</f>
        <v>-0.2418786675279567</v>
      </c>
      <c r="J33" s="9"/>
      <c r="K33" s="7">
        <v>29388.12</v>
      </c>
      <c r="L33" s="8">
        <f>IFERROR(K33/K444, "NA")</f>
        <v>0.1079318652583332</v>
      </c>
      <c r="M33" s="9"/>
      <c r="N33" s="10">
        <f t="shared" si="9"/>
        <v>-9890.82</v>
      </c>
      <c r="O33" s="8">
        <f>IFERROR(N33/N444, "NA")</f>
        <v>0.16433627026140593</v>
      </c>
      <c r="P33" s="9"/>
      <c r="Q33" s="7">
        <v>176452.19</v>
      </c>
      <c r="R33" s="8">
        <f>IFERROR(Q33/Q444, "NA")</f>
        <v>0.10742840384529857</v>
      </c>
      <c r="S33" s="9"/>
      <c r="T33" s="7">
        <v>0</v>
      </c>
      <c r="U33" s="8">
        <f>IFERROR(T33/T444, "NA")</f>
        <v>0</v>
      </c>
      <c r="V33" s="9"/>
      <c r="W33" s="10">
        <f t="shared" si="10"/>
        <v>176452.19</v>
      </c>
      <c r="X33" s="8">
        <f>IFERROR(W33/W444, "NA")</f>
        <v>4.6270599273525388</v>
      </c>
      <c r="Y33" s="9"/>
      <c r="Z33" s="7">
        <v>133938.88</v>
      </c>
      <c r="AA33" s="8">
        <f>IFERROR(Z33/Z444, "NA")</f>
        <v>9.1822752826370341E-2</v>
      </c>
      <c r="AB33" s="9"/>
      <c r="AC33" s="10">
        <f t="shared" si="11"/>
        <v>42513.31</v>
      </c>
      <c r="AD33" s="8">
        <f>IFERROR(AC33/AC444, "NA")</f>
        <v>0.23124918306204148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1199.45</v>
      </c>
      <c r="C35" s="8">
        <f>IFERROR(B35/B444, "NA")</f>
        <v>5.6551813686844914E-3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1199.45</v>
      </c>
      <c r="I35" s="8">
        <f>IFERROR(H35/H444, "NA")</f>
        <v>-1.488007917847126E-2</v>
      </c>
      <c r="J35" s="9"/>
      <c r="K35" s="7">
        <v>2953.45</v>
      </c>
      <c r="L35" s="8">
        <f>IFERROR(K35/K444, "NA")</f>
        <v>1.0846946570492573E-2</v>
      </c>
      <c r="M35" s="9"/>
      <c r="N35" s="10">
        <f t="shared" si="9"/>
        <v>-1753.9999999999998</v>
      </c>
      <c r="O35" s="8">
        <f>IFERROR(N35/N444, "NA")</f>
        <v>2.9142762484658094E-2</v>
      </c>
      <c r="P35" s="9"/>
      <c r="Q35" s="7">
        <v>18322.27</v>
      </c>
      <c r="R35" s="8">
        <f>IFERROR(Q35/Q444, "NA")</f>
        <v>1.1155045573096024E-2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18322.27</v>
      </c>
      <c r="X35" s="8">
        <f>IFERROR(W35/W444, "NA")</f>
        <v>0.48046012517687425</v>
      </c>
      <c r="Y35" s="9"/>
      <c r="Z35" s="7">
        <v>5279.58</v>
      </c>
      <c r="AA35" s="8">
        <f>IFERROR(Z35/Z444, "NA")</f>
        <v>3.6194536595128188E-3</v>
      </c>
      <c r="AB35" s="9"/>
      <c r="AC35" s="10">
        <f t="shared" si="11"/>
        <v>13042.69</v>
      </c>
      <c r="AD35" s="8">
        <f>IFERROR(AC35/AC444, "NA")</f>
        <v>7.0945108894872169E-2</v>
      </c>
    </row>
    <row r="36" spans="1:30" ht="16.5" customHeight="1" x14ac:dyDescent="0.45">
      <c r="A36" s="12" t="s">
        <v>36</v>
      </c>
      <c r="B36" s="7">
        <v>17085.400000000001</v>
      </c>
      <c r="C36" s="8">
        <f>IFERROR(B36/B444, "NA")</f>
        <v>8.0554450586954041E-2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17085.400000000001</v>
      </c>
      <c r="I36" s="8">
        <f>IFERROR(H36/H444, "NA")</f>
        <v>-0.21195723439564204</v>
      </c>
      <c r="J36" s="9"/>
      <c r="K36" s="7">
        <v>48642.17</v>
      </c>
      <c r="L36" s="8">
        <f>IFERROR(K36/K444, "NA")</f>
        <v>0.17864498097574591</v>
      </c>
      <c r="M36" s="9"/>
      <c r="N36" s="10">
        <f t="shared" si="9"/>
        <v>-31556.769999999997</v>
      </c>
      <c r="O36" s="8">
        <f>IFERROR(N36/N444, "NA")</f>
        <v>0.52431667781812086</v>
      </c>
      <c r="P36" s="9"/>
      <c r="Q36" s="7">
        <v>171070.61</v>
      </c>
      <c r="R36" s="8">
        <f>IFERROR(Q36/Q444, "NA")</f>
        <v>0.10415196647398692</v>
      </c>
      <c r="S36" s="9"/>
      <c r="T36" s="7">
        <v>0</v>
      </c>
      <c r="U36" s="8">
        <f>IFERROR(T36/T444, "NA")</f>
        <v>0</v>
      </c>
      <c r="V36" s="9"/>
      <c r="W36" s="10">
        <f t="shared" si="10"/>
        <v>171070.61</v>
      </c>
      <c r="X36" s="8">
        <f>IFERROR(W36/W444, "NA")</f>
        <v>4.4859401534135364</v>
      </c>
      <c r="Y36" s="9"/>
      <c r="Z36" s="7">
        <v>179465.32</v>
      </c>
      <c r="AA36" s="8">
        <f>IFERROR(Z36/Z444, "NA")</f>
        <v>0.12303372791578859</v>
      </c>
      <c r="AB36" s="9"/>
      <c r="AC36" s="10">
        <f t="shared" si="11"/>
        <v>-8394.710000000021</v>
      </c>
      <c r="AD36" s="8">
        <f>IFERROR(AC36/AC444, "NA")</f>
        <v>-4.5662636702311701E-2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3316.65</v>
      </c>
      <c r="C39" s="8">
        <f>IFERROR(B39/B444, "NA")</f>
        <v>1.5637381538578032E-2</v>
      </c>
      <c r="D39" s="9"/>
      <c r="E39" s="7">
        <v>0</v>
      </c>
      <c r="F39" s="8">
        <f>IFERROR(E39/E444, "NA")</f>
        <v>0</v>
      </c>
      <c r="G39" s="9"/>
      <c r="H39" s="10">
        <f t="shared" si="8"/>
        <v>3316.65</v>
      </c>
      <c r="I39" s="8">
        <f>IFERROR(H39/H444, "NA")</f>
        <v>-4.1145537210618782E-2</v>
      </c>
      <c r="J39" s="9"/>
      <c r="K39" s="7">
        <v>1875.05</v>
      </c>
      <c r="L39" s="8">
        <f>IFERROR(K39/K444, "NA")</f>
        <v>6.8863759897753816E-3</v>
      </c>
      <c r="M39" s="9"/>
      <c r="N39" s="10">
        <f t="shared" si="9"/>
        <v>1441.6000000000001</v>
      </c>
      <c r="O39" s="8">
        <f>IFERROR(N39/N444, "NA")</f>
        <v>-2.3952227136763465E-2</v>
      </c>
      <c r="P39" s="9"/>
      <c r="Q39" s="7">
        <v>22893.49</v>
      </c>
      <c r="R39" s="8">
        <f>IFERROR(Q39/Q444, "NA")</f>
        <v>1.3938115980018749E-2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22893.49</v>
      </c>
      <c r="X39" s="8">
        <f>IFERROR(W39/W444, "NA")</f>
        <v>0.60033003940753626</v>
      </c>
      <c r="Y39" s="9"/>
      <c r="Z39" s="7">
        <v>17184.349999999999</v>
      </c>
      <c r="AA39" s="8">
        <f>IFERROR(Z39/Z444, "NA")</f>
        <v>1.178085349475699E-2</v>
      </c>
      <c r="AB39" s="9"/>
      <c r="AC39" s="10">
        <f t="shared" si="11"/>
        <v>5709.1400000000031</v>
      </c>
      <c r="AD39" s="8">
        <f>IFERROR(AC39/AC444, "NA")</f>
        <v>3.1054602922868726E-2</v>
      </c>
    </row>
    <row r="40" spans="1:30" ht="16.5" customHeight="1" x14ac:dyDescent="0.45">
      <c r="A40" s="13" t="s">
        <v>40</v>
      </c>
      <c r="B40" s="14">
        <f>IFERROR(B31+B32+B33+B34+B35+B36+B37+B38+B39, "NA")</f>
        <v>41098.800000000003</v>
      </c>
      <c r="C40" s="15">
        <f>IFERROR(B40/B444, "NA")</f>
        <v>0.19377311937578906</v>
      </c>
      <c r="D40" s="2"/>
      <c r="E40" s="14">
        <f>IFERROR(E31+E32+E33+E34+E35+E36+E37+E38+E39, "NA")</f>
        <v>78737.73</v>
      </c>
      <c r="F40" s="15">
        <f>IFERROR(E40/E444, "NA")</f>
        <v>0.26900001469054369</v>
      </c>
      <c r="G40" s="2"/>
      <c r="H40" s="14">
        <f t="shared" si="8"/>
        <v>-37638.929999999993</v>
      </c>
      <c r="I40" s="15">
        <f>IFERROR(H40/H444, "NA")</f>
        <v>0.46693922930754689</v>
      </c>
      <c r="J40" s="2"/>
      <c r="K40" s="14">
        <f>IFERROR(K31+K32+K33+K34+K35+K36+K37+K38+K39, "NA")</f>
        <v>82858.789999999994</v>
      </c>
      <c r="L40" s="15">
        <f>IFERROR(K40/K444, "NA")</f>
        <v>0.30431016879434708</v>
      </c>
      <c r="M40" s="2"/>
      <c r="N40" s="14">
        <f t="shared" si="9"/>
        <v>-41759.989999999991</v>
      </c>
      <c r="O40" s="15">
        <f>IFERROR(N40/N444, "NA")</f>
        <v>0.6938434834274213</v>
      </c>
      <c r="P40" s="2"/>
      <c r="Q40" s="14">
        <f>IFERROR(Q31+Q32+Q33+Q34+Q35+Q36+Q37+Q38+Q39, "NA")</f>
        <v>388738.55999999994</v>
      </c>
      <c r="R40" s="15">
        <f>IFERROR(Q40/Q444, "NA")</f>
        <v>0.23667353187240023</v>
      </c>
      <c r="S40" s="2"/>
      <c r="T40" s="14">
        <f>IFERROR(T31+T32+T33+T34+T35+T36+T37+T38+T39, "NA")</f>
        <v>431576.83</v>
      </c>
      <c r="U40" s="15">
        <f>IFERROR(T40/T444, "NA")</f>
        <v>0.26900000380833705</v>
      </c>
      <c r="V40" s="2"/>
      <c r="W40" s="14">
        <f t="shared" si="10"/>
        <v>-42838.270000000077</v>
      </c>
      <c r="X40" s="15">
        <f>IFERROR(W40/W444, "NA")</f>
        <v>-1.1233368227059624</v>
      </c>
      <c r="Y40" s="2"/>
      <c r="Z40" s="14">
        <f>IFERROR(Z31+Z32+Z33+Z34+Z35+Z36+Z37+Z38+Z39, "NA")</f>
        <v>335868.13</v>
      </c>
      <c r="AA40" s="15">
        <f>IFERROR(Z40/Z444, "NA")</f>
        <v>0.23025678789642873</v>
      </c>
      <c r="AB40" s="2"/>
      <c r="AC40" s="14">
        <f t="shared" si="11"/>
        <v>52870.429999999935</v>
      </c>
      <c r="AD40" s="15">
        <f>IFERROR(AC40/AC444, "NA")</f>
        <v>0.28758625817747041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19133.95</v>
      </c>
      <c r="C43" s="8">
        <f>IFERROR(B43/B444, "NA")</f>
        <v>9.0212978906449318E-2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19133.95</v>
      </c>
      <c r="I43" s="8">
        <f>IFERROR(H43/H444, "NA")</f>
        <v>-0.23737103755630509</v>
      </c>
      <c r="J43" s="9"/>
      <c r="K43" s="7">
        <v>13741.13</v>
      </c>
      <c r="L43" s="8">
        <f>IFERROR(K43/K444, "NA")</f>
        <v>5.0466167677865756E-2</v>
      </c>
      <c r="M43" s="9"/>
      <c r="N43" s="10">
        <f>IFERROR(B43-K43, "NA")</f>
        <v>5392.8200000000015</v>
      </c>
      <c r="O43" s="8">
        <f>IFERROR(N43/N444, "NA")</f>
        <v>-8.9601865668479996E-2</v>
      </c>
      <c r="P43" s="9"/>
      <c r="Q43" s="7">
        <v>124402.61</v>
      </c>
      <c r="R43" s="8">
        <f>IFERROR(Q43/Q444, "NA")</f>
        <v>7.5739348015398264E-2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124402.61</v>
      </c>
      <c r="X43" s="8">
        <f>IFERROR(W43/W444, "NA")</f>
        <v>3.262177316071091</v>
      </c>
      <c r="Y43" s="9"/>
      <c r="Z43" s="7">
        <v>27288.35</v>
      </c>
      <c r="AA43" s="8">
        <f>IFERROR(Z43/Z444, "NA")</f>
        <v>1.8707722635051771E-2</v>
      </c>
      <c r="AB43" s="9"/>
      <c r="AC43" s="10">
        <f>IFERROR(Q43-Z43, "NA")</f>
        <v>97114.260000000009</v>
      </c>
      <c r="AD43" s="8">
        <f>IFERROR(AC43/AC444, "NA")</f>
        <v>0.52824852472495543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129083.04</v>
      </c>
      <c r="F46" s="8">
        <f>IFERROR(E46/E444, "NA")</f>
        <v>0.44100000922429489</v>
      </c>
      <c r="G46" s="9"/>
      <c r="H46" s="10">
        <f t="shared" ref="H46:H62" si="12">IFERROR(B46-E46, "NA")</f>
        <v>-129083.04</v>
      </c>
      <c r="I46" s="8">
        <f>IFERROR(H46/H444, "NA")</f>
        <v>1.6013721754118742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707529.31</v>
      </c>
      <c r="U46" s="8">
        <f>IFERROR(T46/T444, "NA")</f>
        <v>0.44100001171172715</v>
      </c>
      <c r="V46" s="9"/>
      <c r="W46" s="10">
        <f t="shared" ref="W46:W62" si="14">IFERROR(Q46-T46, "NA")</f>
        <v>-707529.31</v>
      </c>
      <c r="X46" s="8">
        <f>IFERROR(W46/W444, "NA")</f>
        <v>-18.553357244976059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59556.11</v>
      </c>
      <c r="C48" s="8">
        <f>IFERROR(B48/B444, "NA")</f>
        <v>0.28079586782552346</v>
      </c>
      <c r="D48" s="9"/>
      <c r="E48" s="7">
        <v>0</v>
      </c>
      <c r="F48" s="8">
        <f>IFERROR(E48/E444, "NA")</f>
        <v>0</v>
      </c>
      <c r="G48" s="9"/>
      <c r="H48" s="10">
        <f t="shared" si="12"/>
        <v>59556.11</v>
      </c>
      <c r="I48" s="8">
        <f>IFERROR(H48/H444, "NA")</f>
        <v>-0.73883832786839299</v>
      </c>
      <c r="J48" s="9"/>
      <c r="K48" s="7">
        <v>73523.210000000006</v>
      </c>
      <c r="L48" s="8">
        <f>IFERROR(K48/K444, "NA")</f>
        <v>0.2700239823125854</v>
      </c>
      <c r="M48" s="9"/>
      <c r="N48" s="10">
        <f t="shared" si="13"/>
        <v>-13967.100000000006</v>
      </c>
      <c r="O48" s="8">
        <f>IFERROR(N48/N444, "NA")</f>
        <v>0.23206378443527267</v>
      </c>
      <c r="P48" s="9"/>
      <c r="Q48" s="7">
        <v>360225.43</v>
      </c>
      <c r="R48" s="8">
        <f>IFERROR(Q48/Q444, "NA")</f>
        <v>0.21931404177747146</v>
      </c>
      <c r="S48" s="9"/>
      <c r="T48" s="7">
        <v>0</v>
      </c>
      <c r="U48" s="8">
        <f>IFERROR(T48/T444, "NA")</f>
        <v>0</v>
      </c>
      <c r="V48" s="9"/>
      <c r="W48" s="10">
        <f t="shared" si="14"/>
        <v>360225.43</v>
      </c>
      <c r="X48" s="8">
        <f>IFERROR(W48/W444, "NA")</f>
        <v>9.446097846483724</v>
      </c>
      <c r="Y48" s="9"/>
      <c r="Z48" s="7">
        <v>433370.39</v>
      </c>
      <c r="AA48" s="8">
        <f>IFERROR(Z48/Z444, "NA")</f>
        <v>0.29710015645373261</v>
      </c>
      <c r="AB48" s="9"/>
      <c r="AC48" s="10">
        <f t="shared" si="15"/>
        <v>-73144.960000000021</v>
      </c>
      <c r="AD48" s="8">
        <f>IFERROR(AC48/AC444, "NA")</f>
        <v>-0.39786862620449237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1800</v>
      </c>
      <c r="L49" s="8">
        <f>IFERROR(K49/K444, "NA")</f>
        <v>6.6107446636600019E-3</v>
      </c>
      <c r="M49" s="9"/>
      <c r="N49" s="10">
        <f t="shared" si="13"/>
        <v>-1800</v>
      </c>
      <c r="O49" s="8">
        <f>IFERROR(N49/N444, "NA")</f>
        <v>2.9907053861108649E-2</v>
      </c>
      <c r="P49" s="9"/>
      <c r="Q49" s="7">
        <v>4841.2299999999996</v>
      </c>
      <c r="R49" s="8">
        <f>IFERROR(Q49/Q444, "NA")</f>
        <v>2.9474590910318244E-3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4841.2299999999996</v>
      </c>
      <c r="X49" s="8">
        <f>IFERROR(W49/W444, "NA")</f>
        <v>0.12695031629869219</v>
      </c>
      <c r="Y49" s="9"/>
      <c r="Z49" s="7">
        <v>3000</v>
      </c>
      <c r="AA49" s="8">
        <f>IFERROR(Z49/Z444, "NA")</f>
        <v>2.0566713599450065E-3</v>
      </c>
      <c r="AB49" s="9"/>
      <c r="AC49" s="10">
        <f t="shared" si="15"/>
        <v>1841.2299999999996</v>
      </c>
      <c r="AD49" s="8">
        <f>IFERROR(AC49/AC444, "NA")</f>
        <v>1.0015285408953632E-2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3084.89</v>
      </c>
      <c r="C51" s="8">
        <f>IFERROR(B51/B444, "NA")</f>
        <v>1.4544676687182543E-2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3084.89</v>
      </c>
      <c r="I51" s="8">
        <f>IFERROR(H51/H444, "NA")</f>
        <v>-3.8270380138291885E-2</v>
      </c>
      <c r="J51" s="9"/>
      <c r="K51" s="7">
        <v>5445.96</v>
      </c>
      <c r="L51" s="8">
        <f>IFERROR(K51/K444, "NA")</f>
        <v>2.0001028338058793E-2</v>
      </c>
      <c r="M51" s="9"/>
      <c r="N51" s="10">
        <f t="shared" si="13"/>
        <v>-2361.0700000000002</v>
      </c>
      <c r="O51" s="8">
        <f>IFERROR(N51/N444, "NA")</f>
        <v>3.9229248699915446E-2</v>
      </c>
      <c r="P51" s="9"/>
      <c r="Q51" s="7">
        <v>27575.08</v>
      </c>
      <c r="R51" s="8">
        <f>IFERROR(Q51/Q444, "NA")</f>
        <v>1.6788382339184432E-2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27575.08</v>
      </c>
      <c r="X51" s="8">
        <f>IFERROR(W51/W444, "NA")</f>
        <v>0.72309415746860639</v>
      </c>
      <c r="Y51" s="9"/>
      <c r="Z51" s="7">
        <v>62089.78</v>
      </c>
      <c r="AA51" s="8">
        <f>IFERROR(Z51/Z444, "NA")</f>
        <v>4.2566090757095415E-2</v>
      </c>
      <c r="AB51" s="9"/>
      <c r="AC51" s="10">
        <f t="shared" si="15"/>
        <v>-34514.699999999997</v>
      </c>
      <c r="AD51" s="8">
        <f>IFERROR(AC51/AC444, "NA")</f>
        <v>-0.18774111398598328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1074.8</v>
      </c>
      <c r="C53" s="8">
        <f>IFERROR(B53/B444, "NA")</f>
        <v>5.0674800409038238E-3</v>
      </c>
      <c r="D53" s="9"/>
      <c r="E53" s="7">
        <v>0</v>
      </c>
      <c r="F53" s="8">
        <f>IFERROR(E53/E444, "NA")</f>
        <v>0</v>
      </c>
      <c r="G53" s="9"/>
      <c r="H53" s="10">
        <f t="shared" si="12"/>
        <v>1074.8</v>
      </c>
      <c r="I53" s="8">
        <f>IFERROR(H53/H444, "NA")</f>
        <v>-1.3333702197691364E-2</v>
      </c>
      <c r="J53" s="9"/>
      <c r="K53" s="7">
        <v>0</v>
      </c>
      <c r="L53" s="8">
        <f>IFERROR(K53/K444, "NA")</f>
        <v>0</v>
      </c>
      <c r="M53" s="9"/>
      <c r="N53" s="10">
        <f t="shared" si="13"/>
        <v>1074.8</v>
      </c>
      <c r="O53" s="8">
        <f>IFERROR(N53/N444, "NA")</f>
        <v>-1.7857834161066431E-2</v>
      </c>
      <c r="P53" s="9"/>
      <c r="Q53" s="7">
        <v>9074.7999999999993</v>
      </c>
      <c r="R53" s="8">
        <f>IFERROR(Q53/Q444, "NA")</f>
        <v>5.5249599294591662E-3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9074.7999999999993</v>
      </c>
      <c r="X53" s="8">
        <f>IFERROR(W53/W444, "NA")</f>
        <v>0.23796612231754571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9074.7999999999993</v>
      </c>
      <c r="AD53" s="8">
        <f>IFERROR(AC53/AC444, "NA")</f>
        <v>4.936195479607243E-2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7.0928045993519739E-6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3.0549492275305329E-4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6.3369636066276265E-5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2.5053125258655254E-5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1.0790657571921151E-3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2.2383352138431487E-4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184.46</v>
      </c>
      <c r="L56" s="8">
        <f>IFERROR(K56/K444, "NA")</f>
        <v>6.7745442258818002E-4</v>
      </c>
      <c r="M56" s="9"/>
      <c r="N56" s="10">
        <f t="shared" si="13"/>
        <v>-184.46</v>
      </c>
      <c r="O56" s="8">
        <f>IFERROR(N56/N444, "NA")</f>
        <v>3.0648084195667234E-3</v>
      </c>
      <c r="P56" s="9"/>
      <c r="Q56" s="7">
        <v>11.65</v>
      </c>
      <c r="R56" s="8">
        <f>IFERROR(Q56/Q444, "NA")</f>
        <v>7.0928045993519739E-6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3.0549492275305329E-4</v>
      </c>
      <c r="Y56" s="9"/>
      <c r="Z56" s="7">
        <v>1363.07</v>
      </c>
      <c r="AA56" s="8">
        <f>IFERROR(Z56/Z444, "NA")</f>
        <v>9.3446234353341325E-4</v>
      </c>
      <c r="AB56" s="9"/>
      <c r="AC56" s="10">
        <f t="shared" si="15"/>
        <v>-1351.4199999999998</v>
      </c>
      <c r="AD56" s="8">
        <f>IFERROR(AC56/AC444, "NA")</f>
        <v>-7.3509865727628375E-3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225.44</v>
      </c>
      <c r="C58" s="8">
        <f>IFERROR(B58/B444, "NA")</f>
        <v>1.0629072389480444E-3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225.44</v>
      </c>
      <c r="I58" s="8">
        <f>IFERROR(H58/H444, "NA")</f>
        <v>-2.7967527199921302E-3</v>
      </c>
      <c r="J58" s="9"/>
      <c r="K58" s="7">
        <v>1113.8</v>
      </c>
      <c r="L58" s="8">
        <f>IFERROR(K58/K444, "NA")</f>
        <v>4.090581892435839E-3</v>
      </c>
      <c r="M58" s="9"/>
      <c r="N58" s="10">
        <f t="shared" si="13"/>
        <v>-888.3599999999999</v>
      </c>
      <c r="O58" s="8">
        <f>IFERROR(N58/N444, "NA")</f>
        <v>1.4760127982252487E-2</v>
      </c>
      <c r="P58" s="9"/>
      <c r="Q58" s="7">
        <v>1789.66</v>
      </c>
      <c r="R58" s="8">
        <f>IFERROR(Q58/Q444, "NA")</f>
        <v>1.0895887278348716E-3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1789.66</v>
      </c>
      <c r="X58" s="8">
        <f>IFERROR(W58/W444, "NA")</f>
        <v>4.6929789137702085E-2</v>
      </c>
      <c r="Y58" s="9"/>
      <c r="Z58" s="7">
        <v>5464.25</v>
      </c>
      <c r="AA58" s="8">
        <f>IFERROR(Z58/Z444, "NA")</f>
        <v>3.7460554928598335E-3</v>
      </c>
      <c r="AB58" s="9"/>
      <c r="AC58" s="10">
        <f t="shared" si="15"/>
        <v>-3674.59</v>
      </c>
      <c r="AD58" s="8">
        <f>IFERROR(AC58/AC444, "NA")</f>
        <v>-1.9987762316976663E-2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63941.240000000005</v>
      </c>
      <c r="C61" s="15">
        <f>IFERROR(B61/B444, "NA")</f>
        <v>0.30147093179255791</v>
      </c>
      <c r="D61" s="2"/>
      <c r="E61" s="14">
        <f>IFERROR(E46+E47+E48+E49+E50+E51+E52+E53+E54+E55+E56+E57+E58+E59+E60, "NA")</f>
        <v>129083.04</v>
      </c>
      <c r="F61" s="15">
        <f>IFERROR(E61/E444, "NA")</f>
        <v>0.44100000922429489</v>
      </c>
      <c r="G61" s="2"/>
      <c r="H61" s="14">
        <f t="shared" si="12"/>
        <v>-65141.799999999988</v>
      </c>
      <c r="I61" s="15">
        <f>IFERROR(H61/H444, "NA")</f>
        <v>0.8081330124875058</v>
      </c>
      <c r="J61" s="2"/>
      <c r="K61" s="14">
        <f>IFERROR(K46+K47+K48+K49+K50+K51+K52+K53+K54+K55+K56+K57+K58+K59+K60, "NA")</f>
        <v>82067.430000000022</v>
      </c>
      <c r="L61" s="15">
        <f>IFERROR(K61/K444, "NA")</f>
        <v>0.30140379162932829</v>
      </c>
      <c r="M61" s="2"/>
      <c r="N61" s="14">
        <f t="shared" si="13"/>
        <v>-18126.190000000017</v>
      </c>
      <c r="O61" s="15">
        <f>IFERROR(N61/N444, "NA")</f>
        <v>0.30116718923704972</v>
      </c>
      <c r="P61" s="2"/>
      <c r="Q61" s="14">
        <f>IFERROR(Q46+Q47+Q48+Q49+Q50+Q51+Q52+Q53+Q54+Q55+Q56+Q57+Q58+Q59+Q60, "NA")</f>
        <v>403570.65</v>
      </c>
      <c r="R61" s="15">
        <f>IFERROR(Q61/Q444, "NA")</f>
        <v>0.24570367059943912</v>
      </c>
      <c r="S61" s="2"/>
      <c r="T61" s="14">
        <f>IFERROR(T46+T47+T48+T49+T50+T51+T52+T53+T54+T55+T56+T57+T58+T59+T60, "NA")</f>
        <v>707529.31</v>
      </c>
      <c r="U61" s="15">
        <f>IFERROR(T61/T444, "NA")</f>
        <v>0.44100001171172715</v>
      </c>
      <c r="V61" s="2"/>
      <c r="W61" s="14">
        <f t="shared" si="14"/>
        <v>-303958.66000000003</v>
      </c>
      <c r="X61" s="15">
        <f>IFERROR(W61/W444, "NA")</f>
        <v>-7.9706289576670892</v>
      </c>
      <c r="Y61" s="2"/>
      <c r="Z61" s="14">
        <f>IFERROR(Z46+Z47+Z48+Z49+Z50+Z51+Z52+Z53+Z54+Z55+Z56+Z57+Z58+Z59+Z60, "NA")</f>
        <v>505287.49000000005</v>
      </c>
      <c r="AA61" s="15">
        <f>IFERROR(Z61/Z444, "NA")</f>
        <v>0.34640343640716631</v>
      </c>
      <c r="AB61" s="2"/>
      <c r="AC61" s="14">
        <f t="shared" si="15"/>
        <v>-101716.84000000003</v>
      </c>
      <c r="AD61" s="15">
        <f>IFERROR(AC61/AC444, "NA")</f>
        <v>-0.55328404571773848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83075.19</v>
      </c>
      <c r="C62" s="15">
        <f>IFERROR(B62/B444, "NA")</f>
        <v>0.39168391069900721</v>
      </c>
      <c r="D62" s="2"/>
      <c r="E62" s="14">
        <f>IFERROR(E42+E43+E44+E46+E47+E48+E49+E50+E51+E52+E53+E54+E55+E56+E57+E58+E59+E60, "NA")</f>
        <v>129083.04</v>
      </c>
      <c r="F62" s="15">
        <f>IFERROR(E62/E444, "NA")</f>
        <v>0.44100000922429489</v>
      </c>
      <c r="G62" s="2"/>
      <c r="H62" s="14">
        <f t="shared" si="12"/>
        <v>-46007.849999999991</v>
      </c>
      <c r="I62" s="15">
        <f>IFERROR(H62/H444, "NA")</f>
        <v>0.57076197493120073</v>
      </c>
      <c r="J62" s="2"/>
      <c r="K62" s="14">
        <f>IFERROR(K42+K43+K44+K46+K47+K48+K49+K50+K51+K52+K53+K54+K55+K56+K57+K58+K59+K60, "NA")</f>
        <v>95808.560000000027</v>
      </c>
      <c r="L62" s="15">
        <f>IFERROR(K62/K444, "NA")</f>
        <v>0.35186995930719406</v>
      </c>
      <c r="M62" s="2"/>
      <c r="N62" s="14">
        <f t="shared" si="13"/>
        <v>-12733.370000000024</v>
      </c>
      <c r="O62" s="15">
        <f>IFERROR(N62/N444, "NA")</f>
        <v>0.21156532356856989</v>
      </c>
      <c r="P62" s="2"/>
      <c r="Q62" s="14">
        <f>IFERROR(Q42+Q43+Q44+Q46+Q47+Q48+Q49+Q50+Q51+Q52+Q53+Q54+Q55+Q56+Q57+Q58+Q59+Q60, "NA")</f>
        <v>527973.26000000013</v>
      </c>
      <c r="R62" s="15">
        <f>IFERROR(Q62/Q444, "NA")</f>
        <v>0.32144301861483748</v>
      </c>
      <c r="S62" s="2"/>
      <c r="T62" s="14">
        <f>IFERROR(T42+T43+T44+T46+T47+T48+T49+T50+T51+T52+T53+T54+T55+T56+T57+T58+T59+T60, "NA")</f>
        <v>707529.31</v>
      </c>
      <c r="U62" s="15">
        <f>IFERROR(T62/T444, "NA")</f>
        <v>0.44100001171172715</v>
      </c>
      <c r="V62" s="2"/>
      <c r="W62" s="14">
        <f t="shared" si="14"/>
        <v>-179556.04999999993</v>
      </c>
      <c r="X62" s="15">
        <f>IFERROR(W62/W444, "NA")</f>
        <v>-4.7084516415959952</v>
      </c>
      <c r="Y62" s="2"/>
      <c r="Z62" s="14">
        <f>IFERROR(Z42+Z43+Z44+Z46+Z47+Z48+Z49+Z50+Z51+Z52+Z53+Z54+Z55+Z56+Z57+Z58+Z59+Z60, "NA")</f>
        <v>532575.84</v>
      </c>
      <c r="AA62" s="15">
        <f>IFERROR(Z62/Z444, "NA")</f>
        <v>0.36511115904221803</v>
      </c>
      <c r="AB62" s="2"/>
      <c r="AC62" s="14">
        <f t="shared" si="15"/>
        <v>-4602.5799999998417</v>
      </c>
      <c r="AD62" s="15">
        <f>IFERROR(AC62/AC444, "NA")</f>
        <v>-2.5035520992782126E-2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1841.73</v>
      </c>
      <c r="C65" s="8">
        <f>IFERROR(B65/B444, "NA")</f>
        <v>8.6834108817768884E-3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1841.73</v>
      </c>
      <c r="I65" s="8">
        <f>IFERROR(H65/H444, "NA")</f>
        <v>-2.2848045542011648E-2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1841.73</v>
      </c>
      <c r="O65" s="8">
        <f>IFERROR(N65/N444, "NA")</f>
        <v>-3.0600399059788685E-2</v>
      </c>
      <c r="P65" s="9"/>
      <c r="Q65" s="7">
        <v>9420.4599999999991</v>
      </c>
      <c r="R65" s="8">
        <f>IFERROR(Q65/Q444, "NA")</f>
        <v>5.7354061816318703E-3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9420.4599999999991</v>
      </c>
      <c r="X65" s="8">
        <f>IFERROR(W65/W444, "NA")</f>
        <v>0.24703027467795946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9420.4599999999991</v>
      </c>
      <c r="AD65" s="8">
        <f>IFERROR(AC65/AC444, "NA")</f>
        <v>5.1242156375700676E-2</v>
      </c>
    </row>
    <row r="66" spans="1:30" ht="16.5" customHeight="1" x14ac:dyDescent="0.45">
      <c r="A66" s="12" t="s">
        <v>63</v>
      </c>
      <c r="B66" s="7">
        <v>8764.5</v>
      </c>
      <c r="C66" s="8">
        <f>IFERROR(B66/B444, "NA")</f>
        <v>4.1322970616395206E-2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8764.5</v>
      </c>
      <c r="I66" s="8">
        <f>IFERROR(H66/H444, "NA")</f>
        <v>-0.10873021298070895</v>
      </c>
      <c r="J66" s="9"/>
      <c r="K66" s="7">
        <v>16310.24</v>
      </c>
      <c r="L66" s="8">
        <f>IFERROR(K66/K444, "NA")</f>
        <v>5.9901573357229954E-2</v>
      </c>
      <c r="M66" s="9"/>
      <c r="N66" s="10">
        <f t="shared" si="17"/>
        <v>-7545.74</v>
      </c>
      <c r="O66" s="8">
        <f>IFERROR(N66/N444, "NA")</f>
        <v>0.12537269588995667</v>
      </c>
      <c r="P66" s="9"/>
      <c r="Q66" s="7">
        <v>110307.1</v>
      </c>
      <c r="R66" s="8">
        <f>IFERROR(Q66/Q444, "NA")</f>
        <v>6.7157657186367223E-2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110307.1</v>
      </c>
      <c r="X66" s="8">
        <f>IFERROR(W66/W444, "NA")</f>
        <v>2.8925544200526456</v>
      </c>
      <c r="Y66" s="9"/>
      <c r="Z66" s="7">
        <v>109304.02</v>
      </c>
      <c r="AA66" s="8">
        <f>IFERROR(Z66/Z444, "NA")</f>
        <v>7.4934149153618734E-2</v>
      </c>
      <c r="AB66" s="9"/>
      <c r="AC66" s="10">
        <f t="shared" si="19"/>
        <v>1003.0800000000017</v>
      </c>
      <c r="AD66" s="8">
        <f>IFERROR(AC66/AC444, "NA")</f>
        <v>5.4562072571124895E-3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6.0168596269738811E-3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0.25915278522212337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5.3756761444977832E-2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10606.23</v>
      </c>
      <c r="C73" s="15">
        <f>IFERROR(B73/B444, "NA")</f>
        <v>5.0006381498172089E-2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10606.23</v>
      </c>
      <c r="I73" s="15">
        <f>IFERROR(H73/H444, "NA")</f>
        <v>-0.13157825852272059</v>
      </c>
      <c r="J73" s="2"/>
      <c r="K73" s="14">
        <f>IFERROR(K64+K65+K66+K67+K68+K69+K70+K71+K72, "NA")</f>
        <v>16310.24</v>
      </c>
      <c r="L73" s="15">
        <f>IFERROR(K73/K444, "NA")</f>
        <v>5.9901573357229954E-2</v>
      </c>
      <c r="M73" s="2"/>
      <c r="N73" s="14">
        <f t="shared" si="17"/>
        <v>-5704.01</v>
      </c>
      <c r="O73" s="15">
        <f>IFERROR(N73/N444, "NA")</f>
        <v>9.4772296830167982E-2</v>
      </c>
      <c r="P73" s="2"/>
      <c r="Q73" s="14">
        <f>IFERROR(Q64+Q65+Q66+Q67+Q68+Q69+Q70+Q71+Q72, "NA")</f>
        <v>129610.31</v>
      </c>
      <c r="R73" s="15">
        <f>IFERROR(Q73/Q444, "NA")</f>
        <v>7.8909922994972972E-2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129610.31</v>
      </c>
      <c r="X73" s="15">
        <f>IFERROR(W73/W444, "NA")</f>
        <v>3.3987374799527283</v>
      </c>
      <c r="Y73" s="2"/>
      <c r="Z73" s="14">
        <f>IFERROR(Z64+Z65+Z66+Z67+Z68+Z69+Z70+Z71+Z72, "NA")</f>
        <v>109304.02</v>
      </c>
      <c r="AA73" s="15">
        <f>IFERROR(Z73/Z444, "NA")</f>
        <v>7.4934149153618734E-2</v>
      </c>
      <c r="AB73" s="2"/>
      <c r="AC73" s="14">
        <f t="shared" si="19"/>
        <v>20306.289999999994</v>
      </c>
      <c r="AD73" s="15">
        <f>IFERROR(AC73/AC444, "NA")</f>
        <v>0.11045512507779096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8488.4500000000007</v>
      </c>
      <c r="F75" s="8">
        <f>IFERROR(E75/E444, "NA")</f>
        <v>2.8999987359299612E-2</v>
      </c>
      <c r="G75" s="9"/>
      <c r="H75" s="10">
        <f t="shared" ref="H75:H92" si="20">IFERROR(B75-E75, "NA")</f>
        <v>-8488.4500000000007</v>
      </c>
      <c r="I75" s="8">
        <f>IFERROR(H75/H444, "NA")</f>
        <v>0.1053056051544411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46526.86</v>
      </c>
      <c r="U75" s="8">
        <f>IFERROR(T75/T444, "NA")</f>
        <v>2.8999994084923333E-2</v>
      </c>
      <c r="V75" s="9"/>
      <c r="W75" s="10">
        <f t="shared" ref="W75:W92" si="22">IFERROR(Q75-T75, "NA")</f>
        <v>-46526.86</v>
      </c>
      <c r="X75" s="8">
        <f>IFERROR(W75/W444, "NA")</f>
        <v>-1.2200617597976071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2027.42</v>
      </c>
      <c r="C77" s="8">
        <f>IFERROR(B77/B444, "NA")</f>
        <v>9.5589043399043824E-3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2027.42</v>
      </c>
      <c r="I77" s="8">
        <f>IFERROR(H77/H444, "NA")</f>
        <v>-2.5151669621923549E-2</v>
      </c>
      <c r="J77" s="9"/>
      <c r="K77" s="7">
        <v>179.51</v>
      </c>
      <c r="L77" s="8">
        <f>IFERROR(K77/K444, "NA")</f>
        <v>6.5927487476311498E-4</v>
      </c>
      <c r="M77" s="9"/>
      <c r="N77" s="10">
        <f t="shared" si="21"/>
        <v>1847.91</v>
      </c>
      <c r="O77" s="8">
        <f>IFERROR(N77/N444, "NA")</f>
        <v>-3.0703079944711827E-2</v>
      </c>
      <c r="P77" s="9"/>
      <c r="Q77" s="7">
        <v>11846.09</v>
      </c>
      <c r="R77" s="8">
        <f>IFERROR(Q77/Q444, "NA")</f>
        <v>7.212188981659865E-3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11846.09</v>
      </c>
      <c r="X77" s="8">
        <f>IFERROR(W77/W444, "NA")</f>
        <v>0.31063693986916024</v>
      </c>
      <c r="Y77" s="9"/>
      <c r="Z77" s="7">
        <v>1249.93</v>
      </c>
      <c r="AA77" s="8">
        <f>IFERROR(Z77/Z444, "NA")</f>
        <v>8.5689841097868731E-4</v>
      </c>
      <c r="AB77" s="9"/>
      <c r="AC77" s="10">
        <f t="shared" si="23"/>
        <v>10596.16</v>
      </c>
      <c r="AD77" s="8">
        <f>IFERROR(AC77/AC444, "NA")</f>
        <v>5.7637322137341969E-2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11.96</v>
      </c>
      <c r="C79" s="8">
        <f>IFERROR(B79/B444, "NA")</f>
        <v>5.6389152669528968E-5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11.96</v>
      </c>
      <c r="I79" s="8">
        <f>IFERROR(H79/H444, "NA")</f>
        <v>-1.4837279334237882E-4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11.96</v>
      </c>
      <c r="O79" s="8">
        <f>IFERROR(N79/N444, "NA")</f>
        <v>-1.9871575787714415E-4</v>
      </c>
      <c r="P79" s="9"/>
      <c r="Q79" s="7">
        <v>20.93</v>
      </c>
      <c r="R79" s="8">
        <f>IFERROR(Q79/Q444, "NA")</f>
        <v>1.2742695301668396E-5</v>
      </c>
      <c r="S79" s="9"/>
      <c r="T79" s="7">
        <v>0</v>
      </c>
      <c r="U79" s="8">
        <f>IFERROR(T79/T444, "NA")</f>
        <v>0</v>
      </c>
      <c r="V79" s="9"/>
      <c r="W79" s="10">
        <f t="shared" si="22"/>
        <v>20.93</v>
      </c>
      <c r="X79" s="8">
        <f>IFERROR(W79/W444, "NA")</f>
        <v>5.4884195134947684E-4</v>
      </c>
      <c r="Y79" s="9"/>
      <c r="Z79" s="7">
        <v>101.66</v>
      </c>
      <c r="AA79" s="8">
        <f>IFERROR(Z79/Z444, "NA")</f>
        <v>6.9693736817336445E-5</v>
      </c>
      <c r="AB79" s="9"/>
      <c r="AC79" s="10">
        <f t="shared" si="23"/>
        <v>-80.72999999999999</v>
      </c>
      <c r="AD79" s="8">
        <f>IFERROR(AC79/AC444, "NA")</f>
        <v>-4.3912710039746631E-4</v>
      </c>
    </row>
    <row r="80" spans="1:30" ht="16.5" customHeight="1" x14ac:dyDescent="0.45">
      <c r="A80" s="12" t="s">
        <v>76</v>
      </c>
      <c r="B80" s="7">
        <v>5783.44</v>
      </c>
      <c r="C80" s="8">
        <f>IFERROR(B80/B444, "NA")</f>
        <v>2.7267832869152221E-2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5783.44</v>
      </c>
      <c r="I80" s="8">
        <f>IFERROR(H80/H444, "NA")</f>
        <v>-7.1747922067562475E-2</v>
      </c>
      <c r="J80" s="9"/>
      <c r="K80" s="7">
        <v>7299.41</v>
      </c>
      <c r="L80" s="8">
        <f>IFERROR(K80/K444, "NA")</f>
        <v>2.6808075391870252E-2</v>
      </c>
      <c r="M80" s="9"/>
      <c r="N80" s="10">
        <f t="shared" si="21"/>
        <v>-1515.9700000000003</v>
      </c>
      <c r="O80" s="8">
        <f>IFERROR(N80/N444, "NA")</f>
        <v>2.5187886912124938E-2</v>
      </c>
      <c r="P80" s="9"/>
      <c r="Q80" s="7">
        <v>33964.160000000003</v>
      </c>
      <c r="R80" s="8">
        <f>IFERROR(Q80/Q444, "NA")</f>
        <v>2.0678210322843463E-2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33964.160000000003</v>
      </c>
      <c r="X80" s="8">
        <f>IFERROR(W80/W444, "NA")</f>
        <v>0.89063334210921397</v>
      </c>
      <c r="Y80" s="9"/>
      <c r="Z80" s="7">
        <v>39218.76</v>
      </c>
      <c r="AA80" s="8">
        <f>IFERROR(Z80/Z444, "NA")</f>
        <v>2.6886700154852273E-2</v>
      </c>
      <c r="AB80" s="9"/>
      <c r="AC80" s="10">
        <f t="shared" si="23"/>
        <v>-5254.5999999999985</v>
      </c>
      <c r="AD80" s="8">
        <f>IFERROR(AC80/AC444, "NA")</f>
        <v>-2.8582153620073405E-2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1.101790777276667E-4</v>
      </c>
      <c r="M85" s="9"/>
      <c r="N85" s="10">
        <f t="shared" si="21"/>
        <v>-30</v>
      </c>
      <c r="O85" s="8">
        <f>IFERROR(N85/N444, "NA")</f>
        <v>4.9845089768514421E-4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150</v>
      </c>
      <c r="AA85" s="8">
        <f>IFERROR(Z85/Z444, "NA")</f>
        <v>1.0283356799725032E-4</v>
      </c>
      <c r="AB85" s="9"/>
      <c r="AC85" s="10">
        <f t="shared" si="23"/>
        <v>-150</v>
      </c>
      <c r="AD85" s="8">
        <f>IFERROR(AC85/AC444, "NA")</f>
        <v>-8.1591806093917938E-4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6.0168900681953374E-4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2.5915409635913086E-2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5.3757033417664813E-3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7822.82</v>
      </c>
      <c r="C88" s="15">
        <f>IFERROR(B88/B444, "NA")</f>
        <v>3.6883126361726137E-2</v>
      </c>
      <c r="D88" s="2"/>
      <c r="E88" s="14">
        <f>IFERROR(E75+E76+E77+E78+E79+E80+E81+E82+E83+E84+E85+E86+E87, "NA")</f>
        <v>8488.4500000000007</v>
      </c>
      <c r="F88" s="15">
        <f>IFERROR(E88/E444, "NA")</f>
        <v>2.8999987359299612E-2</v>
      </c>
      <c r="G88" s="2"/>
      <c r="H88" s="14">
        <f t="shared" si="20"/>
        <v>-665.63000000000102</v>
      </c>
      <c r="I88" s="15">
        <f>IFERROR(H88/H444, "NA")</f>
        <v>8.2576406716126875E-3</v>
      </c>
      <c r="J88" s="2"/>
      <c r="K88" s="14">
        <f>IFERROR(K75+K76+K77+K78+K79+K80+K81+K82+K83+K84+K85+K86+K87, "NA")</f>
        <v>7508.92</v>
      </c>
      <c r="L88" s="15">
        <f>IFERROR(K88/K444, "NA")</f>
        <v>2.7577529344361036E-2</v>
      </c>
      <c r="M88" s="2"/>
      <c r="N88" s="14">
        <f t="shared" si="21"/>
        <v>313.89999999999964</v>
      </c>
      <c r="O88" s="15">
        <f>IFERROR(N88/N444, "NA")</f>
        <v>-5.2154578927788861E-3</v>
      </c>
      <c r="P88" s="2"/>
      <c r="Q88" s="14">
        <f>IFERROR(Q75+Q76+Q77+Q78+Q79+Q80+Q81+Q82+Q83+Q84+Q85+Q86+Q87, "NA")</f>
        <v>46819.460000000006</v>
      </c>
      <c r="R88" s="15">
        <f>IFERROR(Q88/Q444, "NA")</f>
        <v>2.8504831006624532E-2</v>
      </c>
      <c r="S88" s="2"/>
      <c r="T88" s="14">
        <f>IFERROR(T75+T76+T77+T78+T79+T80+T81+T82+T83+T84+T85+T86+T87, "NA")</f>
        <v>46526.86</v>
      </c>
      <c r="U88" s="15">
        <f>IFERROR(T88/T444, "NA")</f>
        <v>2.8999994084923333E-2</v>
      </c>
      <c r="V88" s="2"/>
      <c r="W88" s="14">
        <f t="shared" si="22"/>
        <v>292.60000000000582</v>
      </c>
      <c r="X88" s="15">
        <f>IFERROR(W88/W444, "NA")</f>
        <v>7.6727737680296277E-3</v>
      </c>
      <c r="Y88" s="2"/>
      <c r="Z88" s="14">
        <f>IFERROR(Z75+Z76+Z77+Z78+Z79+Z80+Z81+Z82+Z83+Z84+Z85+Z86+Z87, "NA")</f>
        <v>40720.350000000006</v>
      </c>
      <c r="AA88" s="15">
        <f>IFERROR(Z88/Z444, "NA")</f>
        <v>2.7916125870645552E-2</v>
      </c>
      <c r="AB88" s="2"/>
      <c r="AC88" s="14">
        <f t="shared" si="23"/>
        <v>6099.1100000000006</v>
      </c>
      <c r="AD88" s="15">
        <f>IFERROR(AC88/AC444, "NA")</f>
        <v>3.3175826697698391E-2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2449.73</v>
      </c>
      <c r="L89" s="8">
        <f>IFERROR(K89/K444, "NA")</f>
        <v>8.9969664027265642E-3</v>
      </c>
      <c r="M89" s="9"/>
      <c r="N89" s="10">
        <f t="shared" si="21"/>
        <v>-2449.73</v>
      </c>
      <c r="O89" s="8">
        <f>IFERROR(N89/N444, "NA")</f>
        <v>4.0702337252874275E-2</v>
      </c>
      <c r="P89" s="9"/>
      <c r="Q89" s="7">
        <v>196.91</v>
      </c>
      <c r="R89" s="8">
        <f>IFERROR(Q89/Q444, "NA")</f>
        <v>1.1988361833977657E-4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196.91</v>
      </c>
      <c r="X89" s="8">
        <f>IFERROR(W89/W444, "NA")</f>
        <v>5.1635197630303621E-3</v>
      </c>
      <c r="Y89" s="9"/>
      <c r="Z89" s="7">
        <v>-640.6</v>
      </c>
      <c r="AA89" s="8">
        <f>IFERROR(Z89/Z444, "NA")</f>
        <v>-4.3916789106025707E-4</v>
      </c>
      <c r="AB89" s="9"/>
      <c r="AC89" s="10">
        <f t="shared" si="23"/>
        <v>837.51</v>
      </c>
      <c r="AD89" s="8">
        <f>IFERROR(AC89/AC444, "NA")</f>
        <v>4.5555969014478143E-3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-10244.69</v>
      </c>
      <c r="F94" s="8">
        <f>IFERROR(E94/E444, "NA")</f>
        <v>-3.50000153738248E-2</v>
      </c>
      <c r="G94" s="9"/>
      <c r="H94" s="10">
        <f t="shared" ref="H94:H124" si="24">IFERROR(B94-E94, "NA")</f>
        <v>10244.69</v>
      </c>
      <c r="I94" s="8">
        <f>IFERROR(H94/H444, "NA")</f>
        <v>-0.12709308296210156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-56153.13</v>
      </c>
      <c r="U94" s="8">
        <f>IFERROR(T94/T444, "NA")</f>
        <v>-3.5000007261395481E-2</v>
      </c>
      <c r="V94" s="9"/>
      <c r="W94" s="10">
        <f t="shared" ref="W94:W124" si="26">IFERROR(Q94-T94, "NA")</f>
        <v>56153.13</v>
      </c>
      <c r="X94" s="8">
        <f>IFERROR(W94/W444, "NA")</f>
        <v>1.4724889366259362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-2346.4499999999998</v>
      </c>
      <c r="C96" s="8">
        <f>IFERROR(B96/B444, "NA")</f>
        <v>-1.1063070842927779E-2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-2346.4499999999998</v>
      </c>
      <c r="I96" s="8">
        <f>IFERROR(H96/H444, "NA")</f>
        <v>2.9109476667075643E-2</v>
      </c>
      <c r="J96" s="9"/>
      <c r="K96" s="7">
        <v>-54.73</v>
      </c>
      <c r="L96" s="8">
        <f>IFERROR(K96/K444, "NA")</f>
        <v>-2.0100336413450662E-4</v>
      </c>
      <c r="M96" s="9"/>
      <c r="N96" s="10">
        <f t="shared" si="25"/>
        <v>-2291.7199999999998</v>
      </c>
      <c r="O96" s="8">
        <f>IFERROR(N96/N444, "NA")</f>
        <v>3.8076996374766615E-2</v>
      </c>
      <c r="P96" s="9"/>
      <c r="Q96" s="7">
        <v>-19420.919999999998</v>
      </c>
      <c r="R96" s="8">
        <f>IFERROR(Q96/Q444, "NA")</f>
        <v>-1.1823930532158517E-2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-19420.919999999998</v>
      </c>
      <c r="X96" s="8">
        <f>IFERROR(W96/W444, "NA")</f>
        <v>-0.50926973864319536</v>
      </c>
      <c r="Y96" s="9"/>
      <c r="Z96" s="7">
        <v>-990.73</v>
      </c>
      <c r="AA96" s="8">
        <f>IFERROR(Z96/Z444, "NA")</f>
        <v>-6.7920200547943869E-4</v>
      </c>
      <c r="AB96" s="9"/>
      <c r="AC96" s="10">
        <f t="shared" si="27"/>
        <v>-18430.189999999999</v>
      </c>
      <c r="AD96" s="8">
        <f>IFERROR(AC96/AC444, "NA")</f>
        <v>-0.10025016591693769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-2604.09</v>
      </c>
      <c r="C98" s="8">
        <f>IFERROR(B98/B444, "NA")</f>
        <v>-1.2277795031370711E-2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-2604.09</v>
      </c>
      <c r="I98" s="8">
        <f>IFERROR(H98/H444, "NA")</f>
        <v>3.2305694599912643E-2</v>
      </c>
      <c r="J98" s="9"/>
      <c r="K98" s="7">
        <v>-2570.7399999999998</v>
      </c>
      <c r="L98" s="8">
        <f>IFERROR(K98/K444, "NA")</f>
        <v>-9.4413920759207296E-3</v>
      </c>
      <c r="M98" s="9"/>
      <c r="N98" s="10">
        <f t="shared" si="25"/>
        <v>-33.350000000000364</v>
      </c>
      <c r="O98" s="8">
        <f>IFERROR(N98/N444, "NA")</f>
        <v>5.5411124792665797E-4</v>
      </c>
      <c r="P98" s="9"/>
      <c r="Q98" s="7">
        <v>-20904.93</v>
      </c>
      <c r="R98" s="8">
        <f>IFERROR(Q98/Q444, "NA")</f>
        <v>-1.2727432073230134E-2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-20904.93</v>
      </c>
      <c r="X98" s="8">
        <f>IFERROR(W98/W444, "NA")</f>
        <v>-0.54818454725390431</v>
      </c>
      <c r="Y98" s="9"/>
      <c r="Z98" s="7">
        <v>-20988.84</v>
      </c>
      <c r="AA98" s="8">
        <f>IFERROR(Z98/Z444, "NA")</f>
        <v>-1.438904870215605E-2</v>
      </c>
      <c r="AB98" s="9"/>
      <c r="AC98" s="10">
        <f t="shared" si="27"/>
        <v>83.909999999999854</v>
      </c>
      <c r="AD98" s="8">
        <f>IFERROR(AC98/AC444, "NA")</f>
        <v>4.5642456328937617E-4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-770.32</v>
      </c>
      <c r="C100" s="8">
        <f>IFERROR(B100/B444, "NA")</f>
        <v>-3.6319140538788926E-3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-770.32</v>
      </c>
      <c r="I100" s="8">
        <f>IFERROR(H100/H444, "NA")</f>
        <v>9.5563988434365591E-3</v>
      </c>
      <c r="J100" s="9"/>
      <c r="K100" s="7">
        <v>-478.37</v>
      </c>
      <c r="L100" s="8">
        <f>IFERROR(K100/K444, "NA")</f>
        <v>-1.7568788470861308E-3</v>
      </c>
      <c r="M100" s="9"/>
      <c r="N100" s="10">
        <f t="shared" si="25"/>
        <v>-291.95000000000005</v>
      </c>
      <c r="O100" s="8">
        <f>IFERROR(N100/N444, "NA")</f>
        <v>4.8507579859725959E-3</v>
      </c>
      <c r="P100" s="9"/>
      <c r="Q100" s="7">
        <v>-8184.41</v>
      </c>
      <c r="R100" s="8">
        <f>IFERROR(Q100/Q444, "NA")</f>
        <v>-4.9828687460070631E-3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-8184.41</v>
      </c>
      <c r="X100" s="8">
        <f>IFERROR(W100/W444, "NA")</f>
        <v>-0.2146176567149628</v>
      </c>
      <c r="Y100" s="9"/>
      <c r="Z100" s="7">
        <v>-6441.95</v>
      </c>
      <c r="AA100" s="8">
        <f>IFERROR(Z100/Z444, "NA")</f>
        <v>-4.4163246890659112E-3</v>
      </c>
      <c r="AB100" s="9"/>
      <c r="AC100" s="10">
        <f t="shared" si="27"/>
        <v>-1742.46</v>
      </c>
      <c r="AD100" s="8">
        <f>IFERROR(AC100/AC444, "NA")</f>
        <v>-9.4780305630938842E-3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-2677.85</v>
      </c>
      <c r="C102" s="8">
        <f>IFERROR(B102/B444, "NA")</f>
        <v>-1.2625559571580111E-2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-2677.85</v>
      </c>
      <c r="I102" s="8">
        <f>IFERROR(H102/H444, "NA")</f>
        <v>3.322074286387032E-2</v>
      </c>
      <c r="J102" s="9"/>
      <c r="K102" s="7">
        <v>-344.65</v>
      </c>
      <c r="L102" s="8">
        <f>IFERROR(K102/K444, "NA")</f>
        <v>-1.2657739712946775E-3</v>
      </c>
      <c r="M102" s="9"/>
      <c r="N102" s="10">
        <f t="shared" si="25"/>
        <v>-2333.1999999999998</v>
      </c>
      <c r="O102" s="8">
        <f>IFERROR(N102/N444, "NA")</f>
        <v>3.8766187815965941E-2</v>
      </c>
      <c r="P102" s="9"/>
      <c r="Q102" s="7">
        <v>-16248.35</v>
      </c>
      <c r="R102" s="8">
        <f>IFERROR(Q102/Q444, "NA")</f>
        <v>-9.8923924130369656E-3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-16248.35</v>
      </c>
      <c r="X102" s="8">
        <f>IFERROR(W102/W444, "NA")</f>
        <v>-0.42607625992399767</v>
      </c>
      <c r="Y102" s="9"/>
      <c r="Z102" s="7">
        <v>-5833.91</v>
      </c>
      <c r="AA102" s="8">
        <f>IFERROR(Z102/Z444, "NA")</f>
        <v>-3.9994785378322569E-3</v>
      </c>
      <c r="AB102" s="9"/>
      <c r="AC102" s="10">
        <f t="shared" si="27"/>
        <v>-10414.44</v>
      </c>
      <c r="AD102" s="8">
        <f>IFERROR(AC102/AC444, "NA")</f>
        <v>-5.664886460378285E-2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-1101.27</v>
      </c>
      <c r="C104" s="8">
        <f>IFERROR(B104/B444, "NA")</f>
        <v>-5.1922811170879738E-3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-1101.27</v>
      </c>
      <c r="I104" s="8">
        <f>IFERROR(H104/H444, "NA")</f>
        <v>1.3662082451852967E-2</v>
      </c>
      <c r="J104" s="9"/>
      <c r="K104" s="7">
        <v>-765.13</v>
      </c>
      <c r="L104" s="8">
        <f>IFERROR(K104/K444, "NA")</f>
        <v>-2.810043924725654E-3</v>
      </c>
      <c r="M104" s="9"/>
      <c r="N104" s="10">
        <f t="shared" si="25"/>
        <v>-336.14</v>
      </c>
      <c r="O104" s="8">
        <f>IFERROR(N104/N444, "NA")</f>
        <v>5.5849761582628119E-3</v>
      </c>
      <c r="P104" s="9"/>
      <c r="Q104" s="7">
        <v>-6548.92</v>
      </c>
      <c r="R104" s="8">
        <f>IFERROR(Q104/Q444, "NA")</f>
        <v>-3.9871424804109983E-3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-6548.92</v>
      </c>
      <c r="X104" s="8">
        <f>IFERROR(W104/W444, "NA")</f>
        <v>-0.17173062742625972</v>
      </c>
      <c r="Y104" s="9"/>
      <c r="Z104" s="7">
        <v>-3897.78</v>
      </c>
      <c r="AA104" s="8">
        <f>IFERROR(Z104/Z444, "NA")</f>
        <v>-2.6721508311221493E-3</v>
      </c>
      <c r="AB104" s="9"/>
      <c r="AC104" s="10">
        <f t="shared" si="27"/>
        <v>-2651.14</v>
      </c>
      <c r="AD104" s="8">
        <f>IFERROR(AC104/AC444, "NA")</f>
        <v>-1.442075338718864E-2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-642.69000000000005</v>
      </c>
      <c r="L106" s="8">
        <f>IFERROR(K106/K444, "NA")</f>
        <v>-2.3603663821598038E-3</v>
      </c>
      <c r="M106" s="9"/>
      <c r="N106" s="10">
        <f t="shared" si="25"/>
        <v>642.69000000000005</v>
      </c>
      <c r="O106" s="8">
        <f>IFERROR(N106/N444, "NA")</f>
        <v>-1.0678313581108845E-2</v>
      </c>
      <c r="P106" s="9"/>
      <c r="Q106" s="7">
        <v>-1762.06</v>
      </c>
      <c r="R106" s="8">
        <f>IFERROR(Q106/Q444, "NA")</f>
        <v>-1.0727851735909133E-3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-1762.06</v>
      </c>
      <c r="X106" s="8">
        <f>IFERROR(W106/W444, "NA")</f>
        <v>-4.6206041509548927E-2</v>
      </c>
      <c r="Y106" s="9"/>
      <c r="Z106" s="7">
        <v>-15352.82</v>
      </c>
      <c r="AA106" s="8">
        <f>IFERROR(Z106/Z444, "NA")</f>
        <v>-1.0525235062796965E-2</v>
      </c>
      <c r="AB106" s="9"/>
      <c r="AC106" s="10">
        <f t="shared" si="27"/>
        <v>13590.76</v>
      </c>
      <c r="AD106" s="8">
        <f>IFERROR(AC106/AC444, "NA")</f>
        <v>7.3926310305931747E-2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-3.8103264728581149E-5</v>
      </c>
      <c r="AB108" s="9"/>
      <c r="AC108" s="10">
        <f t="shared" si="27"/>
        <v>55.58</v>
      </c>
      <c r="AD108" s="8">
        <f>IFERROR(AC108/AC444, "NA")</f>
        <v>3.0232483884666393E-4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-7.9181847357882743E-6</v>
      </c>
      <c r="AB111" s="9"/>
      <c r="AC111" s="10">
        <f t="shared" si="27"/>
        <v>11.55</v>
      </c>
      <c r="AD111" s="8">
        <f>IFERROR(AC111/AC444, "NA")</f>
        <v>6.2825690692316813E-5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-9499.98</v>
      </c>
      <c r="C118" s="15">
        <f>IFERROR(B118/B444, "NA")</f>
        <v>-4.4790620616845467E-2</v>
      </c>
      <c r="D118" s="2"/>
      <c r="E118" s="14">
        <f>IFERROR(E94+E95+E96+E97+E98+E99+E100+E101+E102+E103+E104+E105+E106+E107+E108+E109+E110+E111+E112+E113+E114+E115+E116+E117, "NA")</f>
        <v>-10244.69</v>
      </c>
      <c r="F118" s="15">
        <f>IFERROR(E118/E444, "NA")</f>
        <v>-3.50000153738248E-2</v>
      </c>
      <c r="G118" s="2"/>
      <c r="H118" s="14">
        <f t="shared" si="24"/>
        <v>744.71000000000095</v>
      </c>
      <c r="I118" s="15">
        <f>IFERROR(H118/H444, "NA")</f>
        <v>-9.2386875359534333E-3</v>
      </c>
      <c r="J118" s="2"/>
      <c r="K118" s="14">
        <f>IFERROR(K94+K95+K96+K97+K98+K99+K100+K101+K102+K103+K104+K105+K106+K107+K108+K109+K110+K111+K112+K113+K114+K115+K116+K117, "NA")</f>
        <v>-4856.3099999999995</v>
      </c>
      <c r="L118" s="15">
        <f>IFERROR(K118/K444, "NA")</f>
        <v>-1.78354585653215E-2</v>
      </c>
      <c r="M118" s="2"/>
      <c r="N118" s="14">
        <f t="shared" si="25"/>
        <v>-4643.67</v>
      </c>
      <c r="O118" s="15">
        <f>IFERROR(N118/N444, "NA")</f>
        <v>7.7154716001785778E-2</v>
      </c>
      <c r="P118" s="2"/>
      <c r="Q118" s="14">
        <f>IFERROR(Q94+Q95+Q96+Q97+Q98+Q99+Q100+Q101+Q102+Q103+Q104+Q105+Q106+Q107+Q108+Q109+Q110+Q111+Q112+Q113+Q114+Q115+Q116+Q117, "NA")</f>
        <v>-73069.59</v>
      </c>
      <c r="R118" s="15">
        <f>IFERROR(Q118/Q444, "NA")</f>
        <v>-4.4486551418434592E-2</v>
      </c>
      <c r="S118" s="2"/>
      <c r="T118" s="14">
        <f>IFERROR(T94+T95+T96+T97+T98+T99+T100+T101+T102+T103+T104+T105+T106+T107+T108+T109+T110+T111+T112+T113+T114+T115+T116+T117, "NA")</f>
        <v>-56153.13</v>
      </c>
      <c r="U118" s="15">
        <f>IFERROR(T118/T444, "NA")</f>
        <v>-3.5000007261395481E-2</v>
      </c>
      <c r="V118" s="2"/>
      <c r="W118" s="14">
        <f t="shared" si="26"/>
        <v>-16916.46</v>
      </c>
      <c r="X118" s="15">
        <f>IFERROR(W118/W444, "NA")</f>
        <v>-0.44359593484593263</v>
      </c>
      <c r="Y118" s="2"/>
      <c r="Z118" s="14">
        <f>IFERROR(Z94+Z95+Z96+Z97+Z98+Z99+Z100+Z101+Z102+Z103+Z104+Z105+Z106+Z107+Z108+Z109+Z110+Z111+Z112+Z113+Z114+Z115+Z116+Z117, "NA")</f>
        <v>-53573.16</v>
      </c>
      <c r="AA118" s="15">
        <f>IFERROR(Z118/Z444, "NA")</f>
        <v>-3.6727461277917144E-2</v>
      </c>
      <c r="AB118" s="2"/>
      <c r="AC118" s="14">
        <f t="shared" si="27"/>
        <v>-19496.429999999993</v>
      </c>
      <c r="AD118" s="15">
        <f>IFERROR(AC118/AC444, "NA")</f>
        <v>-0.10604992907224293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212097.53000000003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292705.3</v>
      </c>
      <c r="F122" s="15">
        <f>IFERROR(E122/E444, "NA")</f>
        <v>1</v>
      </c>
      <c r="G122" s="2"/>
      <c r="H122" s="14">
        <f t="shared" si="24"/>
        <v>-80607.76999999996</v>
      </c>
      <c r="I122" s="15">
        <f>IFERROR(H122/H444, "NA")</f>
        <v>0.99999999999999967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272283.99999999994</v>
      </c>
      <c r="L122" s="15">
        <f>IFERROR(K122/K444, "NA")</f>
        <v>0.99999999999999978</v>
      </c>
      <c r="M122" s="2"/>
      <c r="N122" s="14">
        <f t="shared" si="25"/>
        <v>-60186.469999999914</v>
      </c>
      <c r="O122" s="15">
        <f>IFERROR(N122/N444, "NA")</f>
        <v>0.99999999999999856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1642509.6499999997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1604374.8100000003</v>
      </c>
      <c r="U122" s="15">
        <f>IFERROR(T122/T444, "NA")</f>
        <v>1.0000000000000002</v>
      </c>
      <c r="V122" s="2"/>
      <c r="W122" s="14">
        <f t="shared" si="26"/>
        <v>38134.839999999385</v>
      </c>
      <c r="X122" s="15">
        <f>IFERROR(W122/W444, "NA")</f>
        <v>0.99999999999998779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1458667.6599999995</v>
      </c>
      <c r="AA122" s="15">
        <f>IFERROR(Z122/Z444, "NA")</f>
        <v>0.99999999999999967</v>
      </c>
      <c r="AB122" s="2"/>
      <c r="AC122" s="14">
        <f t="shared" si="27"/>
        <v>183841.99000000022</v>
      </c>
      <c r="AD122" s="15">
        <f>IFERROR(AC122/AC444, "NA")</f>
        <v>1.0000000000000013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212097.53000000003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292705.3</v>
      </c>
      <c r="F124" s="15">
        <f>IFERROR(E124/E444, "NA")</f>
        <v>1</v>
      </c>
      <c r="G124" s="2"/>
      <c r="H124" s="14">
        <f t="shared" si="24"/>
        <v>-80607.76999999996</v>
      </c>
      <c r="I124" s="15">
        <f>IFERROR(H124/H444, "NA")</f>
        <v>0.99999999999999967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272283.99999999994</v>
      </c>
      <c r="L124" s="15">
        <f>IFERROR(K124/K444, "NA")</f>
        <v>0.99999999999999978</v>
      </c>
      <c r="M124" s="2"/>
      <c r="N124" s="14">
        <f t="shared" si="25"/>
        <v>-60186.469999999914</v>
      </c>
      <c r="O124" s="15">
        <f>IFERROR(N124/N444, "NA")</f>
        <v>0.99999999999999856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1642509.6499999997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1604374.8100000003</v>
      </c>
      <c r="U124" s="15">
        <f>IFERROR(T124/T444, "NA")</f>
        <v>1.0000000000000002</v>
      </c>
      <c r="V124" s="2"/>
      <c r="W124" s="14">
        <f t="shared" si="26"/>
        <v>38134.839999999385</v>
      </c>
      <c r="X124" s="15">
        <f>IFERROR(W124/W444, "NA")</f>
        <v>0.99999999999998779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1458667.6599999995</v>
      </c>
      <c r="AA124" s="15">
        <f>IFERROR(Z124/Z444, "NA")</f>
        <v>0.99999999999999967</v>
      </c>
      <c r="AB124" s="2"/>
      <c r="AC124" s="14">
        <f t="shared" si="27"/>
        <v>183841.99000000022</v>
      </c>
      <c r="AD124" s="15">
        <f>IFERROR(AC124/AC444, "NA")</f>
        <v>1.0000000000000013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62346.23</v>
      </c>
      <c r="F129" s="8">
        <f>IFERROR(E129/E444, "NA")</f>
        <v>0.21300000375804609</v>
      </c>
      <c r="G129" s="9"/>
      <c r="H129" s="10">
        <f t="shared" ref="H129:H141" si="28">IFERROR(-(B129-E129), "NA")</f>
        <v>62346.23</v>
      </c>
      <c r="I129" s="8">
        <f>IFERROR(H129/H444, "NA")</f>
        <v>-0.77345186450388115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352360.69</v>
      </c>
      <c r="U129" s="8">
        <f>IFERROR(T129/T444, "NA")</f>
        <v>0.21962492043863491</v>
      </c>
      <c r="V129" s="9"/>
      <c r="W129" s="10">
        <f t="shared" ref="W129:W141" si="30">IFERROR(-(Q129-T129), "NA")</f>
        <v>352360.69</v>
      </c>
      <c r="X129" s="8">
        <f>IFERROR(W129/W444, "NA")</f>
        <v>9.2398628131126657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10147.629999999999</v>
      </c>
      <c r="C130" s="8">
        <f>IFERROR(B130/B444, "NA")</f>
        <v>4.7844168670893993E-2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-10147.629999999999</v>
      </c>
      <c r="I130" s="8">
        <f>IFERROR(H130/H444, "NA")</f>
        <v>0.12588898067766918</v>
      </c>
      <c r="J130" s="9"/>
      <c r="K130" s="7">
        <v>16037.66</v>
      </c>
      <c r="L130" s="8">
        <f>IFERROR(K130/K444, "NA")</f>
        <v>5.8900486256996371E-2</v>
      </c>
      <c r="M130" s="9"/>
      <c r="N130" s="10">
        <f t="shared" si="29"/>
        <v>5890.0300000000007</v>
      </c>
      <c r="O130" s="8">
        <f>IFERROR(N130/N444, "NA")</f>
        <v>-9.7863024696414336E-2</v>
      </c>
      <c r="P130" s="9"/>
      <c r="Q130" s="7">
        <v>84610.79</v>
      </c>
      <c r="R130" s="8">
        <f>IFERROR(Q130/Q444, "NA")</f>
        <v>5.1513115919897337E-2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-84610.79</v>
      </c>
      <c r="X130" s="8">
        <f>IFERROR(W130/W444, "NA")</f>
        <v>-2.2187267600965503</v>
      </c>
      <c r="Y130" s="9"/>
      <c r="Z130" s="7">
        <v>91443.03</v>
      </c>
      <c r="AA130" s="8">
        <f>IFERROR(Z130/Z444, "NA")</f>
        <v>6.2689420289197342E-2</v>
      </c>
      <c r="AB130" s="9"/>
      <c r="AC130" s="10">
        <f t="shared" si="31"/>
        <v>6832.2400000000052</v>
      </c>
      <c r="AD130" s="8">
        <f>IFERROR(AC130/AC444, "NA")</f>
        <v>3.7163653417807356E-2</v>
      </c>
    </row>
    <row r="131" spans="1:30" ht="16.5" customHeight="1" x14ac:dyDescent="0.45">
      <c r="A131" s="12" t="s">
        <v>123</v>
      </c>
      <c r="B131" s="7">
        <v>5412.89</v>
      </c>
      <c r="C131" s="8">
        <f>IFERROR(B131/B444, "NA")</f>
        <v>2.5520759246937013E-2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-5412.89</v>
      </c>
      <c r="I131" s="8">
        <f>IFERROR(H131/H444, "NA")</f>
        <v>6.7150970681858602E-2</v>
      </c>
      <c r="J131" s="9"/>
      <c r="K131" s="7">
        <v>7048.84</v>
      </c>
      <c r="L131" s="8">
        <f>IFERROR(K131/K444, "NA")</f>
        <v>2.5887823008329539E-2</v>
      </c>
      <c r="M131" s="9"/>
      <c r="N131" s="10">
        <f t="shared" si="29"/>
        <v>1635.9499999999998</v>
      </c>
      <c r="O131" s="8">
        <f>IFERROR(N131/N444, "NA")</f>
        <v>-2.718135820226705E-2</v>
      </c>
      <c r="P131" s="9"/>
      <c r="Q131" s="7">
        <v>43935.9</v>
      </c>
      <c r="R131" s="8">
        <f>IFERROR(Q131/Q444, "NA")</f>
        <v>2.6749249235765528E-2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-43935.9</v>
      </c>
      <c r="X131" s="8">
        <f>IFERROR(W131/W444, "NA")</f>
        <v>-1.1521196889773282</v>
      </c>
      <c r="Y131" s="9"/>
      <c r="Z131" s="7">
        <v>42315.79</v>
      </c>
      <c r="AA131" s="8">
        <f>IFERROR(Z131/Z444, "NA")</f>
        <v>2.9009891122149099E-2</v>
      </c>
      <c r="AB131" s="9"/>
      <c r="AC131" s="10">
        <f t="shared" si="31"/>
        <v>-1620.1100000000006</v>
      </c>
      <c r="AD131" s="8">
        <f>IFERROR(AC131/AC444, "NA")</f>
        <v>-8.8125133980544966E-3</v>
      </c>
    </row>
    <row r="132" spans="1:30" ht="16.5" customHeight="1" x14ac:dyDescent="0.45">
      <c r="A132" s="12" t="s">
        <v>124</v>
      </c>
      <c r="B132" s="7">
        <v>10324.85</v>
      </c>
      <c r="C132" s="8">
        <f>IFERROR(B132/B444, "NA")</f>
        <v>4.8679727670567406E-2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-10324.85</v>
      </c>
      <c r="I132" s="8">
        <f>IFERROR(H132/H444, "NA")</f>
        <v>0.12808752803855014</v>
      </c>
      <c r="J132" s="9"/>
      <c r="K132" s="7">
        <v>9636.39</v>
      </c>
      <c r="L132" s="8">
        <f>IFERROR(K132/K444, "NA")</f>
        <v>3.5390952094137E-2</v>
      </c>
      <c r="M132" s="9"/>
      <c r="N132" s="10">
        <f t="shared" si="29"/>
        <v>-688.46000000000095</v>
      </c>
      <c r="O132" s="8">
        <f>IFERROR(N132/N444, "NA")</f>
        <v>1.143878350067716E-2</v>
      </c>
      <c r="P132" s="9"/>
      <c r="Q132" s="7">
        <v>74285.259999999995</v>
      </c>
      <c r="R132" s="8">
        <f>IFERROR(Q132/Q444, "NA")</f>
        <v>4.5226681012193751E-2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-74285.259999999995</v>
      </c>
      <c r="X132" s="8">
        <f>IFERROR(W132/W444, "NA")</f>
        <v>-1.9479630699905988</v>
      </c>
      <c r="Y132" s="9"/>
      <c r="Z132" s="7">
        <v>52351.199999999997</v>
      </c>
      <c r="AA132" s="8">
        <f>IFERROR(Z132/Z444, "NA")</f>
        <v>3.5889737899584336E-2</v>
      </c>
      <c r="AB132" s="9"/>
      <c r="AC132" s="10">
        <f t="shared" si="31"/>
        <v>-21934.059999999998</v>
      </c>
      <c r="AD132" s="8">
        <f>IFERROR(AC132/AC444, "NA")</f>
        <v>-0.11930930469149077</v>
      </c>
    </row>
    <row r="133" spans="1:30" ht="16.5" customHeight="1" x14ac:dyDescent="0.45">
      <c r="A133" s="12" t="s">
        <v>125</v>
      </c>
      <c r="B133" s="7">
        <v>4836.16</v>
      </c>
      <c r="C133" s="8">
        <f>IFERROR(B133/B444, "NA")</f>
        <v>2.2801585666744915E-2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-4836.16</v>
      </c>
      <c r="I133" s="8">
        <f>IFERROR(H133/H444, "NA")</f>
        <v>5.9996201358752395E-2</v>
      </c>
      <c r="J133" s="9"/>
      <c r="K133" s="7">
        <v>5016.47</v>
      </c>
      <c r="L133" s="8">
        <f>IFERROR(K133/K444, "NA")</f>
        <v>1.8423667934950275E-2</v>
      </c>
      <c r="M133" s="9"/>
      <c r="N133" s="10">
        <f t="shared" si="29"/>
        <v>180.3100000000004</v>
      </c>
      <c r="O133" s="8">
        <f>IFERROR(N133/N444, "NA")</f>
        <v>-2.9958560453869514E-3</v>
      </c>
      <c r="P133" s="9"/>
      <c r="Q133" s="7">
        <v>36608.97</v>
      </c>
      <c r="R133" s="8">
        <f>IFERROR(Q133/Q444, "NA")</f>
        <v>2.2288435261247935E-2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-36608.97</v>
      </c>
      <c r="X133" s="8">
        <f>IFERROR(W133/W444, "NA")</f>
        <v>-0.95998750748659611</v>
      </c>
      <c r="Y133" s="9"/>
      <c r="Z133" s="7">
        <v>27396.76</v>
      </c>
      <c r="AA133" s="8">
        <f>IFERROR(Z133/Z444, "NA")</f>
        <v>1.8782043882428982E-2</v>
      </c>
      <c r="AB133" s="9"/>
      <c r="AC133" s="10">
        <f t="shared" si="31"/>
        <v>-9212.2100000000028</v>
      </c>
      <c r="AD133" s="8">
        <f>IFERROR(AC133/AC444, "NA")</f>
        <v>-5.010939013443013E-2</v>
      </c>
    </row>
    <row r="134" spans="1:30" ht="16.5" customHeight="1" x14ac:dyDescent="0.45">
      <c r="A134" s="12" t="s">
        <v>126</v>
      </c>
      <c r="B134" s="7">
        <v>2117.3200000000002</v>
      </c>
      <c r="C134" s="8">
        <f>IFERROR(B134/B444, "NA")</f>
        <v>9.9827659473450733E-3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-2117.3200000000002</v>
      </c>
      <c r="I134" s="8">
        <f>IFERROR(H134/H444, "NA")</f>
        <v>2.626694672238173E-2</v>
      </c>
      <c r="J134" s="9"/>
      <c r="K134" s="7">
        <v>2124.85</v>
      </c>
      <c r="L134" s="8">
        <f>IFERROR(K134/K444, "NA")</f>
        <v>7.8038004436544193E-3</v>
      </c>
      <c r="M134" s="9"/>
      <c r="N134" s="10">
        <f t="shared" si="29"/>
        <v>7.5299999999997453</v>
      </c>
      <c r="O134" s="8">
        <f>IFERROR(N134/N444, "NA")</f>
        <v>-1.2511117531896696E-4</v>
      </c>
      <c r="P134" s="9"/>
      <c r="Q134" s="7">
        <v>14413.23</v>
      </c>
      <c r="R134" s="8">
        <f>IFERROR(Q134/Q444, "NA")</f>
        <v>8.7751265266538918E-3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-14413.23</v>
      </c>
      <c r="X134" s="8">
        <f>IFERROR(W134/W444, "NA")</f>
        <v>-0.37795438501905493</v>
      </c>
      <c r="Y134" s="9"/>
      <c r="Z134" s="7">
        <v>13561.53</v>
      </c>
      <c r="AA134" s="8">
        <f>IFERROR(Z134/Z444, "NA")</f>
        <v>9.2972034493450009E-3</v>
      </c>
      <c r="AB134" s="9"/>
      <c r="AC134" s="10">
        <f t="shared" si="31"/>
        <v>-851.69999999999891</v>
      </c>
      <c r="AD134" s="8">
        <f>IFERROR(AC134/AC444, "NA")</f>
        <v>-4.6327827500126546E-3</v>
      </c>
    </row>
    <row r="135" spans="1:30" ht="16.5" customHeight="1" x14ac:dyDescent="0.45">
      <c r="A135" s="12" t="s">
        <v>127</v>
      </c>
      <c r="B135" s="7">
        <v>2570.48</v>
      </c>
      <c r="C135" s="8">
        <f>IFERROR(B135/B444, "NA")</f>
        <v>1.2119330196820302E-2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-2570.48</v>
      </c>
      <c r="I135" s="8">
        <f>IFERROR(H135/H444, "NA")</f>
        <v>3.1888737276815876E-2</v>
      </c>
      <c r="J135" s="9"/>
      <c r="K135" s="7">
        <v>2166.0100000000002</v>
      </c>
      <c r="L135" s="8">
        <f>IFERROR(K135/K444, "NA")</f>
        <v>7.9549661382967794E-3</v>
      </c>
      <c r="M135" s="9"/>
      <c r="N135" s="10">
        <f t="shared" si="29"/>
        <v>-404.4699999999998</v>
      </c>
      <c r="O135" s="8">
        <f>IFERROR(N135/N444, "NA")</f>
        <v>6.7202811528903391E-3</v>
      </c>
      <c r="P135" s="9"/>
      <c r="Q135" s="7">
        <v>16552.95</v>
      </c>
      <c r="R135" s="8">
        <f>IFERROR(Q135/Q444, "NA")</f>
        <v>1.0077840334149636E-2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-16552.95</v>
      </c>
      <c r="X135" s="8">
        <f>IFERROR(W135/W444, "NA")</f>
        <v>-0.43406370657383286</v>
      </c>
      <c r="Y135" s="9"/>
      <c r="Z135" s="7">
        <v>14728.77</v>
      </c>
      <c r="AA135" s="8">
        <f>IFERROR(Z135/Z444, "NA")</f>
        <v>1.0097413142072404E-2</v>
      </c>
      <c r="AB135" s="9"/>
      <c r="AC135" s="10">
        <f t="shared" si="31"/>
        <v>-1824.1800000000003</v>
      </c>
      <c r="AD135" s="8">
        <f>IFERROR(AC135/AC444, "NA")</f>
        <v>-9.9225427226935503E-3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1820.01</v>
      </c>
      <c r="L136" s="8">
        <f>IFERROR(K136/K444, "NA")</f>
        <v>6.6842341085043555E-3</v>
      </c>
      <c r="M136" s="9"/>
      <c r="N136" s="10">
        <f t="shared" si="29"/>
        <v>1820.01</v>
      </c>
      <c r="O136" s="8">
        <f>IFERROR(N136/N444, "NA")</f>
        <v>-3.023952060986464E-2</v>
      </c>
      <c r="P136" s="9"/>
      <c r="Q136" s="7">
        <v>6328.65</v>
      </c>
      <c r="R136" s="8">
        <f>IFERROR(Q136/Q444, "NA")</f>
        <v>3.8530367234067696E-3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-0.1659545444533142</v>
      </c>
      <c r="Y136" s="9"/>
      <c r="Z136" s="7">
        <v>9961.68</v>
      </c>
      <c r="AA136" s="8">
        <f>IFERROR(Z136/Z444, "NA")</f>
        <v>6.8293006509789903E-3</v>
      </c>
      <c r="AB136" s="9"/>
      <c r="AC136" s="10">
        <f t="shared" si="31"/>
        <v>3633.0300000000007</v>
      </c>
      <c r="AD136" s="8">
        <f>IFERROR(AC136/AC444, "NA")</f>
        <v>1.9761698619559117E-2</v>
      </c>
    </row>
    <row r="137" spans="1:30" ht="16.5" customHeight="1" x14ac:dyDescent="0.45">
      <c r="A137" s="12" t="s">
        <v>129</v>
      </c>
      <c r="B137" s="7">
        <v>719.62</v>
      </c>
      <c r="C137" s="8">
        <f>IFERROR(B137/B444, "NA")</f>
        <v>3.3928730806058894E-3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-719.62</v>
      </c>
      <c r="I137" s="8">
        <f>IFERROR(H137/H444, "NA")</f>
        <v>8.9274272194851696E-3</v>
      </c>
      <c r="J137" s="9"/>
      <c r="K137" s="7">
        <v>1336.43</v>
      </c>
      <c r="L137" s="8">
        <f>IFERROR(K137/K444, "NA")</f>
        <v>4.9082208282528539E-3</v>
      </c>
      <c r="M137" s="9"/>
      <c r="N137" s="10">
        <f t="shared" si="29"/>
        <v>616.81000000000006</v>
      </c>
      <c r="O137" s="8">
        <f>IFERROR(N137/N444, "NA")</f>
        <v>-1.0248316606705794E-2</v>
      </c>
      <c r="P137" s="9"/>
      <c r="Q137" s="7">
        <v>7735.54</v>
      </c>
      <c r="R137" s="8">
        <f>IFERROR(Q137/Q444, "NA")</f>
        <v>4.7095857245039625E-3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-7735.54</v>
      </c>
      <c r="X137" s="8">
        <f>IFERROR(W137/W444, "NA")</f>
        <v>-0.20284705534361833</v>
      </c>
      <c r="Y137" s="9"/>
      <c r="Z137" s="7">
        <v>6841.91</v>
      </c>
      <c r="AA137" s="8">
        <f>IFERROR(Z137/Z444, "NA")</f>
        <v>4.6905201147737791E-3</v>
      </c>
      <c r="AB137" s="9"/>
      <c r="AC137" s="10">
        <f t="shared" si="31"/>
        <v>-893.63000000000011</v>
      </c>
      <c r="AD137" s="8">
        <f>IFERROR(AC137/AC444, "NA")</f>
        <v>-4.8608590453138598E-3</v>
      </c>
    </row>
    <row r="138" spans="1:30" ht="16.5" customHeight="1" x14ac:dyDescent="0.45">
      <c r="A138" s="12" t="s">
        <v>130</v>
      </c>
      <c r="B138" s="7">
        <v>11476.27</v>
      </c>
      <c r="C138" s="8">
        <f>IFERROR(B138/B444, "NA")</f>
        <v>5.4108456614275519E-2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-11476.27</v>
      </c>
      <c r="I138" s="8">
        <f>IFERROR(H138/H444, "NA")</f>
        <v>0.14237175895078108</v>
      </c>
      <c r="J138" s="9"/>
      <c r="K138" s="7">
        <v>13395.73</v>
      </c>
      <c r="L138" s="8">
        <f>IFERROR(K138/K444, "NA")</f>
        <v>4.9197639229627887E-2</v>
      </c>
      <c r="M138" s="9"/>
      <c r="N138" s="10">
        <f t="shared" si="29"/>
        <v>1919.4599999999991</v>
      </c>
      <c r="O138" s="8">
        <f>IFERROR(N138/N444, "NA")</f>
        <v>-3.189188533569088E-2</v>
      </c>
      <c r="P138" s="9"/>
      <c r="Q138" s="7">
        <v>89463.94</v>
      </c>
      <c r="R138" s="8">
        <f>IFERROR(Q138/Q444, "NA")</f>
        <v>5.4467832198124379E-2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-89463.94</v>
      </c>
      <c r="X138" s="8">
        <f>IFERROR(W138/W444, "NA")</f>
        <v>-2.3459896514578364</v>
      </c>
      <c r="Y138" s="9"/>
      <c r="Z138" s="7">
        <v>71558.710000000006</v>
      </c>
      <c r="AA138" s="8">
        <f>IFERROR(Z138/Z444, "NA")</f>
        <v>4.9057583137203445E-2</v>
      </c>
      <c r="AB138" s="9"/>
      <c r="AC138" s="10">
        <f t="shared" si="31"/>
        <v>-17905.229999999996</v>
      </c>
      <c r="AD138" s="8">
        <f>IFERROR(AC138/AC444, "NA")</f>
        <v>-9.7394670281800128E-2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47605.220000000016</v>
      </c>
      <c r="C141" s="15">
        <f>IFERROR(B141/B444, "NA")</f>
        <v>0.22444966709419018</v>
      </c>
      <c r="D141" s="2"/>
      <c r="E141" s="14">
        <f>IFERROR(E129+E130+E131+E132+E133+E134+E135+E136+E137+E138+E139+E140, "NA")</f>
        <v>62346.23</v>
      </c>
      <c r="F141" s="15">
        <f>IFERROR(E141/E444, "NA")</f>
        <v>0.21300000375804609</v>
      </c>
      <c r="G141" s="2"/>
      <c r="H141" s="14">
        <f t="shared" si="28"/>
        <v>14741.009999999987</v>
      </c>
      <c r="I141" s="15">
        <f>IFERROR(H141/H444, "NA")</f>
        <v>-0.18287331357758674</v>
      </c>
      <c r="J141" s="2"/>
      <c r="K141" s="14">
        <f>IFERROR(K129+K130+K131+K132+K133+K134+K135+K136+K137+K138+K139+K140, "NA")</f>
        <v>58582.39</v>
      </c>
      <c r="L141" s="15">
        <f>IFERROR(K141/K444, "NA")</f>
        <v>0.21515179004274948</v>
      </c>
      <c r="M141" s="2"/>
      <c r="N141" s="14">
        <f t="shared" si="29"/>
        <v>10977.169999999984</v>
      </c>
      <c r="O141" s="15">
        <f>IFERROR(N141/N444, "NA")</f>
        <v>-0.18238600801808086</v>
      </c>
      <c r="P141" s="2"/>
      <c r="Q141" s="14">
        <f>IFERROR(Q129+Q130+Q131+Q132+Q133+Q134+Q135+Q136+Q137+Q138+Q139+Q140, "NA")</f>
        <v>373935.23000000004</v>
      </c>
      <c r="R141" s="15">
        <f>IFERROR(Q141/Q444, "NA")</f>
        <v>0.22766090293594321</v>
      </c>
      <c r="S141" s="2"/>
      <c r="T141" s="14">
        <f>IFERROR(T129+T130+T131+T132+T133+T134+T135+T136+T137+T138+T139+T140, "NA")</f>
        <v>352360.69</v>
      </c>
      <c r="U141" s="15">
        <f>IFERROR(T141/T444, "NA")</f>
        <v>0.21962492043863491</v>
      </c>
      <c r="V141" s="2"/>
      <c r="W141" s="14">
        <f t="shared" si="30"/>
        <v>-21574.540000000037</v>
      </c>
      <c r="X141" s="15">
        <f>IFERROR(W141/W444, "NA")</f>
        <v>-0.56574355628606599</v>
      </c>
      <c r="Y141" s="2"/>
      <c r="Z141" s="14">
        <f>IFERROR(Z129+Z130+Z131+Z132+Z133+Z134+Z135+Z136+Z137+Z138+Z139+Z140, "NA")</f>
        <v>330159.38</v>
      </c>
      <c r="AA141" s="15">
        <f>IFERROR(Z141/Z444, "NA")</f>
        <v>0.22634311368773338</v>
      </c>
      <c r="AB141" s="2"/>
      <c r="AC141" s="14">
        <f t="shared" si="31"/>
        <v>-43775.850000000035</v>
      </c>
      <c r="AD141" s="15">
        <f>IFERROR(AC141/AC444, "NA")</f>
        <v>-0.23811671098642936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1252.73</v>
      </c>
      <c r="C144" s="8">
        <f>IFERROR(B144/B444, "NA")</f>
        <v>5.9063865571654705E-3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-1252.73</v>
      </c>
      <c r="I144" s="8">
        <f>IFERROR(H144/H444, "NA")</f>
        <v>1.5541057642458044E-2</v>
      </c>
      <c r="J144" s="9"/>
      <c r="K144" s="7">
        <v>1995.19</v>
      </c>
      <c r="L144" s="8">
        <f>IFERROR(K144/K444, "NA")</f>
        <v>7.327606469715444E-3</v>
      </c>
      <c r="M144" s="9"/>
      <c r="N144" s="10">
        <f t="shared" si="33"/>
        <v>742.46</v>
      </c>
      <c r="O144" s="8">
        <f>IFERROR(N144/N444, "NA")</f>
        <v>-1.2335995116510406E-2</v>
      </c>
      <c r="P144" s="9"/>
      <c r="Q144" s="7">
        <v>15719.12</v>
      </c>
      <c r="R144" s="8">
        <f>IFERROR(Q144/Q444, "NA")</f>
        <v>9.5701842604090648E-3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-15719.12</v>
      </c>
      <c r="X144" s="8">
        <f>IFERROR(W144/W444, "NA")</f>
        <v>-0.4121983991541609</v>
      </c>
      <c r="Y144" s="9"/>
      <c r="Z144" s="7">
        <v>12344.09</v>
      </c>
      <c r="AA144" s="8">
        <f>IFERROR(Z144/Z444, "NA")</f>
        <v>8.4625787891945171E-3</v>
      </c>
      <c r="AB144" s="9"/>
      <c r="AC144" s="10">
        <f t="shared" si="35"/>
        <v>-3375.0300000000007</v>
      </c>
      <c r="AD144" s="8">
        <f>IFERROR(AC144/AC444, "NA")</f>
        <v>-1.8358319554743728E-2</v>
      </c>
    </row>
    <row r="145" spans="1:30" ht="16.5" customHeight="1" x14ac:dyDescent="0.45">
      <c r="A145" s="12" t="s">
        <v>136</v>
      </c>
      <c r="B145" s="7">
        <v>66.239999999999995</v>
      </c>
      <c r="C145" s="8">
        <f>IFERROR(B145/B444, "NA")</f>
        <v>3.1230915324662197E-4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-66.239999999999995</v>
      </c>
      <c r="I145" s="8">
        <f>IFERROR(H145/H444, "NA")</f>
        <v>8.2175700928086709E-4</v>
      </c>
      <c r="J145" s="9"/>
      <c r="K145" s="7">
        <v>62.34</v>
      </c>
      <c r="L145" s="8">
        <f>IFERROR(K145/K444, "NA")</f>
        <v>2.2895212351809141E-4</v>
      </c>
      <c r="M145" s="9"/>
      <c r="N145" s="10">
        <f t="shared" si="33"/>
        <v>-3.8999999999999915</v>
      </c>
      <c r="O145" s="8">
        <f>IFERROR(N145/N444, "NA")</f>
        <v>6.4798616699068601E-5</v>
      </c>
      <c r="P145" s="9"/>
      <c r="Q145" s="7">
        <v>856.47</v>
      </c>
      <c r="R145" s="8">
        <f>IFERROR(Q145/Q444, "NA")</f>
        <v>5.2143985881605024E-4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-856.47</v>
      </c>
      <c r="X145" s="8">
        <f>IFERROR(W145/W444, "NA")</f>
        <v>-2.245899025667876E-2</v>
      </c>
      <c r="Y145" s="9"/>
      <c r="Z145" s="7">
        <v>912.2</v>
      </c>
      <c r="AA145" s="8">
        <f>IFERROR(Z145/Z444, "NA")</f>
        <v>6.2536520484727826E-4</v>
      </c>
      <c r="AB145" s="9"/>
      <c r="AC145" s="10">
        <f t="shared" si="35"/>
        <v>55.730000000000018</v>
      </c>
      <c r="AD145" s="8">
        <f>IFERROR(AC145/AC444, "NA")</f>
        <v>3.0314075690760319E-4</v>
      </c>
    </row>
    <row r="146" spans="1:30" ht="16.5" customHeight="1" x14ac:dyDescent="0.45">
      <c r="A146" s="12" t="s">
        <v>137</v>
      </c>
      <c r="B146" s="7">
        <v>34.4</v>
      </c>
      <c r="C146" s="8">
        <f>IFERROR(B146/B444, "NA")</f>
        <v>1.6218953610633749E-4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-34.4</v>
      </c>
      <c r="I146" s="8">
        <f>IFERROR(H146/H444, "NA")</f>
        <v>4.267578671386146E-4</v>
      </c>
      <c r="J146" s="9"/>
      <c r="K146" s="7">
        <v>-68.040000000000006</v>
      </c>
      <c r="L146" s="8">
        <f>IFERROR(K146/K444, "NA")</f>
        <v>-2.498861482863481E-4</v>
      </c>
      <c r="M146" s="9"/>
      <c r="N146" s="10">
        <f t="shared" si="33"/>
        <v>-102.44</v>
      </c>
      <c r="O146" s="8">
        <f>IFERROR(N146/N444, "NA")</f>
        <v>1.702043665295539E-3</v>
      </c>
      <c r="P146" s="9"/>
      <c r="Q146" s="7">
        <v>1606.74</v>
      </c>
      <c r="R146" s="8">
        <f>IFERROR(Q146/Q444, "NA")</f>
        <v>9.7822256325860854E-4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-1606.74</v>
      </c>
      <c r="X146" s="8">
        <f>IFERROR(W146/W444, "NA")</f>
        <v>-4.2133125509376895E-2</v>
      </c>
      <c r="Y146" s="9"/>
      <c r="Z146" s="7">
        <v>3769.79</v>
      </c>
      <c r="AA146" s="8">
        <f>IFERROR(Z146/Z444, "NA")</f>
        <v>2.5844063753356953E-3</v>
      </c>
      <c r="AB146" s="9"/>
      <c r="AC146" s="10">
        <f t="shared" si="35"/>
        <v>2163.0500000000002</v>
      </c>
      <c r="AD146" s="8">
        <f>IFERROR(AC146/AC444, "NA")</f>
        <v>1.1765810411429947E-2</v>
      </c>
    </row>
    <row r="147" spans="1:30" ht="16.5" customHeight="1" x14ac:dyDescent="0.45">
      <c r="A147" s="12" t="s">
        <v>138</v>
      </c>
      <c r="B147" s="7">
        <v>90.51</v>
      </c>
      <c r="C147" s="8">
        <f>IFERROR(B147/B444, "NA")</f>
        <v>4.2673764281931997E-4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-90.51</v>
      </c>
      <c r="I147" s="8">
        <f>IFERROR(H147/H444, "NA")</f>
        <v>1.1228446091487213E-3</v>
      </c>
      <c r="J147" s="9"/>
      <c r="K147" s="7">
        <v>25.78</v>
      </c>
      <c r="L147" s="8">
        <f>IFERROR(K147/K444, "NA")</f>
        <v>9.4680554127308256E-5</v>
      </c>
      <c r="M147" s="9"/>
      <c r="N147" s="10">
        <f t="shared" si="33"/>
        <v>-64.73</v>
      </c>
      <c r="O147" s="8">
        <f>IFERROR(N147/N444, "NA")</f>
        <v>1.0754908869053128E-3</v>
      </c>
      <c r="P147" s="9"/>
      <c r="Q147" s="7">
        <v>333</v>
      </c>
      <c r="R147" s="8">
        <f>IFERROR(Q147/Q444, "NA")</f>
        <v>2.0273853489993196E-4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-333</v>
      </c>
      <c r="X147" s="8">
        <f>IFERROR(W147/W444, "NA")</f>
        <v>-8.732172470108733E-3</v>
      </c>
      <c r="Y147" s="9"/>
      <c r="Z147" s="7">
        <v>316.20999999999998</v>
      </c>
      <c r="AA147" s="8">
        <f>IFERROR(Z147/Z444, "NA")</f>
        <v>2.1678001690940348E-4</v>
      </c>
      <c r="AB147" s="9"/>
      <c r="AC147" s="10">
        <f t="shared" si="35"/>
        <v>-16.79000000000002</v>
      </c>
      <c r="AD147" s="8">
        <f>IFERROR(AC147/AC444, "NA")</f>
        <v>-9.1328428287792252E-5</v>
      </c>
    </row>
    <row r="148" spans="1:30" ht="16.5" customHeight="1" x14ac:dyDescent="0.45">
      <c r="A148" s="13" t="s">
        <v>139</v>
      </c>
      <c r="B148" s="14">
        <f>IFERROR(B143+B144+B145+B146+B147, "NA")</f>
        <v>1443.88</v>
      </c>
      <c r="C148" s="15">
        <f>IFERROR(B148/B444, "NA")</f>
        <v>6.8076228893377503E-3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-1443.88</v>
      </c>
      <c r="I148" s="15">
        <f>IFERROR(H148/H444, "NA")</f>
        <v>1.7912417128026246E-2</v>
      </c>
      <c r="J148" s="2"/>
      <c r="K148" s="14">
        <f>IFERROR(K143+K144+K145+K146+K147, "NA")</f>
        <v>2015.2700000000002</v>
      </c>
      <c r="L148" s="15">
        <f>IFERROR(K148/K444, "NA")</f>
        <v>7.4013529990744967E-3</v>
      </c>
      <c r="M148" s="2"/>
      <c r="N148" s="14">
        <f t="shared" si="33"/>
        <v>571.3900000000001</v>
      </c>
      <c r="O148" s="15">
        <f>IFERROR(N148/N444, "NA")</f>
        <v>-9.4936619476104853E-3</v>
      </c>
      <c r="P148" s="2"/>
      <c r="Q148" s="14">
        <f>IFERROR(Q143+Q144+Q145+Q146+Q147, "NA")</f>
        <v>18515.330000000002</v>
      </c>
      <c r="R148" s="15">
        <f>IFERROR(Q148/Q444, "NA")</f>
        <v>1.1272585217383656E-2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-18515.330000000002</v>
      </c>
      <c r="X148" s="15">
        <f>IFERROR(W148/W444, "NA")</f>
        <v>-0.48552268739032534</v>
      </c>
      <c r="Y148" s="2"/>
      <c r="Z148" s="14">
        <f>IFERROR(Z143+Z144+Z145+Z146+Z147, "NA")</f>
        <v>17342.29</v>
      </c>
      <c r="AA148" s="15">
        <f>IFERROR(Z148/Z444, "NA")</f>
        <v>1.1889130386286896E-2</v>
      </c>
      <c r="AB148" s="2"/>
      <c r="AC148" s="14">
        <f t="shared" si="35"/>
        <v>-1173.0400000000009</v>
      </c>
      <c r="AD148" s="15">
        <f>IFERROR(AC148/AC444, "NA")</f>
        <v>-6.3806968146939711E-3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49049.10000000002</v>
      </c>
      <c r="C149" s="15">
        <f>IFERROR(B149/B444, "NA")</f>
        <v>0.23125728998352796</v>
      </c>
      <c r="D149" s="2"/>
      <c r="E149" s="14">
        <f>IFERROR(E127+E129+E130+E131+E132+E133+E134+E135+E136+E137+E138+E139+E140+E143+E144+E145+E146+E147, "NA")</f>
        <v>62346.23</v>
      </c>
      <c r="F149" s="15">
        <f>IFERROR(E149/E444, "NA")</f>
        <v>0.21300000375804609</v>
      </c>
      <c r="G149" s="2"/>
      <c r="H149" s="14">
        <f t="shared" si="32"/>
        <v>13297.129999999983</v>
      </c>
      <c r="I149" s="15">
        <f>IFERROR(H149/H444, "NA")</f>
        <v>-0.16496089644956044</v>
      </c>
      <c r="J149" s="2"/>
      <c r="K149" s="14">
        <f>IFERROR(K127+K129+K130+K131+K132+K133+K134+K135+K136+K137+K138+K139+K140+K143+K144+K145+K146+K147, "NA")</f>
        <v>60597.659999999996</v>
      </c>
      <c r="L149" s="15">
        <f>IFERROR(K149/K444, "NA")</f>
        <v>0.22255314304182397</v>
      </c>
      <c r="M149" s="2"/>
      <c r="N149" s="14">
        <f t="shared" si="33"/>
        <v>11548.559999999976</v>
      </c>
      <c r="O149" s="15">
        <f>IFERROR(N149/N444, "NA")</f>
        <v>-0.19187966996569122</v>
      </c>
      <c r="P149" s="2"/>
      <c r="Q149" s="14">
        <f>IFERROR(Q127+Q129+Q130+Q131+Q132+Q133+Q134+Q135+Q136+Q137+Q138+Q139+Q140+Q143+Q144+Q145+Q146+Q147, "NA")</f>
        <v>392450.56</v>
      </c>
      <c r="R149" s="15">
        <f>IFERROR(Q149/Q444, "NA")</f>
        <v>0.23893348815332685</v>
      </c>
      <c r="S149" s="2"/>
      <c r="T149" s="14">
        <f>IFERROR(T127+T129+T130+T131+T132+T133+T134+T135+T136+T137+T138+T139+T140+T143+T144+T145+T146+T147, "NA")</f>
        <v>352360.69</v>
      </c>
      <c r="U149" s="15">
        <f>IFERROR(T149/T444, "NA")</f>
        <v>0.21962492043863491</v>
      </c>
      <c r="V149" s="2"/>
      <c r="W149" s="14">
        <f t="shared" si="34"/>
        <v>-40089.869999999995</v>
      </c>
      <c r="X149" s="15">
        <f>IFERROR(W149/W444, "NA")</f>
        <v>-1.0512662436763902</v>
      </c>
      <c r="Y149" s="2"/>
      <c r="Z149" s="14">
        <f>IFERROR(Z127+Z129+Z130+Z131+Z132+Z133+Z134+Z135+Z136+Z137+Z138+Z139+Z140+Z143+Z144+Z145+Z146+Z147, "NA")</f>
        <v>347501.67000000004</v>
      </c>
      <c r="AA149" s="15">
        <f>IFERROR(Z149/Z444, "NA")</f>
        <v>0.2382322440740203</v>
      </c>
      <c r="AB149" s="2"/>
      <c r="AC149" s="14">
        <f t="shared" si="35"/>
        <v>-44948.889999999956</v>
      </c>
      <c r="AD149" s="15">
        <f>IFERROR(AC149/AC444, "NA")</f>
        <v>-0.24449740780112289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4975.99</v>
      </c>
      <c r="F153" s="8">
        <f>IFERROR(E153/E444, "NA")</f>
        <v>1.6999999658359449E-2</v>
      </c>
      <c r="G153" s="9"/>
      <c r="H153" s="10">
        <f t="shared" ref="H153:H158" si="36">IFERROR(-(B153-E153), "NA")</f>
        <v>4975.99</v>
      </c>
      <c r="I153" s="8">
        <f>IFERROR(H153/H444, "NA")</f>
        <v>-6.173089765415915E-2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29012.46</v>
      </c>
      <c r="U153" s="8">
        <f>IFERROR(T153/T444, "NA")</f>
        <v>1.8083343006363953E-2</v>
      </c>
      <c r="V153" s="9"/>
      <c r="W153" s="10">
        <f t="shared" ref="W153:W158" si="38">IFERROR(-(Q153-T153), "NA")</f>
        <v>29012.46</v>
      </c>
      <c r="X153" s="8">
        <f>IFERROR(W153/W444, "NA")</f>
        <v>0.76078619970609851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5935.01</v>
      </c>
      <c r="C154" s="8">
        <f>IFERROR(B154/B444, "NA")</f>
        <v>2.7982456938560295E-2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-5935.01</v>
      </c>
      <c r="I154" s="8">
        <f>IFERROR(H154/H444, "NA")</f>
        <v>7.3628261890882243E-2</v>
      </c>
      <c r="J154" s="9"/>
      <c r="K154" s="7">
        <v>6638.69</v>
      </c>
      <c r="L154" s="8">
        <f>IFERROR(K154/K444, "NA")</f>
        <v>2.4381491383996121E-2</v>
      </c>
      <c r="M154" s="9"/>
      <c r="N154" s="10">
        <f t="shared" si="37"/>
        <v>703.67999999999938</v>
      </c>
      <c r="O154" s="8">
        <f>IFERROR(N154/N444, "NA")</f>
        <v>-1.1691664256102732E-2</v>
      </c>
      <c r="P154" s="9"/>
      <c r="Q154" s="7">
        <v>45723.56</v>
      </c>
      <c r="R154" s="8">
        <f>IFERROR(Q154/Q444, "NA")</f>
        <v>2.7837620314742139E-2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-45723.56</v>
      </c>
      <c r="X154" s="8">
        <f>IFERROR(W154/W444, "NA")</f>
        <v>-1.1989970326347292</v>
      </c>
      <c r="Y154" s="9"/>
      <c r="Z154" s="7">
        <v>41025.43</v>
      </c>
      <c r="AA154" s="8">
        <f>IFERROR(Z154/Z444, "NA")</f>
        <v>2.8125275636809555E-2</v>
      </c>
      <c r="AB154" s="9"/>
      <c r="AC154" s="10">
        <f t="shared" si="39"/>
        <v>-4698.1299999999974</v>
      </c>
      <c r="AD154" s="8">
        <f>IFERROR(AC154/AC444, "NA")</f>
        <v>-2.5555260797601231E-2</v>
      </c>
    </row>
    <row r="155" spans="1:30" ht="16.5" customHeight="1" x14ac:dyDescent="0.45">
      <c r="A155" s="12" t="s">
        <v>144</v>
      </c>
      <c r="B155" s="7">
        <v>3501.18</v>
      </c>
      <c r="C155" s="8">
        <f>IFERROR(B155/B444, "NA")</f>
        <v>1.6507405814674032E-2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-3501.18</v>
      </c>
      <c r="I155" s="8">
        <f>IFERROR(H155/H444, "NA")</f>
        <v>4.3434770618266706E-2</v>
      </c>
      <c r="J155" s="9"/>
      <c r="K155" s="7">
        <v>4146.03</v>
      </c>
      <c r="L155" s="8">
        <f>IFERROR(K155/K444, "NA")</f>
        <v>1.5226858721041264E-2</v>
      </c>
      <c r="M155" s="9"/>
      <c r="N155" s="10">
        <f t="shared" si="37"/>
        <v>644.84999999999991</v>
      </c>
      <c r="O155" s="8">
        <f>IFERROR(N155/N444, "NA")</f>
        <v>-1.0714202045742173E-2</v>
      </c>
      <c r="P155" s="9"/>
      <c r="Q155" s="7">
        <v>24621.23</v>
      </c>
      <c r="R155" s="8">
        <f>IFERROR(Q155/Q444, "NA")</f>
        <v>1.4990006299201957E-2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-24621.23</v>
      </c>
      <c r="X155" s="8">
        <f>IFERROR(W155/W444, "NA")</f>
        <v>-0.64563611647512076</v>
      </c>
      <c r="Y155" s="9"/>
      <c r="Z155" s="7">
        <v>25476.63</v>
      </c>
      <c r="AA155" s="8">
        <f>IFERROR(Z155/Z444, "NA")</f>
        <v>1.7465685089638583E-2</v>
      </c>
      <c r="AB155" s="9"/>
      <c r="AC155" s="10">
        <f t="shared" si="39"/>
        <v>855.40000000000146</v>
      </c>
      <c r="AD155" s="8">
        <f>IFERROR(AC155/AC444, "NA")</f>
        <v>4.6529087288491684E-3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255.66</v>
      </c>
      <c r="AA156" s="8">
        <f>IFERROR(Z156/Z444, "NA")</f>
        <v>1.7526953329451345E-4</v>
      </c>
      <c r="AB156" s="9"/>
      <c r="AC156" s="10">
        <f t="shared" si="39"/>
        <v>255.66</v>
      </c>
      <c r="AD156" s="8">
        <f>IFERROR(AC156/AC444, "NA")</f>
        <v>1.3906507430647373E-3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9436.19</v>
      </c>
      <c r="C158" s="15">
        <f>IFERROR(B158/B444, "NA")</f>
        <v>4.4489862753234327E-2</v>
      </c>
      <c r="D158" s="2"/>
      <c r="E158" s="14">
        <f>IFERROR(E153+E154+E155+E156+E157, "NA")</f>
        <v>4975.99</v>
      </c>
      <c r="F158" s="15">
        <f>IFERROR(E158/E444, "NA")</f>
        <v>1.6999999658359449E-2</v>
      </c>
      <c r="G158" s="2"/>
      <c r="H158" s="14">
        <f t="shared" si="36"/>
        <v>-4460.2000000000007</v>
      </c>
      <c r="I158" s="15">
        <f>IFERROR(H158/H444, "NA")</f>
        <v>5.5332134854989799E-2</v>
      </c>
      <c r="J158" s="2"/>
      <c r="K158" s="14">
        <f>IFERROR(K153+K154+K155+K156+K157, "NA")</f>
        <v>10784.72</v>
      </c>
      <c r="L158" s="15">
        <f>IFERROR(K158/K444, "NA")</f>
        <v>3.9608350105037382E-2</v>
      </c>
      <c r="M158" s="2"/>
      <c r="N158" s="14">
        <f t="shared" si="37"/>
        <v>1348.5299999999988</v>
      </c>
      <c r="O158" s="15">
        <f>IFERROR(N158/N444, "NA")</f>
        <v>-2.2405866301844896E-2</v>
      </c>
      <c r="P158" s="2"/>
      <c r="Q158" s="14">
        <f>IFERROR(Q153+Q154+Q155+Q156+Q157, "NA")</f>
        <v>70344.789999999994</v>
      </c>
      <c r="R158" s="15">
        <f>IFERROR(Q158/Q444, "NA")</f>
        <v>4.2827626613944091E-2</v>
      </c>
      <c r="S158" s="2"/>
      <c r="T158" s="14">
        <f>IFERROR(T153+T154+T155+T156+T157, "NA")</f>
        <v>29012.46</v>
      </c>
      <c r="U158" s="15">
        <f>IFERROR(T158/T444, "NA")</f>
        <v>1.8083343006363953E-2</v>
      </c>
      <c r="V158" s="2"/>
      <c r="W158" s="14">
        <f t="shared" si="38"/>
        <v>-41332.329999999994</v>
      </c>
      <c r="X158" s="15">
        <f>IFERROR(W158/W444, "NA")</f>
        <v>-1.0838469494037515</v>
      </c>
      <c r="Y158" s="2"/>
      <c r="Z158" s="14">
        <f>IFERROR(Z153+Z154+Z155+Z156+Z157, "NA")</f>
        <v>66757.72</v>
      </c>
      <c r="AA158" s="15">
        <f>IFERROR(Z158/Z444, "NA")</f>
        <v>4.5766230259742649E-2</v>
      </c>
      <c r="AB158" s="2"/>
      <c r="AC158" s="14">
        <f t="shared" si="39"/>
        <v>-3587.0699999999924</v>
      </c>
      <c r="AD158" s="15">
        <f>IFERROR(AC158/AC444, "NA")</f>
        <v>-1.9511701325687306E-2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326.79000000000002</v>
      </c>
      <c r="C161" s="8">
        <f>IFERROR(B161/B444, "NA")</f>
        <v>1.5407534448892452E-3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-326.79000000000002</v>
      </c>
      <c r="I161" s="8">
        <f>IFERROR(H161/H444, "NA")</f>
        <v>4.0540756802973218E-3</v>
      </c>
      <c r="J161" s="9"/>
      <c r="K161" s="7">
        <v>132.36000000000001</v>
      </c>
      <c r="L161" s="8">
        <f>IFERROR(K161/K444, "NA")</f>
        <v>4.8611009093446552E-4</v>
      </c>
      <c r="M161" s="9"/>
      <c r="N161" s="10">
        <f t="shared" si="41"/>
        <v>-194.43</v>
      </c>
      <c r="O161" s="8">
        <f>IFERROR(N161/N444, "NA")</f>
        <v>3.2304602678974196E-3</v>
      </c>
      <c r="P161" s="9"/>
      <c r="Q161" s="7">
        <v>1487.5</v>
      </c>
      <c r="R161" s="8">
        <f>IFERROR(Q161/Q444, "NA")</f>
        <v>9.056263383292756E-4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-1487.5</v>
      </c>
      <c r="X161" s="8">
        <f>IFERROR(W161/W444, "NA")</f>
        <v>-3.9006325973834056E-2</v>
      </c>
      <c r="Y161" s="9"/>
      <c r="Z161" s="7">
        <v>2419.5500000000002</v>
      </c>
      <c r="AA161" s="8">
        <f>IFERROR(Z161/Z444, "NA")</f>
        <v>1.6587397296516468E-3</v>
      </c>
      <c r="AB161" s="9"/>
      <c r="AC161" s="10">
        <f t="shared" si="43"/>
        <v>932.05000000000018</v>
      </c>
      <c r="AD161" s="8">
        <f>IFERROR(AC161/AC444, "NA")</f>
        <v>5.0698428579890823E-3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326.79000000000002</v>
      </c>
      <c r="C166" s="15">
        <f>IFERROR(B166/B444, "NA")</f>
        <v>1.5407534448892452E-3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-326.79000000000002</v>
      </c>
      <c r="I166" s="15">
        <f>IFERROR(H166/H444, "NA")</f>
        <v>4.0540756802973218E-3</v>
      </c>
      <c r="J166" s="2"/>
      <c r="K166" s="14">
        <f>IFERROR(K160+K161+K162+K163+K164+K165, "NA")</f>
        <v>132.36000000000001</v>
      </c>
      <c r="L166" s="15">
        <f>IFERROR(K166/K444, "NA")</f>
        <v>4.8611009093446552E-4</v>
      </c>
      <c r="M166" s="2"/>
      <c r="N166" s="14">
        <f t="shared" si="41"/>
        <v>-194.43</v>
      </c>
      <c r="O166" s="15">
        <f>IFERROR(N166/N444, "NA")</f>
        <v>3.2304602678974196E-3</v>
      </c>
      <c r="P166" s="2"/>
      <c r="Q166" s="14">
        <f>IFERROR(Q160+Q161+Q162+Q163+Q164+Q165, "NA")</f>
        <v>1487.5</v>
      </c>
      <c r="R166" s="15">
        <f>IFERROR(Q166/Q444, "NA")</f>
        <v>9.056263383292756E-4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-1487.5</v>
      </c>
      <c r="X166" s="15">
        <f>IFERROR(W166/W444, "NA")</f>
        <v>-3.9006325973834056E-2</v>
      </c>
      <c r="Y166" s="2"/>
      <c r="Z166" s="14">
        <f>IFERROR(Z160+Z161+Z162+Z163+Z164+Z165, "NA")</f>
        <v>2419.5500000000002</v>
      </c>
      <c r="AA166" s="15">
        <f>IFERROR(Z166/Z444, "NA")</f>
        <v>1.6587397296516468E-3</v>
      </c>
      <c r="AB166" s="2"/>
      <c r="AC166" s="14">
        <f t="shared" si="43"/>
        <v>932.05000000000018</v>
      </c>
      <c r="AD166" s="15">
        <f>IFERROR(AC166/AC444, "NA")</f>
        <v>5.0698428579890823E-3</v>
      </c>
    </row>
    <row r="167" spans="1:30" ht="16.5" customHeight="1" x14ac:dyDescent="0.45">
      <c r="A167" s="6" t="s">
        <v>155</v>
      </c>
      <c r="B167" s="7">
        <v>187.19</v>
      </c>
      <c r="C167" s="8">
        <f>IFERROR(B167/B444, "NA")</f>
        <v>8.8256567627166614E-4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-187.19</v>
      </c>
      <c r="I167" s="8">
        <f>IFERROR(H167/H444, "NA")</f>
        <v>2.3222327078394555E-3</v>
      </c>
      <c r="J167" s="9"/>
      <c r="K167" s="7">
        <v>179.18</v>
      </c>
      <c r="L167" s="8">
        <f>IFERROR(K167/K444, "NA")</f>
        <v>6.5806290490811063E-4</v>
      </c>
      <c r="M167" s="9"/>
      <c r="N167" s="10">
        <f t="shared" si="41"/>
        <v>-8.0099999999999909</v>
      </c>
      <c r="O167" s="8">
        <f>IFERROR(N167/N444, "NA")</f>
        <v>1.3308638968193335E-4</v>
      </c>
      <c r="P167" s="9"/>
      <c r="Q167" s="7">
        <v>1419.18</v>
      </c>
      <c r="R167" s="8">
        <f>IFERROR(Q167/Q444, "NA")</f>
        <v>8.640314533311875E-4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-1419.18</v>
      </c>
      <c r="X167" s="8">
        <f>IFERROR(W167/W444, "NA")</f>
        <v>-3.7214788366753487E-2</v>
      </c>
      <c r="Y167" s="9"/>
      <c r="Z167" s="7">
        <v>1472.74</v>
      </c>
      <c r="AA167" s="8">
        <f>IFERROR(Z167/Z444, "NA")</f>
        <v>1.0096473928818028E-3</v>
      </c>
      <c r="AB167" s="9"/>
      <c r="AC167" s="10">
        <f t="shared" si="43"/>
        <v>53.559999999999945</v>
      </c>
      <c r="AD167" s="8">
        <f>IFERROR(AC167/AC444, "NA")</f>
        <v>2.913371422926827E-4</v>
      </c>
    </row>
    <row r="168" spans="1:30" ht="16.5" customHeight="1" x14ac:dyDescent="0.45">
      <c r="A168" s="6" t="s">
        <v>156</v>
      </c>
      <c r="B168" s="7">
        <v>204.76</v>
      </c>
      <c r="C168" s="8">
        <f>IFERROR(B168/B444, "NA")</f>
        <v>9.6540492480039718E-4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-204.76</v>
      </c>
      <c r="I168" s="8">
        <f>IFERROR(H168/H444, "NA")</f>
        <v>2.540201769630893E-3</v>
      </c>
      <c r="J168" s="9"/>
      <c r="K168" s="7">
        <v>89.4</v>
      </c>
      <c r="L168" s="8">
        <f>IFERROR(K168/K444, "NA")</f>
        <v>3.2833365162844677E-4</v>
      </c>
      <c r="M168" s="9"/>
      <c r="N168" s="10">
        <f t="shared" si="41"/>
        <v>-115.35999999999999</v>
      </c>
      <c r="O168" s="8">
        <f>IFERROR(N168/N444, "NA")</f>
        <v>1.9167098518986076E-3</v>
      </c>
      <c r="P168" s="9"/>
      <c r="Q168" s="7">
        <v>639.22</v>
      </c>
      <c r="R168" s="8">
        <f>IFERROR(Q168/Q444, "NA")</f>
        <v>3.8917275158779132E-4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-639.22</v>
      </c>
      <c r="X168" s="8">
        <f>IFERROR(W168/W444, "NA")</f>
        <v>-1.6762099958987701E-2</v>
      </c>
      <c r="Y168" s="9"/>
      <c r="Z168" s="7">
        <v>520.9</v>
      </c>
      <c r="AA168" s="8">
        <f>IFERROR(Z168/Z444, "NA")</f>
        <v>3.5710670379845126E-4</v>
      </c>
      <c r="AB168" s="9"/>
      <c r="AC168" s="10">
        <f t="shared" si="43"/>
        <v>-118.32000000000005</v>
      </c>
      <c r="AD168" s="8">
        <f>IFERROR(AC168/AC444, "NA")</f>
        <v>-6.4359616646882502E-4</v>
      </c>
    </row>
    <row r="169" spans="1:30" ht="16.5" customHeight="1" x14ac:dyDescent="0.45">
      <c r="A169" s="6" t="s">
        <v>157</v>
      </c>
      <c r="B169" s="7">
        <v>-2356.5500000000002</v>
      </c>
      <c r="C169" s="8">
        <f>IFERROR(B169/B444, "NA")</f>
        <v>-1.1110690445098537E-2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2356.5500000000002</v>
      </c>
      <c r="I169" s="8">
        <f>IFERROR(H169/H444, "NA")</f>
        <v>-2.923477476178786E-2</v>
      </c>
      <c r="J169" s="9"/>
      <c r="K169" s="7">
        <v>-3024.61</v>
      </c>
      <c r="L169" s="8">
        <f>IFERROR(K169/K444, "NA")</f>
        <v>-1.11082913428626E-2</v>
      </c>
      <c r="M169" s="9"/>
      <c r="N169" s="10">
        <f t="shared" si="41"/>
        <v>-668.06</v>
      </c>
      <c r="O169" s="8">
        <f>IFERROR(N169/N444, "NA")</f>
        <v>1.1099836890251246E-2</v>
      </c>
      <c r="P169" s="9"/>
      <c r="Q169" s="7">
        <v>-20430.23</v>
      </c>
      <c r="R169" s="8">
        <f>IFERROR(Q169/Q444, "NA")</f>
        <v>-1.2438423116722632E-2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20430.23</v>
      </c>
      <c r="X169" s="8">
        <f>IFERROR(W169/W444, "NA")</f>
        <v>0.53573661250447302</v>
      </c>
      <c r="Y169" s="9"/>
      <c r="Z169" s="7">
        <v>-26262.240000000002</v>
      </c>
      <c r="AA169" s="8">
        <f>IFERROR(Z169/Z444, "NA")</f>
        <v>-1.8004265618667383E-2</v>
      </c>
      <c r="AB169" s="9"/>
      <c r="AC169" s="10">
        <f t="shared" si="43"/>
        <v>-5832.010000000002</v>
      </c>
      <c r="AD169" s="8">
        <f>IFERROR(AC169/AC444, "NA")</f>
        <v>-3.1722948603852705E-2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7798.3800000000019</v>
      </c>
      <c r="C170" s="15">
        <f>IFERROR(B170/B444, "NA")</f>
        <v>3.6767896354097107E-2</v>
      </c>
      <c r="D170" s="2"/>
      <c r="E170" s="14">
        <f>IFERROR(E151+E153+E154+E155+E156+E157+E160+E161+E162+E163+E164+E165+E167+E168+E169, "NA")</f>
        <v>4975.99</v>
      </c>
      <c r="F170" s="15">
        <f>IFERROR(E170/E444, "NA")</f>
        <v>1.6999999658359449E-2</v>
      </c>
      <c r="G170" s="2"/>
      <c r="H170" s="14">
        <f t="shared" si="40"/>
        <v>-2822.3900000000021</v>
      </c>
      <c r="I170" s="15">
        <f>IFERROR(H170/H444, "NA")</f>
        <v>3.5013870250969636E-2</v>
      </c>
      <c r="J170" s="2"/>
      <c r="K170" s="14">
        <f>IFERROR(K151+K153+K154+K155+K156+K157+K160+K161+K162+K163+K164+K165+K167+K168+K169, "NA")</f>
        <v>8161.0499999999993</v>
      </c>
      <c r="L170" s="15">
        <f>IFERROR(K170/K444, "NA")</f>
        <v>2.997256540964581E-2</v>
      </c>
      <c r="M170" s="2"/>
      <c r="N170" s="14">
        <f t="shared" si="41"/>
        <v>362.66999999999734</v>
      </c>
      <c r="O170" s="15">
        <f>IFERROR(N170/N444, "NA")</f>
        <v>-6.0257729021156638E-3</v>
      </c>
      <c r="P170" s="2"/>
      <c r="Q170" s="14">
        <f>IFERROR(Q151+Q153+Q154+Q155+Q156+Q157+Q160+Q161+Q162+Q163+Q164+Q165+Q167+Q168+Q169, "NA")</f>
        <v>53460.459999999992</v>
      </c>
      <c r="R170" s="15">
        <f>IFERROR(Q170/Q444, "NA")</f>
        <v>3.2548034040469714E-2</v>
      </c>
      <c r="S170" s="2"/>
      <c r="T170" s="14">
        <f>IFERROR(T151+T153+T154+T155+T156+T157+T160+T161+T162+T163+T164+T165+T167+T168+T169, "NA")</f>
        <v>29012.46</v>
      </c>
      <c r="U170" s="15">
        <f>IFERROR(T170/T444, "NA")</f>
        <v>1.8083343006363953E-2</v>
      </c>
      <c r="V170" s="2"/>
      <c r="W170" s="14">
        <f t="shared" si="42"/>
        <v>-24447.999999999993</v>
      </c>
      <c r="X170" s="15">
        <f>IFERROR(W170/W444, "NA")</f>
        <v>-0.64109355119885358</v>
      </c>
      <c r="Y170" s="2"/>
      <c r="Z170" s="14">
        <f>IFERROR(Z151+Z153+Z154+Z155+Z156+Z157+Z160+Z161+Z162+Z163+Z164+Z165+Z167+Z168+Z169, "NA")</f>
        <v>44908.67</v>
      </c>
      <c r="AA170" s="15">
        <f>IFERROR(Z170/Z444, "NA")</f>
        <v>3.0787458467407169E-2</v>
      </c>
      <c r="AB170" s="2"/>
      <c r="AC170" s="14">
        <f t="shared" si="43"/>
        <v>-8551.7899999999936</v>
      </c>
      <c r="AD170" s="15">
        <f>IFERROR(AC170/AC444, "NA")</f>
        <v>-4.6517066095727068E-2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56847.480000000025</v>
      </c>
      <c r="C171" s="15">
        <f>IFERROR(B171/B444, "NA")</f>
        <v>0.26802518633762507</v>
      </c>
      <c r="D171" s="2"/>
      <c r="E171" s="14">
        <f>IFERROR(E127+E129+E130+E131+E132+E133+E134+E135+E136+E137+E138+E139+E140+E143+E144+E145+E146+E147+E151+E153+E154+E155+E156+E157+E160+E161+E162+E163+E164+E165+E167+E168+E169, "NA")</f>
        <v>67322.22</v>
      </c>
      <c r="F171" s="15">
        <f>IFERROR(E171/E444, "NA")</f>
        <v>0.23000000341640553</v>
      </c>
      <c r="G171" s="2"/>
      <c r="H171" s="14">
        <f t="shared" si="40"/>
        <v>10474.739999999976</v>
      </c>
      <c r="I171" s="15">
        <f>IFERROR(H171/H444, "NA")</f>
        <v>-0.12994702619859075</v>
      </c>
      <c r="J171" s="2"/>
      <c r="K171" s="14">
        <f>IFERROR(K127+K129+K130+K131+K132+K133+K134+K135+K136+K137+K138+K139+K140+K143+K144+K145+K146+K147+K151+K153+K154+K155+K156+K157+K160+K161+K162+K163+K164+K165+K167+K168+K169, "NA")</f>
        <v>68758.709999999977</v>
      </c>
      <c r="L171" s="15">
        <f>IFERROR(K171/K444, "NA")</f>
        <v>0.25252570845146971</v>
      </c>
      <c r="M171" s="2"/>
      <c r="N171" s="14">
        <f t="shared" si="41"/>
        <v>11911.229999999952</v>
      </c>
      <c r="O171" s="15">
        <f>IFERROR(N171/N444, "NA")</f>
        <v>-0.19790544286780654</v>
      </c>
      <c r="P171" s="2"/>
      <c r="Q171" s="14">
        <f>IFERROR(Q127+Q129+Q130+Q131+Q132+Q133+Q134+Q135+Q136+Q137+Q138+Q139+Q140+Q143+Q144+Q145+Q146+Q147+Q151+Q153+Q154+Q155+Q156+Q157+Q160+Q161+Q162+Q163+Q164+Q165+Q167+Q168+Q169, "NA")</f>
        <v>445911.01999999996</v>
      </c>
      <c r="R171" s="15">
        <f>IFERROR(Q171/Q444, "NA")</f>
        <v>0.27148152219379657</v>
      </c>
      <c r="S171" s="2"/>
      <c r="T171" s="14">
        <f>IFERROR(T127+T129+T130+T131+T132+T133+T134+T135+T136+T137+T138+T139+T140+T143+T144+T145+T146+T147+T151+T153+T154+T155+T156+T157+T160+T161+T162+T163+T164+T165+T167+T168+T169, "NA")</f>
        <v>381373.15</v>
      </c>
      <c r="U171" s="15">
        <f>IFERROR(T171/T444, "NA")</f>
        <v>0.23770826344499887</v>
      </c>
      <c r="V171" s="2"/>
      <c r="W171" s="14">
        <f t="shared" si="42"/>
        <v>-64537.869999999937</v>
      </c>
      <c r="X171" s="15">
        <f>IFERROR(W171/W444, "NA")</f>
        <v>-1.6923597948752425</v>
      </c>
      <c r="Y171" s="2"/>
      <c r="Z171" s="14">
        <f>IFERROR(Z127+Z129+Z130+Z131+Z132+Z133+Z134+Z135+Z136+Z137+Z138+Z139+Z140+Z143+Z144+Z145+Z146+Z147+Z151+Z153+Z154+Z155+Z156+Z157+Z160+Z161+Z162+Z163+Z164+Z165+Z167+Z168+Z169, "NA")</f>
        <v>392410.34</v>
      </c>
      <c r="AA171" s="15">
        <f>IFERROR(Z171/Z444, "NA")</f>
        <v>0.26901970254142749</v>
      </c>
      <c r="AB171" s="2"/>
      <c r="AC171" s="14">
        <f t="shared" si="43"/>
        <v>-53500.679999999935</v>
      </c>
      <c r="AD171" s="15">
        <f>IFERROR(AC171/AC444, "NA")</f>
        <v>-0.29101447389684987</v>
      </c>
    </row>
    <row r="172" spans="1:30" ht="16.5" customHeight="1" x14ac:dyDescent="0.45">
      <c r="A172" s="22" t="s">
        <v>160</v>
      </c>
      <c r="B172" s="23">
        <f>IFERROR(B124-B171, "NA")</f>
        <v>155250.04999999999</v>
      </c>
      <c r="C172" s="24">
        <f>IFERROR(B172/B444, "NA")</f>
        <v>0.73197481366237493</v>
      </c>
      <c r="D172" s="25"/>
      <c r="E172" s="23">
        <f>IFERROR(E124-E171, "NA")</f>
        <v>225383.08</v>
      </c>
      <c r="F172" s="24">
        <f>IFERROR(E172/E444, "NA")</f>
        <v>0.76999999658359453</v>
      </c>
      <c r="G172" s="25"/>
      <c r="H172" s="23">
        <f>IFERROR(B172-E172, "NA")</f>
        <v>-70133.03</v>
      </c>
      <c r="I172" s="24">
        <f>IFERROR(H172/H444, "NA")</f>
        <v>0.87005297380140911</v>
      </c>
      <c r="J172" s="25"/>
      <c r="K172" s="23">
        <f>IFERROR(K124-K171, "NA")</f>
        <v>203525.28999999998</v>
      </c>
      <c r="L172" s="24">
        <f>IFERROR(K172/K444, "NA")</f>
        <v>0.74747429154853018</v>
      </c>
      <c r="M172" s="25"/>
      <c r="N172" s="23">
        <f>IFERROR(B172-K172, "NA")</f>
        <v>-48275.239999999991</v>
      </c>
      <c r="O172" s="24">
        <f>IFERROR(N172/N444, "NA")</f>
        <v>0.80209455713219246</v>
      </c>
      <c r="P172" s="25"/>
      <c r="Q172" s="23">
        <f>IFERROR(Q124-Q171, "NA")</f>
        <v>1196598.6299999997</v>
      </c>
      <c r="R172" s="24">
        <f>IFERROR(Q172/Q444, "NA")</f>
        <v>0.72851847780620327</v>
      </c>
      <c r="S172" s="25"/>
      <c r="T172" s="23">
        <f>IFERROR(T124-T171, "NA")</f>
        <v>1223001.6600000001</v>
      </c>
      <c r="U172" s="24">
        <f>IFERROR(T172/T444, "NA")</f>
        <v>0.76229173655500115</v>
      </c>
      <c r="V172" s="25"/>
      <c r="W172" s="23">
        <f>IFERROR(Q172-T172, "NA")</f>
        <v>-26403.030000000494</v>
      </c>
      <c r="X172" s="24">
        <f>IFERROR(W172/W444, "NA")</f>
        <v>-0.69235979487525312</v>
      </c>
      <c r="Y172" s="25"/>
      <c r="Z172" s="23">
        <f>IFERROR(Z124-Z171, "NA")</f>
        <v>1066257.3199999994</v>
      </c>
      <c r="AA172" s="24">
        <f>IFERROR(Z172/Z444, "NA")</f>
        <v>0.73098029745857218</v>
      </c>
      <c r="AB172" s="25"/>
      <c r="AC172" s="23">
        <f>IFERROR(Q172-Z172, "NA")</f>
        <v>130341.31000000029</v>
      </c>
      <c r="AD172" s="24">
        <f>IFERROR(AC172/AC444, "NA")</f>
        <v>0.70898552610315135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12596.15</v>
      </c>
      <c r="C178" s="8">
        <f>IFERROR(B178/B444, "NA")</f>
        <v>5.9388480384472177E-2</v>
      </c>
      <c r="D178" s="9"/>
      <c r="E178" s="7">
        <v>12884.62</v>
      </c>
      <c r="F178" s="8">
        <f>IFERROR(E178/E444, "NA")</f>
        <v>4.4019086774308498E-2</v>
      </c>
      <c r="G178" s="9"/>
      <c r="H178" s="10">
        <f t="shared" si="44"/>
        <v>288.47000000000116</v>
      </c>
      <c r="I178" s="8">
        <f>IFERROR(H178/H444, "NA")</f>
        <v>-3.5786872655080423E-3</v>
      </c>
      <c r="J178" s="9"/>
      <c r="K178" s="7">
        <v>5528.85</v>
      </c>
      <c r="L178" s="8">
        <f>IFERROR(K178/K444, "NA")</f>
        <v>2.0305453129820336E-2</v>
      </c>
      <c r="M178" s="9"/>
      <c r="N178" s="10">
        <f t="shared" si="45"/>
        <v>-7067.2999999999993</v>
      </c>
      <c r="O178" s="8">
        <f>IFERROR(N178/N444, "NA")</f>
        <v>0.11742340097367397</v>
      </c>
      <c r="P178" s="9"/>
      <c r="Q178" s="7">
        <v>97974.97</v>
      </c>
      <c r="R178" s="8">
        <f>IFERROR(Q178/Q444, "NA")</f>
        <v>5.964955517917353E-2</v>
      </c>
      <c r="S178" s="9"/>
      <c r="T178" s="7">
        <v>100500</v>
      </c>
      <c r="U178" s="8">
        <f>IFERROR(T178/T444, "NA")</f>
        <v>6.264122284492861E-2</v>
      </c>
      <c r="V178" s="9"/>
      <c r="W178" s="10">
        <f t="shared" si="46"/>
        <v>2525.0299999999988</v>
      </c>
      <c r="X178" s="8">
        <f>IFERROR(W178/W444, "NA")</f>
        <v>6.6213205562158081E-2</v>
      </c>
      <c r="Y178" s="9"/>
      <c r="Z178" s="7">
        <v>43125.03</v>
      </c>
      <c r="AA178" s="8">
        <f>IFERROR(Z178/Z444, "NA")</f>
        <v>2.9564671365923067E-2</v>
      </c>
      <c r="AB178" s="9"/>
      <c r="AC178" s="10">
        <f t="shared" si="47"/>
        <v>-54849.94</v>
      </c>
      <c r="AD178" s="8">
        <f>IFERROR(AC178/AC444, "NA")</f>
        <v>-0.29835371124953558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33473.519999999997</v>
      </c>
      <c r="C180" s="8">
        <f>IFERROR(B180/B444, "NA")</f>
        <v>0.15782135699552935</v>
      </c>
      <c r="D180" s="9"/>
      <c r="E180" s="7">
        <v>45954.73</v>
      </c>
      <c r="F180" s="8">
        <f>IFERROR(E180/E444, "NA")</f>
        <v>0.15699999282554844</v>
      </c>
      <c r="G180" s="9"/>
      <c r="H180" s="10">
        <f t="shared" si="44"/>
        <v>12481.210000000006</v>
      </c>
      <c r="I180" s="8">
        <f>IFERROR(H180/H444, "NA")</f>
        <v>-0.15483879531712647</v>
      </c>
      <c r="J180" s="9"/>
      <c r="K180" s="7">
        <v>37373.24</v>
      </c>
      <c r="L180" s="8">
        <f>IFERROR(K180/K444, "NA")</f>
        <v>0.13725830382982473</v>
      </c>
      <c r="M180" s="9"/>
      <c r="N180" s="10">
        <f t="shared" si="45"/>
        <v>3899.7200000000012</v>
      </c>
      <c r="O180" s="8">
        <f>IFERROR(N180/N444, "NA")</f>
        <v>-6.4793964490690373E-2</v>
      </c>
      <c r="P180" s="9"/>
      <c r="Q180" s="7">
        <v>261465.08</v>
      </c>
      <c r="R180" s="8">
        <f>IFERROR(Q180/Q444, "NA")</f>
        <v>0.15918632806814864</v>
      </c>
      <c r="S180" s="9"/>
      <c r="T180" s="7">
        <v>258849.92000000001</v>
      </c>
      <c r="U180" s="8">
        <f>IFERROR(T180/T444, "NA")</f>
        <v>0.16134005494638751</v>
      </c>
      <c r="V180" s="9"/>
      <c r="W180" s="10">
        <f t="shared" si="46"/>
        <v>-2615.1599999999744</v>
      </c>
      <c r="X180" s="8">
        <f>IFERROR(W180/W444, "NA")</f>
        <v>-6.8576661131919903E-2</v>
      </c>
      <c r="Y180" s="9"/>
      <c r="Z180" s="7">
        <v>254146.72</v>
      </c>
      <c r="AA180" s="8">
        <f>IFERROR(Z180/Z444, "NA")</f>
        <v>0.17423209341598758</v>
      </c>
      <c r="AB180" s="9"/>
      <c r="AC180" s="10">
        <f t="shared" si="47"/>
        <v>-7318.359999999986</v>
      </c>
      <c r="AD180" s="8">
        <f>IFERROR(AC180/AC444, "NA")</f>
        <v>-3.9807880669698946E-2</v>
      </c>
    </row>
    <row r="181" spans="1:30" ht="16.5" customHeight="1" x14ac:dyDescent="0.45">
      <c r="A181" s="12" t="s">
        <v>166</v>
      </c>
      <c r="B181" s="7">
        <v>137.96</v>
      </c>
      <c r="C181" s="8">
        <f>IFERROR(B181/B444, "NA")</f>
        <v>6.5045547677995122E-4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-137.96</v>
      </c>
      <c r="I181" s="8">
        <f>IFERROR(H181/H444, "NA")</f>
        <v>1.7114975392570719E-3</v>
      </c>
      <c r="J181" s="9"/>
      <c r="K181" s="7">
        <v>1911.28</v>
      </c>
      <c r="L181" s="8">
        <f>IFERROR(K181/K444, "NA")</f>
        <v>7.0194355893111607E-3</v>
      </c>
      <c r="M181" s="9"/>
      <c r="N181" s="10">
        <f t="shared" si="45"/>
        <v>1773.32</v>
      </c>
      <c r="O181" s="8">
        <f>IFERROR(N181/N444, "NA")</f>
        <v>-2.9463764862767326E-2</v>
      </c>
      <c r="P181" s="9"/>
      <c r="Q181" s="7">
        <v>5776.18</v>
      </c>
      <c r="R181" s="8">
        <f>IFERROR(Q181/Q444, "NA")</f>
        <v>3.5166794910459131E-3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-5776.18</v>
      </c>
      <c r="X181" s="8">
        <f>IFERROR(W181/W444, "NA")</f>
        <v>-0.15146726720238038</v>
      </c>
      <c r="Y181" s="9"/>
      <c r="Z181" s="7">
        <v>7817.35</v>
      </c>
      <c r="AA181" s="8">
        <f>IFERROR(Z181/Z444, "NA")</f>
        <v>5.359239951888699E-3</v>
      </c>
      <c r="AB181" s="9"/>
      <c r="AC181" s="10">
        <f t="shared" si="47"/>
        <v>2041.17</v>
      </c>
      <c r="AD181" s="8">
        <f>IFERROR(AC181/AC444, "NA")</f>
        <v>1.1102849789648166E-2</v>
      </c>
    </row>
    <row r="182" spans="1:30" ht="16.5" customHeight="1" x14ac:dyDescent="0.45">
      <c r="A182" s="13" t="s">
        <v>167</v>
      </c>
      <c r="B182" s="14">
        <f>IFERROR(B177+B178+B179+B180+B181, "NA")</f>
        <v>46207.63</v>
      </c>
      <c r="C182" s="15">
        <f>IFERROR(B182/B444, "NA")</f>
        <v>0.21786029285678149</v>
      </c>
      <c r="D182" s="2"/>
      <c r="E182" s="14">
        <f>IFERROR(E177+E178+E179+E180+E181, "NA")</f>
        <v>58839.350000000006</v>
      </c>
      <c r="F182" s="15">
        <f>IFERROR(E182/E444, "NA")</f>
        <v>0.20101907959985696</v>
      </c>
      <c r="G182" s="2"/>
      <c r="H182" s="14">
        <f t="shared" si="44"/>
        <v>12631.720000000008</v>
      </c>
      <c r="I182" s="15">
        <f>IFERROR(H182/H444, "NA")</f>
        <v>-0.15670598504337746</v>
      </c>
      <c r="J182" s="2"/>
      <c r="K182" s="14">
        <f>IFERROR(K177+K178+K179+K180+K181, "NA")</f>
        <v>44813.369999999995</v>
      </c>
      <c r="L182" s="15">
        <f>IFERROR(K182/K444, "NA")</f>
        <v>0.16458319254895623</v>
      </c>
      <c r="M182" s="2"/>
      <c r="N182" s="14">
        <f t="shared" si="45"/>
        <v>-1394.260000000002</v>
      </c>
      <c r="O182" s="15">
        <f>IFERROR(N182/N444, "NA")</f>
        <v>2.3165671620216339E-2</v>
      </c>
      <c r="P182" s="2"/>
      <c r="Q182" s="14">
        <f>IFERROR(Q177+Q178+Q179+Q180+Q181, "NA")</f>
        <v>365216.23</v>
      </c>
      <c r="R182" s="15">
        <f>IFERROR(Q182/Q444, "NA")</f>
        <v>0.22235256273836809</v>
      </c>
      <c r="S182" s="2"/>
      <c r="T182" s="14">
        <f>IFERROR(T177+T178+T179+T180+T181, "NA")</f>
        <v>359349.92000000004</v>
      </c>
      <c r="U182" s="15">
        <f>IFERROR(T182/T444, "NA")</f>
        <v>0.22398127779131613</v>
      </c>
      <c r="V182" s="2"/>
      <c r="W182" s="14">
        <f t="shared" si="46"/>
        <v>-5866.3099999999395</v>
      </c>
      <c r="X182" s="15">
        <f>IFERROR(W182/W444, "NA")</f>
        <v>-0.15383072277214124</v>
      </c>
      <c r="Y182" s="2"/>
      <c r="Z182" s="14">
        <f>IFERROR(Z177+Z178+Z179+Z180+Z181, "NA")</f>
        <v>305089.09999999998</v>
      </c>
      <c r="AA182" s="15">
        <f>IFERROR(Z182/Z444, "NA")</f>
        <v>0.20915600473379933</v>
      </c>
      <c r="AB182" s="2"/>
      <c r="AC182" s="14">
        <f t="shared" si="47"/>
        <v>-60127.130000000005</v>
      </c>
      <c r="AD182" s="15">
        <f>IFERROR(AC182/AC444, "NA")</f>
        <v>-0.32705874212958641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5.4220339105316316E-3</v>
      </c>
      <c r="D184" s="9"/>
      <c r="E184" s="7">
        <v>1150</v>
      </c>
      <c r="F184" s="8">
        <f>IFERROR(E184/E444, "NA")</f>
        <v>3.9288663375757118E-3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1300</v>
      </c>
      <c r="L184" s="8">
        <f>IFERROR(K184/K444, "NA")</f>
        <v>4.7744267015322238E-3</v>
      </c>
      <c r="M184" s="9"/>
      <c r="N184" s="10">
        <f t="shared" si="45"/>
        <v>150</v>
      </c>
      <c r="O184" s="8">
        <f>IFERROR(N184/N444, "NA")</f>
        <v>-2.492254488425721E-3</v>
      </c>
      <c r="P184" s="9"/>
      <c r="Q184" s="7">
        <v>5250</v>
      </c>
      <c r="R184" s="8">
        <f>IFERROR(Q184/Q444, "NA")</f>
        <v>3.1963282529268553E-3</v>
      </c>
      <c r="S184" s="9"/>
      <c r="T184" s="7">
        <v>10350</v>
      </c>
      <c r="U184" s="8">
        <f>IFERROR(T184/T444, "NA")</f>
        <v>6.4511110094030953E-3</v>
      </c>
      <c r="V184" s="9"/>
      <c r="W184" s="10">
        <f t="shared" si="46"/>
        <v>5100</v>
      </c>
      <c r="X184" s="8">
        <f>IFERROR(W184/W444, "NA")</f>
        <v>0.13373597476743104</v>
      </c>
      <c r="Y184" s="9"/>
      <c r="Z184" s="7">
        <v>3850</v>
      </c>
      <c r="AA184" s="8">
        <f>IFERROR(Z184/Z444, "NA")</f>
        <v>2.639394911929425E-3</v>
      </c>
      <c r="AB184" s="9"/>
      <c r="AC184" s="10">
        <f t="shared" si="47"/>
        <v>-1400</v>
      </c>
      <c r="AD184" s="8">
        <f>IFERROR(AC184/AC444, "NA")</f>
        <v>-7.6152352354323409E-3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4501.49</v>
      </c>
      <c r="C186" s="8">
        <f>IFERROR(B186/B444, "NA")</f>
        <v>2.1223679502538288E-2</v>
      </c>
      <c r="D186" s="9"/>
      <c r="E186" s="7">
        <v>5704.29</v>
      </c>
      <c r="F186" s="8">
        <f>IFERROR(E186/E444, "NA")</f>
        <v>1.9488167791973703E-2</v>
      </c>
      <c r="G186" s="9"/>
      <c r="H186" s="10">
        <f t="shared" ref="H186:H197" si="48">IFERROR(-(B186-E186), "NA")</f>
        <v>1202.8000000000002</v>
      </c>
      <c r="I186" s="8">
        <f>IFERROR(H186/H444, "NA")</f>
        <v>-1.492163844750947E-2</v>
      </c>
      <c r="J186" s="9"/>
      <c r="K186" s="7">
        <v>4101.99</v>
      </c>
      <c r="L186" s="8">
        <f>IFERROR(K186/K444, "NA")</f>
        <v>1.5065115834937051E-2</v>
      </c>
      <c r="M186" s="9"/>
      <c r="N186" s="10">
        <f t="shared" ref="N186:N197" si="49">IFERROR(-(B186-K186), "NA")</f>
        <v>-399.5</v>
      </c>
      <c r="O186" s="8">
        <f>IFERROR(N186/N444, "NA")</f>
        <v>6.6377044541738369E-3</v>
      </c>
      <c r="P186" s="9"/>
      <c r="Q186" s="7">
        <v>36587.71</v>
      </c>
      <c r="R186" s="8">
        <f>IFERROR(Q186/Q444, "NA")</f>
        <v>2.2275491653884653E-2</v>
      </c>
      <c r="S186" s="9"/>
      <c r="T186" s="7">
        <v>39851.64</v>
      </c>
      <c r="U186" s="8">
        <f>IFERROR(T186/T444, "NA")</f>
        <v>2.4839357830605677E-2</v>
      </c>
      <c r="V186" s="9"/>
      <c r="W186" s="10">
        <f t="shared" ref="W186:W197" si="50">IFERROR(-(Q186-T186), "NA")</f>
        <v>3263.9300000000003</v>
      </c>
      <c r="X186" s="8">
        <f>IFERROR(W186/W444, "NA")</f>
        <v>8.5589188259345333E-2</v>
      </c>
      <c r="Y186" s="9"/>
      <c r="Z186" s="7">
        <v>30450.84</v>
      </c>
      <c r="AA186" s="8">
        <f>IFERROR(Z186/Z444, "NA")</f>
        <v>2.08757901714226E-2</v>
      </c>
      <c r="AB186" s="9"/>
      <c r="AC186" s="10">
        <f t="shared" ref="AC186:AC197" si="51">IFERROR(-(Q186-Z186), "NA")</f>
        <v>-6136.869999999999</v>
      </c>
      <c r="AD186" s="8">
        <f>IFERROR(AC186/AC444, "NA")</f>
        <v>-3.3381220470905471E-2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2.7422284799266751E-8</v>
      </c>
      <c r="AB187" s="9"/>
      <c r="AC187" s="10">
        <f t="shared" si="51"/>
        <v>0.04</v>
      </c>
      <c r="AD187" s="8">
        <f>IFERROR(AC187/AC444, "NA")</f>
        <v>2.1757814958378117E-7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4501.49</v>
      </c>
      <c r="C193" s="15">
        <f>IFERROR(B193/B444, "NA")</f>
        <v>2.1223679502538288E-2</v>
      </c>
      <c r="D193" s="2"/>
      <c r="E193" s="14">
        <f>IFERROR(E186+E187+E188+E189+E190+E191+E192, "NA")</f>
        <v>5704.29</v>
      </c>
      <c r="F193" s="15">
        <f>IFERROR(E193/E444, "NA")</f>
        <v>1.9488167791973703E-2</v>
      </c>
      <c r="G193" s="2"/>
      <c r="H193" s="14">
        <f t="shared" si="48"/>
        <v>1202.8000000000002</v>
      </c>
      <c r="I193" s="15">
        <f>IFERROR(H193/H444, "NA")</f>
        <v>-1.492163844750947E-2</v>
      </c>
      <c r="J193" s="2"/>
      <c r="K193" s="14">
        <f>IFERROR(K186+K187+K188+K189+K190+K191+K192, "NA")</f>
        <v>4101.99</v>
      </c>
      <c r="L193" s="15">
        <f>IFERROR(K193/K444, "NA")</f>
        <v>1.5065115834937051E-2</v>
      </c>
      <c r="M193" s="2"/>
      <c r="N193" s="14">
        <f t="shared" si="49"/>
        <v>-399.5</v>
      </c>
      <c r="O193" s="15">
        <f>IFERROR(N193/N444, "NA")</f>
        <v>6.6377044541738369E-3</v>
      </c>
      <c r="P193" s="2"/>
      <c r="Q193" s="14">
        <f>IFERROR(Q186+Q187+Q188+Q189+Q190+Q191+Q192, "NA")</f>
        <v>36587.71</v>
      </c>
      <c r="R193" s="15">
        <f>IFERROR(Q193/Q444, "NA")</f>
        <v>2.2275491653884653E-2</v>
      </c>
      <c r="S193" s="2"/>
      <c r="T193" s="14">
        <f>IFERROR(T186+T187+T188+T189+T190+T191+T192, "NA")</f>
        <v>39851.64</v>
      </c>
      <c r="U193" s="15">
        <f>IFERROR(T193/T444, "NA")</f>
        <v>2.4839357830605677E-2</v>
      </c>
      <c r="V193" s="2"/>
      <c r="W193" s="14">
        <f t="shared" si="50"/>
        <v>3263.9300000000003</v>
      </c>
      <c r="X193" s="15">
        <f>IFERROR(W193/W444, "NA")</f>
        <v>8.5589188259345333E-2</v>
      </c>
      <c r="Y193" s="2"/>
      <c r="Z193" s="14">
        <f>IFERROR(Z186+Z187+Z188+Z189+Z190+Z191+Z192, "NA")</f>
        <v>30450.880000000001</v>
      </c>
      <c r="AA193" s="15">
        <f>IFERROR(Z193/Z444, "NA")</f>
        <v>2.0875817593707401E-2</v>
      </c>
      <c r="AB193" s="2"/>
      <c r="AC193" s="14">
        <f t="shared" si="51"/>
        <v>-6136.8299999999981</v>
      </c>
      <c r="AD193" s="15">
        <f>IFERROR(AC193/AC444, "NA")</f>
        <v>-3.3381002892755883E-2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1.1794573939639939E-3</v>
      </c>
      <c r="D194" s="9"/>
      <c r="E194" s="7">
        <v>479.91</v>
      </c>
      <c r="F194" s="8">
        <f>IFERROR(E194/E444, "NA")</f>
        <v>1.6395671687530087E-3</v>
      </c>
      <c r="G194" s="9"/>
      <c r="H194" s="10">
        <f t="shared" si="48"/>
        <v>229.75000000000003</v>
      </c>
      <c r="I194" s="8">
        <f>IFERROR(H194/H444, "NA")</f>
        <v>-2.8502215109039745E-3</v>
      </c>
      <c r="J194" s="9"/>
      <c r="K194" s="7">
        <v>275.60000000000002</v>
      </c>
      <c r="L194" s="8">
        <f>IFERROR(K194/K444, "NA")</f>
        <v>1.0121784607248314E-3</v>
      </c>
      <c r="M194" s="9"/>
      <c r="N194" s="10">
        <f t="shared" si="49"/>
        <v>25.440000000000026</v>
      </c>
      <c r="O194" s="8">
        <f>IFERROR(N194/N444, "NA")</f>
        <v>-4.2268636123700268E-4</v>
      </c>
      <c r="P194" s="9"/>
      <c r="Q194" s="7">
        <v>2413.62</v>
      </c>
      <c r="R194" s="8">
        <f>IFERROR(Q194/Q444, "NA")</f>
        <v>1.4694708186341553E-3</v>
      </c>
      <c r="S194" s="9"/>
      <c r="T194" s="7">
        <v>2957.6</v>
      </c>
      <c r="U194" s="8">
        <f>IFERROR(T194/T444, "NA")</f>
        <v>1.8434595093150333E-3</v>
      </c>
      <c r="V194" s="9"/>
      <c r="W194" s="10">
        <f t="shared" si="50"/>
        <v>543.98</v>
      </c>
      <c r="X194" s="8">
        <f>IFERROR(W194/W444, "NA")</f>
        <v>1.4264646187056302E-2</v>
      </c>
      <c r="Y194" s="9"/>
      <c r="Z194" s="7">
        <v>2219.59</v>
      </c>
      <c r="AA194" s="8">
        <f>IFERROR(Z194/Z444, "NA")</f>
        <v>1.5216557279401123E-3</v>
      </c>
      <c r="AB194" s="9"/>
      <c r="AC194" s="10">
        <f t="shared" si="51"/>
        <v>-194.02999999999975</v>
      </c>
      <c r="AD194" s="8">
        <f>IFERROR(AC194/AC444, "NA")</f>
        <v>-1.0554172090935252E-3</v>
      </c>
    </row>
    <row r="195" spans="1:30" ht="16.5" customHeight="1" x14ac:dyDescent="0.45">
      <c r="A195" s="6" t="s">
        <v>179</v>
      </c>
      <c r="B195" s="7">
        <v>154.65</v>
      </c>
      <c r="C195" s="8">
        <f>IFERROR(B195/B444, "NA")</f>
        <v>7.2914569066410159E-4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-154.65</v>
      </c>
      <c r="I195" s="8">
        <f>IFERROR(H195/H444, "NA")</f>
        <v>1.9185495393310103E-3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-154.65</v>
      </c>
      <c r="O195" s="8">
        <f>IFERROR(N195/N444, "NA")</f>
        <v>2.5695143775669184E-3</v>
      </c>
      <c r="P195" s="9"/>
      <c r="Q195" s="7">
        <v>1718.37</v>
      </c>
      <c r="R195" s="8">
        <f>IFERROR(Q195/Q444, "NA")</f>
        <v>1.0461856342822704E-3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-1718.37</v>
      </c>
      <c r="X195" s="8">
        <f>IFERROR(W195/W444, "NA")</f>
        <v>-4.5060369992374602E-2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-1718.37</v>
      </c>
      <c r="AD195" s="8">
        <f>IFERROR(AC195/AC444, "NA")</f>
        <v>-9.3469941225070505E-3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52263.93</v>
      </c>
      <c r="C196" s="15">
        <f>IFERROR(B196/B444, "NA")</f>
        <v>0.24641460935447951</v>
      </c>
      <c r="D196" s="2"/>
      <c r="E196" s="14">
        <f>IFERROR(E175+E177+E178+E179+E180+E181+E183+E184+E186+E187+E188+E189+E190+E191+E192+E194+E195, "NA")</f>
        <v>66173.55</v>
      </c>
      <c r="F196" s="15">
        <f>IFERROR(E196/E444, "NA")</f>
        <v>0.22607568089815935</v>
      </c>
      <c r="G196" s="2"/>
      <c r="H196" s="14">
        <f t="shared" si="48"/>
        <v>13909.620000000003</v>
      </c>
      <c r="I196" s="15">
        <f>IFERROR(H196/H444, "NA")</f>
        <v>-0.17255929546245982</v>
      </c>
      <c r="J196" s="2"/>
      <c r="K196" s="14">
        <f>IFERROR(K175+K177+K178+K179+K180+K181+K183+K184+K186+K187+K188+K189+K190+K191+K192+K194+K195, "NA")</f>
        <v>50490.959999999992</v>
      </c>
      <c r="L196" s="15">
        <f>IFERROR(K196/K444, "NA")</f>
        <v>0.18543491354615033</v>
      </c>
      <c r="M196" s="2"/>
      <c r="N196" s="14">
        <f t="shared" si="49"/>
        <v>-1772.9700000000084</v>
      </c>
      <c r="O196" s="15">
        <f>IFERROR(N196/N444, "NA")</f>
        <v>2.9457949602294475E-2</v>
      </c>
      <c r="P196" s="2"/>
      <c r="Q196" s="14">
        <f>IFERROR(Q175+Q177+Q178+Q179+Q180+Q181+Q183+Q184+Q186+Q187+Q188+Q189+Q190+Q191+Q192+Q194+Q195, "NA")</f>
        <v>411185.93</v>
      </c>
      <c r="R196" s="15">
        <f>IFERROR(Q196/Q444, "NA")</f>
        <v>0.25034003909809605</v>
      </c>
      <c r="S196" s="2"/>
      <c r="T196" s="14">
        <f>IFERROR(T175+T177+T178+T179+T180+T181+T183+T184+T186+T187+T188+T189+T190+T191+T192+T194+T195, "NA")</f>
        <v>412509.16000000003</v>
      </c>
      <c r="U196" s="15">
        <f>IFERROR(T196/T444, "NA")</f>
        <v>0.25711520614063993</v>
      </c>
      <c r="V196" s="2"/>
      <c r="W196" s="14">
        <f t="shared" si="50"/>
        <v>1323.2300000000396</v>
      </c>
      <c r="X196" s="15">
        <f>IFERROR(W196/W444, "NA")</f>
        <v>3.469871644931629E-2</v>
      </c>
      <c r="Y196" s="2"/>
      <c r="Z196" s="14">
        <f>IFERROR(Z175+Z177+Z178+Z179+Z180+Z181+Z183+Z184+Z186+Z187+Z188+Z189+Z190+Z191+Z192+Z194+Z195, "NA")</f>
        <v>341609.57</v>
      </c>
      <c r="AA196" s="15">
        <f>IFERROR(Z196/Z444, "NA")</f>
        <v>0.23419287296737629</v>
      </c>
      <c r="AB196" s="2"/>
      <c r="AC196" s="14">
        <f t="shared" si="51"/>
        <v>-69576.359999999986</v>
      </c>
      <c r="AD196" s="15">
        <f>IFERROR(AC196/AC444, "NA")</f>
        <v>-0.37845739158937514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52263.93</v>
      </c>
      <c r="C197" s="15">
        <f>IFERROR(B197/B444, "NA")</f>
        <v>0.24641460935447951</v>
      </c>
      <c r="D197" s="2"/>
      <c r="E197" s="14">
        <f>IFERROR(E175+E177+E178+E179+E180+E181+E183+E184+E186+E187+E188+E189+E190+E191+E192+E194+E195, "NA")</f>
        <v>66173.55</v>
      </c>
      <c r="F197" s="15">
        <f>IFERROR(E197/E444, "NA")</f>
        <v>0.22607568089815935</v>
      </c>
      <c r="G197" s="2"/>
      <c r="H197" s="14">
        <f t="shared" si="48"/>
        <v>13909.620000000003</v>
      </c>
      <c r="I197" s="15">
        <f>IFERROR(H197/H444, "NA")</f>
        <v>-0.17255929546245982</v>
      </c>
      <c r="J197" s="2"/>
      <c r="K197" s="14">
        <f>IFERROR(K175+K177+K178+K179+K180+K181+K183+K184+K186+K187+K188+K189+K190+K191+K192+K194+K195, "NA")</f>
        <v>50490.959999999992</v>
      </c>
      <c r="L197" s="15">
        <f>IFERROR(K197/K444, "NA")</f>
        <v>0.18543491354615033</v>
      </c>
      <c r="M197" s="2"/>
      <c r="N197" s="14">
        <f t="shared" si="49"/>
        <v>-1772.9700000000084</v>
      </c>
      <c r="O197" s="15">
        <f>IFERROR(N197/N444, "NA")</f>
        <v>2.9457949602294475E-2</v>
      </c>
      <c r="P197" s="2"/>
      <c r="Q197" s="14">
        <f>IFERROR(Q175+Q177+Q178+Q179+Q180+Q181+Q183+Q184+Q186+Q187+Q188+Q189+Q190+Q191+Q192+Q194+Q195, "NA")</f>
        <v>411185.93</v>
      </c>
      <c r="R197" s="15">
        <f>IFERROR(Q197/Q444, "NA")</f>
        <v>0.25034003909809605</v>
      </c>
      <c r="S197" s="2"/>
      <c r="T197" s="14">
        <f>IFERROR(T175+T177+T178+T179+T180+T181+T183+T184+T186+T187+T188+T189+T190+T191+T192+T194+T195, "NA")</f>
        <v>412509.16000000003</v>
      </c>
      <c r="U197" s="15">
        <f>IFERROR(T197/T444, "NA")</f>
        <v>0.25711520614063993</v>
      </c>
      <c r="V197" s="2"/>
      <c r="W197" s="14">
        <f t="shared" si="50"/>
        <v>1323.2300000000396</v>
      </c>
      <c r="X197" s="15">
        <f>IFERROR(W197/W444, "NA")</f>
        <v>3.469871644931629E-2</v>
      </c>
      <c r="Y197" s="2"/>
      <c r="Z197" s="14">
        <f>IFERROR(Z175+Z177+Z178+Z179+Z180+Z181+Z183+Z184+Z186+Z187+Z188+Z189+Z190+Z191+Z192+Z194+Z195, "NA")</f>
        <v>341609.57</v>
      </c>
      <c r="AA197" s="15">
        <f>IFERROR(Z197/Z444, "NA")</f>
        <v>0.23419287296737629</v>
      </c>
      <c r="AB197" s="2"/>
      <c r="AC197" s="14">
        <f t="shared" si="51"/>
        <v>-69576.359999999986</v>
      </c>
      <c r="AD197" s="15">
        <f>IFERROR(AC197/AC444, "NA")</f>
        <v>-0.37845739158937514</v>
      </c>
    </row>
    <row r="198" spans="1:30" ht="16.5" customHeight="1" x14ac:dyDescent="0.45">
      <c r="A198" s="22" t="s">
        <v>181</v>
      </c>
      <c r="B198" s="23">
        <f>IFERROR(B172-B197, "NA")</f>
        <v>102986.12</v>
      </c>
      <c r="C198" s="24">
        <f>IFERROR(B198/B444, "NA")</f>
        <v>0.48556020430789548</v>
      </c>
      <c r="D198" s="25"/>
      <c r="E198" s="23">
        <f>IFERROR(E172-E197, "NA")</f>
        <v>159209.52999999997</v>
      </c>
      <c r="F198" s="24">
        <f>IFERROR(E198/E444, "NA")</f>
        <v>0.54392431568543509</v>
      </c>
      <c r="G198" s="25"/>
      <c r="H198" s="23">
        <f>IFERROR(B198-E198, "NA")</f>
        <v>-56223.409999999974</v>
      </c>
      <c r="I198" s="24">
        <f>IFERROR(H198/H444, "NA")</f>
        <v>0.69749367833894893</v>
      </c>
      <c r="J198" s="25"/>
      <c r="K198" s="23">
        <f>IFERROR(K172-K197, "NA")</f>
        <v>153034.32999999999</v>
      </c>
      <c r="L198" s="24">
        <f>IFERROR(K198/K444, "NA")</f>
        <v>0.5620393780023798</v>
      </c>
      <c r="M198" s="25"/>
      <c r="N198" s="23">
        <f>IFERROR(B198-K198, "NA")</f>
        <v>-50048.209999999992</v>
      </c>
      <c r="O198" s="24">
        <f>IFERROR(N198/N444, "NA")</f>
        <v>0.83155250673448688</v>
      </c>
      <c r="P198" s="25"/>
      <c r="Q198" s="23">
        <f>IFERROR(Q172-Q197, "NA")</f>
        <v>785412.69999999972</v>
      </c>
      <c r="R198" s="24">
        <f>IFERROR(Q198/Q444, "NA")</f>
        <v>0.47817843870810728</v>
      </c>
      <c r="S198" s="25"/>
      <c r="T198" s="23">
        <f>IFERROR(T172-T197, "NA")</f>
        <v>810492.50000000012</v>
      </c>
      <c r="U198" s="24">
        <f>IFERROR(T198/T444, "NA")</f>
        <v>0.50517653041436128</v>
      </c>
      <c r="V198" s="25"/>
      <c r="W198" s="23">
        <f>IFERROR(Q198-T198, "NA")</f>
        <v>-25079.800000000396</v>
      </c>
      <c r="X198" s="24">
        <f>IFERROR(W198/W444, "NA")</f>
        <v>-0.65766107842593524</v>
      </c>
      <c r="Y198" s="25"/>
      <c r="Z198" s="23">
        <f>IFERROR(Z172-Z197, "NA")</f>
        <v>724647.7499999993</v>
      </c>
      <c r="AA198" s="24">
        <f>IFERROR(Z198/Z444, "NA")</f>
        <v>0.49678742449119584</v>
      </c>
      <c r="AB198" s="25"/>
      <c r="AC198" s="23">
        <f>IFERROR(Q198-Z198, "NA")</f>
        <v>60764.950000000419</v>
      </c>
      <c r="AD198" s="24">
        <f>IFERROR(AC198/AC444, "NA")</f>
        <v>0.33052813451377688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4975.99</v>
      </c>
      <c r="F201" s="8">
        <f>IFERROR(E201/E444, "NA")</f>
        <v>1.6999999658359449E-2</v>
      </c>
      <c r="G201" s="9"/>
      <c r="H201" s="10">
        <f t="shared" ref="H201:H209" si="52">IFERROR(-(B201-E201), "NA")</f>
        <v>4975.99</v>
      </c>
      <c r="I201" s="8">
        <f>IFERROR(H201/H444, "NA")</f>
        <v>-6.173089765415915E-2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27522.68</v>
      </c>
      <c r="U201" s="8">
        <f>IFERROR(T201/T444, "NA")</f>
        <v>1.7154769464374723E-2</v>
      </c>
      <c r="V201" s="9"/>
      <c r="W201" s="10">
        <f t="shared" ref="W201:W209" si="54">IFERROR(-(Q201-T201), "NA")</f>
        <v>27522.68</v>
      </c>
      <c r="X201" s="8">
        <f>IFERROR(W201/W444, "NA")</f>
        <v>0.72172008588472136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1897.43</v>
      </c>
      <c r="C202" s="8">
        <f>IFERROR(B202/B444, "NA")</f>
        <v>8.9460259155304638E-3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-1897.43</v>
      </c>
      <c r="I202" s="8">
        <f>IFERROR(H202/H444, "NA")</f>
        <v>2.3539045925721556E-2</v>
      </c>
      <c r="J202" s="9"/>
      <c r="K202" s="7">
        <v>1904.78</v>
      </c>
      <c r="L202" s="8">
        <f>IFERROR(K202/K444, "NA")</f>
        <v>6.9955634558034989E-3</v>
      </c>
      <c r="M202" s="9"/>
      <c r="N202" s="10">
        <f t="shared" si="53"/>
        <v>7.3499999999999091</v>
      </c>
      <c r="O202" s="8">
        <f>IFERROR(N202/N444, "NA")</f>
        <v>-1.2212046993285882E-4</v>
      </c>
      <c r="P202" s="9"/>
      <c r="Q202" s="7">
        <v>14264.06</v>
      </c>
      <c r="R202" s="8">
        <f>IFERROR(Q202/Q444, "NA")</f>
        <v>8.6843081865607304E-3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-14264.06</v>
      </c>
      <c r="X202" s="8">
        <f>IFERROR(W202/W444, "NA")</f>
        <v>-0.3740427388708083</v>
      </c>
      <c r="Y202" s="9"/>
      <c r="Z202" s="7">
        <v>11332.82</v>
      </c>
      <c r="AA202" s="8">
        <f>IFERROR(Z202/Z444, "NA")</f>
        <v>7.7692954404706555E-3</v>
      </c>
      <c r="AB202" s="9"/>
      <c r="AC202" s="10">
        <f t="shared" si="55"/>
        <v>-2931.24</v>
      </c>
      <c r="AD202" s="8">
        <f>IFERROR(AC202/AC444, "NA")</f>
        <v>-1.5944344379649068E-2</v>
      </c>
    </row>
    <row r="203" spans="1:30" ht="16.5" customHeight="1" x14ac:dyDescent="0.45">
      <c r="A203" s="6" t="s">
        <v>185</v>
      </c>
      <c r="B203" s="7">
        <v>1050.29</v>
      </c>
      <c r="C203" s="8">
        <f>IFERROR(B203/B444, "NA")</f>
        <v>4.9519199964280581E-3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-1050.29</v>
      </c>
      <c r="I203" s="8">
        <f>IFERROR(H203/H444, "NA")</f>
        <v>1.3029637217355103E-2</v>
      </c>
      <c r="J203" s="9"/>
      <c r="K203" s="7">
        <v>1390.95</v>
      </c>
      <c r="L203" s="8">
        <f>IFERROR(K203/K444, "NA")</f>
        <v>5.1084529388432665E-3</v>
      </c>
      <c r="M203" s="9"/>
      <c r="N203" s="10">
        <f t="shared" si="53"/>
        <v>340.66000000000008</v>
      </c>
      <c r="O203" s="8">
        <f>IFERROR(N203/N444, "NA")</f>
        <v>-5.660076093514042E-3</v>
      </c>
      <c r="P203" s="9"/>
      <c r="Q203" s="7">
        <v>12560.19</v>
      </c>
      <c r="R203" s="8">
        <f>IFERROR(Q203/Q444, "NA")</f>
        <v>7.6469505065008304E-3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-12560.19</v>
      </c>
      <c r="X203" s="8">
        <f>IFERROR(W203/W444, "NA")</f>
        <v>-0.32936259861061562</v>
      </c>
      <c r="Y203" s="9"/>
      <c r="Z203" s="7">
        <v>8515.15</v>
      </c>
      <c r="AA203" s="8">
        <f>IFERROR(Z203/Z444, "NA")</f>
        <v>5.8376217102119069E-3</v>
      </c>
      <c r="AB203" s="9"/>
      <c r="AC203" s="10">
        <f t="shared" si="55"/>
        <v>-4045.0400000000009</v>
      </c>
      <c r="AD203" s="8">
        <f>IFERROR(AC203/AC444, "NA")</f>
        <v>-2.200280795480946E-2</v>
      </c>
    </row>
    <row r="204" spans="1:30" ht="16.5" customHeight="1" x14ac:dyDescent="0.45">
      <c r="A204" s="6" t="s">
        <v>186</v>
      </c>
      <c r="B204" s="7">
        <v>340.81</v>
      </c>
      <c r="C204" s="8">
        <f>IFERROR(B204/B444, "NA")</f>
        <v>1.6068551104767698E-3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-340.81</v>
      </c>
      <c r="I204" s="8">
        <f>IFERROR(H204/H444, "NA")</f>
        <v>4.2280043226602107E-3</v>
      </c>
      <c r="J204" s="9"/>
      <c r="K204" s="7">
        <v>260.61</v>
      </c>
      <c r="L204" s="8">
        <f>IFERROR(K204/K444, "NA")</f>
        <v>9.5712564822024069E-4</v>
      </c>
      <c r="M204" s="9"/>
      <c r="N204" s="10">
        <f t="shared" si="53"/>
        <v>-80.199999999999989</v>
      </c>
      <c r="O204" s="8">
        <f>IFERROR(N204/N444, "NA")</f>
        <v>1.3325253998116185E-3</v>
      </c>
      <c r="P204" s="9"/>
      <c r="Q204" s="7">
        <v>2292.88</v>
      </c>
      <c r="R204" s="8">
        <f>IFERROR(Q204/Q444, "NA")</f>
        <v>1.3959613570611292E-3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-2292.88</v>
      </c>
      <c r="X204" s="8">
        <f>IFERROR(W204/W444, "NA")</f>
        <v>-6.0125596436224962E-2</v>
      </c>
      <c r="Y204" s="9"/>
      <c r="Z204" s="7">
        <v>2061.5300000000002</v>
      </c>
      <c r="AA204" s="8">
        <f>IFERROR(Z204/Z444, "NA")</f>
        <v>1.4132965695558097E-3</v>
      </c>
      <c r="AB204" s="9"/>
      <c r="AC204" s="10">
        <f t="shared" si="55"/>
        <v>-231.34999999999991</v>
      </c>
      <c r="AD204" s="8">
        <f>IFERROR(AC204/AC444, "NA")</f>
        <v>-1.2584176226551939E-3</v>
      </c>
    </row>
    <row r="205" spans="1:30" ht="16.5" customHeight="1" x14ac:dyDescent="0.45">
      <c r="A205" s="6" t="s">
        <v>187</v>
      </c>
      <c r="B205" s="7">
        <v>1256.5999999999999</v>
      </c>
      <c r="C205" s="8">
        <f>IFERROR(B205/B444, "NA")</f>
        <v>5.9246328799774329E-3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-1256.5999999999999</v>
      </c>
      <c r="I205" s="8">
        <f>IFERROR(H205/H444, "NA")</f>
        <v>1.5589067902511135E-2</v>
      </c>
      <c r="J205" s="9"/>
      <c r="K205" s="7">
        <v>676.15</v>
      </c>
      <c r="L205" s="8">
        <f>IFERROR(K205/K444, "NA")</f>
        <v>2.4832527801853946E-3</v>
      </c>
      <c r="M205" s="9"/>
      <c r="N205" s="10">
        <f t="shared" si="53"/>
        <v>-580.44999999999993</v>
      </c>
      <c r="O205" s="8">
        <f>IFERROR(N205/N444, "NA")</f>
        <v>9.6441941187113966E-3</v>
      </c>
      <c r="P205" s="9"/>
      <c r="Q205" s="7">
        <v>6995.87</v>
      </c>
      <c r="R205" s="8">
        <f>IFERROR(Q205/Q444, "NA")</f>
        <v>4.2592565590101709E-3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-6995.87</v>
      </c>
      <c r="X205" s="8">
        <f>IFERROR(W205/W444, "NA")</f>
        <v>-0.18345088113651525</v>
      </c>
      <c r="Y205" s="9"/>
      <c r="Z205" s="7">
        <v>5005.95</v>
      </c>
      <c r="AA205" s="8">
        <f>IFERROR(Z205/Z444, "NA")</f>
        <v>3.4318646647722348E-3</v>
      </c>
      <c r="AB205" s="9"/>
      <c r="AC205" s="10">
        <f t="shared" si="55"/>
        <v>-1989.92</v>
      </c>
      <c r="AD205" s="8">
        <f>IFERROR(AC205/AC444, "NA")</f>
        <v>-1.0824077785493946E-2</v>
      </c>
    </row>
    <row r="206" spans="1:30" ht="16.5" customHeight="1" x14ac:dyDescent="0.45">
      <c r="A206" s="6" t="s">
        <v>188</v>
      </c>
      <c r="B206" s="7">
        <v>77.36</v>
      </c>
      <c r="C206" s="8">
        <f>IFERROR(B206/B444, "NA")</f>
        <v>3.6473786375541481E-4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-77.36</v>
      </c>
      <c r="I206" s="8">
        <f>IFERROR(H206/H444, "NA")</f>
        <v>9.5970897098381471E-4</v>
      </c>
      <c r="J206" s="9"/>
      <c r="K206" s="7">
        <v>229.15</v>
      </c>
      <c r="L206" s="8">
        <f>IFERROR(K206/K444, "NA")</f>
        <v>8.415845220431608E-4</v>
      </c>
      <c r="M206" s="9"/>
      <c r="N206" s="10">
        <f t="shared" si="53"/>
        <v>151.79000000000002</v>
      </c>
      <c r="O206" s="8">
        <f>IFERROR(N206/N444, "NA")</f>
        <v>-2.5219953919876016E-3</v>
      </c>
      <c r="P206" s="9"/>
      <c r="Q206" s="7">
        <v>1462.57</v>
      </c>
      <c r="R206" s="8">
        <f>IFERROR(Q206/Q444, "NA")</f>
        <v>8.9044834531109153E-4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-1462.57</v>
      </c>
      <c r="X206" s="8">
        <f>IFERROR(W206/W444, "NA")</f>
        <v>-3.835259306188267E-2</v>
      </c>
      <c r="Y206" s="9"/>
      <c r="Z206" s="7">
        <v>1082.22</v>
      </c>
      <c r="AA206" s="8">
        <f>IFERROR(Z206/Z444, "NA")</f>
        <v>7.4192362638656167E-4</v>
      </c>
      <c r="AB206" s="9"/>
      <c r="AC206" s="10">
        <f t="shared" si="55"/>
        <v>-380.34999999999991</v>
      </c>
      <c r="AD206" s="8">
        <f>IFERROR(AC206/AC444, "NA")</f>
        <v>-2.0688962298547786E-3</v>
      </c>
    </row>
    <row r="207" spans="1:30" ht="16.5" customHeight="1" x14ac:dyDescent="0.45">
      <c r="A207" s="6" t="s">
        <v>189</v>
      </c>
      <c r="B207" s="7">
        <v>84.69</v>
      </c>
      <c r="C207" s="8">
        <f>IFERROR(B207/B444, "NA")</f>
        <v>3.9929743641993378E-4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-84.69</v>
      </c>
      <c r="I207" s="8">
        <f>IFERROR(H207/H444, "NA")</f>
        <v>1.0506431327898043E-3</v>
      </c>
      <c r="J207" s="9"/>
      <c r="K207" s="7">
        <v>266.13</v>
      </c>
      <c r="L207" s="8">
        <f>IFERROR(K207/K444, "NA")</f>
        <v>9.7739859852213136E-4</v>
      </c>
      <c r="M207" s="9"/>
      <c r="N207" s="10">
        <f t="shared" si="53"/>
        <v>181.44</v>
      </c>
      <c r="O207" s="8">
        <f>IFERROR(N207/N444, "NA")</f>
        <v>-3.0146310291997518E-3</v>
      </c>
      <c r="P207" s="9"/>
      <c r="Q207" s="7">
        <v>847.67</v>
      </c>
      <c r="R207" s="8">
        <f>IFERROR(Q207/Q444, "NA")</f>
        <v>5.1608220383971568E-4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-2.2228230143354562E-2</v>
      </c>
      <c r="Y207" s="9"/>
      <c r="Z207" s="7">
        <v>574.42999999999995</v>
      </c>
      <c r="AA207" s="8">
        <f>IFERROR(Z207/Z444, "NA")</f>
        <v>3.9380457643106996E-4</v>
      </c>
      <c r="AB207" s="9"/>
      <c r="AC207" s="10">
        <f t="shared" si="55"/>
        <v>-273.24</v>
      </c>
      <c r="AD207" s="8">
        <f>IFERROR(AC207/AC444, "NA")</f>
        <v>-1.4862763398068091E-3</v>
      </c>
    </row>
    <row r="208" spans="1:30" ht="16.5" customHeight="1" x14ac:dyDescent="0.45">
      <c r="A208" s="6" t="s">
        <v>190</v>
      </c>
      <c r="B208" s="7">
        <v>0</v>
      </c>
      <c r="C208" s="8">
        <f>IFERROR(B208/B444, "NA")</f>
        <v>0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0</v>
      </c>
      <c r="I208" s="8">
        <f>IFERROR(H208/H444, "NA")</f>
        <v>0</v>
      </c>
      <c r="J208" s="9"/>
      <c r="K208" s="7">
        <v>117.8</v>
      </c>
      <c r="L208" s="8">
        <f>IFERROR(K208/K444, "NA")</f>
        <v>4.3263651187730456E-4</v>
      </c>
      <c r="M208" s="9"/>
      <c r="N208" s="10">
        <f t="shared" si="53"/>
        <v>117.8</v>
      </c>
      <c r="O208" s="8">
        <f>IFERROR(N208/N444, "NA")</f>
        <v>-1.9572505249103329E-3</v>
      </c>
      <c r="P208" s="9"/>
      <c r="Q208" s="7">
        <v>1681.47</v>
      </c>
      <c r="R208" s="8">
        <f>IFERROR(Q208/Q444, "NA")</f>
        <v>1.0237200128474131E-3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-1681.47</v>
      </c>
      <c r="X208" s="8">
        <f>IFERROR(W208/W444, "NA")</f>
        <v>-4.4092750880822013E-2</v>
      </c>
      <c r="Y208" s="9"/>
      <c r="Z208" s="7">
        <v>2008.3</v>
      </c>
      <c r="AA208" s="8">
        <f>IFERROR(Z208/Z444, "NA")</f>
        <v>1.3768043640591855E-3</v>
      </c>
      <c r="AB208" s="9"/>
      <c r="AC208" s="10">
        <f t="shared" si="55"/>
        <v>326.82999999999993</v>
      </c>
      <c r="AD208" s="8">
        <f>IFERROR(AC208/AC444, "NA")</f>
        <v>1.7777766657116796E-3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4707.1799999999994</v>
      </c>
      <c r="C209" s="15">
        <f>IFERROR(B209/B444, "NA")</f>
        <v>2.2193469202588072E-2</v>
      </c>
      <c r="D209" s="2"/>
      <c r="E209" s="14">
        <f>IFERROR(E201+E202+E203+E204+E205+E206+E207+E208, "NA")</f>
        <v>4975.99</v>
      </c>
      <c r="F209" s="15">
        <f>IFERROR(E209/E444, "NA")</f>
        <v>1.6999999658359449E-2</v>
      </c>
      <c r="G209" s="2"/>
      <c r="H209" s="14">
        <f t="shared" si="52"/>
        <v>268.8100000000004</v>
      </c>
      <c r="I209" s="15">
        <f>IFERROR(H209/H444, "NA")</f>
        <v>-3.334790182137534E-3</v>
      </c>
      <c r="J209" s="2"/>
      <c r="K209" s="14">
        <f>IFERROR(K201+K202+K203+K204+K205+K206+K207+K208, "NA")</f>
        <v>4845.57</v>
      </c>
      <c r="L209" s="15">
        <f>IFERROR(K209/K444, "NA")</f>
        <v>1.7796014455494998E-2</v>
      </c>
      <c r="M209" s="2"/>
      <c r="N209" s="14">
        <f t="shared" si="53"/>
        <v>138.39000000000033</v>
      </c>
      <c r="O209" s="15">
        <f>IFERROR(N209/N444, "NA")</f>
        <v>-2.2993539910215756E-3</v>
      </c>
      <c r="P209" s="2"/>
      <c r="Q209" s="14">
        <f>IFERROR(Q201+Q202+Q203+Q204+Q205+Q206+Q207+Q208, "NA")</f>
        <v>40104.71</v>
      </c>
      <c r="R209" s="15">
        <f>IFERROR(Q209/Q444, "NA")</f>
        <v>2.4416727171131081E-2</v>
      </c>
      <c r="S209" s="2"/>
      <c r="T209" s="14">
        <f>IFERROR(T201+T202+T203+T204+T205+T206+T207+T208, "NA")</f>
        <v>27522.68</v>
      </c>
      <c r="U209" s="15">
        <f>IFERROR(T209/T444, "NA")</f>
        <v>1.7154769464374723E-2</v>
      </c>
      <c r="V209" s="2"/>
      <c r="W209" s="14">
        <f t="shared" si="54"/>
        <v>-12582.029999999999</v>
      </c>
      <c r="X209" s="15">
        <f>IFERROR(W209/W444, "NA")</f>
        <v>-0.32993530325550202</v>
      </c>
      <c r="Y209" s="2"/>
      <c r="Z209" s="14">
        <f>IFERROR(Z201+Z202+Z203+Z204+Z205+Z206+Z207+Z208, "NA")</f>
        <v>30580.400000000001</v>
      </c>
      <c r="AA209" s="15">
        <f>IFERROR(Z209/Z444, "NA")</f>
        <v>2.0964610951887425E-2</v>
      </c>
      <c r="AB209" s="2"/>
      <c r="AC209" s="14">
        <f t="shared" si="55"/>
        <v>-9524.3099999999977</v>
      </c>
      <c r="AD209" s="15">
        <f>IFERROR(AC209/AC444, "NA")</f>
        <v>-5.1807043646557562E-2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13962.53</v>
      </c>
      <c r="F213" s="8">
        <f>IFERROR(E213/E444, "NA")</f>
        <v>4.7701664438600876E-2</v>
      </c>
      <c r="G213" s="9"/>
      <c r="H213" s="10">
        <f t="shared" ref="H213:H227" si="56">IFERROR(-(B213-E213), "NA")</f>
        <v>13962.53</v>
      </c>
      <c r="I213" s="8">
        <f>IFERROR(H213/H444, "NA")</f>
        <v>-0.17321568379822444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74799.41</v>
      </c>
      <c r="U213" s="8">
        <f>IFERROR(T213/T444, "NA")</f>
        <v>4.6622154333126185E-2</v>
      </c>
      <c r="V213" s="9"/>
      <c r="W213" s="10">
        <f t="shared" ref="W213:W227" si="58">IFERROR(-(Q213-T213), "NA")</f>
        <v>74799.41</v>
      </c>
      <c r="X213" s="8">
        <f>IFERROR(W213/W444, "NA")</f>
        <v>1.9614454918389665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2843.92</v>
      </c>
      <c r="C214" s="8">
        <f>IFERROR(B214/B444, "NA")</f>
        <v>1.3408548416381842E-2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-2843.92</v>
      </c>
      <c r="I214" s="8">
        <f>IFERROR(H214/H444, "NA")</f>
        <v>3.5280966090489793E-2</v>
      </c>
      <c r="J214" s="9"/>
      <c r="K214" s="7">
        <v>8377.7999999999993</v>
      </c>
      <c r="L214" s="8">
        <f>IFERROR(K214/K444, "NA")</f>
        <v>3.07686092462282E-2</v>
      </c>
      <c r="M214" s="9"/>
      <c r="N214" s="10">
        <f t="shared" si="57"/>
        <v>5533.8799999999992</v>
      </c>
      <c r="O214" s="8">
        <f>IFERROR(N214/N444, "NA")</f>
        <v>-9.1945581789395506E-2</v>
      </c>
      <c r="P214" s="9"/>
      <c r="Q214" s="7">
        <v>35670.839999999997</v>
      </c>
      <c r="R214" s="8">
        <f>IFERROR(Q214/Q444, "NA")</f>
        <v>2.1717278799549215E-2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-35670.839999999997</v>
      </c>
      <c r="X214" s="8">
        <f>IFERROR(W214/W444, "NA")</f>
        <v>-0.9353871682692293</v>
      </c>
      <c r="Y214" s="9"/>
      <c r="Z214" s="7">
        <v>16818.810000000001</v>
      </c>
      <c r="AA214" s="8">
        <f>IFERROR(Z214/Z444, "NA")</f>
        <v>1.1530254945118891E-2</v>
      </c>
      <c r="AB214" s="9"/>
      <c r="AC214" s="10">
        <f t="shared" si="59"/>
        <v>-18852.029999999995</v>
      </c>
      <c r="AD214" s="8">
        <f>IFERROR(AC214/AC444, "NA")</f>
        <v>-0.10254474508244822</v>
      </c>
    </row>
    <row r="215" spans="1:30" ht="16.5" customHeight="1" x14ac:dyDescent="0.45">
      <c r="A215" s="12" t="s">
        <v>195</v>
      </c>
      <c r="B215" s="7">
        <v>1732.14</v>
      </c>
      <c r="C215" s="8">
        <f>IFERROR(B215/B444, "NA")</f>
        <v>8.1667146241637054E-3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-1732.14</v>
      </c>
      <c r="I215" s="8">
        <f>IFERROR(H215/H444, "NA")</f>
        <v>2.1488499185624416E-2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-1732.14</v>
      </c>
      <c r="O215" s="8">
        <f>IFERROR(N215/N444, "NA")</f>
        <v>2.8779557930544857E-2</v>
      </c>
      <c r="P215" s="9"/>
      <c r="Q215" s="7">
        <v>2791.75</v>
      </c>
      <c r="R215" s="8">
        <f>IFERROR(Q215/Q444, "NA")</f>
        <v>1.6996856000206758E-3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-2791.75</v>
      </c>
      <c r="X215" s="8">
        <f>IFERROR(W215/W444, "NA")</f>
        <v>-7.3207334815093256E-2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-2791.75</v>
      </c>
      <c r="AD215" s="8">
        <f>IFERROR(AC215/AC444, "NA")</f>
        <v>-1.5185594977513027E-2</v>
      </c>
    </row>
    <row r="216" spans="1:30" ht="16.5" customHeight="1" x14ac:dyDescent="0.45">
      <c r="A216" s="12" t="s">
        <v>196</v>
      </c>
      <c r="B216" s="7">
        <v>61</v>
      </c>
      <c r="C216" s="8">
        <f>IFERROR(B216/B444, "NA")</f>
        <v>2.8760353786298217E-4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-61</v>
      </c>
      <c r="I216" s="8">
        <f>IFERROR(H216/H444, "NA")</f>
        <v>7.5675086905393867E-4</v>
      </c>
      <c r="J216" s="9"/>
      <c r="K216" s="7">
        <v>422.23</v>
      </c>
      <c r="L216" s="8">
        <f>IFERROR(K216/K444, "NA")</f>
        <v>1.5506970662984238E-3</v>
      </c>
      <c r="M216" s="9"/>
      <c r="N216" s="10">
        <f t="shared" si="57"/>
        <v>361.23</v>
      </c>
      <c r="O216" s="8">
        <f>IFERROR(N216/N444, "NA")</f>
        <v>-6.0018472590268211E-3</v>
      </c>
      <c r="P216" s="9"/>
      <c r="Q216" s="7">
        <v>733.89</v>
      </c>
      <c r="R216" s="8">
        <f>IFERROR(Q216/Q444, "NA")</f>
        <v>4.468101602934266E-4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-733.89</v>
      </c>
      <c r="X216" s="8">
        <f>IFERROR(W216/W444, "NA")</f>
        <v>-1.9244606769033328E-2</v>
      </c>
      <c r="Y216" s="9"/>
      <c r="Z216" s="7">
        <v>461.65</v>
      </c>
      <c r="AA216" s="8">
        <f>IFERROR(Z216/Z444, "NA")</f>
        <v>3.1648744443953737E-4</v>
      </c>
      <c r="AB216" s="9"/>
      <c r="AC216" s="10">
        <f t="shared" si="59"/>
        <v>-272.24</v>
      </c>
      <c r="AD216" s="8">
        <f>IFERROR(AC216/AC444, "NA")</f>
        <v>-1.4808368860672147E-3</v>
      </c>
    </row>
    <row r="217" spans="1:30" ht="16.5" customHeight="1" x14ac:dyDescent="0.45">
      <c r="A217" s="12" t="s">
        <v>197</v>
      </c>
      <c r="B217" s="7">
        <v>1245.81</v>
      </c>
      <c r="C217" s="8">
        <f>IFERROR(B217/B444, "NA")</f>
        <v>5.8737600574603581E-3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-1245.81</v>
      </c>
      <c r="I217" s="8">
        <f>IFERROR(H217/H444, "NA")</f>
        <v>1.5455209838952251E-2</v>
      </c>
      <c r="J217" s="9"/>
      <c r="K217" s="7">
        <v>26112.639999999999</v>
      </c>
      <c r="L217" s="8">
        <f>IFERROR(K217/K444, "NA")</f>
        <v>9.5902219741152622E-2</v>
      </c>
      <c r="M217" s="9"/>
      <c r="N217" s="10">
        <f t="shared" si="57"/>
        <v>24866.829999999998</v>
      </c>
      <c r="O217" s="8">
        <f>IFERROR(N217/N444, "NA")</f>
        <v>-0.41316312453612908</v>
      </c>
      <c r="P217" s="9"/>
      <c r="Q217" s="7">
        <v>30795.84</v>
      </c>
      <c r="R217" s="8">
        <f>IFERROR(Q217/Q444, "NA")</f>
        <v>1.8749259707545707E-2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-30795.84</v>
      </c>
      <c r="X217" s="8">
        <f>IFERROR(W217/W444, "NA")</f>
        <v>-0.80755131003565561</v>
      </c>
      <c r="Y217" s="9"/>
      <c r="Z217" s="7">
        <v>36468.870000000003</v>
      </c>
      <c r="AA217" s="8">
        <f>IFERROR(Z217/Z444, "NA")</f>
        <v>2.5001493486185883E-2</v>
      </c>
      <c r="AB217" s="9"/>
      <c r="AC217" s="10">
        <f t="shared" si="59"/>
        <v>5673.0300000000025</v>
      </c>
      <c r="AD217" s="8">
        <f>IFERROR(AC217/AC444, "NA")</f>
        <v>3.0858184248331966E-2</v>
      </c>
    </row>
    <row r="218" spans="1:30" ht="16.5" customHeight="1" x14ac:dyDescent="0.45">
      <c r="A218" s="13" t="s">
        <v>198</v>
      </c>
      <c r="B218" s="14">
        <f>IFERROR(B213+B214+B215+B216+B217, "NA")</f>
        <v>5882.8700000000008</v>
      </c>
      <c r="C218" s="15">
        <f>IFERROR(B218/B444, "NA")</f>
        <v>2.7736626635868889E-2</v>
      </c>
      <c r="D218" s="2"/>
      <c r="E218" s="14">
        <f>IFERROR(E213+E214+E215+E216+E217, "NA")</f>
        <v>13962.53</v>
      </c>
      <c r="F218" s="15">
        <f>IFERROR(E218/E444, "NA")</f>
        <v>4.7701664438600876E-2</v>
      </c>
      <c r="G218" s="2"/>
      <c r="H218" s="14">
        <f t="shared" si="56"/>
        <v>8079.66</v>
      </c>
      <c r="I218" s="15">
        <f>IFERROR(H218/H444, "NA")</f>
        <v>-0.10023425781410404</v>
      </c>
      <c r="J218" s="2"/>
      <c r="K218" s="14">
        <f>IFERROR(K213+K214+K215+K216+K217, "NA")</f>
        <v>34912.67</v>
      </c>
      <c r="L218" s="15">
        <f>IFERROR(K218/K444, "NA")</f>
        <v>0.12822152605367923</v>
      </c>
      <c r="M218" s="2"/>
      <c r="N218" s="14">
        <f t="shared" si="57"/>
        <v>29029.799999999996</v>
      </c>
      <c r="O218" s="15">
        <f>IFERROR(N218/N444, "NA")</f>
        <v>-0.48233099565400656</v>
      </c>
      <c r="P218" s="2"/>
      <c r="Q218" s="14">
        <f>IFERROR(Q213+Q214+Q215+Q216+Q217, "NA")</f>
        <v>69992.319999999992</v>
      </c>
      <c r="R218" s="15">
        <f>IFERROR(Q218/Q444, "NA")</f>
        <v>4.261303426740902E-2</v>
      </c>
      <c r="S218" s="2"/>
      <c r="T218" s="14">
        <f>IFERROR(T213+T214+T215+T216+T217, "NA")</f>
        <v>74799.41</v>
      </c>
      <c r="U218" s="15">
        <f>IFERROR(T218/T444, "NA")</f>
        <v>4.6622154333126185E-2</v>
      </c>
      <c r="V218" s="2"/>
      <c r="W218" s="14">
        <f t="shared" si="58"/>
        <v>4807.0900000000111</v>
      </c>
      <c r="X218" s="15">
        <f>IFERROR(W218/W444, "NA")</f>
        <v>0.12605507194995522</v>
      </c>
      <c r="Y218" s="2"/>
      <c r="Z218" s="14">
        <f>IFERROR(Z213+Z214+Z215+Z216+Z217, "NA")</f>
        <v>53749.33</v>
      </c>
      <c r="AA218" s="15">
        <f>IFERROR(Z218/Z444, "NA")</f>
        <v>3.684823587574431E-2</v>
      </c>
      <c r="AB218" s="2"/>
      <c r="AC218" s="14">
        <f t="shared" si="59"/>
        <v>-16242.989999999991</v>
      </c>
      <c r="AD218" s="15">
        <f>IFERROR(AC218/AC444, "NA")</f>
        <v>-8.8352992697696489E-2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333.18</v>
      </c>
      <c r="C222" s="8">
        <f>IFERROR(B222/B444, "NA")</f>
        <v>1.5708810941834166E-3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-333.18</v>
      </c>
      <c r="I222" s="8">
        <f>IFERROR(H222/H444, "NA")</f>
        <v>4.1333484352687102E-3</v>
      </c>
      <c r="J222" s="9"/>
      <c r="K222" s="7">
        <v>108.78</v>
      </c>
      <c r="L222" s="8">
        <f>IFERROR(K222/K444, "NA")</f>
        <v>3.9950933584051944E-4</v>
      </c>
      <c r="M222" s="9"/>
      <c r="N222" s="10">
        <f t="shared" si="57"/>
        <v>-224.4</v>
      </c>
      <c r="O222" s="8">
        <f>IFERROR(N222/N444, "NA")</f>
        <v>3.7284127146848785E-3</v>
      </c>
      <c r="P222" s="9"/>
      <c r="Q222" s="7">
        <v>2600.33</v>
      </c>
      <c r="R222" s="8">
        <f>IFERROR(Q222/Q444, "NA")</f>
        <v>1.5831444277968169E-3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-2600.33</v>
      </c>
      <c r="X222" s="8">
        <f>IFERROR(W222/W444, "NA")</f>
        <v>-6.8187777895489007E-2</v>
      </c>
      <c r="Y222" s="9"/>
      <c r="Z222" s="7">
        <v>1083.78</v>
      </c>
      <c r="AA222" s="8">
        <f>IFERROR(Z222/Z444, "NA")</f>
        <v>7.4299309549373299E-4</v>
      </c>
      <c r="AB222" s="9"/>
      <c r="AC222" s="10">
        <f t="shared" si="59"/>
        <v>-1516.55</v>
      </c>
      <c r="AD222" s="8">
        <f>IFERROR(AC222/AC444, "NA")</f>
        <v>-8.2492035687820823E-3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292.70999999999998</v>
      </c>
      <c r="F226" s="8">
        <f>IFERROR(E226/E444, "NA")</f>
        <v>1.0000160571059014E-3</v>
      </c>
      <c r="G226" s="9"/>
      <c r="H226" s="10">
        <f t="shared" si="56"/>
        <v>292.70999999999998</v>
      </c>
      <c r="I226" s="8">
        <f>IFERROR(H226/H444, "NA")</f>
        <v>-3.6312876537832523E-3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1604.39</v>
      </c>
      <c r="U226" s="8">
        <f>IFERROR(T226/T444, "NA")</f>
        <v>1.0000094678624381E-3</v>
      </c>
      <c r="V226" s="9"/>
      <c r="W226" s="10">
        <f t="shared" si="58"/>
        <v>1604.39</v>
      </c>
      <c r="X226" s="8">
        <f>IFERROR(W226/W444, "NA")</f>
        <v>4.2071502070023276E-2</v>
      </c>
      <c r="Y226" s="9"/>
      <c r="Z226" s="7">
        <v>1067.28</v>
      </c>
      <c r="AA226" s="8">
        <f>IFERROR(Z226/Z444, "NA")</f>
        <v>7.3168140301403542E-4</v>
      </c>
      <c r="AB226" s="9"/>
      <c r="AC226" s="10">
        <f t="shared" si="59"/>
        <v>1067.28</v>
      </c>
      <c r="AD226" s="8">
        <f>IFERROR(AC226/AC444, "NA")</f>
        <v>5.8054201871944487E-3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6216.0500000000011</v>
      </c>
      <c r="C227" s="15">
        <f>IFERROR(B227/B444, "NA")</f>
        <v>2.9307507730052307E-2</v>
      </c>
      <c r="D227" s="2"/>
      <c r="E227" s="14">
        <f>IFERROR(E211+E213+E214+E215+E216+E217+E219+E220+E221+E222+E223+E224+E225+E226, "NA")</f>
        <v>14255.24</v>
      </c>
      <c r="F227" s="15">
        <f>IFERROR(E227/E444, "NA")</f>
        <v>4.8701680495706778E-2</v>
      </c>
      <c r="G227" s="2"/>
      <c r="H227" s="14">
        <f t="shared" si="56"/>
        <v>8039.1899999999987</v>
      </c>
      <c r="I227" s="15">
        <f>IFERROR(H227/H444, "NA")</f>
        <v>-9.9732197032618569E-2</v>
      </c>
      <c r="J227" s="2"/>
      <c r="K227" s="14">
        <f>IFERROR(K211+K213+K214+K215+K216+K217+K219+K220+K221+K222+K223+K224+K225+K226, "NA")</f>
        <v>35021.449999999997</v>
      </c>
      <c r="L227" s="15">
        <f>IFERROR(K227/K444, "NA")</f>
        <v>0.12862103538951974</v>
      </c>
      <c r="M227" s="2"/>
      <c r="N227" s="14">
        <f t="shared" si="57"/>
        <v>28805.399999999994</v>
      </c>
      <c r="O227" s="15">
        <f>IFERROR(N227/N444, "NA")</f>
        <v>-0.47860258293932162</v>
      </c>
      <c r="P227" s="2"/>
      <c r="Q227" s="14">
        <f>IFERROR(Q211+Q213+Q214+Q215+Q216+Q217+Q219+Q220+Q221+Q222+Q223+Q224+Q225+Q226, "NA")</f>
        <v>72592.649999999994</v>
      </c>
      <c r="R227" s="15">
        <f>IFERROR(Q227/Q444, "NA")</f>
        <v>4.419617869520584E-2</v>
      </c>
      <c r="S227" s="2"/>
      <c r="T227" s="14">
        <f>IFERROR(T211+T213+T214+T215+T216+T217+T219+T220+T221+T222+T223+T224+T225+T226, "NA")</f>
        <v>76403.8</v>
      </c>
      <c r="U227" s="15">
        <f>IFERROR(T227/T444, "NA")</f>
        <v>4.7622163800988625E-2</v>
      </c>
      <c r="V227" s="2"/>
      <c r="W227" s="14">
        <f t="shared" si="58"/>
        <v>3811.1500000000087</v>
      </c>
      <c r="X227" s="15">
        <f>IFERROR(W227/W444, "NA")</f>
        <v>9.9938796124489401E-2</v>
      </c>
      <c r="Y227" s="2"/>
      <c r="Z227" s="14">
        <f>IFERROR(Z211+Z213+Z214+Z215+Z216+Z217+Z219+Z220+Z221+Z222+Z223+Z224+Z225+Z226, "NA")</f>
        <v>55900.39</v>
      </c>
      <c r="AA227" s="15">
        <f>IFERROR(Z227/Z444, "NA")</f>
        <v>3.8322910374252075E-2</v>
      </c>
      <c r="AB227" s="2"/>
      <c r="AC227" s="14">
        <f t="shared" si="59"/>
        <v>-16692.259999999995</v>
      </c>
      <c r="AD227" s="15">
        <f>IFERROR(AC227/AC444, "NA")</f>
        <v>-9.0796776079284144E-2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8707.98</v>
      </c>
      <c r="F229" s="8">
        <f>IFERROR(E229/E444, "NA")</f>
        <v>2.9749990861115259E-2</v>
      </c>
      <c r="G229" s="9"/>
      <c r="H229" s="10">
        <f t="shared" ref="H229:H236" si="60">IFERROR(-(B229-E229), "NA")</f>
        <v>8707.98</v>
      </c>
      <c r="I229" s="8">
        <f>IFERROR(H229/H444, "NA")</f>
        <v>-0.10802903988039864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47730.14</v>
      </c>
      <c r="U229" s="8">
        <f>IFERROR(T229/T444, "NA")</f>
        <v>2.9749993394623291E-2</v>
      </c>
      <c r="V229" s="9"/>
      <c r="W229" s="10">
        <f t="shared" ref="W229:W236" si="62">IFERROR(-(Q229-T229), "NA")</f>
        <v>47730.14</v>
      </c>
      <c r="X229" s="8">
        <f>IFERROR(W229/W444, "NA")</f>
        <v>1.2516150585658727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2.0566713599450065E-5</v>
      </c>
      <c r="AB230" s="9"/>
      <c r="AC230" s="10">
        <f t="shared" si="63"/>
        <v>30</v>
      </c>
      <c r="AD230" s="8">
        <f>IFERROR(AC230/AC444, "NA")</f>
        <v>1.6318361218783586E-4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334.69</v>
      </c>
      <c r="L231" s="8">
        <f>IFERROR(K231/K444, "NA")</f>
        <v>1.2291945174890922E-3</v>
      </c>
      <c r="M231" s="9"/>
      <c r="N231" s="10">
        <f t="shared" si="61"/>
        <v>334.69</v>
      </c>
      <c r="O231" s="8">
        <f>IFERROR(N231/N444, "NA")</f>
        <v>-5.5608843648746967E-3</v>
      </c>
      <c r="P231" s="9"/>
      <c r="Q231" s="7">
        <v>2465.81</v>
      </c>
      <c r="R231" s="8">
        <f>IFERROR(Q231/Q444, "NA")</f>
        <v>1.5012453655903939E-3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-6.466029489044689E-2</v>
      </c>
      <c r="Y231" s="9"/>
      <c r="Z231" s="7">
        <v>3612.07</v>
      </c>
      <c r="AA231" s="8">
        <f>IFERROR(Z231/Z444, "NA")</f>
        <v>2.4762803063721867E-3</v>
      </c>
      <c r="AB231" s="9"/>
      <c r="AC231" s="10">
        <f t="shared" si="63"/>
        <v>1146.2600000000002</v>
      </c>
      <c r="AD231" s="8">
        <f>IFERROR(AC231/AC444, "NA")</f>
        <v>6.2350282435476266E-3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374.87</v>
      </c>
      <c r="C233" s="8">
        <f>IFERROR(B233/B444, "NA")</f>
        <v>1.7674416104704284E-3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-374.87</v>
      </c>
      <c r="I233" s="8">
        <f>IFERROR(H233/H444, "NA")</f>
        <v>4.6505442341352463E-3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-374.87</v>
      </c>
      <c r="O233" s="8">
        <f>IFERROR(N233/N444, "NA")</f>
        <v>6.2284762671743332E-3</v>
      </c>
      <c r="P233" s="9"/>
      <c r="Q233" s="7">
        <v>952.66</v>
      </c>
      <c r="R233" s="8">
        <f>IFERROR(Q233/Q444, "NA")</f>
        <v>5.8000268065396151E-4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-952.66</v>
      </c>
      <c r="X233" s="8">
        <f>IFERROR(W233/W444, "NA")</f>
        <v>-2.4981355631753108E-2</v>
      </c>
      <c r="Y233" s="9"/>
      <c r="Z233" s="7">
        <v>17</v>
      </c>
      <c r="AA233" s="8">
        <f>IFERROR(Z233/Z444, "NA")</f>
        <v>1.165447103968837E-5</v>
      </c>
      <c r="AB233" s="9"/>
      <c r="AC233" s="10">
        <f t="shared" si="63"/>
        <v>-935.66</v>
      </c>
      <c r="AD233" s="8">
        <f>IFERROR(AC233/AC444, "NA")</f>
        <v>-5.0894792859890172E-3</v>
      </c>
    </row>
    <row r="234" spans="1:30" ht="16.5" customHeight="1" x14ac:dyDescent="0.45">
      <c r="A234" s="6" t="s">
        <v>213</v>
      </c>
      <c r="B234" s="7">
        <v>5420.06</v>
      </c>
      <c r="C234" s="8">
        <f>IFERROR(B234/B444, "NA")</f>
        <v>2.5554564449666153E-2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-5420.06</v>
      </c>
      <c r="I234" s="8">
        <f>IFERROR(H234/H444, "NA")</f>
        <v>6.723991992335232E-2</v>
      </c>
      <c r="J234" s="9"/>
      <c r="K234" s="7">
        <v>5350.59</v>
      </c>
      <c r="L234" s="8">
        <f>IFERROR(K234/K444, "NA")</f>
        <v>1.965076904996254E-2</v>
      </c>
      <c r="M234" s="9"/>
      <c r="N234" s="10">
        <f t="shared" si="61"/>
        <v>-69.470000000000255</v>
      </c>
      <c r="O234" s="8">
        <f>IFERROR(N234/N444, "NA")</f>
        <v>1.1542461287395698E-3</v>
      </c>
      <c r="P234" s="9"/>
      <c r="Q234" s="7">
        <v>33269.120000000003</v>
      </c>
      <c r="R234" s="8">
        <f>IFERROR(Q234/Q444, "NA")</f>
        <v>2.0255052991621697E-2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-33269.120000000003</v>
      </c>
      <c r="X234" s="8">
        <f>IFERROR(W234/W444, "NA")</f>
        <v>-0.87240748879502661</v>
      </c>
      <c r="Y234" s="9"/>
      <c r="Z234" s="7">
        <v>35695.440000000002</v>
      </c>
      <c r="AA234" s="8">
        <f>IFERROR(Z234/Z444, "NA")</f>
        <v>2.4471263042878461E-2</v>
      </c>
      <c r="AB234" s="9"/>
      <c r="AC234" s="10">
        <f t="shared" si="63"/>
        <v>2426.3199999999997</v>
      </c>
      <c r="AD234" s="8">
        <f>IFERROR(AC234/AC444, "NA")</f>
        <v>1.3197855397452997E-2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5794.93</v>
      </c>
      <c r="C236" s="15">
        <f>IFERROR(B236/B444, "NA")</f>
        <v>2.7322006060136583E-2</v>
      </c>
      <c r="D236" s="2"/>
      <c r="E236" s="14">
        <f>IFERROR(E229+E230+E231+E232+E233+E234+E235, "NA")</f>
        <v>8707.98</v>
      </c>
      <c r="F236" s="15">
        <f>IFERROR(E236/E444, "NA")</f>
        <v>2.9749990861115259E-2</v>
      </c>
      <c r="G236" s="2"/>
      <c r="H236" s="14">
        <f t="shared" si="60"/>
        <v>2913.0499999999993</v>
      </c>
      <c r="I236" s="15">
        <f>IFERROR(H236/H444, "NA")</f>
        <v>-3.6138575722911077E-2</v>
      </c>
      <c r="J236" s="2"/>
      <c r="K236" s="14">
        <f>IFERROR(K229+K230+K231+K232+K233+K234+K235, "NA")</f>
        <v>5685.28</v>
      </c>
      <c r="L236" s="15">
        <f>IFERROR(K236/K444, "NA")</f>
        <v>2.0879963567451629E-2</v>
      </c>
      <c r="M236" s="2"/>
      <c r="N236" s="14">
        <f t="shared" si="61"/>
        <v>-109.65000000000055</v>
      </c>
      <c r="O236" s="15">
        <f>IFERROR(N236/N444, "NA")</f>
        <v>1.821838031039211E-3</v>
      </c>
      <c r="P236" s="2"/>
      <c r="Q236" s="14">
        <f>IFERROR(Q229+Q230+Q231+Q232+Q233+Q234+Q235, "NA")</f>
        <v>36687.590000000004</v>
      </c>
      <c r="R236" s="15">
        <f>IFERROR(Q236/Q444, "NA")</f>
        <v>2.2336301037866053E-2</v>
      </c>
      <c r="S236" s="2"/>
      <c r="T236" s="14">
        <f>IFERROR(T229+T230+T231+T232+T233+T234+T235, "NA")</f>
        <v>47730.14</v>
      </c>
      <c r="U236" s="15">
        <f>IFERROR(T236/T444, "NA")</f>
        <v>2.9749993394623291E-2</v>
      </c>
      <c r="V236" s="2"/>
      <c r="W236" s="14">
        <f t="shared" si="62"/>
        <v>11042.549999999996</v>
      </c>
      <c r="X236" s="15">
        <f>IFERROR(W236/W444, "NA")</f>
        <v>0.28956591924864611</v>
      </c>
      <c r="Y236" s="2"/>
      <c r="Z236" s="14">
        <f>IFERROR(Z229+Z230+Z231+Z232+Z233+Z234+Z235, "NA")</f>
        <v>39354.51</v>
      </c>
      <c r="AA236" s="15">
        <f>IFERROR(Z236/Z444, "NA")</f>
        <v>2.6979764533889786E-2</v>
      </c>
      <c r="AB236" s="2"/>
      <c r="AC236" s="14">
        <f t="shared" si="63"/>
        <v>2666.9199999999983</v>
      </c>
      <c r="AD236" s="15">
        <f>IFERROR(AC236/AC444, "NA")</f>
        <v>1.4506587967199433E-2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26715.21</v>
      </c>
      <c r="F240" s="8">
        <f>IFERROR(E240/E444, "NA")</f>
        <v>9.1269990669796547E-2</v>
      </c>
      <c r="G240" s="9"/>
      <c r="H240" s="10">
        <f t="shared" ref="H240:H263" si="64">IFERROR(-(B240-E240), "NA")</f>
        <v>26715.21</v>
      </c>
      <c r="I240" s="8">
        <f>IFERROR(H240/H444, "NA")</f>
        <v>-0.33142226859767987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147283.74</v>
      </c>
      <c r="U240" s="8">
        <f>IFERROR(T240/T444, "NA")</f>
        <v>9.1801329142035079E-2</v>
      </c>
      <c r="V240" s="9"/>
      <c r="W240" s="10">
        <f t="shared" ref="W240:W263" si="66">IFERROR(-(Q240-T240), "NA")</f>
        <v>147283.74</v>
      </c>
      <c r="X240" s="8">
        <f>IFERROR(W240/W444, "NA")</f>
        <v>3.8621832424103673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2792.41</v>
      </c>
      <c r="C242" s="8">
        <f>IFERROR(B242/B444, "NA")</f>
        <v>1.3165688445310984E-2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-2792.41</v>
      </c>
      <c r="I242" s="8">
        <f>IFERROR(H242/H444, "NA")</f>
        <v>3.4641945807457525E-2</v>
      </c>
      <c r="J242" s="9"/>
      <c r="K242" s="7">
        <v>3699.48</v>
      </c>
      <c r="L242" s="8">
        <f>IFERROR(K242/K444, "NA")</f>
        <v>1.3586843149064947E-2</v>
      </c>
      <c r="M242" s="9"/>
      <c r="N242" s="10">
        <f t="shared" si="65"/>
        <v>907.07000000000016</v>
      </c>
      <c r="O242" s="8">
        <f>IFERROR(N242/N444, "NA")</f>
        <v>-1.5070995192108794E-2</v>
      </c>
      <c r="P242" s="9"/>
      <c r="Q242" s="7">
        <v>24290.18</v>
      </c>
      <c r="R242" s="8">
        <f>IFERROR(Q242/Q444, "NA")</f>
        <v>1.4788454971938826E-2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-24290.18</v>
      </c>
      <c r="X242" s="8">
        <f>IFERROR(W242/W444, "NA")</f>
        <v>-0.63695507834830556</v>
      </c>
      <c r="Y242" s="9"/>
      <c r="Z242" s="7">
        <v>19390.21</v>
      </c>
      <c r="AA242" s="8">
        <f>IFERROR(Z242/Z444, "NA")</f>
        <v>1.3293096523439754E-2</v>
      </c>
      <c r="AB242" s="9"/>
      <c r="AC242" s="10">
        <f t="shared" si="67"/>
        <v>-4899.9700000000012</v>
      </c>
      <c r="AD242" s="8">
        <f>IFERROR(AC242/AC444, "NA")</f>
        <v>-2.6653160140401012E-2</v>
      </c>
    </row>
    <row r="243" spans="1:30" ht="16.5" customHeight="1" x14ac:dyDescent="0.45">
      <c r="A243" s="12" t="s">
        <v>220</v>
      </c>
      <c r="B243" s="7">
        <v>10150.32</v>
      </c>
      <c r="C243" s="8">
        <f>IFERROR(B243/B444, "NA")</f>
        <v>4.7856851515432543E-2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-10150.32</v>
      </c>
      <c r="I243" s="8">
        <f>IFERROR(H243/H444, "NA")</f>
        <v>0.12592235215041925</v>
      </c>
      <c r="J243" s="9"/>
      <c r="K243" s="7">
        <v>11587.94</v>
      </c>
      <c r="L243" s="8">
        <f>IFERROR(K243/K444, "NA")</f>
        <v>4.2558284732117937E-2</v>
      </c>
      <c r="M243" s="9"/>
      <c r="N243" s="10">
        <f t="shared" si="65"/>
        <v>1437.6200000000008</v>
      </c>
      <c r="O243" s="8">
        <f>IFERROR(N243/N444, "NA")</f>
        <v>-2.3886099317670578E-2</v>
      </c>
      <c r="P243" s="9"/>
      <c r="Q243" s="7">
        <v>60595.86</v>
      </c>
      <c r="R243" s="8">
        <f>IFERROR(Q243/Q444, "NA")</f>
        <v>3.6892239872076252E-2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-60595.86</v>
      </c>
      <c r="X243" s="8">
        <f>IFERROR(W243/W444, "NA")</f>
        <v>-1.5889894909746636</v>
      </c>
      <c r="Y243" s="9"/>
      <c r="Z243" s="7">
        <v>64686.34</v>
      </c>
      <c r="AA243" s="8">
        <f>IFERROR(Z243/Z444, "NA")</f>
        <v>4.434618095255502E-2</v>
      </c>
      <c r="AB243" s="9"/>
      <c r="AC243" s="10">
        <f t="shared" si="67"/>
        <v>4090.4799999999959</v>
      </c>
      <c r="AD243" s="8">
        <f>IFERROR(AC243/AC444, "NA")</f>
        <v>2.2249976732736609E-2</v>
      </c>
    </row>
    <row r="244" spans="1:30" ht="16.5" customHeight="1" x14ac:dyDescent="0.45">
      <c r="A244" s="12" t="s">
        <v>221</v>
      </c>
      <c r="B244" s="7">
        <v>386.34</v>
      </c>
      <c r="C244" s="8">
        <f>IFERROR(B244/B444, "NA")</f>
        <v>1.8215205052128612E-3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-386.34</v>
      </c>
      <c r="I244" s="8">
        <f>IFERROR(H244/H444, "NA")</f>
        <v>4.7928382090212896E-3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-386.34</v>
      </c>
      <c r="O244" s="8">
        <f>IFERROR(N244/N444, "NA")</f>
        <v>6.4190506603892866E-3</v>
      </c>
      <c r="P244" s="9"/>
      <c r="Q244" s="7">
        <v>1935.14</v>
      </c>
      <c r="R244" s="8">
        <f>IFERROR(Q244/Q444, "NA")</f>
        <v>1.1781605057845476E-3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-1935.14</v>
      </c>
      <c r="X244" s="8">
        <f>IFERROR(W244/W444, "NA")</f>
        <v>-5.0744673374793436E-2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-1935.14</v>
      </c>
      <c r="AD244" s="8">
        <f>IFERROR(AC244/AC444, "NA")</f>
        <v>-1.0526104509638957E-2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224.5</v>
      </c>
      <c r="C246" s="8">
        <f>IFERROR(B246/B444, "NA")</f>
        <v>1.0584753155776967E-3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-224.5</v>
      </c>
      <c r="I246" s="8">
        <f>IFERROR(H246/H444, "NA")</f>
        <v>2.7850913131575285E-3</v>
      </c>
      <c r="J246" s="9"/>
      <c r="K246" s="7">
        <v>928.67</v>
      </c>
      <c r="L246" s="8">
        <f>IFERROR(K246/K444, "NA")</f>
        <v>3.4106668037784077E-3</v>
      </c>
      <c r="M246" s="9"/>
      <c r="N246" s="10">
        <f t="shared" si="65"/>
        <v>704.17</v>
      </c>
      <c r="O246" s="8">
        <f>IFERROR(N246/N444, "NA")</f>
        <v>-1.1699805620764931E-2</v>
      </c>
      <c r="P246" s="9"/>
      <c r="Q246" s="7">
        <v>5293.88</v>
      </c>
      <c r="R246" s="8">
        <f>IFERROR(Q246/Q444, "NA")</f>
        <v>3.2230434688770323E-3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-5293.88</v>
      </c>
      <c r="X246" s="8">
        <f>IFERROR(W246/W444, "NA")</f>
        <v>-0.13882003962780545</v>
      </c>
      <c r="Y246" s="9"/>
      <c r="Z246" s="7">
        <v>1465.72</v>
      </c>
      <c r="AA246" s="8">
        <f>IFERROR(Z246/Z444, "NA")</f>
        <v>1.0048347818995317E-3</v>
      </c>
      <c r="AB246" s="9"/>
      <c r="AC246" s="10">
        <f t="shared" si="67"/>
        <v>-3828.16</v>
      </c>
      <c r="AD246" s="8">
        <f>IFERROR(AC246/AC444, "NA")</f>
        <v>-2.0823099227766192E-2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1.66</v>
      </c>
      <c r="L247" s="8">
        <f>IFERROR(K247/K444, "NA")</f>
        <v>6.096575634264224E-6</v>
      </c>
      <c r="M247" s="9"/>
      <c r="N247" s="10">
        <f t="shared" si="65"/>
        <v>1.66</v>
      </c>
      <c r="O247" s="8">
        <f>IFERROR(N247/N444, "NA")</f>
        <v>-2.7580949671911311E-5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14.32</v>
      </c>
      <c r="AA247" s="8">
        <f>IFERROR(Z247/Z444, "NA")</f>
        <v>9.8171779581374968E-6</v>
      </c>
      <c r="AB247" s="9"/>
      <c r="AC247" s="10">
        <f t="shared" si="67"/>
        <v>14.32</v>
      </c>
      <c r="AD247" s="8">
        <f>IFERROR(AC247/AC444, "NA")</f>
        <v>7.7892977550993663E-5</v>
      </c>
    </row>
    <row r="248" spans="1:30" ht="16.5" customHeight="1" x14ac:dyDescent="0.45">
      <c r="A248" s="12" t="s">
        <v>225</v>
      </c>
      <c r="B248" s="7">
        <v>195.99</v>
      </c>
      <c r="C248" s="8">
        <f>IFERROR(B248/B444, "NA")</f>
        <v>9.2405602271747344E-4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-195.99</v>
      </c>
      <c r="I248" s="8">
        <f>IFERROR(H248/H444, "NA")</f>
        <v>2.4314033250144502E-3</v>
      </c>
      <c r="J248" s="9"/>
      <c r="K248" s="7">
        <v>150.12</v>
      </c>
      <c r="L248" s="8">
        <f>IFERROR(K248/K444, "NA")</f>
        <v>5.5133610494924421E-4</v>
      </c>
      <c r="M248" s="9"/>
      <c r="N248" s="10">
        <f t="shared" si="65"/>
        <v>-45.870000000000005</v>
      </c>
      <c r="O248" s="8">
        <f>IFERROR(N248/N444, "NA")</f>
        <v>7.6213142256058557E-4</v>
      </c>
      <c r="P248" s="9"/>
      <c r="Q248" s="7">
        <v>1788.16</v>
      </c>
      <c r="R248" s="8">
        <f>IFERROR(Q248/Q444, "NA")</f>
        <v>1.0886754911911781E-3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-1788.16</v>
      </c>
      <c r="X248" s="8">
        <f>IFERROR(W248/W444, "NA")</f>
        <v>-4.6890455027476373E-2</v>
      </c>
      <c r="Y248" s="9"/>
      <c r="Z248" s="7">
        <v>1574.16</v>
      </c>
      <c r="AA248" s="8">
        <f>IFERROR(Z248/Z444, "NA")</f>
        <v>1.0791765959903437E-3</v>
      </c>
      <c r="AB248" s="9"/>
      <c r="AC248" s="10">
        <f t="shared" si="67"/>
        <v>-214</v>
      </c>
      <c r="AD248" s="8">
        <f>IFERROR(AC248/AC444, "NA")</f>
        <v>-1.1640431002732292E-3</v>
      </c>
    </row>
    <row r="249" spans="1:30" ht="16.5" customHeight="1" x14ac:dyDescent="0.45">
      <c r="A249" s="12" t="s">
        <v>226</v>
      </c>
      <c r="B249" s="7">
        <v>3143.09</v>
      </c>
      <c r="C249" s="8">
        <f>IFERROR(B249/B444, "NA")</f>
        <v>1.4819078751176405E-2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-3143.09</v>
      </c>
      <c r="I249" s="8">
        <f>IFERROR(H249/H444, "NA")</f>
        <v>3.8992394901881056E-2</v>
      </c>
      <c r="J249" s="9"/>
      <c r="K249" s="7">
        <v>5954.88</v>
      </c>
      <c r="L249" s="8">
        <f>IFERROR(K249/K444, "NA")</f>
        <v>2.187010621263093E-2</v>
      </c>
      <c r="M249" s="9"/>
      <c r="N249" s="10">
        <f t="shared" si="65"/>
        <v>2811.79</v>
      </c>
      <c r="O249" s="8">
        <f>IFERROR(N249/N444, "NA")</f>
        <v>-4.6717974986737049E-2</v>
      </c>
      <c r="P249" s="9"/>
      <c r="Q249" s="7">
        <v>28830.27</v>
      </c>
      <c r="R249" s="8">
        <f>IFERROR(Q249/Q444, "NA")</f>
        <v>1.7552572674382767E-2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-28830.27</v>
      </c>
      <c r="X249" s="8">
        <f>IFERROR(W249/W444, "NA")</f>
        <v>-0.75600867867808319</v>
      </c>
      <c r="Y249" s="9"/>
      <c r="Z249" s="7">
        <v>28453.03</v>
      </c>
      <c r="AA249" s="8">
        <f>IFERROR(Z249/Z444, "NA")</f>
        <v>1.9506177301552022E-2</v>
      </c>
      <c r="AB249" s="9"/>
      <c r="AC249" s="10">
        <f t="shared" si="67"/>
        <v>-377.2400000000016</v>
      </c>
      <c r="AD249" s="8">
        <f>IFERROR(AC249/AC444, "NA")</f>
        <v>-2.0519795287246489E-3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27.62</v>
      </c>
      <c r="L252" s="8">
        <f>IFERROR(K252/K444, "NA")</f>
        <v>1.0143820422793848E-4</v>
      </c>
      <c r="M252" s="9"/>
      <c r="N252" s="10">
        <f t="shared" si="65"/>
        <v>27.62</v>
      </c>
      <c r="O252" s="8">
        <f>IFERROR(N252/N444, "NA")</f>
        <v>-4.5890712646878942E-4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280.45</v>
      </c>
      <c r="AA252" s="8">
        <f>IFERROR(Z252/Z444, "NA")</f>
        <v>1.9226449429885899E-4</v>
      </c>
      <c r="AB252" s="9"/>
      <c r="AC252" s="10">
        <f t="shared" si="67"/>
        <v>280.45</v>
      </c>
      <c r="AD252" s="8">
        <f>IFERROR(AC252/AC444, "NA")</f>
        <v>1.5254948012692856E-3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1753.02</v>
      </c>
      <c r="C254" s="8">
        <f>IFERROR(B254/B444, "NA")</f>
        <v>8.2651599007305745E-3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-1753.02</v>
      </c>
      <c r="I254" s="8">
        <f>IFERROR(H254/H444, "NA")</f>
        <v>2.1747531286375993E-2</v>
      </c>
      <c r="J254" s="9"/>
      <c r="K254" s="7">
        <v>3131.42</v>
      </c>
      <c r="L254" s="8">
        <f>IFERROR(K254/K444, "NA")</f>
        <v>1.1500565585932336E-2</v>
      </c>
      <c r="M254" s="9"/>
      <c r="N254" s="10">
        <f t="shared" si="65"/>
        <v>1378.4</v>
      </c>
      <c r="O254" s="8">
        <f>IFERROR(N254/N444, "NA")</f>
        <v>-2.2902157245640091E-2</v>
      </c>
      <c r="P254" s="9"/>
      <c r="Q254" s="7">
        <v>21975.38</v>
      </c>
      <c r="R254" s="8">
        <f>IFERROR(Q254/Q444, "NA")</f>
        <v>1.3379148183391192E-2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-21975.38</v>
      </c>
      <c r="X254" s="8">
        <f>IFERROR(W254/W444, "NA")</f>
        <v>-0.57625467944798214</v>
      </c>
      <c r="Y254" s="9"/>
      <c r="Z254" s="7">
        <v>22082.83</v>
      </c>
      <c r="AA254" s="8">
        <f>IFERROR(Z254/Z444, "NA")</f>
        <v>1.5139041335844797E-2</v>
      </c>
      <c r="AB254" s="9"/>
      <c r="AC254" s="10">
        <f t="shared" si="67"/>
        <v>107.45000000000073</v>
      </c>
      <c r="AD254" s="8">
        <f>IFERROR(AC254/AC444, "NA")</f>
        <v>5.8446930431943608E-4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2.0019364878617305E-4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-8.6225614162797407E-3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-1.788601178653473E-3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18645.670000000002</v>
      </c>
      <c r="C262" s="15">
        <f>IFERROR(B262/B444, "NA")</f>
        <v>8.7910830456158551E-2</v>
      </c>
      <c r="D262" s="2"/>
      <c r="E262" s="14">
        <f>IFERROR(E240+E241+E242+E243+E244+E245+E246+E247+E248+E249+E250+E251+E252+E253+E254+E255+E256+E257+E258+E259+E260+E261, "NA")</f>
        <v>26715.21</v>
      </c>
      <c r="F262" s="15">
        <f>IFERROR(E262/E444, "NA")</f>
        <v>9.1269990669796547E-2</v>
      </c>
      <c r="G262" s="2"/>
      <c r="H262" s="14">
        <f t="shared" si="64"/>
        <v>8069.5399999999972</v>
      </c>
      <c r="I262" s="15">
        <f>IFERROR(H262/H444, "NA")</f>
        <v>-0.10010871160435277</v>
      </c>
      <c r="J262" s="2"/>
      <c r="K262" s="14">
        <f>IFERROR(K240+K241+K242+K243+K244+K245+K246+K247+K248+K249+K250+K251+K252+K253+K254+K255+K256+K257+K258+K259+K260+K261, "NA")</f>
        <v>25481.79</v>
      </c>
      <c r="L262" s="15">
        <f>IFERROR(K262/K444, "NA")</f>
        <v>9.3585337368336005E-2</v>
      </c>
      <c r="M262" s="2"/>
      <c r="N262" s="14">
        <f t="shared" si="65"/>
        <v>6836.119999999999</v>
      </c>
      <c r="O262" s="15">
        <f>IFERROR(N262/N444, "NA")</f>
        <v>-0.11358233835611224</v>
      </c>
      <c r="P262" s="2"/>
      <c r="Q262" s="14">
        <f>IFERROR(Q240+Q241+Q242+Q243+Q244+Q245+Q246+Q247+Q248+Q249+Q250+Q251+Q252+Q253+Q254+Q255+Q256+Q257+Q258+Q259+Q260+Q261, "NA")</f>
        <v>145037.69000000003</v>
      </c>
      <c r="R262" s="15">
        <f>IFERROR(Q262/Q444, "NA")</f>
        <v>8.8302488816427979E-2</v>
      </c>
      <c r="S262" s="2"/>
      <c r="T262" s="14">
        <f>IFERROR(T240+T241+T242+T243+T244+T245+T246+T247+T248+T249+T250+T251+T252+T253+T254+T255+T256+T257+T258+T259+T260+T261, "NA")</f>
        <v>147283.74</v>
      </c>
      <c r="U262" s="15">
        <f>IFERROR(T262/T444, "NA")</f>
        <v>9.1801329142035079E-2</v>
      </c>
      <c r="V262" s="2"/>
      <c r="W262" s="14">
        <f t="shared" si="66"/>
        <v>2246.0499999999593</v>
      </c>
      <c r="X262" s="15">
        <f>IFERROR(W262/W444, "NA")</f>
        <v>5.8897585514977063E-2</v>
      </c>
      <c r="Y262" s="2"/>
      <c r="Z262" s="14">
        <f>IFERROR(Z240+Z241+Z242+Z243+Z244+Z245+Z246+Z247+Z248+Z249+Z250+Z251+Z252+Z253+Z254+Z255+Z256+Z257+Z258+Z259+Z260+Z261, "NA")</f>
        <v>137947.06</v>
      </c>
      <c r="AA262" s="15">
        <f>IFERROR(Z262/Z444, "NA")</f>
        <v>9.4570589163538457E-2</v>
      </c>
      <c r="AB262" s="2"/>
      <c r="AC262" s="14">
        <f t="shared" si="67"/>
        <v>-7090.6300000000338</v>
      </c>
      <c r="AD262" s="15">
        <f>IFERROR(AC262/AC444, "NA")</f>
        <v>-3.8569153869581339E-2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18645.670000000002</v>
      </c>
      <c r="C263" s="15">
        <f>IFERROR(B263/B444, "NA")</f>
        <v>8.7910830456158551E-2</v>
      </c>
      <c r="D263" s="2"/>
      <c r="E263" s="14">
        <f>IFERROR(E238+E240+E241+E242+E243+E244+E245+E246+E247+E248+E249+E250+E251+E252+E253+E254+E255+E256+E257+E258+E259+E260+E261, "NA")</f>
        <v>26715.21</v>
      </c>
      <c r="F263" s="15">
        <f>IFERROR(E263/E444, "NA")</f>
        <v>9.1269990669796547E-2</v>
      </c>
      <c r="G263" s="2"/>
      <c r="H263" s="14">
        <f t="shared" si="64"/>
        <v>8069.5399999999972</v>
      </c>
      <c r="I263" s="15">
        <f>IFERROR(H263/H444, "NA")</f>
        <v>-0.10010871160435277</v>
      </c>
      <c r="J263" s="2"/>
      <c r="K263" s="14">
        <f>IFERROR(K238+K240+K241+K242+K243+K244+K245+K246+K247+K248+K249+K250+K251+K252+K253+K254+K255+K256+K257+K258+K259+K260+K261, "NA")</f>
        <v>25481.79</v>
      </c>
      <c r="L263" s="15">
        <f>IFERROR(K263/K444, "NA")</f>
        <v>9.3585337368336005E-2</v>
      </c>
      <c r="M263" s="2"/>
      <c r="N263" s="14">
        <f t="shared" si="65"/>
        <v>6836.119999999999</v>
      </c>
      <c r="O263" s="15">
        <f>IFERROR(N263/N444, "NA")</f>
        <v>-0.11358233835611224</v>
      </c>
      <c r="P263" s="2"/>
      <c r="Q263" s="14">
        <f>IFERROR(Q238+Q240+Q241+Q242+Q243+Q244+Q245+Q246+Q247+Q248+Q249+Q250+Q251+Q252+Q253+Q254+Q255+Q256+Q257+Q258+Q259+Q260+Q261, "NA")</f>
        <v>145037.69000000003</v>
      </c>
      <c r="R263" s="15">
        <f>IFERROR(Q263/Q444, "NA")</f>
        <v>8.8302488816427979E-2</v>
      </c>
      <c r="S263" s="2"/>
      <c r="T263" s="14">
        <f>IFERROR(T238+T240+T241+T242+T243+T244+T245+T246+T247+T248+T249+T250+T251+T252+T253+T254+T255+T256+T257+T258+T259+T260+T261, "NA")</f>
        <v>147283.74</v>
      </c>
      <c r="U263" s="15">
        <f>IFERROR(T263/T444, "NA")</f>
        <v>9.1801329142035079E-2</v>
      </c>
      <c r="V263" s="2"/>
      <c r="W263" s="14">
        <f t="shared" si="66"/>
        <v>2246.0499999999593</v>
      </c>
      <c r="X263" s="15">
        <f>IFERROR(W263/W444, "NA")</f>
        <v>5.8897585514977063E-2</v>
      </c>
      <c r="Y263" s="2"/>
      <c r="Z263" s="14">
        <f>IFERROR(Z238+Z240+Z241+Z242+Z243+Z244+Z245+Z246+Z247+Z248+Z249+Z250+Z251+Z252+Z253+Z254+Z255+Z256+Z257+Z258+Z259+Z260+Z261, "NA")</f>
        <v>137947.06</v>
      </c>
      <c r="AA263" s="15">
        <f>IFERROR(Z263/Z444, "NA")</f>
        <v>9.4570589163538457E-2</v>
      </c>
      <c r="AB263" s="2"/>
      <c r="AC263" s="14">
        <f t="shared" si="67"/>
        <v>-7090.6300000000338</v>
      </c>
      <c r="AD263" s="15">
        <f>IFERROR(AC263/AC444, "NA")</f>
        <v>-3.8569153869581339E-2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5635.11</v>
      </c>
      <c r="C265" s="8">
        <f>IFERROR(B265/B444, "NA")</f>
        <v>2.6568484790935563E-2</v>
      </c>
      <c r="D265" s="9"/>
      <c r="E265" s="7">
        <v>7317.63</v>
      </c>
      <c r="F265" s="8">
        <f>IFERROR(E265/E444, "NA")</f>
        <v>2.4999991458986223E-2</v>
      </c>
      <c r="G265" s="9"/>
      <c r="H265" s="10">
        <f>IFERROR(-(B265-E265), "NA")</f>
        <v>1682.5200000000004</v>
      </c>
      <c r="I265" s="8">
        <f>IFERROR(H265/H444, "NA")</f>
        <v>-2.0872925773780873E-2</v>
      </c>
      <c r="J265" s="9"/>
      <c r="K265" s="7">
        <v>5766.67</v>
      </c>
      <c r="L265" s="8">
        <f>IFERROR(K265/K444, "NA")</f>
        <v>2.1178879405326791E-2</v>
      </c>
      <c r="M265" s="9"/>
      <c r="N265" s="10">
        <f>IFERROR(-(B265-K265), "NA")</f>
        <v>131.5600000000004</v>
      </c>
      <c r="O265" s="8">
        <f>IFERROR(N265/N444, "NA")</f>
        <v>-2.1858733366485923E-3</v>
      </c>
      <c r="P265" s="9"/>
      <c r="Q265" s="7">
        <v>40836.730000000003</v>
      </c>
      <c r="R265" s="8">
        <f>IFERROR(Q265/Q444, "NA")</f>
        <v>2.486239882974204E-2</v>
      </c>
      <c r="S265" s="9"/>
      <c r="T265" s="7">
        <v>40357.68</v>
      </c>
      <c r="U265" s="8">
        <f>IFERROR(T265/T444, "NA")</f>
        <v>2.5154770411784263E-2</v>
      </c>
      <c r="V265" s="9"/>
      <c r="W265" s="10">
        <f>IFERROR(-(Q265-T265), "NA")</f>
        <v>-479.05000000000291</v>
      </c>
      <c r="X265" s="8">
        <f>IFERROR(W265/W444, "NA")</f>
        <v>-1.2562003669085928E-2</v>
      </c>
      <c r="Y265" s="9"/>
      <c r="Z265" s="7">
        <v>36012.769999999997</v>
      </c>
      <c r="AA265" s="8">
        <f>IFERROR(Z265/Z444, "NA")</f>
        <v>2.4688810883762239E-2</v>
      </c>
      <c r="AB265" s="9"/>
      <c r="AC265" s="10">
        <f>IFERROR(-(Q265-Z265), "NA")</f>
        <v>-4823.9600000000064</v>
      </c>
      <c r="AD265" s="8">
        <f>IFERROR(AC265/AC444, "NA")</f>
        <v>-2.623970726165446E-2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6.7198308900603179E-5</v>
      </c>
      <c r="AB266" s="9"/>
      <c r="AC266" s="10">
        <f>IFERROR(-(Q266-Z266), "NA")</f>
        <v>98.02</v>
      </c>
      <c r="AD266" s="8">
        <f>IFERROR(AC266/AC444, "NA")</f>
        <v>5.3317525555505573E-4</v>
      </c>
    </row>
    <row r="267" spans="1:30" ht="16.5" customHeight="1" x14ac:dyDescent="0.45">
      <c r="A267" s="19" t="s">
        <v>243</v>
      </c>
      <c r="B267" s="14">
        <f>IFERROR(B265+B266, "NA")</f>
        <v>5635.11</v>
      </c>
      <c r="C267" s="15">
        <f>IFERROR(B267/B444, "NA")</f>
        <v>2.6568484790935563E-2</v>
      </c>
      <c r="D267" s="2"/>
      <c r="E267" s="14">
        <f>IFERROR(E265+E266, "NA")</f>
        <v>7317.63</v>
      </c>
      <c r="F267" s="15">
        <f>IFERROR(E267/E444, "NA")</f>
        <v>2.4999991458986223E-2</v>
      </c>
      <c r="G267" s="2"/>
      <c r="H267" s="14">
        <f>IFERROR(-(B267-E267), "NA")</f>
        <v>1682.5200000000004</v>
      </c>
      <c r="I267" s="15">
        <f>IFERROR(H267/H444, "NA")</f>
        <v>-2.0872925773780873E-2</v>
      </c>
      <c r="J267" s="2"/>
      <c r="K267" s="14">
        <f>IFERROR(K265+K266, "NA")</f>
        <v>5766.67</v>
      </c>
      <c r="L267" s="15">
        <f>IFERROR(K267/K444, "NA")</f>
        <v>2.1178879405326791E-2</v>
      </c>
      <c r="M267" s="2"/>
      <c r="N267" s="14">
        <f>IFERROR(-(B267-K267), "NA")</f>
        <v>131.5600000000004</v>
      </c>
      <c r="O267" s="15">
        <f>IFERROR(N267/N444, "NA")</f>
        <v>-2.1858733366485923E-3</v>
      </c>
      <c r="P267" s="2"/>
      <c r="Q267" s="14">
        <f>IFERROR(Q265+Q266, "NA")</f>
        <v>40836.730000000003</v>
      </c>
      <c r="R267" s="15">
        <f>IFERROR(Q267/Q444, "NA")</f>
        <v>2.486239882974204E-2</v>
      </c>
      <c r="S267" s="2"/>
      <c r="T267" s="14">
        <f>IFERROR(T265+T266, "NA")</f>
        <v>40357.68</v>
      </c>
      <c r="U267" s="15">
        <f>IFERROR(T267/T444, "NA")</f>
        <v>2.5154770411784263E-2</v>
      </c>
      <c r="V267" s="2"/>
      <c r="W267" s="14">
        <f>IFERROR(-(Q267-T267), "NA")</f>
        <v>-479.05000000000291</v>
      </c>
      <c r="X267" s="15">
        <f>IFERROR(W267/W444, "NA")</f>
        <v>-1.2562003669085928E-2</v>
      </c>
      <c r="Y267" s="2"/>
      <c r="Z267" s="14">
        <f>IFERROR(Z265+Z266, "NA")</f>
        <v>36110.789999999994</v>
      </c>
      <c r="AA267" s="15">
        <f>IFERROR(Z267/Z444, "NA")</f>
        <v>2.475600919266284E-2</v>
      </c>
      <c r="AB267" s="2"/>
      <c r="AC267" s="14">
        <f>IFERROR(-(Q267-Z267), "NA")</f>
        <v>-4725.9400000000096</v>
      </c>
      <c r="AD267" s="15">
        <f>IFERROR(AC267/AC444, "NA")</f>
        <v>-2.570653200609942E-2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1.1386271212116426E-3</v>
      </c>
      <c r="D270" s="9"/>
      <c r="E270" s="7">
        <v>359.94</v>
      </c>
      <c r="F270" s="8">
        <f>IFERROR(E270/E444, "NA")</f>
        <v>1.2297009996060885E-3</v>
      </c>
      <c r="G270" s="9"/>
      <c r="H270" s="10">
        <f>IFERROR(-(B270-E270), "NA")</f>
        <v>118.44</v>
      </c>
      <c r="I270" s="8">
        <f>IFERROR(H270/H444, "NA")</f>
        <v>-1.4693372611598115E-3</v>
      </c>
      <c r="J270" s="9"/>
      <c r="K270" s="7">
        <v>211.5</v>
      </c>
      <c r="L270" s="8">
        <f>IFERROR(K270/K444, "NA")</f>
        <v>7.7676249798005028E-4</v>
      </c>
      <c r="M270" s="9"/>
      <c r="N270" s="10">
        <f>IFERROR(-(B270-K270), "NA")</f>
        <v>-30</v>
      </c>
      <c r="O270" s="8">
        <f>IFERROR(N270/N444, "NA")</f>
        <v>4.9845089768514421E-4</v>
      </c>
      <c r="P270" s="9"/>
      <c r="Q270" s="7">
        <v>2114.5</v>
      </c>
      <c r="R270" s="8">
        <f>IFERROR(Q270/Q444, "NA")</f>
        <v>1.2873592553931115E-3</v>
      </c>
      <c r="S270" s="9"/>
      <c r="T270" s="7">
        <v>2442.6999999999998</v>
      </c>
      <c r="U270" s="8">
        <f>IFERROR(T270/T444, "NA")</f>
        <v>1.5225245277941005E-3</v>
      </c>
      <c r="V270" s="9"/>
      <c r="W270" s="10">
        <f>IFERROR(-(Q270-T270), "NA")</f>
        <v>328.19999999999982</v>
      </c>
      <c r="X270" s="8">
        <f>IFERROR(W270/W444, "NA")</f>
        <v>8.6063033173864392E-3</v>
      </c>
      <c r="Y270" s="9"/>
      <c r="Z270" s="7">
        <v>1662.61</v>
      </c>
      <c r="AA270" s="8">
        <f>IFERROR(Z270/Z444, "NA")</f>
        <v>1.1398141232527223E-3</v>
      </c>
      <c r="AB270" s="9"/>
      <c r="AC270" s="10">
        <f>IFERROR(-(Q270-Z270), "NA")</f>
        <v>-451.8900000000001</v>
      </c>
      <c r="AD270" s="8">
        <f>IFERROR(AC270/AC444, "NA")</f>
        <v>-2.4580347503853723E-3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5.0368337622790794E-3</v>
      </c>
      <c r="D271" s="9"/>
      <c r="E271" s="7">
        <v>1170.82</v>
      </c>
      <c r="F271" s="8">
        <f>IFERROR(E271/E444, "NA")</f>
        <v>3.9999959003133865E-3</v>
      </c>
      <c r="G271" s="9"/>
      <c r="H271" s="10">
        <f>IFERROR(-(B271-E271), "NA")</f>
        <v>102.51999999999998</v>
      </c>
      <c r="I271" s="8">
        <f>IFERROR(H271/H444, "NA")</f>
        <v>-1.271837690088685E-3</v>
      </c>
      <c r="J271" s="9"/>
      <c r="K271" s="7">
        <v>801.04</v>
      </c>
      <c r="L271" s="8">
        <f>IFERROR(K271/K444, "NA")</f>
        <v>2.941928280765671E-3</v>
      </c>
      <c r="M271" s="9"/>
      <c r="N271" s="10">
        <f>IFERROR(-(B271-K271), "NA")</f>
        <v>-267.26</v>
      </c>
      <c r="O271" s="8">
        <f>IFERROR(N271/N444, "NA")</f>
        <v>4.4405328971777206E-3</v>
      </c>
      <c r="P271" s="9"/>
      <c r="Q271" s="7">
        <v>8277.6</v>
      </c>
      <c r="R271" s="8">
        <f>IFERROR(Q271/Q444, "NA")</f>
        <v>5.0396050945575883E-3</v>
      </c>
      <c r="S271" s="9"/>
      <c r="T271" s="7">
        <v>6417.49</v>
      </c>
      <c r="U271" s="8">
        <f>IFERROR(T271/T444, "NA")</f>
        <v>3.9999942407472726E-3</v>
      </c>
      <c r="V271" s="9"/>
      <c r="W271" s="10">
        <f>IFERROR(-(Q271-T271), "NA")</f>
        <v>-1860.1100000000006</v>
      </c>
      <c r="X271" s="8">
        <f>IFERROR(W271/W444, "NA")</f>
        <v>-4.8777181181303184E-2</v>
      </c>
      <c r="Y271" s="9"/>
      <c r="Z271" s="7">
        <v>6096.63</v>
      </c>
      <c r="AA271" s="8">
        <f>IFERROR(Z271/Z444, "NA")</f>
        <v>4.1795881043938414E-3</v>
      </c>
      <c r="AB271" s="9"/>
      <c r="AC271" s="10">
        <f>IFERROR(-(Q271-Z271), "NA")</f>
        <v>-2180.9700000000003</v>
      </c>
      <c r="AD271" s="8">
        <f>IFERROR(AC271/AC444, "NA")</f>
        <v>-1.1863285422443482E-2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6.1754608834907222E-3</v>
      </c>
      <c r="D273" s="2"/>
      <c r="E273" s="14">
        <f>IFERROR(E269+E270+E271+E272, "NA")</f>
        <v>1530.76</v>
      </c>
      <c r="F273" s="15">
        <f>IFERROR(E273/E444, "NA")</f>
        <v>5.2296968999194756E-3</v>
      </c>
      <c r="G273" s="2"/>
      <c r="H273" s="14">
        <f>IFERROR(-(B273-E273), "NA")</f>
        <v>220.96000000000004</v>
      </c>
      <c r="I273" s="15">
        <f>IFERROR(H273/H444, "NA")</f>
        <v>-2.7411749512484969E-3</v>
      </c>
      <c r="J273" s="2"/>
      <c r="K273" s="14">
        <f>IFERROR(K269+K270+K271+K272, "NA")</f>
        <v>1012.54</v>
      </c>
      <c r="L273" s="15">
        <f>IFERROR(K273/K444, "NA")</f>
        <v>3.7186907787457213E-3</v>
      </c>
      <c r="M273" s="2"/>
      <c r="N273" s="14">
        <f>IFERROR(-(B273-K273), "NA")</f>
        <v>-297.26</v>
      </c>
      <c r="O273" s="15">
        <f>IFERROR(N273/N444, "NA")</f>
        <v>4.9389837948628649E-3</v>
      </c>
      <c r="P273" s="2"/>
      <c r="Q273" s="14">
        <f>IFERROR(Q269+Q270+Q271+Q272, "NA")</f>
        <v>10392.1</v>
      </c>
      <c r="R273" s="15">
        <f>IFERROR(Q273/Q444, "NA")</f>
        <v>6.3269643499506995E-3</v>
      </c>
      <c r="S273" s="2"/>
      <c r="T273" s="14">
        <f>IFERROR(T269+T270+T271+T272, "NA")</f>
        <v>8860.1899999999987</v>
      </c>
      <c r="U273" s="15">
        <f>IFERROR(T273/T444, "NA")</f>
        <v>5.5225187685413726E-3</v>
      </c>
      <c r="V273" s="2"/>
      <c r="W273" s="14">
        <f>IFERROR(-(Q273-T273), "NA")</f>
        <v>-1531.9100000000017</v>
      </c>
      <c r="X273" s="15">
        <f>IFERROR(W273/W444, "NA")</f>
        <v>-4.0170877863916765E-2</v>
      </c>
      <c r="Y273" s="2"/>
      <c r="Z273" s="14">
        <f>IFERROR(Z269+Z270+Z271+Z272, "NA")</f>
        <v>7759.24</v>
      </c>
      <c r="AA273" s="15">
        <f>IFERROR(Z273/Z444, "NA")</f>
        <v>5.3194022276465639E-3</v>
      </c>
      <c r="AB273" s="2"/>
      <c r="AC273" s="14">
        <f>IFERROR(-(Q273-Z273), "NA")</f>
        <v>-2632.8600000000006</v>
      </c>
      <c r="AD273" s="15">
        <f>IFERROR(AC273/AC444, "NA")</f>
        <v>-1.4321320172828856E-2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1.2469880114914216E-3</v>
      </c>
      <c r="G287" s="9"/>
      <c r="H287" s="10">
        <f t="shared" si="72"/>
        <v>365</v>
      </c>
      <c r="I287" s="8">
        <f>IFERROR(H287/H444, "NA")</f>
        <v>-4.5280994623719279E-3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3285</v>
      </c>
      <c r="U287" s="8">
        <f>IFERROR(T287/T444, "NA")</f>
        <v>2.0475265377670696E-3</v>
      </c>
      <c r="V287" s="9"/>
      <c r="W287" s="10">
        <f t="shared" si="74"/>
        <v>3285</v>
      </c>
      <c r="X287" s="8">
        <f>IFERROR(W287/W444, "NA")</f>
        <v>8.6141701394315873E-2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6.8199756970295695E-4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1.7944920198139712E-3</v>
      </c>
      <c r="J288" s="9"/>
      <c r="K288" s="7">
        <v>144.65</v>
      </c>
      <c r="L288" s="8">
        <f>IFERROR(K288/K444, "NA")</f>
        <v>5.3124678644356628E-4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1308.45</v>
      </c>
      <c r="R288" s="8">
        <f>IFERROR(Q288/Q444, "NA")</f>
        <v>7.966163242937417E-4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-1308.45</v>
      </c>
      <c r="X288" s="8">
        <f>IFERROR(W288/W444, "NA")</f>
        <v>-3.4311144349891208E-2</v>
      </c>
      <c r="Y288" s="9"/>
      <c r="Z288" s="7">
        <v>1308.45</v>
      </c>
      <c r="AA288" s="8">
        <f>IFERROR(Z288/Z444, "NA")</f>
        <v>8.970172136400146E-4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228.98</v>
      </c>
      <c r="C289" s="8">
        <f>IFERROR(B289/B444, "NA")</f>
        <v>1.0795976737682895E-3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-228.98</v>
      </c>
      <c r="I289" s="8">
        <f>IFERROR(H289/H444, "NA")</f>
        <v>2.8406690819011617E-3</v>
      </c>
      <c r="J289" s="9"/>
      <c r="K289" s="7">
        <v>268.87</v>
      </c>
      <c r="L289" s="8">
        <f>IFERROR(K289/K444, "NA")</f>
        <v>9.8746162095459159E-4</v>
      </c>
      <c r="M289" s="9"/>
      <c r="N289" s="10">
        <f t="shared" si="73"/>
        <v>39.890000000000015</v>
      </c>
      <c r="O289" s="8">
        <f>IFERROR(N289/N444, "NA")</f>
        <v>-6.6277354362201358E-4</v>
      </c>
      <c r="P289" s="9"/>
      <c r="Q289" s="7">
        <v>2023.02</v>
      </c>
      <c r="R289" s="8">
        <f>IFERROR(Q289/Q444, "NA")</f>
        <v>1.2316639966163975E-3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-2023.02</v>
      </c>
      <c r="X289" s="8">
        <f>IFERROR(W289/W444, "NA")</f>
        <v>-5.3049127779217324E-2</v>
      </c>
      <c r="Y289" s="9"/>
      <c r="Z289" s="7">
        <v>1986.89</v>
      </c>
      <c r="AA289" s="8">
        <f>IFERROR(Z289/Z444, "NA")</f>
        <v>1.3621265861203779E-3</v>
      </c>
      <c r="AB289" s="9"/>
      <c r="AC289" s="10">
        <f t="shared" si="75"/>
        <v>-36.129999999999882</v>
      </c>
      <c r="AD289" s="8">
        <f>IFERROR(AC289/AC444, "NA")</f>
        <v>-1.965274636115497E-4</v>
      </c>
    </row>
    <row r="290" spans="1:30" ht="16.5" customHeight="1" x14ac:dyDescent="0.45">
      <c r="A290" s="6" t="s">
        <v>263</v>
      </c>
      <c r="B290" s="7">
        <v>569.47</v>
      </c>
      <c r="C290" s="8">
        <f>IFERROR(B290/B444, "NA")</f>
        <v>2.6849440443743027E-3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-569.47</v>
      </c>
      <c r="I290" s="8">
        <f>IFERROR(H290/H444, "NA")</f>
        <v>7.0647035639368281E-3</v>
      </c>
      <c r="J290" s="9"/>
      <c r="K290" s="7">
        <v>-94.36</v>
      </c>
      <c r="L290" s="8">
        <f>IFERROR(K290/K444, "NA")</f>
        <v>-3.4654992581275435E-4</v>
      </c>
      <c r="M290" s="9"/>
      <c r="N290" s="10">
        <f t="shared" si="73"/>
        <v>-663.83</v>
      </c>
      <c r="O290" s="8">
        <f>IFERROR(N290/N444, "NA")</f>
        <v>1.1029555313677643E-2</v>
      </c>
      <c r="P290" s="9"/>
      <c r="Q290" s="7">
        <v>8974.7900000000009</v>
      </c>
      <c r="R290" s="8">
        <f>IFERROR(Q290/Q444, "NA")</f>
        <v>5.4640713983019834E-3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-8974.7900000000009</v>
      </c>
      <c r="X290" s="8">
        <f>IFERROR(W290/W444, "NA")</f>
        <v>-0.23534358607509659</v>
      </c>
      <c r="Y290" s="9"/>
      <c r="Z290" s="7">
        <v>872.63</v>
      </c>
      <c r="AA290" s="8">
        <f>IFERROR(Z290/Z444, "NA")</f>
        <v>5.9823770960960366E-4</v>
      </c>
      <c r="AB290" s="9"/>
      <c r="AC290" s="10">
        <f t="shared" si="75"/>
        <v>-8102.1600000000008</v>
      </c>
      <c r="AD290" s="8">
        <f>IFERROR(AC290/AC444, "NA")</f>
        <v>-4.4071324510793215E-2</v>
      </c>
    </row>
    <row r="291" spans="1:30" ht="16.5" customHeight="1" x14ac:dyDescent="0.45">
      <c r="A291" s="6" t="s">
        <v>264</v>
      </c>
      <c r="B291" s="7">
        <v>742</v>
      </c>
      <c r="C291" s="8">
        <f>IFERROR(B291/B444, "NA")</f>
        <v>3.4983905753169309E-3</v>
      </c>
      <c r="D291" s="9"/>
      <c r="E291" s="7">
        <v>3805.17</v>
      </c>
      <c r="F291" s="8">
        <f>IFERROR(E291/E444, "NA")</f>
        <v>1.3000003758046063E-2</v>
      </c>
      <c r="G291" s="9"/>
      <c r="H291" s="10">
        <f t="shared" si="72"/>
        <v>3063.17</v>
      </c>
      <c r="I291" s="8">
        <f>IFERROR(H291/H444, "NA")</f>
        <v>-3.8000927205900877E-2</v>
      </c>
      <c r="J291" s="9"/>
      <c r="K291" s="7">
        <v>278.48</v>
      </c>
      <c r="L291" s="8">
        <f>IFERROR(K291/K444, "NA")</f>
        <v>1.0227556521866874E-3</v>
      </c>
      <c r="M291" s="9"/>
      <c r="N291" s="10">
        <f t="shared" si="73"/>
        <v>-463.52</v>
      </c>
      <c r="O291" s="8">
        <f>IFERROR(N291/N444, "NA")</f>
        <v>7.7013986698339339E-3</v>
      </c>
      <c r="P291" s="9"/>
      <c r="Q291" s="7">
        <v>11110.53</v>
      </c>
      <c r="R291" s="8">
        <f>IFERROR(Q291/Q444, "NA")</f>
        <v>6.7643620845697933E-3</v>
      </c>
      <c r="S291" s="9"/>
      <c r="T291" s="7">
        <v>20856.87</v>
      </c>
      <c r="U291" s="8">
        <f>IFERROR(T291/T444, "NA")</f>
        <v>1.2999998423061753E-2</v>
      </c>
      <c r="V291" s="9"/>
      <c r="W291" s="10">
        <f t="shared" si="74"/>
        <v>9746.3399999999983</v>
      </c>
      <c r="X291" s="8">
        <f>IFERROR(W291/W444, "NA")</f>
        <v>0.25557574123819676</v>
      </c>
      <c r="Y291" s="9"/>
      <c r="Z291" s="7">
        <v>6385.46</v>
      </c>
      <c r="AA291" s="8">
        <f>IFERROR(Z291/Z444, "NA")</f>
        <v>4.377597567358147E-3</v>
      </c>
      <c r="AB291" s="9"/>
      <c r="AC291" s="10">
        <f t="shared" si="75"/>
        <v>-4725.0700000000006</v>
      </c>
      <c r="AD291" s="8">
        <f>IFERROR(AC291/AC444, "NA")</f>
        <v>-2.5701799681345925E-2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681.63</v>
      </c>
      <c r="R292" s="8">
        <f>IFERROR(Q292/Q444, "NA")</f>
        <v>4.1499299562714902E-4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-1.7874206368769414E-2</v>
      </c>
      <c r="Y292" s="9"/>
      <c r="Z292" s="7">
        <v>1839.18</v>
      </c>
      <c r="AA292" s="8">
        <f>IFERROR(Z292/Z444, "NA")</f>
        <v>1.2608629439278857E-3</v>
      </c>
      <c r="AB292" s="9"/>
      <c r="AC292" s="10">
        <f t="shared" si="75"/>
        <v>1157.5500000000002</v>
      </c>
      <c r="AD292" s="8">
        <f>IFERROR(AC292/AC444, "NA")</f>
        <v>6.2964396762676487E-3</v>
      </c>
    </row>
    <row r="293" spans="1:30" ht="16.5" customHeight="1" x14ac:dyDescent="0.45">
      <c r="A293" s="6" t="s">
        <v>266</v>
      </c>
      <c r="B293" s="7">
        <v>259.95</v>
      </c>
      <c r="C293" s="8">
        <f>IFERROR(B293/B444, "NA")</f>
        <v>1.2256154043849543E-3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-259.95</v>
      </c>
      <c r="I293" s="8">
        <f>IFERROR(H293/H444, "NA")</f>
        <v>3.2248752198454321E-3</v>
      </c>
      <c r="J293" s="9"/>
      <c r="K293" s="7">
        <v>2406.31</v>
      </c>
      <c r="L293" s="8">
        <f>IFERROR(K293/K444, "NA")</f>
        <v>8.8375005508953882E-3</v>
      </c>
      <c r="M293" s="9"/>
      <c r="N293" s="10">
        <f t="shared" si="73"/>
        <v>2146.36</v>
      </c>
      <c r="O293" s="8">
        <f>IFERROR(N293/N444, "NA")</f>
        <v>-3.5661835625182874E-2</v>
      </c>
      <c r="P293" s="9"/>
      <c r="Q293" s="7">
        <v>2650.38</v>
      </c>
      <c r="R293" s="8">
        <f>IFERROR(Q293/Q444, "NA")</f>
        <v>1.6136160904747197E-3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-2650.38</v>
      </c>
      <c r="X293" s="8">
        <f>IFERROR(W293/W444, "NA")</f>
        <v>-6.9500226040020374E-2</v>
      </c>
      <c r="Y293" s="9"/>
      <c r="Z293" s="7">
        <v>7973.84</v>
      </c>
      <c r="AA293" s="8">
        <f>IFERROR(Z293/Z444, "NA")</f>
        <v>5.4665227855946298E-3</v>
      </c>
      <c r="AB293" s="9"/>
      <c r="AC293" s="10">
        <f t="shared" si="75"/>
        <v>5323.46</v>
      </c>
      <c r="AD293" s="8">
        <f>IFERROR(AC293/AC444, "NA")</f>
        <v>2.8956714404581894E-2</v>
      </c>
    </row>
    <row r="294" spans="1:30" ht="16.5" customHeight="1" x14ac:dyDescent="0.45">
      <c r="A294" s="6" t="s">
        <v>267</v>
      </c>
      <c r="B294" s="7">
        <v>388.99</v>
      </c>
      <c r="C294" s="8">
        <f>IFERROR(B294/B444, "NA")</f>
        <v>1.8340147572675648E-3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-388.99</v>
      </c>
      <c r="I294" s="8">
        <f>IFERROR(H294/H444, "NA")</f>
        <v>4.8257134516933049E-3</v>
      </c>
      <c r="J294" s="9"/>
      <c r="K294" s="7">
        <v>523.98</v>
      </c>
      <c r="L294" s="8">
        <f>IFERROR(K294/K444, "NA")</f>
        <v>1.9243877715914267E-3</v>
      </c>
      <c r="M294" s="9"/>
      <c r="N294" s="10">
        <f t="shared" si="73"/>
        <v>134.99</v>
      </c>
      <c r="O294" s="8">
        <f>IFERROR(N294/N444, "NA")</f>
        <v>-2.2428628892839204E-3</v>
      </c>
      <c r="P294" s="9"/>
      <c r="Q294" s="7">
        <v>3202.95</v>
      </c>
      <c r="R294" s="8">
        <f>IFERROR(Q294/Q444, "NA")</f>
        <v>1.9500342052784895E-3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-3202.95</v>
      </c>
      <c r="X294" s="8">
        <f>IFERROR(W294/W444, "NA")</f>
        <v>-8.3990125564969265E-2</v>
      </c>
      <c r="Y294" s="9"/>
      <c r="Z294" s="7">
        <v>66.98</v>
      </c>
      <c r="AA294" s="8">
        <f>IFERROR(Z294/Z444, "NA")</f>
        <v>4.5918615896372182E-5</v>
      </c>
      <c r="AB294" s="9"/>
      <c r="AC294" s="10">
        <f t="shared" si="75"/>
        <v>-3135.97</v>
      </c>
      <c r="AD294" s="8">
        <f>IFERROR(AC294/AC444, "NA")</f>
        <v>-1.7057963743756253E-2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2334.04</v>
      </c>
      <c r="C295" s="15">
        <f>IFERROR(B295/B444, "NA")</f>
        <v>1.1004560024814999E-2</v>
      </c>
      <c r="D295" s="2"/>
      <c r="E295" s="14">
        <f>IFERROR(E286+E287+E288+E289+E290+E291+E292+E293+E294, "NA")</f>
        <v>4170.17</v>
      </c>
      <c r="F295" s="15">
        <f>IFERROR(E295/E444, "NA")</f>
        <v>1.4246991769537485E-2</v>
      </c>
      <c r="G295" s="2"/>
      <c r="H295" s="14">
        <f t="shared" si="72"/>
        <v>1836.13</v>
      </c>
      <c r="I295" s="15">
        <f>IFERROR(H295/H444, "NA")</f>
        <v>-2.2778573331082106E-2</v>
      </c>
      <c r="J295" s="2"/>
      <c r="K295" s="14">
        <f>IFERROR(K286+K287+K288+K289+K290+K291+K292+K293+K294, "NA")</f>
        <v>3527.93</v>
      </c>
      <c r="L295" s="15">
        <f>IFERROR(K295/K444, "NA")</f>
        <v>1.2956802456258906E-2</v>
      </c>
      <c r="M295" s="2"/>
      <c r="N295" s="14">
        <f t="shared" si="73"/>
        <v>1193.8899999999999</v>
      </c>
      <c r="O295" s="15">
        <f>IFERROR(N295/N444, "NA")</f>
        <v>-1.9836518074577224E-2</v>
      </c>
      <c r="P295" s="2"/>
      <c r="Q295" s="14">
        <f>IFERROR(Q286+Q287+Q288+Q289+Q290+Q291+Q292+Q293+Q294, "NA")</f>
        <v>29951.750000000004</v>
      </c>
      <c r="R295" s="15">
        <f>IFERROR(Q295/Q444, "NA")</f>
        <v>1.8235357095162275E-2</v>
      </c>
      <c r="S295" s="2"/>
      <c r="T295" s="14">
        <f>IFERROR(T286+T287+T288+T289+T290+T291+T292+T293+T294, "NA")</f>
        <v>24141.87</v>
      </c>
      <c r="U295" s="15">
        <f>IFERROR(T295/T444, "NA")</f>
        <v>1.5047524960828822E-2</v>
      </c>
      <c r="V295" s="2"/>
      <c r="W295" s="14">
        <f t="shared" si="74"/>
        <v>-5809.8800000000047</v>
      </c>
      <c r="X295" s="15">
        <f>IFERROR(W295/W444, "NA")</f>
        <v>-0.15235097354545155</v>
      </c>
      <c r="Y295" s="2"/>
      <c r="Z295" s="14">
        <f>IFERROR(Z286+Z287+Z288+Z289+Z290+Z291+Z292+Z293+Z294, "NA")</f>
        <v>20433.43</v>
      </c>
      <c r="AA295" s="15">
        <f>IFERROR(Z295/Z444, "NA")</f>
        <v>1.4008283422147031E-2</v>
      </c>
      <c r="AB295" s="2"/>
      <c r="AC295" s="14">
        <f t="shared" si="75"/>
        <v>-9518.3200000000033</v>
      </c>
      <c r="AD295" s="15">
        <f>IFERROR(AC295/AC444, "NA")</f>
        <v>-5.1774461318657421E-2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3805.17</v>
      </c>
      <c r="F297" s="8">
        <f>IFERROR(E297/E444, "NA")</f>
        <v>1.3000003758046063E-2</v>
      </c>
      <c r="G297" s="9"/>
      <c r="H297" s="10">
        <f t="shared" ref="H297:H325" si="76">IFERROR(-(B297-E297), "NA")</f>
        <v>3805.17</v>
      </c>
      <c r="I297" s="8">
        <f>IFERROR(H297/H444, "NA")</f>
        <v>-4.7205995154065178E-2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20856.87</v>
      </c>
      <c r="U297" s="8">
        <f>IFERROR(T297/T444, "NA")</f>
        <v>1.2999998423061753E-2</v>
      </c>
      <c r="V297" s="9"/>
      <c r="W297" s="10">
        <f t="shared" ref="W297:W325" si="78">IFERROR(-(Q297-T297), "NA")</f>
        <v>20856.87</v>
      </c>
      <c r="X297" s="8">
        <f>IFERROR(W297/W444, "NA")</f>
        <v>0.54692428236227242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516.94000000000005</v>
      </c>
      <c r="C299" s="8">
        <f>IFERROR(B299/B444, "NA")</f>
        <v>2.4372749649654102E-3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-516.94000000000005</v>
      </c>
      <c r="I299" s="8">
        <f>IFERROR(H299/H444, "NA")</f>
        <v>6.4130294139138214E-3</v>
      </c>
      <c r="J299" s="9"/>
      <c r="K299" s="7">
        <v>1040.28</v>
      </c>
      <c r="L299" s="8">
        <f>IFERROR(K299/K444, "NA")</f>
        <v>3.8205696992845706E-3</v>
      </c>
      <c r="M299" s="9"/>
      <c r="N299" s="10">
        <f t="shared" si="77"/>
        <v>523.33999999999992</v>
      </c>
      <c r="O299" s="8">
        <f>IFERROR(N299/N444, "NA")</f>
        <v>-8.6953097598181112E-3</v>
      </c>
      <c r="P299" s="9"/>
      <c r="Q299" s="7">
        <v>8410.7099999999991</v>
      </c>
      <c r="R299" s="8">
        <f>IFERROR(Q299/Q444, "NA")</f>
        <v>5.1206457143189383E-3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-8410.7099999999991</v>
      </c>
      <c r="X299" s="8">
        <f>IFERROR(W299/W444, "NA")</f>
        <v>-0.22055186281101566</v>
      </c>
      <c r="Y299" s="9"/>
      <c r="Z299" s="7">
        <v>4774.49</v>
      </c>
      <c r="AA299" s="8">
        <f>IFERROR(Z299/Z444, "NA")</f>
        <v>3.2731856137812776E-3</v>
      </c>
      <c r="AB299" s="9"/>
      <c r="AC299" s="10">
        <f t="shared" si="79"/>
        <v>-3636.2199999999993</v>
      </c>
      <c r="AD299" s="8">
        <f>IFERROR(AC299/AC444, "NA")</f>
        <v>-1.9779050476988417E-2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89.65</v>
      </c>
      <c r="L310" s="8">
        <f>IFERROR(K310/K444, "NA")</f>
        <v>3.2925181060951069E-4</v>
      </c>
      <c r="M310" s="9"/>
      <c r="N310" s="10">
        <f t="shared" si="77"/>
        <v>89.65</v>
      </c>
      <c r="O310" s="8">
        <f>IFERROR(N310/N444, "NA")</f>
        <v>-1.4895374325824392E-3</v>
      </c>
      <c r="P310" s="9"/>
      <c r="Q310" s="7">
        <v>1156.8399999999999</v>
      </c>
      <c r="R310" s="8">
        <f>IFERROR(Q310/Q444, "NA")</f>
        <v>7.0431245259350533E-4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-1156.8399999999999</v>
      </c>
      <c r="X310" s="8">
        <f>IFERROR(W310/W444, "NA")</f>
        <v>-3.0335514715677435E-2</v>
      </c>
      <c r="Y310" s="9"/>
      <c r="Z310" s="7">
        <v>431.57</v>
      </c>
      <c r="AA310" s="8">
        <f>IFERROR(Z310/Z444, "NA")</f>
        <v>2.9586588627048877E-4</v>
      </c>
      <c r="AB310" s="9"/>
      <c r="AC310" s="10">
        <f t="shared" si="79"/>
        <v>-725.27</v>
      </c>
      <c r="AD310" s="8">
        <f>IFERROR(AC310/AC444, "NA")</f>
        <v>-3.9450726137157241E-3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1.627387699061616E-5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-7.0093384422224153E-4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-1.4539659845936177E-4</v>
      </c>
    </row>
    <row r="312" spans="1:30" ht="16.5" customHeight="1" x14ac:dyDescent="0.45">
      <c r="A312" s="6" t="s">
        <v>284</v>
      </c>
      <c r="B312" s="7">
        <v>1272.8399999999999</v>
      </c>
      <c r="C312" s="8">
        <f>IFERROR(B312/B444, "NA")</f>
        <v>6.0012014284183315E-3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-1272.8399999999999</v>
      </c>
      <c r="I312" s="8">
        <f>IFERROR(H312/H444, "NA")</f>
        <v>1.5790537314206807E-2</v>
      </c>
      <c r="J312" s="9"/>
      <c r="K312" s="7">
        <v>358</v>
      </c>
      <c r="L312" s="8">
        <f>IFERROR(K312/K444, "NA")</f>
        <v>1.3148036608834892E-3</v>
      </c>
      <c r="M312" s="9"/>
      <c r="N312" s="10">
        <f t="shared" si="77"/>
        <v>-914.83999999999992</v>
      </c>
      <c r="O312" s="8">
        <f>IFERROR(N312/N444, "NA")</f>
        <v>1.5200093974609242E-2</v>
      </c>
      <c r="P312" s="9"/>
      <c r="Q312" s="7">
        <v>5594.29</v>
      </c>
      <c r="R312" s="8">
        <f>IFERROR(Q312/Q444, "NA")</f>
        <v>3.4059404156316525E-3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-5594.29</v>
      </c>
      <c r="X312" s="8">
        <f>IFERROR(W312/W444, "NA")</f>
        <v>-0.14669761299641015</v>
      </c>
      <c r="Y312" s="9"/>
      <c r="Z312" s="7">
        <v>2823.68</v>
      </c>
      <c r="AA312" s="8">
        <f>IFERROR(Z312/Z444, "NA")</f>
        <v>1.9357939285498385E-3</v>
      </c>
      <c r="AB312" s="9"/>
      <c r="AC312" s="10">
        <f t="shared" si="79"/>
        <v>-2770.61</v>
      </c>
      <c r="AD312" s="8">
        <f>IFERROR(AC312/AC444, "NA")</f>
        <v>-1.5070604925458E-2</v>
      </c>
    </row>
    <row r="313" spans="1:30" ht="16.5" customHeight="1" x14ac:dyDescent="0.45">
      <c r="A313" s="6" t="s">
        <v>285</v>
      </c>
      <c r="B313" s="7">
        <v>334.98</v>
      </c>
      <c r="C313" s="8">
        <f>IFERROR(B313/B444, "NA")</f>
        <v>1.5793677559564226E-3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-334.98</v>
      </c>
      <c r="I313" s="8">
        <f>IFERROR(H313/H444, "NA")</f>
        <v>4.1556787887817772E-3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-334.98</v>
      </c>
      <c r="O313" s="8">
        <f>IFERROR(N313/N444, "NA")</f>
        <v>5.5657027235523201E-3</v>
      </c>
      <c r="P313" s="9"/>
      <c r="Q313" s="7">
        <v>2638.58</v>
      </c>
      <c r="R313" s="8">
        <f>IFERROR(Q313/Q444, "NA")</f>
        <v>1.6064319622109983E-3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-2638.58</v>
      </c>
      <c r="X313" s="8">
        <f>IFERROR(W313/W444, "NA")</f>
        <v>-6.9190797706244742E-2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-2638.58</v>
      </c>
      <c r="AD313" s="8">
        <f>IFERROR(AC313/AC444, "NA")</f>
        <v>-1.4352433848219333E-2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2.3675690190782333E-3</v>
      </c>
      <c r="G318" s="9"/>
      <c r="H318" s="10">
        <f t="shared" si="76"/>
        <v>693</v>
      </c>
      <c r="I318" s="8">
        <f>IFERROR(H318/H444, "NA")</f>
        <v>-8.5971861025308117E-3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6237</v>
      </c>
      <c r="U318" s="8">
        <f>IFERROR(T318/T444, "NA")</f>
        <v>3.8874955908837785E-3</v>
      </c>
      <c r="V318" s="9"/>
      <c r="W318" s="10">
        <f t="shared" si="78"/>
        <v>6237</v>
      </c>
      <c r="X318" s="8">
        <f>IFERROR(W318/W444, "NA")</f>
        <v>0.16355123031852301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313.27999999999997</v>
      </c>
      <c r="C319" s="8">
        <f>IFERROR(B319/B444, "NA")</f>
        <v>1.4770563334707385E-3</v>
      </c>
      <c r="D319" s="9"/>
      <c r="E319" s="7">
        <v>294</v>
      </c>
      <c r="F319" s="8">
        <f>IFERROR(E319/E444, "NA")</f>
        <v>1.0044232202150081E-3</v>
      </c>
      <c r="G319" s="9"/>
      <c r="H319" s="10">
        <f t="shared" si="76"/>
        <v>-19.279999999999973</v>
      </c>
      <c r="I319" s="8">
        <f>IFERROR(H319/H444, "NA")</f>
        <v>2.3918289762885111E-4</v>
      </c>
      <c r="J319" s="9"/>
      <c r="K319" s="7">
        <v>293.61</v>
      </c>
      <c r="L319" s="8">
        <f>IFERROR(K319/K444, "NA")</f>
        <v>1.0783226337206741E-3</v>
      </c>
      <c r="M319" s="9"/>
      <c r="N319" s="10">
        <f t="shared" si="77"/>
        <v>-19.669999999999959</v>
      </c>
      <c r="O319" s="8">
        <f>IFERROR(N319/N444, "NA")</f>
        <v>3.2681763858222554E-4</v>
      </c>
      <c r="P319" s="9"/>
      <c r="Q319" s="7">
        <v>2824.28</v>
      </c>
      <c r="R319" s="8">
        <f>IFERROR(Q319/Q444, "NA")</f>
        <v>1.7194906587002399E-3</v>
      </c>
      <c r="S319" s="9"/>
      <c r="T319" s="7">
        <v>2646</v>
      </c>
      <c r="U319" s="8">
        <f>IFERROR(T319/T444, "NA")</f>
        <v>1.6492405537082697E-3</v>
      </c>
      <c r="V319" s="9"/>
      <c r="W319" s="10">
        <f t="shared" si="78"/>
        <v>-178.2800000000002</v>
      </c>
      <c r="X319" s="8">
        <f>IFERROR(W319/W444, "NA")</f>
        <v>-4.674990114026987E-3</v>
      </c>
      <c r="Y319" s="9"/>
      <c r="Z319" s="7">
        <v>2600.2800000000002</v>
      </c>
      <c r="AA319" s="8">
        <f>IFERROR(Z319/Z444, "NA")</f>
        <v>1.7826404679459338E-3</v>
      </c>
      <c r="AB319" s="9"/>
      <c r="AC319" s="10">
        <f t="shared" si="79"/>
        <v>-224</v>
      </c>
      <c r="AD319" s="8">
        <f>IFERROR(AC319/AC444, "NA")</f>
        <v>-1.2184376376691746E-3</v>
      </c>
    </row>
    <row r="320" spans="1:30" ht="16.5" customHeight="1" x14ac:dyDescent="0.45">
      <c r="A320" s="6" t="s">
        <v>292</v>
      </c>
      <c r="B320" s="7">
        <v>1241.4000000000001</v>
      </c>
      <c r="C320" s="8">
        <f>IFERROR(B320/B444, "NA")</f>
        <v>5.8529677361164939E-3</v>
      </c>
      <c r="D320" s="9"/>
      <c r="E320" s="7">
        <v>833</v>
      </c>
      <c r="F320" s="8">
        <f>IFERROR(E320/E444, "NA")</f>
        <v>2.8458657906091896E-3</v>
      </c>
      <c r="G320" s="9"/>
      <c r="H320" s="10">
        <f t="shared" si="76"/>
        <v>-408.40000000000009</v>
      </c>
      <c r="I320" s="8">
        <f>IFERROR(H320/H444, "NA")</f>
        <v>5.0665090970758789E-3</v>
      </c>
      <c r="J320" s="9"/>
      <c r="K320" s="7">
        <v>940.02</v>
      </c>
      <c r="L320" s="8">
        <f>IFERROR(K320/K444, "NA")</f>
        <v>3.4523512215187085E-3</v>
      </c>
      <c r="M320" s="9"/>
      <c r="N320" s="10">
        <f t="shared" si="77"/>
        <v>-301.38000000000011</v>
      </c>
      <c r="O320" s="8">
        <f>IFERROR(N320/N444, "NA")</f>
        <v>5.0074377181449602E-3</v>
      </c>
      <c r="P320" s="9"/>
      <c r="Q320" s="7">
        <v>9918.7199999999993</v>
      </c>
      <c r="R320" s="8">
        <f>IFERROR(Q320/Q444, "NA")</f>
        <v>6.0387590416896486E-3</v>
      </c>
      <c r="S320" s="9"/>
      <c r="T320" s="7">
        <v>7497</v>
      </c>
      <c r="U320" s="8">
        <f>IFERROR(T320/T444, "NA")</f>
        <v>4.6728482355067637E-3</v>
      </c>
      <c r="V320" s="9"/>
      <c r="W320" s="10">
        <f t="shared" si="78"/>
        <v>-2421.7199999999993</v>
      </c>
      <c r="X320" s="8">
        <f>IFERROR(W320/W444, "NA")</f>
        <v>-6.3504134277212354E-2</v>
      </c>
      <c r="Y320" s="9"/>
      <c r="Z320" s="7">
        <v>6955.85</v>
      </c>
      <c r="AA320" s="8">
        <f>IFERROR(Z320/Z444, "NA")</f>
        <v>4.7686324930244911E-3</v>
      </c>
      <c r="AB320" s="9"/>
      <c r="AC320" s="10">
        <f t="shared" si="79"/>
        <v>-2962.869999999999</v>
      </c>
      <c r="AD320" s="8">
        <f>IFERROR(AC320/AC444, "NA")</f>
        <v>-1.6116394301432437E-2</v>
      </c>
    </row>
    <row r="321" spans="1:30" ht="16.5" customHeight="1" x14ac:dyDescent="0.45">
      <c r="A321" s="6" t="s">
        <v>293</v>
      </c>
      <c r="B321" s="7">
        <v>2356.5500000000002</v>
      </c>
      <c r="C321" s="8">
        <f>IFERROR(B321/B444, "NA")</f>
        <v>1.1110690445098537E-2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-2356.5500000000002</v>
      </c>
      <c r="I321" s="8">
        <f>IFERROR(H321/H444, "NA")</f>
        <v>2.923477476178786E-2</v>
      </c>
      <c r="J321" s="9"/>
      <c r="K321" s="7">
        <v>3024.61</v>
      </c>
      <c r="L321" s="8">
        <f>IFERROR(K321/K444, "NA")</f>
        <v>1.11082913428626E-2</v>
      </c>
      <c r="M321" s="9"/>
      <c r="N321" s="10">
        <f t="shared" si="77"/>
        <v>668.06</v>
      </c>
      <c r="O321" s="8">
        <f>IFERROR(N321/N444, "NA")</f>
        <v>-1.1099836890251246E-2</v>
      </c>
      <c r="P321" s="9"/>
      <c r="Q321" s="7">
        <v>20430.23</v>
      </c>
      <c r="R321" s="8">
        <f>IFERROR(Q321/Q444, "NA")</f>
        <v>1.2438423116722632E-2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-20430.23</v>
      </c>
      <c r="X321" s="8">
        <f>IFERROR(W321/W444, "NA")</f>
        <v>-0.53573661250447302</v>
      </c>
      <c r="Y321" s="9"/>
      <c r="Z321" s="7">
        <v>22620.21</v>
      </c>
      <c r="AA321" s="8">
        <f>IFERROR(Z321/Z444, "NA")</f>
        <v>1.5507446020980543E-2</v>
      </c>
      <c r="AB321" s="9"/>
      <c r="AC321" s="10">
        <f t="shared" si="79"/>
        <v>2189.9799999999996</v>
      </c>
      <c r="AD321" s="8">
        <f>IFERROR(AC321/AC444, "NA")</f>
        <v>1.1912294900637225E-2</v>
      </c>
    </row>
    <row r="322" spans="1:30" ht="16.5" customHeight="1" x14ac:dyDescent="0.45">
      <c r="A322" s="6" t="s">
        <v>294</v>
      </c>
      <c r="B322" s="7">
        <v>224.48</v>
      </c>
      <c r="C322" s="8">
        <f>IFERROR(B322/B444, "NA")</f>
        <v>1.0583810193357745E-3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-224.48</v>
      </c>
      <c r="I322" s="8">
        <f>IFERROR(H322/H444, "NA")</f>
        <v>2.7848431981184942E-3</v>
      </c>
      <c r="J322" s="9"/>
      <c r="K322" s="7">
        <v>299.95</v>
      </c>
      <c r="L322" s="8">
        <f>IFERROR(K322/K444, "NA")</f>
        <v>1.1016071454804542E-3</v>
      </c>
      <c r="M322" s="9"/>
      <c r="N322" s="10">
        <f t="shared" si="77"/>
        <v>75.47</v>
      </c>
      <c r="O322" s="8">
        <f>IFERROR(N322/N444, "NA")</f>
        <v>-1.2539363082765943E-3</v>
      </c>
      <c r="P322" s="9"/>
      <c r="Q322" s="7">
        <v>1743.76</v>
      </c>
      <c r="R322" s="8">
        <f>IFERROR(Q322/Q444, "NA")</f>
        <v>1.0616436865378538E-3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-1743.76</v>
      </c>
      <c r="X322" s="8">
        <f>IFERROR(W322/W444, "NA")</f>
        <v>-4.5726165364795207E-2</v>
      </c>
      <c r="Y322" s="9"/>
      <c r="Z322" s="7">
        <v>1981.11</v>
      </c>
      <c r="AA322" s="8">
        <f>IFERROR(Z322/Z444, "NA")</f>
        <v>1.3581640659668839E-3</v>
      </c>
      <c r="AB322" s="9"/>
      <c r="AC322" s="10">
        <f t="shared" si="79"/>
        <v>237.34999999999991</v>
      </c>
      <c r="AD322" s="8">
        <f>IFERROR(AC322/AC444, "NA")</f>
        <v>1.291054345092761E-3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-1.1299999999999999</v>
      </c>
      <c r="L323" s="8">
        <f>IFERROR(K323/K444, "NA")</f>
        <v>-4.1500785944087785E-6</v>
      </c>
      <c r="M323" s="9"/>
      <c r="N323" s="10">
        <f t="shared" si="77"/>
        <v>-1.1299999999999999</v>
      </c>
      <c r="O323" s="8">
        <f>IFERROR(N323/N444, "NA")</f>
        <v>1.8774983812807096E-5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-32.42</v>
      </c>
      <c r="AA323" s="8">
        <f>IFERROR(Z323/Z444, "NA")</f>
        <v>-2.2225761829805703E-5</v>
      </c>
      <c r="AB323" s="9"/>
      <c r="AC323" s="10">
        <f t="shared" si="79"/>
        <v>-32.42</v>
      </c>
      <c r="AD323" s="8">
        <f>IFERROR(AC323/AC444, "NA")</f>
        <v>-1.7634709023765465E-4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6260.4699999999993</v>
      </c>
      <c r="C324" s="15">
        <f>IFERROR(B324/B444, "NA")</f>
        <v>2.9516939683361703E-2</v>
      </c>
      <c r="D324" s="2"/>
      <c r="E324" s="14">
        <f>IFERROR(E297+E298+E299+E300+E301+E302+E303+E304+E305+E306+E307+E308+E309+E310+E311+E312+E313+E314+E315+E316+E317+E318+E319+E320+E321+E322+E323, "NA")</f>
        <v>5625.17</v>
      </c>
      <c r="F324" s="15">
        <f>IFERROR(E324/E444, "NA")</f>
        <v>1.9217861787948494E-2</v>
      </c>
      <c r="G324" s="2"/>
      <c r="H324" s="14">
        <f t="shared" si="76"/>
        <v>-635.29999999999927</v>
      </c>
      <c r="I324" s="15">
        <f>IFERROR(H324/H444, "NA")</f>
        <v>7.8813742149174866E-3</v>
      </c>
      <c r="J324" s="2"/>
      <c r="K324" s="14">
        <f>IFERROR(K297+K298+K299+K300+K301+K302+K303+K304+K305+K306+K307+K308+K309+K310+K311+K312+K313+K314+K315+K316+K317+K318+K319+K320+K321+K322+K323, "NA")</f>
        <v>6044.99</v>
      </c>
      <c r="L324" s="15">
        <f>IFERROR(K324/K444, "NA")</f>
        <v>2.2201047435765595E-2</v>
      </c>
      <c r="M324" s="2"/>
      <c r="N324" s="14">
        <f t="shared" si="77"/>
        <v>-215.47999999999956</v>
      </c>
      <c r="O324" s="15">
        <f>IFERROR(N324/N444, "NA")</f>
        <v>3.5802066477731548E-3</v>
      </c>
      <c r="P324" s="2"/>
      <c r="Q324" s="14">
        <f>IFERROR(Q297+Q298+Q299+Q300+Q301+Q302+Q303+Q304+Q305+Q306+Q307+Q308+Q309+Q310+Q311+Q312+Q313+Q314+Q315+Q316+Q317+Q318+Q319+Q320+Q321+Q322+Q323, "NA")</f>
        <v>52744.140000000007</v>
      </c>
      <c r="R324" s="15">
        <f>IFERROR(Q324/Q444, "NA")</f>
        <v>3.2111920925396088E-2</v>
      </c>
      <c r="S324" s="2"/>
      <c r="T324" s="14">
        <f>IFERROR(T297+T298+T299+T300+T301+T302+T303+T304+T305+T306+T307+T308+T309+T310+T311+T312+T313+T314+T315+T316+T317+T318+T319+T320+T321+T322+T323, "NA")</f>
        <v>37236.869999999995</v>
      </c>
      <c r="U324" s="15">
        <f>IFERROR(T324/T444, "NA")</f>
        <v>2.3209582803160562E-2</v>
      </c>
      <c r="V324" s="2"/>
      <c r="W324" s="14">
        <f t="shared" si="78"/>
        <v>-15507.270000000011</v>
      </c>
      <c r="X324" s="15">
        <f>IFERROR(W324/W444, "NA")</f>
        <v>-0.40664311165328271</v>
      </c>
      <c r="Y324" s="2"/>
      <c r="Z324" s="14">
        <f>IFERROR(Z297+Z298+Z299+Z300+Z301+Z302+Z303+Z304+Z305+Z306+Z307+Z308+Z309+Z310+Z311+Z312+Z313+Z314+Z315+Z316+Z317+Z318+Z319+Z320+Z321+Z322+Z323, "NA")</f>
        <v>42154.770000000004</v>
      </c>
      <c r="AA324" s="15">
        <f>IFERROR(Z324/Z444, "NA")</f>
        <v>2.8899502714689655E-2</v>
      </c>
      <c r="AB324" s="2"/>
      <c r="AC324" s="14">
        <f t="shared" si="79"/>
        <v>-10589.370000000003</v>
      </c>
      <c r="AD324" s="15">
        <f>IFERROR(AC324/AC444, "NA")</f>
        <v>-5.7600388246450134E-2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50903.250000000007</v>
      </c>
      <c r="C325" s="15">
        <f>IFERROR(B325/B444, "NA")</f>
        <v>0.23999925883153853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73298.149999999994</v>
      </c>
      <c r="F325" s="15">
        <f>IFERROR(E325/E444, "NA")</f>
        <v>0.25041620360136968</v>
      </c>
      <c r="G325" s="2"/>
      <c r="H325" s="14">
        <f t="shared" si="76"/>
        <v>22394.899999999987</v>
      </c>
      <c r="I325" s="15">
        <f>IFERROR(H325/H444, "NA")</f>
        <v>-0.27782557438321381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87386.219999999972</v>
      </c>
      <c r="L325" s="15">
        <f>IFERROR(K325/K444, "NA")</f>
        <v>0.32093777085689928</v>
      </c>
      <c r="M325" s="2"/>
      <c r="N325" s="14">
        <f t="shared" si="77"/>
        <v>36482.969999999965</v>
      </c>
      <c r="O325" s="15">
        <f>IFERROR(N325/N444, "NA")</f>
        <v>-0.6061656382240056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428347.36000000004</v>
      </c>
      <c r="R325" s="15">
        <f>IFERROR(Q325/Q444, "NA")</f>
        <v>0.26078833692088205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409536.97</v>
      </c>
      <c r="U325" s="15">
        <f>IFERROR(T325/T444, "NA")</f>
        <v>0.25526265274633675</v>
      </c>
      <c r="V325" s="2"/>
      <c r="W325" s="14">
        <f t="shared" si="78"/>
        <v>-18810.390000000072</v>
      </c>
      <c r="X325" s="15">
        <f>IFERROR(W325/W444, "NA")</f>
        <v>-0.49325996909912684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370240.59000000014</v>
      </c>
      <c r="AA325" s="15">
        <f>IFERROR(Z325/Z444, "NA")</f>
        <v>0.25382107258071396</v>
      </c>
      <c r="AB325" s="2"/>
      <c r="AC325" s="14">
        <f t="shared" si="79"/>
        <v>-58106.769999999902</v>
      </c>
      <c r="AD325" s="15">
        <f>IFERROR(AC325/AC444, "NA")</f>
        <v>-0.31606908737225869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4.779122133105463E-2</v>
      </c>
      <c r="D329" s="9"/>
      <c r="E329" s="7">
        <v>11697</v>
      </c>
      <c r="F329" s="8">
        <f>IFERROR(E329/E444, "NA")</f>
        <v>3.9961695261411391E-2</v>
      </c>
      <c r="G329" s="9"/>
      <c r="H329" s="10">
        <f t="shared" si="80"/>
        <v>1560.6000000000004</v>
      </c>
      <c r="I329" s="8">
        <f>IFERROR(H329/H444, "NA")</f>
        <v>-1.936041649582913E-2</v>
      </c>
      <c r="J329" s="9"/>
      <c r="K329" s="7">
        <v>9841.17</v>
      </c>
      <c r="L329" s="8">
        <f>IFERROR(K329/K444, "NA")</f>
        <v>3.6143034478706058E-2</v>
      </c>
      <c r="M329" s="9"/>
      <c r="N329" s="10">
        <f t="shared" si="81"/>
        <v>-295.22999999999956</v>
      </c>
      <c r="O329" s="8">
        <f>IFERROR(N329/N444, "NA")</f>
        <v>4.9052552841194969E-3</v>
      </c>
      <c r="P329" s="9"/>
      <c r="Q329" s="7">
        <v>91227.6</v>
      </c>
      <c r="R329" s="8">
        <f>IFERROR(Q329/Q444, "NA")</f>
        <v>5.55415914908019E-2</v>
      </c>
      <c r="S329" s="9"/>
      <c r="T329" s="7">
        <v>91221</v>
      </c>
      <c r="U329" s="8">
        <f>IFERROR(T329/T444, "NA")</f>
        <v>5.6857661583455052E-2</v>
      </c>
      <c r="V329" s="9"/>
      <c r="W329" s="10">
        <f t="shared" si="82"/>
        <v>-6.6000000000058208</v>
      </c>
      <c r="X329" s="8">
        <f>IFERROR(W329/W444, "NA")</f>
        <v>-1.7307008499329869E-4</v>
      </c>
      <c r="Y329" s="9"/>
      <c r="Z329" s="7">
        <v>88570.53</v>
      </c>
      <c r="AA329" s="8">
        <f>IFERROR(Z329/Z444, "NA")</f>
        <v>6.0720157462049992E-2</v>
      </c>
      <c r="AB329" s="9"/>
      <c r="AC329" s="10">
        <f t="shared" si="83"/>
        <v>-2657.070000000007</v>
      </c>
      <c r="AD329" s="8">
        <f>IFERROR(AC329/AC444, "NA")</f>
        <v>-1.4453009347864474E-2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3.4354478338338027E-3</v>
      </c>
      <c r="D330" s="9"/>
      <c r="E330" s="7">
        <v>728</v>
      </c>
      <c r="F330" s="8">
        <f>IFERROR(E330/E444, "NA")</f>
        <v>2.4871432119609725E-3</v>
      </c>
      <c r="G330" s="9"/>
      <c r="H330" s="10">
        <f t="shared" si="80"/>
        <v>-0.64999999999997726</v>
      </c>
      <c r="I330" s="8">
        <f>IFERROR(H330/H444, "NA")</f>
        <v>8.0637387686072621E-6</v>
      </c>
      <c r="J330" s="9"/>
      <c r="K330" s="7">
        <v>844.12</v>
      </c>
      <c r="L330" s="8">
        <f>IFERROR(K330/K444, "NA")</f>
        <v>3.1001454363826005E-3</v>
      </c>
      <c r="M330" s="9"/>
      <c r="N330" s="10">
        <f t="shared" si="81"/>
        <v>115.47000000000003</v>
      </c>
      <c r="O330" s="8">
        <f>IFERROR(N330/N444, "NA")</f>
        <v>-1.9185375051901203E-3</v>
      </c>
      <c r="P330" s="9"/>
      <c r="Q330" s="7">
        <v>5644.12</v>
      </c>
      <c r="R330" s="8">
        <f>IFERROR(Q330/Q444, "NA")</f>
        <v>3.4362781369351469E-3</v>
      </c>
      <c r="S330" s="9"/>
      <c r="T330" s="7">
        <v>6552</v>
      </c>
      <c r="U330" s="8">
        <f>IFERROR(T330/T444, "NA")</f>
        <v>4.0838337520395247E-3</v>
      </c>
      <c r="V330" s="9"/>
      <c r="W330" s="10">
        <f t="shared" si="82"/>
        <v>907.88000000000011</v>
      </c>
      <c r="X330" s="8">
        <f>IFERROR(W330/W444, "NA")</f>
        <v>2.3807101327814766E-2</v>
      </c>
      <c r="Y330" s="9"/>
      <c r="Z330" s="7">
        <v>7019.73</v>
      </c>
      <c r="AA330" s="8">
        <f>IFERROR(Z330/Z444, "NA")</f>
        <v>4.8124258818489198E-3</v>
      </c>
      <c r="AB330" s="9"/>
      <c r="AC330" s="10">
        <f t="shared" si="83"/>
        <v>1375.6099999999997</v>
      </c>
      <c r="AD330" s="8">
        <f>IFERROR(AC330/AC444, "NA")</f>
        <v>7.4825669587236287E-3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7.1476551377095245E-5</v>
      </c>
      <c r="D332" s="9"/>
      <c r="E332" s="7">
        <v>15</v>
      </c>
      <c r="F332" s="8">
        <f>IFERROR(E332/E444, "NA")</f>
        <v>5.1246082664031026E-5</v>
      </c>
      <c r="G332" s="9"/>
      <c r="H332" s="10">
        <f t="shared" si="80"/>
        <v>-0.16000000000000014</v>
      </c>
      <c r="I332" s="8">
        <f>IFERROR(H332/H444, "NA")</f>
        <v>1.984920312272628E-6</v>
      </c>
      <c r="J332" s="9"/>
      <c r="K332" s="7">
        <v>15.16</v>
      </c>
      <c r="L332" s="8">
        <f>IFERROR(K332/K444, "NA")</f>
        <v>5.5677160611714238E-5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1431.68</v>
      </c>
      <c r="R332" s="8">
        <f>IFERROR(Q332/Q444, "NA")</f>
        <v>8.7164175869529912E-4</v>
      </c>
      <c r="S332" s="9"/>
      <c r="T332" s="7">
        <v>135</v>
      </c>
      <c r="U332" s="8">
        <f>IFERROR(T332/T444, "NA")</f>
        <v>8.4144926209605593E-5</v>
      </c>
      <c r="V332" s="9"/>
      <c r="W332" s="10">
        <f t="shared" si="82"/>
        <v>-1296.68</v>
      </c>
      <c r="X332" s="8">
        <f>IFERROR(W332/W444, "NA")</f>
        <v>-3.4002502698320093E-2</v>
      </c>
      <c r="Y332" s="9"/>
      <c r="Z332" s="7">
        <v>136.44</v>
      </c>
      <c r="AA332" s="8">
        <f>IFERROR(Z332/Z444, "NA")</f>
        <v>9.3537413450298882E-5</v>
      </c>
      <c r="AB332" s="9"/>
      <c r="AC332" s="10">
        <f t="shared" si="83"/>
        <v>-1295.24</v>
      </c>
      <c r="AD332" s="8">
        <f>IFERROR(AC332/AC444, "NA")</f>
        <v>-7.0453980616724185E-3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4.5457389343477976E-3</v>
      </c>
      <c r="D333" s="9"/>
      <c r="E333" s="7">
        <v>728</v>
      </c>
      <c r="F333" s="8">
        <f>IFERROR(E333/E444, "NA")</f>
        <v>2.4871432119609725E-3</v>
      </c>
      <c r="G333" s="9"/>
      <c r="H333" s="10">
        <f t="shared" si="80"/>
        <v>-236.14</v>
      </c>
      <c r="I333" s="8">
        <f>IFERROR(H333/H444, "NA")</f>
        <v>2.929494265875362E-3</v>
      </c>
      <c r="J333" s="9"/>
      <c r="K333" s="7">
        <v>964.14</v>
      </c>
      <c r="L333" s="8">
        <f>IFERROR(K333/K444, "NA")</f>
        <v>3.5409352000117522E-3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8677.26</v>
      </c>
      <c r="R333" s="8">
        <f>IFERROR(Q333/Q444, "NA")</f>
        <v>5.2829278659032542E-3</v>
      </c>
      <c r="S333" s="9"/>
      <c r="T333" s="7">
        <v>6552</v>
      </c>
      <c r="U333" s="8">
        <f>IFERROR(T333/T444, "NA")</f>
        <v>4.0838337520395247E-3</v>
      </c>
      <c r="V333" s="9"/>
      <c r="W333" s="10">
        <f t="shared" si="82"/>
        <v>-2125.2600000000002</v>
      </c>
      <c r="X333" s="8">
        <f>IFERROR(W333/W444, "NA")</f>
        <v>-5.573014073220206E-2</v>
      </c>
      <c r="Y333" s="9"/>
      <c r="Z333" s="7">
        <v>8677.26</v>
      </c>
      <c r="AA333" s="8">
        <f>IFERROR(Z333/Z444, "NA")</f>
        <v>5.9487573749321355E-3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1561</v>
      </c>
      <c r="C334" s="8">
        <f>IFERROR(B334/B444, "NA")</f>
        <v>7.3598216820346752E-3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-1561</v>
      </c>
      <c r="I334" s="8">
        <f>IFERROR(H334/H444, "NA")</f>
        <v>1.9365378796609808E-2</v>
      </c>
      <c r="J334" s="9"/>
      <c r="K334" s="7">
        <v>1515.54</v>
      </c>
      <c r="L334" s="8">
        <f>IFERROR(K334/K444, "NA")</f>
        <v>5.566026648646266E-3</v>
      </c>
      <c r="M334" s="9"/>
      <c r="N334" s="10">
        <f t="shared" si="81"/>
        <v>-45.460000000000036</v>
      </c>
      <c r="O334" s="8">
        <f>IFERROR(N334/N444, "NA")</f>
        <v>7.5531926029222241E-4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2.0149775071336721E-3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-8.6787305256820615E-2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-1.8002524885636844E-2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4346.84</v>
      </c>
      <c r="F337" s="8">
        <f>IFERROR(E337/E444, "NA")</f>
        <v>1.4850568131154441E-2</v>
      </c>
      <c r="G337" s="9"/>
      <c r="H337" s="10">
        <f t="shared" ref="H337:H344" si="84">IFERROR(-(B337-E337), "NA")</f>
        <v>4346.84</v>
      </c>
      <c r="I337" s="8">
        <f>IFERROR(H337/H444, "NA")</f>
        <v>-5.3925818813744641E-2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36833.589999999997</v>
      </c>
      <c r="U337" s="8">
        <f>IFERROR(T337/T444, "NA")</f>
        <v>2.2958220093221231E-2</v>
      </c>
      <c r="V337" s="9"/>
      <c r="W337" s="10">
        <f t="shared" ref="W337:W344" si="86">IFERROR(-(Q337-T337), "NA")</f>
        <v>36833.589999999997</v>
      </c>
      <c r="X337" s="8">
        <f>IFERROR(W337/W444, "NA")</f>
        <v>0.96587765937919601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3522.02</v>
      </c>
      <c r="C338" s="8">
        <f>IFERROR(B338/B444, "NA")</f>
        <v>1.6605662498757057E-2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-3522.02</v>
      </c>
      <c r="I338" s="8">
        <f>IFERROR(H338/H444, "NA")</f>
        <v>4.3693306488940216E-2</v>
      </c>
      <c r="J338" s="9"/>
      <c r="K338" s="7">
        <v>3099.81</v>
      </c>
      <c r="L338" s="8">
        <f>IFERROR(K338/K444, "NA")</f>
        <v>1.1384473564366617E-2</v>
      </c>
      <c r="M338" s="9"/>
      <c r="N338" s="10">
        <f t="shared" si="85"/>
        <v>-422.21000000000004</v>
      </c>
      <c r="O338" s="8">
        <f>IFERROR(N338/N444, "NA")</f>
        <v>7.015031783721491E-3</v>
      </c>
      <c r="P338" s="9"/>
      <c r="Q338" s="7">
        <v>34193.550000000003</v>
      </c>
      <c r="R338" s="8">
        <f>IFERROR(Q338/Q444, "NA")</f>
        <v>2.0817868558641348E-2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-34193.550000000003</v>
      </c>
      <c r="X338" s="8">
        <f>IFERROR(W338/W444, "NA")</f>
        <v>-0.89664857647233176</v>
      </c>
      <c r="Y338" s="9"/>
      <c r="Z338" s="7">
        <v>24151.8</v>
      </c>
      <c r="AA338" s="8">
        <f>IFERROR(Z338/Z444, "NA")</f>
        <v>1.6557438450373267E-2</v>
      </c>
      <c r="AB338" s="9"/>
      <c r="AC338" s="10">
        <f t="shared" si="87"/>
        <v>-10041.750000000004</v>
      </c>
      <c r="AD338" s="8">
        <f>IFERROR(AC338/AC444, "NA")</f>
        <v>-5.4621634589573385E-2</v>
      </c>
    </row>
    <row r="339" spans="1:30" ht="16.5" customHeight="1" x14ac:dyDescent="0.45">
      <c r="A339" s="12" t="s">
        <v>309</v>
      </c>
      <c r="B339" s="7">
        <v>353.21</v>
      </c>
      <c r="C339" s="8">
        <f>IFERROR(B339/B444, "NA")</f>
        <v>1.6653187804685891E-3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-353.21</v>
      </c>
      <c r="I339" s="8">
        <f>IFERROR(H339/H444, "NA")</f>
        <v>4.3818356468613385E-3</v>
      </c>
      <c r="J339" s="9"/>
      <c r="K339" s="7">
        <v>366.6</v>
      </c>
      <c r="L339" s="8">
        <f>IFERROR(K339/K444, "NA")</f>
        <v>1.3463883298320872E-3</v>
      </c>
      <c r="M339" s="9"/>
      <c r="N339" s="10">
        <f t="shared" si="85"/>
        <v>13.390000000000043</v>
      </c>
      <c r="O339" s="8">
        <f>IFERROR(N339/N444, "NA")</f>
        <v>-2.224752506668034E-4</v>
      </c>
      <c r="P339" s="9"/>
      <c r="Q339" s="7">
        <v>3149.65</v>
      </c>
      <c r="R339" s="8">
        <f>IFERROR(Q339/Q444, "NA")</f>
        <v>1.917583863205918E-3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-3149.65</v>
      </c>
      <c r="X339" s="8">
        <f>IFERROR(W339/W444, "NA")</f>
        <v>-8.2592453514948858E-2</v>
      </c>
      <c r="Y339" s="9"/>
      <c r="Z339" s="7">
        <v>3623.88</v>
      </c>
      <c r="AA339" s="8">
        <f>IFERROR(Z339/Z444, "NA")</f>
        <v>2.4843767359591699E-3</v>
      </c>
      <c r="AB339" s="9"/>
      <c r="AC339" s="10">
        <f t="shared" si="87"/>
        <v>474.23</v>
      </c>
      <c r="AD339" s="8">
        <f>IFERROR(AC339/AC444, "NA")</f>
        <v>2.5795521469279136E-3</v>
      </c>
    </row>
    <row r="340" spans="1:30" ht="16.5" customHeight="1" x14ac:dyDescent="0.45">
      <c r="A340" s="12" t="s">
        <v>310</v>
      </c>
      <c r="B340" s="7">
        <v>3693.23</v>
      </c>
      <c r="C340" s="8">
        <f>IFERROR(B340/B444, "NA")</f>
        <v>1.7412885477732815E-2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-3693.23</v>
      </c>
      <c r="I340" s="8">
        <f>IFERROR(H340/H444, "NA")</f>
        <v>4.581729528059144E-2</v>
      </c>
      <c r="J340" s="9"/>
      <c r="K340" s="7">
        <v>590.44000000000005</v>
      </c>
      <c r="L340" s="8">
        <f>IFERROR(K340/K444, "NA")</f>
        <v>2.1684711551174509E-3</v>
      </c>
      <c r="M340" s="9"/>
      <c r="N340" s="10">
        <f t="shared" si="85"/>
        <v>-3102.79</v>
      </c>
      <c r="O340" s="8">
        <f>IFERROR(N340/N444, "NA")</f>
        <v>5.1552948694282952E-2</v>
      </c>
      <c r="P340" s="9"/>
      <c r="Q340" s="7">
        <v>9920.74</v>
      </c>
      <c r="R340" s="8">
        <f>IFERROR(Q340/Q444, "NA")</f>
        <v>6.0399888670364891E-3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-9920.74</v>
      </c>
      <c r="X340" s="8">
        <f>IFERROR(W340/W444, "NA")</f>
        <v>-0.26014898712043993</v>
      </c>
      <c r="Y340" s="9"/>
      <c r="Z340" s="7">
        <v>4046.23</v>
      </c>
      <c r="AA340" s="8">
        <f>IFERROR(Z340/Z444, "NA")</f>
        <v>2.7739217855834277E-3</v>
      </c>
      <c r="AB340" s="9"/>
      <c r="AC340" s="10">
        <f t="shared" si="87"/>
        <v>-5874.51</v>
      </c>
      <c r="AD340" s="8">
        <f>IFERROR(AC340/AC444, "NA")</f>
        <v>-3.1954125387785456E-2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1.7924301145798352E-3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4.7162947194792767E-3</v>
      </c>
      <c r="J341" s="9"/>
      <c r="K341" s="7">
        <v>351.45</v>
      </c>
      <c r="L341" s="8">
        <f>IFERROR(K341/K444, "NA")</f>
        <v>1.2907478955796153E-3</v>
      </c>
      <c r="M341" s="9"/>
      <c r="N341" s="10">
        <f t="shared" si="85"/>
        <v>-28.720000000000027</v>
      </c>
      <c r="O341" s="8">
        <f>IFERROR(N341/N444, "NA")</f>
        <v>4.7718365938391179E-4</v>
      </c>
      <c r="P341" s="9"/>
      <c r="Q341" s="7">
        <v>3421.53</v>
      </c>
      <c r="R341" s="8">
        <f>IFERROR(Q341/Q444, "NA")</f>
        <v>2.08311104899749E-3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-3421.53</v>
      </c>
      <c r="X341" s="8">
        <f>IFERROR(W341/W444, "NA")</f>
        <v>-8.9721892107060455E-2</v>
      </c>
      <c r="Y341" s="9"/>
      <c r="Z341" s="7">
        <v>3163.05</v>
      </c>
      <c r="AA341" s="8">
        <f>IFERROR(Z341/Z444, "NA")</f>
        <v>2.1684514483580174E-3</v>
      </c>
      <c r="AB341" s="9"/>
      <c r="AC341" s="10">
        <f t="shared" si="87"/>
        <v>-258.48</v>
      </c>
      <c r="AD341" s="8">
        <f>IFERROR(AC341/AC444, "NA")</f>
        <v>-1.4059900026103941E-3</v>
      </c>
    </row>
    <row r="342" spans="1:30" ht="16.5" customHeight="1" x14ac:dyDescent="0.45">
      <c r="A342" s="13" t="s">
        <v>312</v>
      </c>
      <c r="B342" s="14">
        <f>IFERROR(B337+B338+B339+B340+B341, "NA")</f>
        <v>7948.63</v>
      </c>
      <c r="C342" s="15">
        <f>IFERROR(B342/B444, "NA")</f>
        <v>3.7476296871538299E-2</v>
      </c>
      <c r="D342" s="2"/>
      <c r="E342" s="14">
        <f>IFERROR(E337+E338+E339+E340+E341, "NA")</f>
        <v>4346.84</v>
      </c>
      <c r="F342" s="15">
        <f>IFERROR(E342/E444, "NA")</f>
        <v>1.4850568131154441E-2</v>
      </c>
      <c r="G342" s="2"/>
      <c r="H342" s="14">
        <f t="shared" si="84"/>
        <v>-3601.79</v>
      </c>
      <c r="I342" s="15">
        <f>IFERROR(H342/H444, "NA")</f>
        <v>4.4682913322127635E-2</v>
      </c>
      <c r="J342" s="2"/>
      <c r="K342" s="14">
        <f>IFERROR(K337+K338+K339+K340+K341, "NA")</f>
        <v>4408.3</v>
      </c>
      <c r="L342" s="15">
        <f>IFERROR(K342/K444, "NA")</f>
        <v>1.6190080944895772E-2</v>
      </c>
      <c r="M342" s="2"/>
      <c r="N342" s="14">
        <f t="shared" si="85"/>
        <v>-3540.33</v>
      </c>
      <c r="O342" s="15">
        <f>IFERROR(N342/N444, "NA")</f>
        <v>5.8822688886721548E-2</v>
      </c>
      <c r="P342" s="2"/>
      <c r="Q342" s="14">
        <f>IFERROR(Q337+Q338+Q339+Q340+Q341, "NA")</f>
        <v>50685.47</v>
      </c>
      <c r="R342" s="15">
        <f>IFERROR(Q342/Q444, "NA")</f>
        <v>3.0858552337881245E-2</v>
      </c>
      <c r="S342" s="2"/>
      <c r="T342" s="14">
        <f>IFERROR(T337+T338+T339+T340+T341, "NA")</f>
        <v>36833.589999999997</v>
      </c>
      <c r="U342" s="15">
        <f>IFERROR(T342/T444, "NA")</f>
        <v>2.2958220093221231E-2</v>
      </c>
      <c r="V342" s="2"/>
      <c r="W342" s="14">
        <f t="shared" si="86"/>
        <v>-13851.880000000005</v>
      </c>
      <c r="X342" s="15">
        <f>IFERROR(W342/W444, "NA")</f>
        <v>-0.36323424983558494</v>
      </c>
      <c r="Y342" s="2"/>
      <c r="Z342" s="14">
        <f>IFERROR(Z337+Z338+Z339+Z340+Z341, "NA")</f>
        <v>34984.959999999999</v>
      </c>
      <c r="AA342" s="15">
        <f>IFERROR(Z342/Z444, "NA")</f>
        <v>2.3984188420273882E-2</v>
      </c>
      <c r="AB342" s="2"/>
      <c r="AC342" s="14">
        <f t="shared" si="87"/>
        <v>-15700.510000000002</v>
      </c>
      <c r="AD342" s="15">
        <f>IFERROR(AC342/AC444, "NA")</f>
        <v>-8.5402197833041316E-2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21353.979999999996</v>
      </c>
      <c r="C343" s="15">
        <f>IFERROR(B343/B444, "NA")</f>
        <v>0.10068000320418628</v>
      </c>
      <c r="D343" s="2"/>
      <c r="E343" s="14">
        <f>IFERROR(E328+E329+E330+E331+E332+E333+E334+E335+E337+E338+E339+E340+E341, "NA")</f>
        <v>17514.84</v>
      </c>
      <c r="F343" s="15">
        <f>IFERROR(E343/E444, "NA")</f>
        <v>5.9837795899151815E-2</v>
      </c>
      <c r="G343" s="2"/>
      <c r="H343" s="14">
        <f t="shared" si="84"/>
        <v>-3839.1399999999958</v>
      </c>
      <c r="I343" s="15">
        <f>IFERROR(H343/H444, "NA")</f>
        <v>4.7627418547864508E-2</v>
      </c>
      <c r="J343" s="2"/>
      <c r="K343" s="14">
        <f>IFERROR(K328+K329+K330+K331+K332+K333+K334+K335+K337+K338+K339+K340+K341, "NA")</f>
        <v>17588.43</v>
      </c>
      <c r="L343" s="15">
        <f>IFERROR(K343/K444, "NA")</f>
        <v>6.4595899869254167E-2</v>
      </c>
      <c r="M343" s="2"/>
      <c r="N343" s="14">
        <f t="shared" si="85"/>
        <v>-3765.5499999999956</v>
      </c>
      <c r="O343" s="15">
        <f>IFERROR(N343/N444, "NA")</f>
        <v>6.2564725925943088E-2</v>
      </c>
      <c r="P343" s="2"/>
      <c r="Q343" s="14">
        <f>IFERROR(Q328+Q329+Q330+Q331+Q332+Q333+Q334+Q335+Q337+Q338+Q339+Q340+Q341, "NA")</f>
        <v>160975.74999999997</v>
      </c>
      <c r="R343" s="15">
        <f>IFERROR(Q343/Q444, "NA")</f>
        <v>9.8005969097350501E-2</v>
      </c>
      <c r="S343" s="2"/>
      <c r="T343" s="14">
        <f>IFERROR(T328+T329+T330+T331+T332+T333+T334+T335+T337+T338+T339+T340+T341, "NA")</f>
        <v>141293.59</v>
      </c>
      <c r="U343" s="15">
        <f>IFERROR(T343/T444, "NA")</f>
        <v>8.8067694106964939E-2</v>
      </c>
      <c r="V343" s="2"/>
      <c r="W343" s="14">
        <f t="shared" si="86"/>
        <v>-19682.159999999974</v>
      </c>
      <c r="X343" s="15">
        <f>IFERROR(W343/W444, "NA")</f>
        <v>-0.51612016728010535</v>
      </c>
      <c r="Y343" s="2"/>
      <c r="Z343" s="14">
        <f>IFERROR(Z328+Z329+Z330+Z331+Z332+Z333+Z334+Z335+Z337+Z338+Z339+Z340+Z341, "NA")</f>
        <v>139388.91999999998</v>
      </c>
      <c r="AA343" s="15">
        <f>IFERROR(Z343/Z444, "NA")</f>
        <v>9.5559066552555222E-2</v>
      </c>
      <c r="AB343" s="2"/>
      <c r="AC343" s="14">
        <f t="shared" si="87"/>
        <v>-21586.829999999987</v>
      </c>
      <c r="AD343" s="15">
        <f>IFERROR(AC343/AC444, "NA")</f>
        <v>-0.1174205631694913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21353.979999999996</v>
      </c>
      <c r="C344" s="15">
        <f>IFERROR(B344/B444, "NA")</f>
        <v>0.10068000320418628</v>
      </c>
      <c r="D344" s="2"/>
      <c r="E344" s="14">
        <f>IFERROR(E328+E329+E330+E331+E332+E333+E334+E335+E337+E338+E339+E340+E341, "NA")</f>
        <v>17514.84</v>
      </c>
      <c r="F344" s="15">
        <f>IFERROR(E344/E444, "NA")</f>
        <v>5.9837795899151815E-2</v>
      </c>
      <c r="G344" s="2"/>
      <c r="H344" s="14">
        <f t="shared" si="84"/>
        <v>-3839.1399999999958</v>
      </c>
      <c r="I344" s="15">
        <f>IFERROR(H344/H444, "NA")</f>
        <v>4.7627418547864508E-2</v>
      </c>
      <c r="J344" s="2"/>
      <c r="K344" s="14">
        <f>IFERROR(K328+K329+K330+K331+K332+K333+K334+K335+K337+K338+K339+K340+K341, "NA")</f>
        <v>17588.43</v>
      </c>
      <c r="L344" s="15">
        <f>IFERROR(K344/K444, "NA")</f>
        <v>6.4595899869254167E-2</v>
      </c>
      <c r="M344" s="2"/>
      <c r="N344" s="14">
        <f t="shared" si="85"/>
        <v>-3765.5499999999956</v>
      </c>
      <c r="O344" s="15">
        <f>IFERROR(N344/N444, "NA")</f>
        <v>6.2564725925943088E-2</v>
      </c>
      <c r="P344" s="2"/>
      <c r="Q344" s="14">
        <f>IFERROR(Q328+Q329+Q330+Q331+Q332+Q333+Q334+Q335+Q337+Q338+Q339+Q340+Q341, "NA")</f>
        <v>160975.74999999997</v>
      </c>
      <c r="R344" s="15">
        <f>IFERROR(Q344/Q444, "NA")</f>
        <v>9.8005969097350501E-2</v>
      </c>
      <c r="S344" s="2"/>
      <c r="T344" s="14">
        <f>IFERROR(T328+T329+T330+T331+T332+T333+T334+T335+T337+T338+T339+T340+T341, "NA")</f>
        <v>141293.59</v>
      </c>
      <c r="U344" s="15">
        <f>IFERROR(T344/T444, "NA")</f>
        <v>8.8067694106964939E-2</v>
      </c>
      <c r="V344" s="2"/>
      <c r="W344" s="14">
        <f t="shared" si="86"/>
        <v>-19682.159999999974</v>
      </c>
      <c r="X344" s="15">
        <f>IFERROR(W344/W444, "NA")</f>
        <v>-0.51612016728010535</v>
      </c>
      <c r="Y344" s="2"/>
      <c r="Z344" s="14">
        <f>IFERROR(Z328+Z329+Z330+Z331+Z332+Z333+Z334+Z335+Z337+Z338+Z339+Z340+Z341, "NA")</f>
        <v>139388.91999999998</v>
      </c>
      <c r="AA344" s="15">
        <f>IFERROR(Z344/Z444, "NA")</f>
        <v>9.5559066552555222E-2</v>
      </c>
      <c r="AB344" s="2"/>
      <c r="AC344" s="14">
        <f t="shared" si="87"/>
        <v>-21586.829999999987</v>
      </c>
      <c r="AD344" s="15">
        <f>IFERROR(AC344/AC444, "NA")</f>
        <v>-0.1174205631694913</v>
      </c>
    </row>
    <row r="345" spans="1:30" ht="16.5" customHeight="1" x14ac:dyDescent="0.45">
      <c r="A345" s="22" t="s">
        <v>315</v>
      </c>
      <c r="B345" s="23">
        <f>IFERROR(B198-B325-B344, "NA")</f>
        <v>30728.889999999992</v>
      </c>
      <c r="C345" s="24">
        <f>IFERROR(B345/B444, "NA")</f>
        <v>0.14488094227217069</v>
      </c>
      <c r="D345" s="25"/>
      <c r="E345" s="23">
        <f>IFERROR(E198-E325-E344, "NA")</f>
        <v>68396.539999999979</v>
      </c>
      <c r="F345" s="24">
        <f>IFERROR(E345/E444, "NA")</f>
        <v>0.23367031618491357</v>
      </c>
      <c r="G345" s="25"/>
      <c r="H345" s="23">
        <f>IFERROR(B345-E345, "NA")</f>
        <v>-37667.649999999987</v>
      </c>
      <c r="I345" s="24">
        <f>IFERROR(H345/H444, "NA")</f>
        <v>0.46729552250359974</v>
      </c>
      <c r="J345" s="25"/>
      <c r="K345" s="23">
        <f>IFERROR(K198-K325-K344, "NA")</f>
        <v>48059.680000000015</v>
      </c>
      <c r="L345" s="24">
        <f>IFERROR(K345/K444, "NA")</f>
        <v>0.17650570727622636</v>
      </c>
      <c r="M345" s="25"/>
      <c r="N345" s="23">
        <f>IFERROR(B345-K345, "NA")</f>
        <v>-17330.790000000023</v>
      </c>
      <c r="O345" s="24">
        <f>IFERROR(N345/N444, "NA")</f>
        <v>0.28795159443642437</v>
      </c>
      <c r="P345" s="25"/>
      <c r="Q345" s="23">
        <f>IFERROR(Q198-Q325-Q344, "NA")</f>
        <v>196089.58999999971</v>
      </c>
      <c r="R345" s="24">
        <f>IFERROR(Q345/Q444, "NA")</f>
        <v>0.11938413268987474</v>
      </c>
      <c r="S345" s="25"/>
      <c r="T345" s="23">
        <f>IFERROR(T198-T325-T344, "NA")</f>
        <v>259661.94000000015</v>
      </c>
      <c r="U345" s="24">
        <f>IFERROR(T345/T444, "NA")</f>
        <v>0.16184618356105962</v>
      </c>
      <c r="V345" s="25"/>
      <c r="W345" s="23">
        <f>IFERROR(Q345-T345, "NA")</f>
        <v>-63572.350000000442</v>
      </c>
      <c r="X345" s="24">
        <f>IFERROR(W345/W444, "NA")</f>
        <v>-1.6670412148051674</v>
      </c>
      <c r="Y345" s="25"/>
      <c r="Z345" s="23">
        <f>IFERROR(Z198-Z325-Z344, "NA")</f>
        <v>215018.23999999918</v>
      </c>
      <c r="AA345" s="24">
        <f>IFERROR(Z345/Z444, "NA")</f>
        <v>0.14740728535792669</v>
      </c>
      <c r="AB345" s="25"/>
      <c r="AC345" s="23">
        <f>IFERROR(Q345-Z345, "NA")</f>
        <v>-18928.64999999947</v>
      </c>
      <c r="AD345" s="24">
        <f>IFERROR(AC345/AC444, "NA")</f>
        <v>-0.1029615160279731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30728.889999999992</v>
      </c>
      <c r="C404" s="24">
        <f>IFERROR(B404/B444, "NA")</f>
        <v>0.14488094227217069</v>
      </c>
      <c r="D404" s="25"/>
      <c r="E404" s="23">
        <f>IFERROR(E345-E403, "NA")</f>
        <v>68396.539999999979</v>
      </c>
      <c r="F404" s="24">
        <f>IFERROR(E404/E444, "NA")</f>
        <v>0.23367031618491357</v>
      </c>
      <c r="G404" s="25"/>
      <c r="H404" s="23">
        <f>IFERROR(B404-E404, "NA")</f>
        <v>-37667.649999999987</v>
      </c>
      <c r="I404" s="24">
        <f>IFERROR(H404/H444, "NA")</f>
        <v>0.46729552250359974</v>
      </c>
      <c r="J404" s="25"/>
      <c r="K404" s="23">
        <f>IFERROR(K345-K403, "NA")</f>
        <v>48059.680000000015</v>
      </c>
      <c r="L404" s="24">
        <f>IFERROR(K404/K444, "NA")</f>
        <v>0.17650570727622636</v>
      </c>
      <c r="M404" s="25"/>
      <c r="N404" s="23">
        <f>IFERROR(B404-K404, "NA")</f>
        <v>-17330.790000000023</v>
      </c>
      <c r="O404" s="24">
        <f>IFERROR(N404/N444, "NA")</f>
        <v>0.28795159443642437</v>
      </c>
      <c r="P404" s="25"/>
      <c r="Q404" s="23">
        <f>IFERROR(Q345-Q403, "NA")</f>
        <v>196089.58999999971</v>
      </c>
      <c r="R404" s="24">
        <f>IFERROR(Q404/Q444, "NA")</f>
        <v>0.11938413268987474</v>
      </c>
      <c r="S404" s="25"/>
      <c r="T404" s="23">
        <f>IFERROR(T345-T403, "NA")</f>
        <v>259661.94000000015</v>
      </c>
      <c r="U404" s="24">
        <f>IFERROR(T404/T444, "NA")</f>
        <v>0.16184618356105962</v>
      </c>
      <c r="V404" s="25"/>
      <c r="W404" s="23">
        <f>IFERROR(Q404-T404, "NA")</f>
        <v>-63572.350000000442</v>
      </c>
      <c r="X404" s="24">
        <f>IFERROR(W404/W444, "NA")</f>
        <v>-1.6670412148051674</v>
      </c>
      <c r="Y404" s="25"/>
      <c r="Z404" s="23">
        <f>IFERROR(Z345-Z403, "NA")</f>
        <v>215018.23999999918</v>
      </c>
      <c r="AA404" s="24">
        <f>IFERROR(Z404/Z444, "NA")</f>
        <v>0.14740728535792669</v>
      </c>
      <c r="AB404" s="25"/>
      <c r="AC404" s="23">
        <f>IFERROR(Q404-Z404, "NA")</f>
        <v>-18928.64999999947</v>
      </c>
      <c r="AD404" s="24">
        <f>IFERROR(AC404/AC444, "NA")</f>
        <v>-0.1029615160279731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-2.7422284799266753E-5</v>
      </c>
      <c r="AB407" s="9"/>
      <c r="AC407" s="10">
        <f t="shared" ref="AC407:AC429" si="103">IFERROR(-(Q407-Z407), "NA")</f>
        <v>-40</v>
      </c>
      <c r="AD407" s="8">
        <f>IFERROR(AC407/AC444, "NA")</f>
        <v>-2.1757814958378116E-4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4722.2299999999996</v>
      </c>
      <c r="L408" s="8">
        <f>IFERROR(K408/K444, "NA")</f>
        <v>1.7343031540597315E-2</v>
      </c>
      <c r="M408" s="9"/>
      <c r="N408" s="10">
        <f t="shared" si="101"/>
        <v>4722.2299999999996</v>
      </c>
      <c r="O408" s="8">
        <f>IFERROR(N408/N444, "NA")</f>
        <v>-7.8459992752523938E-2</v>
      </c>
      <c r="P408" s="9"/>
      <c r="Q408" s="7">
        <v>250</v>
      </c>
      <c r="R408" s="8">
        <f>IFERROR(Q408/Q444, "NA")</f>
        <v>1.5220610728223119E-4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-6.5556850376191685E-3</v>
      </c>
      <c r="Y408" s="9"/>
      <c r="Z408" s="7">
        <v>5688.23</v>
      </c>
      <c r="AA408" s="8">
        <f>IFERROR(Z408/Z444, "NA")</f>
        <v>3.8996065765933277E-3</v>
      </c>
      <c r="AB408" s="9"/>
      <c r="AC408" s="10">
        <f t="shared" si="103"/>
        <v>5438.23</v>
      </c>
      <c r="AD408" s="8">
        <f>IFERROR(AC408/AC444, "NA")</f>
        <v>2.9581000510275155E-2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3920.93</v>
      </c>
      <c r="C410" s="8">
        <f>IFERROR(B410/B444, "NA")</f>
        <v>1.8486448192018078E-2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-3920.93</v>
      </c>
      <c r="I410" s="8">
        <f>IFERROR(H410/H444, "NA")</f>
        <v>4.8642084999994423E-2</v>
      </c>
      <c r="J410" s="9"/>
      <c r="K410" s="7">
        <v>4690.57</v>
      </c>
      <c r="L410" s="8">
        <f>IFERROR(K410/K444, "NA")</f>
        <v>1.7226755887235386E-2</v>
      </c>
      <c r="M410" s="9"/>
      <c r="N410" s="10">
        <f t="shared" si="101"/>
        <v>769.63999999999987</v>
      </c>
      <c r="O410" s="8">
        <f>IFERROR(N410/N444, "NA")</f>
        <v>-1.2787591629813144E-2</v>
      </c>
      <c r="P410" s="9"/>
      <c r="Q410" s="7">
        <v>30906.23</v>
      </c>
      <c r="R410" s="8">
        <f>IFERROR(Q410/Q444, "NA")</f>
        <v>1.8816467836277249E-2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-30906.23</v>
      </c>
      <c r="X410" s="8">
        <f>IFERROR(W410/W444, "NA")</f>
        <v>-0.8104460383208667</v>
      </c>
      <c r="Y410" s="9"/>
      <c r="Z410" s="7">
        <v>41519.06</v>
      </c>
      <c r="AA410" s="8">
        <f>IFERROR(Z410/Z444, "NA")</f>
        <v>2.8463687197946105E-2</v>
      </c>
      <c r="AB410" s="9"/>
      <c r="AC410" s="10">
        <f t="shared" si="103"/>
        <v>10612.829999999998</v>
      </c>
      <c r="AD410" s="8">
        <f>IFERROR(AC410/AC444, "NA")</f>
        <v>5.7727997831180995E-2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31.84</v>
      </c>
      <c r="C417" s="8">
        <f>IFERROR(B417/B444, "NA")</f>
        <v>1.5011961714028448E-4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-31.84</v>
      </c>
      <c r="I417" s="8">
        <f>IFERROR(H417/H444, "NA")</f>
        <v>3.949991421422526E-4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-31.84</v>
      </c>
      <c r="O417" s="8">
        <f>IFERROR(N417/N444, "NA")</f>
        <v>5.2902255274316632E-4</v>
      </c>
      <c r="P417" s="9"/>
      <c r="Q417" s="7">
        <v>81.400000000000006</v>
      </c>
      <c r="R417" s="8">
        <f>IFERROR(Q417/Q444, "NA")</f>
        <v>4.9558308531094481E-5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-81.400000000000006</v>
      </c>
      <c r="X417" s="8">
        <f>IFERROR(W417/W444, "NA")</f>
        <v>-2.1345310482488015E-3</v>
      </c>
      <c r="Y417" s="9"/>
      <c r="Z417" s="7">
        <v>-135.87</v>
      </c>
      <c r="AA417" s="8">
        <f>IFERROR(Z417/Z444, "NA")</f>
        <v>-9.3146645891909339E-5</v>
      </c>
      <c r="AB417" s="9"/>
      <c r="AC417" s="10">
        <f t="shared" si="103"/>
        <v>-217.27</v>
      </c>
      <c r="AD417" s="8">
        <f>IFERROR(AC417/AC444, "NA")</f>
        <v>-1.1818301140017035E-3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-110</v>
      </c>
      <c r="C421" s="8">
        <f>IFERROR(B421/B444, "NA")</f>
        <v>-5.1862933057259084E-4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110</v>
      </c>
      <c r="I421" s="8">
        <f>IFERROR(H421/H444, "NA")</f>
        <v>-1.3646327146874305E-3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110</v>
      </c>
      <c r="O421" s="8">
        <f>IFERROR(N421/N444, "NA")</f>
        <v>-1.8276532915121953E-3</v>
      </c>
      <c r="P421" s="9"/>
      <c r="Q421" s="7">
        <v>-160</v>
      </c>
      <c r="R421" s="8">
        <f>IFERROR(Q421/Q444, "NA")</f>
        <v>-9.7411908660627962E-5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4.1956384240762678E-3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8.7031259833512465E-4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3842.77</v>
      </c>
      <c r="C428" s="15">
        <f>IFERROR(B428/B444, "NA")</f>
        <v>1.8117938478585772E-2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-3842.77</v>
      </c>
      <c r="I428" s="15">
        <f>IFERROR(H428/H444, "NA")</f>
        <v>4.7672451427449247E-2</v>
      </c>
      <c r="J428" s="2"/>
      <c r="K428" s="14">
        <f>IFERROR(K407+K408+K409+K410+K411+K412+K413+K414+K415+K416+K417+K418+K419+K420+K421+K422+K423+K424+K425+K426+K427, "NA")</f>
        <v>9412.7999999999993</v>
      </c>
      <c r="L428" s="15">
        <f>IFERROR(K428/K444, "NA")</f>
        <v>3.4569787427832704E-2</v>
      </c>
      <c r="M428" s="2"/>
      <c r="N428" s="14">
        <f t="shared" si="101"/>
        <v>5570.0299999999988</v>
      </c>
      <c r="O428" s="15">
        <f>IFERROR(N428/N444, "NA")</f>
        <v>-9.2546215121106098E-2</v>
      </c>
      <c r="P428" s="2"/>
      <c r="Q428" s="14">
        <f>IFERROR(Q407+Q408+Q409+Q410+Q411+Q412+Q413+Q414+Q415+Q416+Q417+Q418+Q419+Q420+Q421+Q422+Q423+Q424+Q425+Q426+Q427, "NA")</f>
        <v>31077.63</v>
      </c>
      <c r="R428" s="15">
        <f>IFERROR(Q428/Q444, "NA")</f>
        <v>1.8920820343429949E-2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-31077.63</v>
      </c>
      <c r="X428" s="15">
        <f>IFERROR(W428/W444, "NA")</f>
        <v>-0.81494061598265843</v>
      </c>
      <c r="Y428" s="2"/>
      <c r="Z428" s="14">
        <f>IFERROR(Z407+Z408+Z409+Z410+Z411+Z412+Z413+Z414+Z415+Z416+Z417+Z418+Z419+Z420+Z421+Z422+Z423+Z424+Z425+Z426+Z427, "NA")</f>
        <v>47031.419999999991</v>
      </c>
      <c r="AA428" s="15">
        <f>IFERROR(Z428/Z444, "NA")</f>
        <v>3.2242724843848249E-2</v>
      </c>
      <c r="AB428" s="2"/>
      <c r="AC428" s="14">
        <f t="shared" si="103"/>
        <v>15953.78999999999</v>
      </c>
      <c r="AD428" s="15">
        <f>IFERROR(AC428/AC444, "NA")</f>
        <v>8.677990267620575E-2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3842.77</v>
      </c>
      <c r="C429" s="15">
        <f>IFERROR(B429/B444, "NA")</f>
        <v>1.8117938478585772E-2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-3842.77</v>
      </c>
      <c r="I429" s="15">
        <f>IFERROR(H429/H444, "NA")</f>
        <v>4.7672451427449247E-2</v>
      </c>
      <c r="J429" s="2"/>
      <c r="K429" s="14">
        <f>IFERROR(K407+K408+K409+K410+K411+K412+K413+K414+K415+K416+K417+K418+K419+K420+K421+K422+K423+K424+K425+K426+K427, "NA")</f>
        <v>9412.7999999999993</v>
      </c>
      <c r="L429" s="15">
        <f>IFERROR(K429/K444, "NA")</f>
        <v>3.4569787427832704E-2</v>
      </c>
      <c r="M429" s="2"/>
      <c r="N429" s="14">
        <f t="shared" si="101"/>
        <v>5570.0299999999988</v>
      </c>
      <c r="O429" s="15">
        <f>IFERROR(N429/N444, "NA")</f>
        <v>-9.2546215121106098E-2</v>
      </c>
      <c r="P429" s="2"/>
      <c r="Q429" s="14">
        <f>IFERROR(Q407+Q408+Q409+Q410+Q411+Q412+Q413+Q414+Q415+Q416+Q417+Q418+Q419+Q420+Q421+Q422+Q423+Q424+Q425+Q426+Q427, "NA")</f>
        <v>31077.63</v>
      </c>
      <c r="R429" s="15">
        <f>IFERROR(Q429/Q444, "NA")</f>
        <v>1.8920820343429949E-2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-31077.63</v>
      </c>
      <c r="X429" s="15">
        <f>IFERROR(W429/W444, "NA")</f>
        <v>-0.81494061598265843</v>
      </c>
      <c r="Y429" s="2"/>
      <c r="Z429" s="14">
        <f>IFERROR(Z407+Z408+Z409+Z410+Z411+Z412+Z413+Z414+Z415+Z416+Z417+Z418+Z419+Z420+Z421+Z422+Z423+Z424+Z425+Z426+Z427, "NA")</f>
        <v>47031.419999999991</v>
      </c>
      <c r="AA429" s="15">
        <f>IFERROR(Z429/Z444, "NA")</f>
        <v>3.2242724843848249E-2</v>
      </c>
      <c r="AB429" s="2"/>
      <c r="AC429" s="14">
        <f t="shared" si="103"/>
        <v>15953.78999999999</v>
      </c>
      <c r="AD429" s="15">
        <f>IFERROR(AC429/AC444, "NA")</f>
        <v>8.677990267620575E-2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26886.119999999992</v>
      </c>
      <c r="C443" s="24">
        <f>IFERROR(B443/B444, "NA")</f>
        <v>0.12676300379358493</v>
      </c>
      <c r="D443" s="25"/>
      <c r="E443" s="23">
        <f>IFERROR(E404-E429-E442, "NA")</f>
        <v>68396.539999999979</v>
      </c>
      <c r="F443" s="24">
        <f>IFERROR(E443/E444, "NA")</f>
        <v>0.23367031618491357</v>
      </c>
      <c r="G443" s="25"/>
      <c r="H443" s="23">
        <f>IFERROR(B443-E443, "NA")</f>
        <v>-41510.419999999984</v>
      </c>
      <c r="I443" s="24">
        <f>IFERROR(H443/H444, "NA")</f>
        <v>0.51496797393104898</v>
      </c>
      <c r="J443" s="25"/>
      <c r="K443" s="23">
        <f>IFERROR(K404-K429-K442, "NA")</f>
        <v>38646.880000000019</v>
      </c>
      <c r="L443" s="24">
        <f>IFERROR(K443/K444, "NA")</f>
        <v>0.14193591984839365</v>
      </c>
      <c r="M443" s="25"/>
      <c r="N443" s="23">
        <f>IFERROR(B443-K443, "NA")</f>
        <v>-11760.760000000028</v>
      </c>
      <c r="O443" s="24">
        <f>IFERROR(N443/N444, "NA")</f>
        <v>0.19540537931531834</v>
      </c>
      <c r="P443" s="25"/>
      <c r="Q443" s="23">
        <f>IFERROR(Q404-Q429-Q442, "NA")</f>
        <v>165011.9599999997</v>
      </c>
      <c r="R443" s="24">
        <f>IFERROR(Q443/Q444, "NA")</f>
        <v>0.10046331234644479</v>
      </c>
      <c r="S443" s="25"/>
      <c r="T443" s="23">
        <f>IFERROR(T404-T429-T442, "NA")</f>
        <v>259661.94000000015</v>
      </c>
      <c r="U443" s="24">
        <f>IFERROR(T443/T444, "NA")</f>
        <v>0.16184618356105962</v>
      </c>
      <c r="V443" s="25"/>
      <c r="W443" s="23">
        <f>IFERROR(Q443-T443, "NA")</f>
        <v>-94649.980000000447</v>
      </c>
      <c r="X443" s="24">
        <f>IFERROR(W443/W444, "NA")</f>
        <v>-2.4819818307878259</v>
      </c>
      <c r="Y443" s="25"/>
      <c r="Z443" s="23">
        <f>IFERROR(Z404-Z429-Z442, "NA")</f>
        <v>167986.81999999919</v>
      </c>
      <c r="AA443" s="24">
        <f>IFERROR(Z443/Z444, "NA")</f>
        <v>0.11516456051407845</v>
      </c>
      <c r="AB443" s="25"/>
      <c r="AC443" s="23">
        <f>IFERROR(Q443-Z443, "NA")</f>
        <v>-2974.8599999994913</v>
      </c>
      <c r="AD443" s="24">
        <f>IFERROR(AC443/AC444, "NA")</f>
        <v>-1.6181613351767415E-2</v>
      </c>
    </row>
    <row r="444" spans="1:30" ht="15.75" hidden="1" x14ac:dyDescent="0.45">
      <c r="A444" s="26" t="s">
        <v>117</v>
      </c>
      <c r="B444" s="7">
        <v>212097.53</v>
      </c>
      <c r="C444" s="27"/>
      <c r="D444" s="9"/>
      <c r="E444" s="7">
        <v>292705.3</v>
      </c>
      <c r="F444" s="27"/>
      <c r="G444" s="9"/>
      <c r="H444" s="10">
        <f>IFERROR(B444-E444, "NA")</f>
        <v>-80607.76999999999</v>
      </c>
      <c r="I444" s="27"/>
      <c r="J444" s="9"/>
      <c r="K444" s="7">
        <v>272284</v>
      </c>
      <c r="L444" s="27"/>
      <c r="M444" s="9"/>
      <c r="N444" s="10">
        <f>IFERROR(B444-K444, "NA")</f>
        <v>-60186.47</v>
      </c>
      <c r="O444" s="27"/>
      <c r="P444" s="9"/>
      <c r="Q444" s="7">
        <v>1642509.65</v>
      </c>
      <c r="R444" s="27"/>
      <c r="S444" s="9"/>
      <c r="T444" s="7">
        <v>1604374.81</v>
      </c>
      <c r="U444" s="27"/>
      <c r="V444" s="9"/>
      <c r="W444" s="10">
        <f>IFERROR(Q444-T444, "NA")</f>
        <v>38134.839999999851</v>
      </c>
      <c r="X444" s="27"/>
      <c r="Y444" s="9"/>
      <c r="Z444" s="7">
        <v>1458667.66</v>
      </c>
      <c r="AA444" s="27"/>
      <c r="AB444" s="9"/>
      <c r="AC444" s="10">
        <f>IFERROR(Q444-Z444, "NA")</f>
        <v>183841.99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71663.13</v>
      </c>
      <c r="F10" s="8">
        <f>IFERROR(E10/E444, "NA")</f>
        <v>0.49400001626833828</v>
      </c>
      <c r="G10" s="9"/>
      <c r="H10" s="10">
        <f t="shared" ref="H10:H19" si="0">IFERROR(B10-E10, "NA")</f>
        <v>-71663.13</v>
      </c>
      <c r="I10" s="8">
        <f>IFERROR(H10/H444, "NA")</f>
        <v>-6.5359768560278191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472558.96</v>
      </c>
      <c r="U10" s="8">
        <f>IFERROR(T10/T444, "NA")</f>
        <v>0.49400002324907882</v>
      </c>
      <c r="V10" s="9"/>
      <c r="W10" s="10">
        <f t="shared" ref="W10:W19" si="2">IFERROR(Q10-T10, "NA")</f>
        <v>-472558.96</v>
      </c>
      <c r="X10" s="8">
        <f>IFERROR(W10/W444, "NA")</f>
        <v>7.0490135446490703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54108.39</v>
      </c>
      <c r="C11" s="8">
        <f>IFERROR(B11/B444, "NA")</f>
        <v>0.34677869791267107</v>
      </c>
      <c r="D11" s="9"/>
      <c r="E11" s="7">
        <v>0</v>
      </c>
      <c r="F11" s="8">
        <f>IFERROR(E11/E444, "NA")</f>
        <v>0</v>
      </c>
      <c r="G11" s="9"/>
      <c r="H11" s="10">
        <f t="shared" si="0"/>
        <v>54108.39</v>
      </c>
      <c r="I11" s="8">
        <f>IFERROR(H11/H444, "NA")</f>
        <v>4.9349112264134583</v>
      </c>
      <c r="J11" s="9"/>
      <c r="K11" s="7">
        <v>52117.96</v>
      </c>
      <c r="L11" s="8">
        <f>IFERROR(K11/K444, "NA")</f>
        <v>0.38800947220903664</v>
      </c>
      <c r="M11" s="9"/>
      <c r="N11" s="10">
        <f t="shared" si="1"/>
        <v>1990.4300000000003</v>
      </c>
      <c r="O11" s="8">
        <f>IFERROR(N11/N444, "NA")</f>
        <v>9.1682170196281776E-2</v>
      </c>
      <c r="P11" s="9"/>
      <c r="Q11" s="7">
        <v>391693.03</v>
      </c>
      <c r="R11" s="8">
        <f>IFERROR(Q11/Q444, "NA")</f>
        <v>0.4403231955572724</v>
      </c>
      <c r="S11" s="9"/>
      <c r="T11" s="7">
        <v>0</v>
      </c>
      <c r="U11" s="8">
        <f>IFERROR(T11/T444, "NA")</f>
        <v>0</v>
      </c>
      <c r="V11" s="9"/>
      <c r="W11" s="10">
        <f t="shared" si="2"/>
        <v>391693.03</v>
      </c>
      <c r="X11" s="8">
        <f>IFERROR(W11/W444, "NA")</f>
        <v>-5.8427618721156716</v>
      </c>
      <c r="Y11" s="9"/>
      <c r="Z11" s="7">
        <v>391549.13</v>
      </c>
      <c r="AA11" s="8">
        <f>IFERROR(Z11/Z444, "NA")</f>
        <v>0.46564297606781252</v>
      </c>
      <c r="AB11" s="9"/>
      <c r="AC11" s="10">
        <f t="shared" si="3"/>
        <v>143.90000000002328</v>
      </c>
      <c r="AD11" s="8">
        <f>IFERROR(AC11/AC444, "NA")</f>
        <v>2.9560637310089514E-3</v>
      </c>
    </row>
    <row r="12" spans="1:30" ht="16.5" customHeight="1" x14ac:dyDescent="0.45">
      <c r="A12" s="12" t="s">
        <v>14</v>
      </c>
      <c r="B12" s="7">
        <v>5082.3999999999996</v>
      </c>
      <c r="C12" s="8">
        <f>IFERROR(B12/B444, "NA")</f>
        <v>3.257291622004202E-2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5082.3999999999996</v>
      </c>
      <c r="I12" s="8">
        <f>IFERROR(H12/H444, "NA")</f>
        <v>0.46353611366229447</v>
      </c>
      <c r="J12" s="9"/>
      <c r="K12" s="7">
        <v>5215.8</v>
      </c>
      <c r="L12" s="8">
        <f>IFERROR(K12/K444, "NA")</f>
        <v>3.8830756329447533E-2</v>
      </c>
      <c r="M12" s="9"/>
      <c r="N12" s="10">
        <f t="shared" si="1"/>
        <v>-133.40000000000055</v>
      </c>
      <c r="O12" s="8">
        <f>IFERROR(N12/N444, "NA")</f>
        <v>-6.1446026758961818E-3</v>
      </c>
      <c r="P12" s="9"/>
      <c r="Q12" s="7">
        <v>37884.6</v>
      </c>
      <c r="R12" s="8">
        <f>IFERROR(Q12/Q444, "NA")</f>
        <v>4.2588115837570661E-2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37884.6</v>
      </c>
      <c r="X12" s="8">
        <f>IFERROR(W12/W444, "NA")</f>
        <v>-0.56511267616978866</v>
      </c>
      <c r="Y12" s="9"/>
      <c r="Z12" s="7">
        <v>39903.15</v>
      </c>
      <c r="AA12" s="8">
        <f>IFERROR(Z12/Z444, "NA")</f>
        <v>4.7454125413279126E-2</v>
      </c>
      <c r="AB12" s="9"/>
      <c r="AC12" s="10">
        <f t="shared" si="3"/>
        <v>-2018.5500000000029</v>
      </c>
      <c r="AD12" s="8">
        <f>IFERROR(AC12/AC444, "NA")</f>
        <v>-4.1466035053698135E-2</v>
      </c>
    </row>
    <row r="13" spans="1:30" ht="16.5" customHeight="1" x14ac:dyDescent="0.45">
      <c r="A13" s="12" t="s">
        <v>15</v>
      </c>
      <c r="B13" s="7">
        <v>169.5</v>
      </c>
      <c r="C13" s="8">
        <f>IFERROR(B13/B444, "NA")</f>
        <v>1.0863193175069106E-3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169.5</v>
      </c>
      <c r="I13" s="8">
        <f>IFERROR(H13/H444, "NA")</f>
        <v>1.5459108150826168E-2</v>
      </c>
      <c r="J13" s="9"/>
      <c r="K13" s="7">
        <v>103.5</v>
      </c>
      <c r="L13" s="8">
        <f>IFERROR(K13/K444, "NA")</f>
        <v>7.7054014342916135E-4</v>
      </c>
      <c r="M13" s="9"/>
      <c r="N13" s="10">
        <f t="shared" si="1"/>
        <v>66</v>
      </c>
      <c r="O13" s="8">
        <f>IFERROR(N13/N444, "NA")</f>
        <v>3.040058295420887E-3</v>
      </c>
      <c r="P13" s="9"/>
      <c r="Q13" s="7">
        <v>1413.5</v>
      </c>
      <c r="R13" s="8">
        <f>IFERROR(Q13/Q444, "NA")</f>
        <v>1.588991351008223E-3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1413.5</v>
      </c>
      <c r="X13" s="8">
        <f>IFERROR(W13/W444, "NA")</f>
        <v>-2.1084735427218351E-2</v>
      </c>
      <c r="Y13" s="9"/>
      <c r="Z13" s="7">
        <v>1106</v>
      </c>
      <c r="AA13" s="8">
        <f>IFERROR(Z13/Z444, "NA")</f>
        <v>1.3152912165352037E-3</v>
      </c>
      <c r="AB13" s="9"/>
      <c r="AC13" s="10">
        <f t="shared" si="3"/>
        <v>307.5</v>
      </c>
      <c r="AD13" s="8">
        <f>IFERROR(AC13/AC444, "NA")</f>
        <v>6.3168144356157436E-3</v>
      </c>
    </row>
    <row r="14" spans="1:30" ht="16.5" customHeight="1" x14ac:dyDescent="0.45">
      <c r="A14" s="12" t="s">
        <v>16</v>
      </c>
      <c r="B14" s="7">
        <v>225</v>
      </c>
      <c r="C14" s="8">
        <f>IFERROR(B14/B444, "NA")</f>
        <v>1.4420167931507664E-3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225</v>
      </c>
      <c r="I14" s="8">
        <f>IFERROR(H14/H444, "NA")</f>
        <v>2.0520940023220576E-2</v>
      </c>
      <c r="J14" s="9"/>
      <c r="K14" s="7">
        <v>760</v>
      </c>
      <c r="L14" s="8">
        <f>IFERROR(K14/K444, "NA")</f>
        <v>5.6580725507841797E-3</v>
      </c>
      <c r="M14" s="9"/>
      <c r="N14" s="10">
        <f t="shared" si="1"/>
        <v>-535</v>
      </c>
      <c r="O14" s="8">
        <f>IFERROR(N14/N444, "NA")</f>
        <v>-2.4642896788639009E-2</v>
      </c>
      <c r="P14" s="9"/>
      <c r="Q14" s="7">
        <v>2435</v>
      </c>
      <c r="R14" s="8">
        <f>IFERROR(Q14/Q444, "NA")</f>
        <v>2.7373144249770239E-3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2435</v>
      </c>
      <c r="X14" s="8">
        <f>IFERROR(W14/W444, "NA")</f>
        <v>-3.632213000727038E-2</v>
      </c>
      <c r="Y14" s="9"/>
      <c r="Z14" s="7">
        <v>5460</v>
      </c>
      <c r="AA14" s="8">
        <f>IFERROR(Z14/Z444, "NA")</f>
        <v>6.4932098031484737E-3</v>
      </c>
      <c r="AB14" s="9"/>
      <c r="AC14" s="10">
        <f t="shared" si="3"/>
        <v>-3025</v>
      </c>
      <c r="AD14" s="8">
        <f>IFERROR(AC14/AC444, "NA")</f>
        <v>-6.2141020057683329E-2</v>
      </c>
    </row>
    <row r="15" spans="1:30" ht="16.5" customHeight="1" x14ac:dyDescent="0.45">
      <c r="A15" s="12" t="s">
        <v>17</v>
      </c>
      <c r="B15" s="7">
        <v>66</v>
      </c>
      <c r="C15" s="8">
        <f>IFERROR(B15/B444, "NA")</f>
        <v>4.2299159265755812E-4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66</v>
      </c>
      <c r="I15" s="8">
        <f>IFERROR(H15/H444, "NA")</f>
        <v>6.0194757401447023E-3</v>
      </c>
      <c r="J15" s="9"/>
      <c r="K15" s="7">
        <v>0</v>
      </c>
      <c r="L15" s="8">
        <f>IFERROR(K15/K444, "NA")</f>
        <v>0</v>
      </c>
      <c r="M15" s="9"/>
      <c r="N15" s="10">
        <f t="shared" si="1"/>
        <v>66</v>
      </c>
      <c r="O15" s="8">
        <f>IFERROR(N15/N444, "NA")</f>
        <v>3.040058295420887E-3</v>
      </c>
      <c r="P15" s="9"/>
      <c r="Q15" s="7">
        <v>258</v>
      </c>
      <c r="R15" s="8">
        <f>IFERROR(Q15/Q444, "NA")</f>
        <v>2.900316721330892E-4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258</v>
      </c>
      <c r="X15" s="8">
        <f>IFERROR(W15/W444, "NA")</f>
        <v>-3.8485049453288538E-3</v>
      </c>
      <c r="Y15" s="9"/>
      <c r="Z15" s="7">
        <v>375</v>
      </c>
      <c r="AA15" s="8">
        <f>IFERROR(Z15/Z444, "NA")</f>
        <v>4.4596221175470285E-4</v>
      </c>
      <c r="AB15" s="9"/>
      <c r="AC15" s="10">
        <f t="shared" si="3"/>
        <v>-117</v>
      </c>
      <c r="AD15" s="8">
        <f>IFERROR(AC15/AC444, "NA")</f>
        <v>-2.4034708584294048E-3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1.2365691447534812E-6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-1.6408354418068759E-5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2.2596734566430305E-5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59651.29</v>
      </c>
      <c r="C18" s="15">
        <f>IFERROR(B18/B444, "NA")</f>
        <v>0.38230294183602836</v>
      </c>
      <c r="D18" s="2"/>
      <c r="E18" s="14">
        <f>IFERROR(E10+E11+E12+E13+E14+E15+E16+E17, "NA")</f>
        <v>71663.13</v>
      </c>
      <c r="F18" s="15">
        <f>IFERROR(E18/E444, "NA")</f>
        <v>0.49400001626833828</v>
      </c>
      <c r="G18" s="2"/>
      <c r="H18" s="14">
        <f t="shared" si="0"/>
        <v>-12011.840000000004</v>
      </c>
      <c r="I18" s="15">
        <f>IFERROR(H18/H444, "NA")</f>
        <v>-1.0955299920378754</v>
      </c>
      <c r="J18" s="2"/>
      <c r="K18" s="14">
        <f>IFERROR(K10+K11+K12+K13+K14+K15+K16+K17, "NA")</f>
        <v>58197.26</v>
      </c>
      <c r="L18" s="15">
        <f>IFERROR(K18/K444, "NA")</f>
        <v>0.43326884123269754</v>
      </c>
      <c r="M18" s="2"/>
      <c r="N18" s="14">
        <f t="shared" si="1"/>
        <v>1454.0299999999988</v>
      </c>
      <c r="O18" s="15">
        <f>IFERROR(N18/N444, "NA")</f>
        <v>6.6974787322588311E-2</v>
      </c>
      <c r="P18" s="2"/>
      <c r="Q18" s="14">
        <f>IFERROR(Q10+Q11+Q12+Q13+Q14+Q15+Q16+Q17, "NA")</f>
        <v>433685.23</v>
      </c>
      <c r="R18" s="15">
        <f>IFERROR(Q18/Q444, "NA")</f>
        <v>0.48752888541210609</v>
      </c>
      <c r="S18" s="2"/>
      <c r="T18" s="14">
        <f>IFERROR(T10+T11+T12+T13+T14+T15+T16+T17, "NA")</f>
        <v>472558.96</v>
      </c>
      <c r="U18" s="15">
        <f>IFERROR(T18/T444, "NA")</f>
        <v>0.49400002324907882</v>
      </c>
      <c r="V18" s="2"/>
      <c r="W18" s="14">
        <f t="shared" si="2"/>
        <v>-38873.73000000004</v>
      </c>
      <c r="X18" s="15">
        <f>IFERROR(W18/W444, "NA")</f>
        <v>0.5798672176293751</v>
      </c>
      <c r="Y18" s="2"/>
      <c r="Z18" s="14">
        <f>IFERROR(Z10+Z11+Z12+Z13+Z14+Z15+Z16+Z17, "NA")</f>
        <v>438393.28</v>
      </c>
      <c r="AA18" s="15">
        <f>IFERROR(Z18/Z444, "NA")</f>
        <v>0.52135156471253008</v>
      </c>
      <c r="AB18" s="2"/>
      <c r="AC18" s="14">
        <f t="shared" si="3"/>
        <v>-4708.0500000000466</v>
      </c>
      <c r="AD18" s="15">
        <f>IFERROR(AC18/AC444, "NA")</f>
        <v>-9.6715051068621119E-2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11315.23</v>
      </c>
      <c r="F21" s="8">
        <f>IFERROR(E21/E444, "NA")</f>
        <v>7.7999995312512713E-2</v>
      </c>
      <c r="G21" s="9"/>
      <c r="H21" s="10">
        <f t="shared" ref="H21:H29" si="4">IFERROR(B21-E21, "NA")</f>
        <v>-11315.23</v>
      </c>
      <c r="I21" s="8">
        <f>IFERROR(H21/H444, "NA")</f>
        <v>-1.0319962496842052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74614.570000000007</v>
      </c>
      <c r="U21" s="8">
        <f>IFERROR(T21/T444, "NA")</f>
        <v>7.8000000919927578E-2</v>
      </c>
      <c r="V21" s="9"/>
      <c r="W21" s="10">
        <f t="shared" ref="W21:W29" si="6">IFERROR(Q21-T21, "NA")</f>
        <v>-74614.570000000007</v>
      </c>
      <c r="X21" s="8">
        <f>IFERROR(W21/W444, "NA")</f>
        <v>1.1130020993743641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6924.7</v>
      </c>
      <c r="C22" s="8">
        <f>IFERROR(B22/B444, "NA")</f>
        <v>4.4380149722360492E-2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6924.7</v>
      </c>
      <c r="I22" s="8">
        <f>IFERROR(H22/H444, "NA")</f>
        <v>0.63156157057242457</v>
      </c>
      <c r="J22" s="9"/>
      <c r="K22" s="7">
        <v>7840.77</v>
      </c>
      <c r="L22" s="8">
        <f>IFERROR(K22/K444, "NA")</f>
        <v>5.8373217781594836E-2</v>
      </c>
      <c r="M22" s="9"/>
      <c r="N22" s="10">
        <f t="shared" si="5"/>
        <v>-916.07000000000062</v>
      </c>
      <c r="O22" s="8">
        <f>IFERROR(N22/N444, "NA")</f>
        <v>-4.2195548525548694E-2</v>
      </c>
      <c r="P22" s="9"/>
      <c r="Q22" s="7">
        <v>57808.03</v>
      </c>
      <c r="R22" s="8">
        <f>IFERROR(Q22/Q444, "NA")</f>
        <v>6.4985114742712333E-2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57808.03</v>
      </c>
      <c r="X22" s="8">
        <f>IFERROR(W22/W444, "NA")</f>
        <v>-0.86230422222759195</v>
      </c>
      <c r="Y22" s="9"/>
      <c r="Z22" s="7">
        <v>51201.55</v>
      </c>
      <c r="AA22" s="8">
        <f>IFERROR(Z22/Z444, "NA")</f>
        <v>6.089055062205069E-2</v>
      </c>
      <c r="AB22" s="9"/>
      <c r="AC22" s="10">
        <f t="shared" si="7"/>
        <v>6606.4799999999959</v>
      </c>
      <c r="AD22" s="8">
        <f>IFERROR(AC22/AC444, "NA")</f>
        <v>0.13571352270766396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770.87</v>
      </c>
      <c r="C24" s="8">
        <f>IFERROR(B24/B444, "NA")</f>
        <v>4.9404777126050275E-3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770.87</v>
      </c>
      <c r="I24" s="8">
        <f>IFERROR(H24/H444, "NA")</f>
        <v>7.0306564603111313E-2</v>
      </c>
      <c r="J24" s="9"/>
      <c r="K24" s="7">
        <v>862.56</v>
      </c>
      <c r="L24" s="8">
        <f>IFERROR(K24/K444, "NA")</f>
        <v>6.4216145518478972E-3</v>
      </c>
      <c r="M24" s="9"/>
      <c r="N24" s="10">
        <f t="shared" si="5"/>
        <v>-91.689999999999941</v>
      </c>
      <c r="O24" s="8">
        <f>IFERROR(N24/N444, "NA")</f>
        <v>-4.2233779561688025E-3</v>
      </c>
      <c r="P24" s="9"/>
      <c r="Q24" s="7">
        <v>8879.19</v>
      </c>
      <c r="R24" s="8">
        <f>IFERROR(Q24/Q444, "NA")</f>
        <v>9.9815748949124202E-3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8879.19</v>
      </c>
      <c r="X24" s="8">
        <f>IFERROR(W24/W444, "NA")</f>
        <v>-0.13244808769579267</v>
      </c>
      <c r="Y24" s="9"/>
      <c r="Z24" s="7">
        <v>4230.16</v>
      </c>
      <c r="AA24" s="8">
        <f>IFERROR(Z24/Z444, "NA")</f>
        <v>5.0306440258033967E-3</v>
      </c>
      <c r="AB24" s="9"/>
      <c r="AC24" s="10">
        <f t="shared" si="7"/>
        <v>4649.0300000000007</v>
      </c>
      <c r="AD24" s="8">
        <f>IFERROR(AC24/AC444, "NA")</f>
        <v>9.550263354670134E-2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17.52</v>
      </c>
      <c r="L27" s="8">
        <f>IFERROR(K27/K444, "NA")</f>
        <v>1.3043346196018268E-4</v>
      </c>
      <c r="M27" s="9"/>
      <c r="N27" s="10">
        <f t="shared" si="5"/>
        <v>-17.52</v>
      </c>
      <c r="O27" s="8">
        <f>IFERROR(N27/N444, "NA")</f>
        <v>-8.0699729296627185E-4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1442.63</v>
      </c>
      <c r="AA27" s="8">
        <f>IFERROR(Z27/Z444, "NA")</f>
        <v>1.7156225747831655E-3</v>
      </c>
      <c r="AB27" s="9"/>
      <c r="AC27" s="10">
        <f t="shared" si="7"/>
        <v>-1442.63</v>
      </c>
      <c r="AD27" s="8">
        <f>IFERROR(AC27/AC444, "NA")</f>
        <v>-2.9635206534153954E-2</v>
      </c>
    </row>
    <row r="28" spans="1:30" ht="16.5" customHeight="1" x14ac:dyDescent="0.45">
      <c r="A28" s="12" t="s">
        <v>29</v>
      </c>
      <c r="B28" s="7">
        <v>856.57</v>
      </c>
      <c r="C28" s="8">
        <f>IFERROR(B28/B444, "NA")</f>
        <v>5.4897258867073421E-3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856.57</v>
      </c>
      <c r="I28" s="8">
        <f>IFERROR(H28/H444, "NA")</f>
        <v>7.8122762647511335E-2</v>
      </c>
      <c r="J28" s="9"/>
      <c r="K28" s="7">
        <v>898.64</v>
      </c>
      <c r="L28" s="8">
        <f>IFERROR(K28/K444, "NA")</f>
        <v>6.6902241013640723E-3</v>
      </c>
      <c r="M28" s="9"/>
      <c r="N28" s="10">
        <f t="shared" si="5"/>
        <v>-42.069999999999936</v>
      </c>
      <c r="O28" s="8">
        <f>IFERROR(N28/N444, "NA")</f>
        <v>-1.9378068558841897E-3</v>
      </c>
      <c r="P28" s="9"/>
      <c r="Q28" s="7">
        <v>7851.57</v>
      </c>
      <c r="R28" s="8">
        <f>IFERROR(Q28/Q444, "NA")</f>
        <v>8.826371999883717E-3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7851.57</v>
      </c>
      <c r="X28" s="8">
        <f>IFERROR(W28/W444, "NA")</f>
        <v>-0.11711940299843282</v>
      </c>
      <c r="Y28" s="9"/>
      <c r="Z28" s="7">
        <v>7686.36</v>
      </c>
      <c r="AA28" s="8">
        <f>IFERROR(Z28/Z444, "NA")</f>
        <v>9.1408696158476743E-3</v>
      </c>
      <c r="AB28" s="9"/>
      <c r="AC28" s="10">
        <f t="shared" si="7"/>
        <v>165.21000000000004</v>
      </c>
      <c r="AD28" s="8">
        <f>IFERROR(AC28/AC444, "NA")</f>
        <v>3.3938241070181371E-3</v>
      </c>
    </row>
    <row r="29" spans="1:30" ht="16.5" customHeight="1" x14ac:dyDescent="0.45">
      <c r="A29" s="13" t="s">
        <v>30</v>
      </c>
      <c r="B29" s="14">
        <f>IFERROR(B21+B22+B23+B24+B25+B26+B27+B28, "NA")</f>
        <v>8552.14</v>
      </c>
      <c r="C29" s="15">
        <f>IFERROR(B29/B444, "NA")</f>
        <v>5.4810353321672861E-2</v>
      </c>
      <c r="D29" s="2"/>
      <c r="E29" s="14">
        <f>IFERROR(E21+E22+E23+E24+E25+E26+E27+E28, "NA")</f>
        <v>11315.23</v>
      </c>
      <c r="F29" s="15">
        <f>IFERROR(E29/E444, "NA")</f>
        <v>7.7999995312512713E-2</v>
      </c>
      <c r="G29" s="2"/>
      <c r="H29" s="14">
        <f t="shared" si="4"/>
        <v>-2763.09</v>
      </c>
      <c r="I29" s="15">
        <f>IFERROR(H29/H444, "NA")</f>
        <v>-0.25200535186115797</v>
      </c>
      <c r="J29" s="2"/>
      <c r="K29" s="14">
        <f>IFERROR(K21+K22+K23+K24+K25+K26+K27+K28, "NA")</f>
        <v>9619.49</v>
      </c>
      <c r="L29" s="15">
        <f>IFERROR(K29/K444, "NA")</f>
        <v>7.1615489896766985E-2</v>
      </c>
      <c r="M29" s="2"/>
      <c r="N29" s="14">
        <f t="shared" si="5"/>
        <v>-1067.3500000000004</v>
      </c>
      <c r="O29" s="15">
        <f>IFERROR(N29/N444, "NA")</f>
        <v>-4.9163730630567955E-2</v>
      </c>
      <c r="P29" s="2"/>
      <c r="Q29" s="14">
        <f>IFERROR(Q21+Q22+Q23+Q24+Q25+Q26+Q27+Q28, "NA")</f>
        <v>74538.790000000008</v>
      </c>
      <c r="R29" s="15">
        <f>IFERROR(Q29/Q444, "NA")</f>
        <v>8.3793061637508492E-2</v>
      </c>
      <c r="S29" s="2"/>
      <c r="T29" s="14">
        <f>IFERROR(T21+T22+T23+T24+T25+T26+T27+T28, "NA")</f>
        <v>74614.570000000007</v>
      </c>
      <c r="U29" s="15">
        <f>IFERROR(T29/T444, "NA")</f>
        <v>7.8000000919927578E-2</v>
      </c>
      <c r="V29" s="2"/>
      <c r="W29" s="14">
        <f t="shared" si="6"/>
        <v>-75.779999999998836</v>
      </c>
      <c r="X29" s="15">
        <f>IFERROR(W29/W444, "NA")</f>
        <v>1.1303864525465739E-3</v>
      </c>
      <c r="Y29" s="2"/>
      <c r="Z29" s="14">
        <f>IFERROR(Z21+Z22+Z23+Z24+Z25+Z26+Z27+Z28, "NA")</f>
        <v>64560.700000000004</v>
      </c>
      <c r="AA29" s="15">
        <f>IFERROR(Z29/Z444, "NA")</f>
        <v>7.6777686838484932E-2</v>
      </c>
      <c r="AB29" s="2"/>
      <c r="AC29" s="14">
        <f t="shared" si="7"/>
        <v>9978.0900000000038</v>
      </c>
      <c r="AD29" s="15">
        <f>IFERROR(AC29/AC444, "NA")</f>
        <v>0.20497477382722964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35251.300000000003</v>
      </c>
      <c r="F31" s="8">
        <f>IFERROR(E31/E444, "NA")</f>
        <v>0.24300003046866742</v>
      </c>
      <c r="G31" s="9"/>
      <c r="H31" s="10">
        <f t="shared" ref="H31:H40" si="8">IFERROR(B31-E31, "NA")</f>
        <v>-35251.300000000003</v>
      </c>
      <c r="I31" s="8">
        <f>IFERROR(H31/H444, "NA")</f>
        <v>-3.2150658357358028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232453.08</v>
      </c>
      <c r="U31" s="8">
        <f>IFERROR(T31/T444, "NA")</f>
        <v>0.24299999924733195</v>
      </c>
      <c r="V31" s="9"/>
      <c r="W31" s="10">
        <f t="shared" ref="W31:W40" si="10">IFERROR(Q31-T31, "NA")</f>
        <v>-232453.08</v>
      </c>
      <c r="X31" s="8">
        <f>IFERROR(W31/W444, "NA")</f>
        <v>3.4674295656469907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11263.13</v>
      </c>
      <c r="C33" s="8">
        <f>IFERROR(B33/B444, "NA")</f>
        <v>7.2184989348623066E-2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11263.13</v>
      </c>
      <c r="I33" s="8">
        <f>IFERROR(H33/H444, "NA")</f>
        <v>1.027244512016606</v>
      </c>
      <c r="J33" s="9"/>
      <c r="K33" s="7">
        <v>13997.29</v>
      </c>
      <c r="L33" s="8">
        <f>IFERROR(K33/K444, "NA")</f>
        <v>0.1042074767557446</v>
      </c>
      <c r="M33" s="9"/>
      <c r="N33" s="10">
        <f t="shared" si="9"/>
        <v>-2734.1600000000017</v>
      </c>
      <c r="O33" s="8">
        <f>IFERROR(N33/N444, "NA")</f>
        <v>-0.12593948165163601</v>
      </c>
      <c r="P33" s="9"/>
      <c r="Q33" s="7">
        <v>95099.3</v>
      </c>
      <c r="R33" s="8">
        <f>IFERROR(Q33/Q444, "NA")</f>
        <v>0.10690623642514066</v>
      </c>
      <c r="S33" s="9"/>
      <c r="T33" s="7">
        <v>0</v>
      </c>
      <c r="U33" s="8">
        <f>IFERROR(T33/T444, "NA")</f>
        <v>0</v>
      </c>
      <c r="V33" s="9"/>
      <c r="W33" s="10">
        <f t="shared" si="10"/>
        <v>95099.3</v>
      </c>
      <c r="X33" s="8">
        <f>IFERROR(W33/W444, "NA")</f>
        <v>-1.4185663811911329</v>
      </c>
      <c r="Y33" s="9"/>
      <c r="Z33" s="7">
        <v>70595.39</v>
      </c>
      <c r="AA33" s="8">
        <f>IFERROR(Z33/Z444, "NA")</f>
        <v>8.3954336704228888E-2</v>
      </c>
      <c r="AB33" s="9"/>
      <c r="AC33" s="10">
        <f t="shared" si="11"/>
        <v>24503.910000000003</v>
      </c>
      <c r="AD33" s="8">
        <f>IFERROR(AC33/AC444, "NA")</f>
        <v>0.50337122737245199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622.16</v>
      </c>
      <c r="C35" s="8">
        <f>IFERROR(B35/B444, "NA")</f>
        <v>3.9874007467852477E-3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622.16</v>
      </c>
      <c r="I35" s="8">
        <f>IFERROR(H35/H444, "NA")</f>
        <v>5.6743591310430726E-2</v>
      </c>
      <c r="J35" s="9"/>
      <c r="K35" s="7">
        <v>1123.81</v>
      </c>
      <c r="L35" s="8">
        <f>IFERROR(K35/K444, "NA")</f>
        <v>8.3665769911799581E-3</v>
      </c>
      <c r="M35" s="9"/>
      <c r="N35" s="10">
        <f t="shared" si="9"/>
        <v>-501.65</v>
      </c>
      <c r="O35" s="8">
        <f>IFERROR(N35/N444, "NA")</f>
        <v>-2.310674611966497E-2</v>
      </c>
      <c r="P35" s="9"/>
      <c r="Q35" s="7">
        <v>11836.43</v>
      </c>
      <c r="R35" s="8">
        <f>IFERROR(Q35/Q444, "NA")</f>
        <v>1.3305967383667678E-2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11836.43</v>
      </c>
      <c r="X35" s="8">
        <f>IFERROR(W35/W444, "NA")</f>
        <v>-0.1765603077133287</v>
      </c>
      <c r="Y35" s="9"/>
      <c r="Z35" s="7">
        <v>2306.3000000000002</v>
      </c>
      <c r="AA35" s="8">
        <f>IFERROR(Z35/Z444, "NA")</f>
        <v>2.7427270639196568E-3</v>
      </c>
      <c r="AB35" s="9"/>
      <c r="AC35" s="10">
        <f t="shared" si="11"/>
        <v>9530.130000000001</v>
      </c>
      <c r="AD35" s="8">
        <f>IFERROR(AC35/AC444, "NA")</f>
        <v>0.1957725618123404</v>
      </c>
    </row>
    <row r="36" spans="1:30" ht="16.5" customHeight="1" x14ac:dyDescent="0.45">
      <c r="A36" s="12" t="s">
        <v>36</v>
      </c>
      <c r="B36" s="7">
        <v>10436.219999999999</v>
      </c>
      <c r="C36" s="8">
        <f>IFERROR(B36/B444, "NA")</f>
        <v>6.6885353320070617E-2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10436.219999999999</v>
      </c>
      <c r="I36" s="8">
        <f>IFERROR(H36/H444, "NA")</f>
        <v>0.95182686528504457</v>
      </c>
      <c r="J36" s="9"/>
      <c r="K36" s="7">
        <v>31720.19</v>
      </c>
      <c r="L36" s="8">
        <f>IFERROR(K36/K444, "NA")</f>
        <v>0.23615149519034057</v>
      </c>
      <c r="M36" s="9"/>
      <c r="N36" s="10">
        <f t="shared" si="9"/>
        <v>-21283.97</v>
      </c>
      <c r="O36" s="8">
        <f>IFERROR(N36/N444, "NA")</f>
        <v>-0.98037135693923183</v>
      </c>
      <c r="P36" s="9"/>
      <c r="Q36" s="7">
        <v>112921.44</v>
      </c>
      <c r="R36" s="8">
        <f>IFERROR(Q36/Q444, "NA")</f>
        <v>0.12694106225921048</v>
      </c>
      <c r="S36" s="9"/>
      <c r="T36" s="7">
        <v>0</v>
      </c>
      <c r="U36" s="8">
        <f>IFERROR(T36/T444, "NA")</f>
        <v>0</v>
      </c>
      <c r="V36" s="9"/>
      <c r="W36" s="10">
        <f t="shared" si="10"/>
        <v>112921.44</v>
      </c>
      <c r="X36" s="8">
        <f>IFERROR(W36/W444, "NA")</f>
        <v>-1.6844136444715327</v>
      </c>
      <c r="Y36" s="9"/>
      <c r="Z36" s="7">
        <v>112941.27</v>
      </c>
      <c r="AA36" s="8">
        <f>IFERROR(Z36/Z444, "NA")</f>
        <v>0.13431343618022687</v>
      </c>
      <c r="AB36" s="9"/>
      <c r="AC36" s="10">
        <f t="shared" si="11"/>
        <v>-19.830000000001746</v>
      </c>
      <c r="AD36" s="8">
        <f>IFERROR(AC36/AC444, "NA")</f>
        <v>-4.0735749677486577E-4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935.6</v>
      </c>
      <c r="C39" s="8">
        <f>IFERROR(B39/B444, "NA")</f>
        <v>5.996226274097142E-3</v>
      </c>
      <c r="D39" s="9"/>
      <c r="E39" s="7">
        <v>0</v>
      </c>
      <c r="F39" s="8">
        <f>IFERROR(E39/E444, "NA")</f>
        <v>0</v>
      </c>
      <c r="G39" s="9"/>
      <c r="H39" s="10">
        <f t="shared" si="8"/>
        <v>935.6</v>
      </c>
      <c r="I39" s="8">
        <f>IFERROR(H39/H444, "NA")</f>
        <v>8.5330628825445218E-2</v>
      </c>
      <c r="J39" s="9"/>
      <c r="K39" s="7">
        <v>946.48</v>
      </c>
      <c r="L39" s="8">
        <f>IFERROR(K39/K444, "NA")</f>
        <v>7.0463848787713293E-3</v>
      </c>
      <c r="M39" s="9"/>
      <c r="N39" s="10">
        <f t="shared" si="9"/>
        <v>-10.879999999999995</v>
      </c>
      <c r="O39" s="8">
        <f>IFERROR(N39/N444, "NA")</f>
        <v>-5.011490038512006E-4</v>
      </c>
      <c r="P39" s="9"/>
      <c r="Q39" s="7">
        <v>7488.3</v>
      </c>
      <c r="R39" s="8">
        <f>IFERROR(Q39/Q444, "NA")</f>
        <v>8.4180006605977208E-3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7488.3</v>
      </c>
      <c r="X39" s="8">
        <f>IFERROR(W39/W444, "NA")</f>
        <v>-0.1117006185352948</v>
      </c>
      <c r="Y39" s="9"/>
      <c r="Z39" s="7">
        <v>9734.66</v>
      </c>
      <c r="AA39" s="8">
        <f>IFERROR(Z39/Z444, "NA")</f>
        <v>1.1576774678080095E-2</v>
      </c>
      <c r="AB39" s="9"/>
      <c r="AC39" s="10">
        <f t="shared" si="11"/>
        <v>-2246.3599999999997</v>
      </c>
      <c r="AD39" s="8">
        <f>IFERROR(AC39/AC444, "NA")</f>
        <v>-4.6145818782405784E-2</v>
      </c>
    </row>
    <row r="40" spans="1:30" ht="16.5" customHeight="1" x14ac:dyDescent="0.45">
      <c r="A40" s="13" t="s">
        <v>40</v>
      </c>
      <c r="B40" s="14">
        <f>IFERROR(B31+B32+B33+B34+B35+B36+B37+B38+B39, "NA")</f>
        <v>23257.109999999997</v>
      </c>
      <c r="C40" s="15">
        <f>IFERROR(B40/B444, "NA")</f>
        <v>0.14905396968957607</v>
      </c>
      <c r="D40" s="2"/>
      <c r="E40" s="14">
        <f>IFERROR(E31+E32+E33+E34+E35+E36+E37+E38+E39, "NA")</f>
        <v>35251.300000000003</v>
      </c>
      <c r="F40" s="15">
        <f>IFERROR(E40/E444, "NA")</f>
        <v>0.24300003046866742</v>
      </c>
      <c r="G40" s="2"/>
      <c r="H40" s="14">
        <f t="shared" si="8"/>
        <v>-11994.190000000006</v>
      </c>
      <c r="I40" s="15">
        <f>IFERROR(H40/H444, "NA")</f>
        <v>-1.0939202382982762</v>
      </c>
      <c r="J40" s="2"/>
      <c r="K40" s="14">
        <f>IFERROR(K31+K32+K33+K34+K35+K36+K37+K38+K39, "NA")</f>
        <v>47787.770000000004</v>
      </c>
      <c r="L40" s="15">
        <f>IFERROR(K40/K444, "NA")</f>
        <v>0.3557719338160365</v>
      </c>
      <c r="M40" s="2"/>
      <c r="N40" s="14">
        <f t="shared" si="9"/>
        <v>-24530.660000000007</v>
      </c>
      <c r="O40" s="15">
        <f>IFERROR(N40/N444, "NA")</f>
        <v>-1.1299187337143841</v>
      </c>
      <c r="P40" s="2"/>
      <c r="Q40" s="14">
        <f>IFERROR(Q31+Q32+Q33+Q34+Q35+Q36+Q37+Q38+Q39, "NA")</f>
        <v>227345.47</v>
      </c>
      <c r="R40" s="15">
        <f>IFERROR(Q40/Q444, "NA")</f>
        <v>0.25557126672861652</v>
      </c>
      <c r="S40" s="2"/>
      <c r="T40" s="14">
        <f>IFERROR(T31+T32+T33+T34+T35+T36+T37+T38+T39, "NA")</f>
        <v>232453.08</v>
      </c>
      <c r="U40" s="15">
        <f>IFERROR(T40/T444, "NA")</f>
        <v>0.24299999924733195</v>
      </c>
      <c r="V40" s="2"/>
      <c r="W40" s="14">
        <f t="shared" si="10"/>
        <v>-5107.609999999986</v>
      </c>
      <c r="X40" s="15">
        <f>IFERROR(W40/W444, "NA")</f>
        <v>7.6188613735701752E-2</v>
      </c>
      <c r="Y40" s="2"/>
      <c r="Z40" s="14">
        <f>IFERROR(Z31+Z32+Z33+Z34+Z35+Z36+Z37+Z38+Z39, "NA")</f>
        <v>195577.62000000002</v>
      </c>
      <c r="AA40" s="15">
        <f>IFERROR(Z40/Z444, "NA")</f>
        <v>0.23258727462645554</v>
      </c>
      <c r="AB40" s="2"/>
      <c r="AC40" s="14">
        <f t="shared" si="11"/>
        <v>31767.849999999977</v>
      </c>
      <c r="AD40" s="15">
        <f>IFERROR(AC40/AC444, "NA")</f>
        <v>0.65259061290561127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23096.67</v>
      </c>
      <c r="C43" s="8">
        <f>IFERROR(B43/B444, "NA")</f>
        <v>0.14802571558160671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23096.67</v>
      </c>
      <c r="I43" s="8">
        <f>IFERROR(H43/H444, "NA")</f>
        <v>2.1065127991383021</v>
      </c>
      <c r="J43" s="9"/>
      <c r="K43" s="7">
        <v>604.15</v>
      </c>
      <c r="L43" s="8">
        <f>IFERROR(K43/K444, "NA")</f>
        <v>4.4977954362582393E-3</v>
      </c>
      <c r="M43" s="9"/>
      <c r="N43" s="10">
        <f>IFERROR(B43-K43, "NA")</f>
        <v>22492.519999999997</v>
      </c>
      <c r="O43" s="8">
        <f>IFERROR(N43/N444, "NA")</f>
        <v>1.0360389698624273</v>
      </c>
      <c r="P43" s="9"/>
      <c r="Q43" s="7">
        <v>51233.34</v>
      </c>
      <c r="R43" s="8">
        <f>IFERROR(Q43/Q444, "NA")</f>
        <v>5.7594152206058458E-2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51233.34</v>
      </c>
      <c r="X43" s="8">
        <f>IFERROR(W43/W444, "NA")</f>
        <v>-0.76423163703765329</v>
      </c>
      <c r="Y43" s="9"/>
      <c r="Z43" s="7">
        <v>3138.4</v>
      </c>
      <c r="AA43" s="8">
        <f>IFERROR(Z43/Z444, "NA")</f>
        <v>3.7322874809892254E-3</v>
      </c>
      <c r="AB43" s="9"/>
      <c r="AC43" s="10">
        <f>IFERROR(Q43-Z43, "NA")</f>
        <v>48094.939999999995</v>
      </c>
      <c r="AD43" s="8">
        <f>IFERROR(AC43/AC444, "NA")</f>
        <v>0.98798963015308294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29448.61</v>
      </c>
      <c r="F46" s="8">
        <f>IFERROR(E46/E444, "NA")</f>
        <v>0.20299997807910355</v>
      </c>
      <c r="G46" s="9"/>
      <c r="H46" s="10">
        <f t="shared" ref="H46:H62" si="12">IFERROR(B46-E46, "NA")</f>
        <v>-29448.61</v>
      </c>
      <c r="I46" s="8">
        <f>IFERROR(H46/H444, "NA")</f>
        <v>-2.6858362647876164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194189.18</v>
      </c>
      <c r="U46" s="8">
        <f>IFERROR(T46/T444, "NA")</f>
        <v>0.20299998001248257</v>
      </c>
      <c r="V46" s="9"/>
      <c r="W46" s="10">
        <f t="shared" ref="W46:W62" si="14">IFERROR(Q46-T46, "NA")</f>
        <v>-194189.18</v>
      </c>
      <c r="X46" s="8">
        <f>IFERROR(W46/W444, "NA")</f>
        <v>2.8966589905401352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17264.580000000002</v>
      </c>
      <c r="C48" s="8">
        <f>IFERROR(B48/B444, "NA")</f>
        <v>0.1106480634964216</v>
      </c>
      <c r="D48" s="9"/>
      <c r="E48" s="7">
        <v>0</v>
      </c>
      <c r="F48" s="8">
        <f>IFERROR(E48/E444, "NA")</f>
        <v>0</v>
      </c>
      <c r="G48" s="9"/>
      <c r="H48" s="10">
        <f t="shared" si="12"/>
        <v>17264.580000000002</v>
      </c>
      <c r="I48" s="8">
        <f>IFERROR(H48/H444, "NA")</f>
        <v>1.5746018253604157</v>
      </c>
      <c r="J48" s="9"/>
      <c r="K48" s="7">
        <v>20321.38</v>
      </c>
      <c r="L48" s="8">
        <f>IFERROR(K48/K444, "NA")</f>
        <v>0.15128926627901923</v>
      </c>
      <c r="M48" s="9"/>
      <c r="N48" s="10">
        <f t="shared" si="13"/>
        <v>-3056.7999999999993</v>
      </c>
      <c r="O48" s="8">
        <f>IFERROR(N48/N444, "NA")</f>
        <v>-0.14080076056731158</v>
      </c>
      <c r="P48" s="9"/>
      <c r="Q48" s="7">
        <v>74591.92</v>
      </c>
      <c r="R48" s="8">
        <f>IFERROR(Q48/Q444, "NA")</f>
        <v>8.3852787927200065E-2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74591.92</v>
      </c>
      <c r="X48" s="8">
        <f>IFERROR(W48/W444, "NA")</f>
        <v>-1.1126642364402102</v>
      </c>
      <c r="Y48" s="9"/>
      <c r="Z48" s="7">
        <v>144674.57999999999</v>
      </c>
      <c r="AA48" s="8">
        <f>IFERROR(Z48/Z444, "NA")</f>
        <v>0.1720517218172872</v>
      </c>
      <c r="AB48" s="9"/>
      <c r="AC48" s="10">
        <f t="shared" si="15"/>
        <v>-70082.659999999989</v>
      </c>
      <c r="AD48" s="8">
        <f>IFERROR(AC48/AC444, "NA")</f>
        <v>-1.4396720597539836</v>
      </c>
    </row>
    <row r="49" spans="1:30" ht="16.5" customHeight="1" x14ac:dyDescent="0.45">
      <c r="A49" s="17" t="s">
        <v>47</v>
      </c>
      <c r="B49" s="7">
        <v>311.69</v>
      </c>
      <c r="C49" s="8">
        <f>IFERROR(B49/B444, "NA")</f>
        <v>1.9976098411429439E-3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311.69</v>
      </c>
      <c r="I49" s="8">
        <f>IFERROR(H49/H444, "NA")</f>
        <v>2.8427430203722764E-2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311.69</v>
      </c>
      <c r="O49" s="8">
        <f>IFERROR(N49/N444, "NA")</f>
        <v>1.4356905607571762E-2</v>
      </c>
      <c r="P49" s="9"/>
      <c r="Q49" s="7">
        <v>1117.1600000000001</v>
      </c>
      <c r="R49" s="8">
        <f>IFERROR(Q49/Q444, "NA")</f>
        <v>1.2558596234116355E-3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1117.1600000000001</v>
      </c>
      <c r="X49" s="8">
        <f>IFERROR(W49/W444, "NA")</f>
        <v>-1.666432474699063E-2</v>
      </c>
      <c r="Y49" s="9"/>
      <c r="Z49" s="7">
        <v>890.27</v>
      </c>
      <c r="AA49" s="8">
        <f>IFERROR(Z49/Z444, "NA")</f>
        <v>1.0587380753569581E-3</v>
      </c>
      <c r="AB49" s="9"/>
      <c r="AC49" s="10">
        <f t="shared" si="15"/>
        <v>226.8900000000001</v>
      </c>
      <c r="AD49" s="8">
        <f>IFERROR(AC49/AC444, "NA")</f>
        <v>4.660884641615794E-3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3.5017389871882669E-5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-4.6465476374803796E-4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6.3989843794936717E-4</v>
      </c>
    </row>
    <row r="55" spans="1:30" ht="16.5" customHeight="1" x14ac:dyDescent="0.45">
      <c r="A55" s="17" t="s">
        <v>53</v>
      </c>
      <c r="B55" s="7">
        <v>682.41</v>
      </c>
      <c r="C55" s="8">
        <f>IFERROR(B55/B444, "NA")</f>
        <v>4.3735407991733971E-3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682.41</v>
      </c>
      <c r="I55" s="8">
        <f>IFERROR(H55/H444, "NA")</f>
        <v>6.2238643027759791E-2</v>
      </c>
      <c r="J55" s="9"/>
      <c r="K55" s="7">
        <v>317.22000000000003</v>
      </c>
      <c r="L55" s="8">
        <f>IFERROR(K55/K444, "NA")</f>
        <v>2.361649703368102E-3</v>
      </c>
      <c r="M55" s="9"/>
      <c r="N55" s="10">
        <f t="shared" si="13"/>
        <v>365.18999999999994</v>
      </c>
      <c r="O55" s="8">
        <f>IFERROR(N55/N444, "NA")</f>
        <v>1.6821195286435661E-2</v>
      </c>
      <c r="P55" s="9"/>
      <c r="Q55" s="7">
        <v>3261.55</v>
      </c>
      <c r="R55" s="8">
        <f>IFERROR(Q55/Q444, "NA")</f>
        <v>3.6664837218824695E-3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3261.55</v>
      </c>
      <c r="X55" s="8">
        <f>IFERROR(W55/W444, "NA")</f>
        <v>-4.8651516683865595E-2</v>
      </c>
      <c r="Y55" s="9"/>
      <c r="Z55" s="7">
        <v>3645.05</v>
      </c>
      <c r="AA55" s="8">
        <f>IFERROR(Z55/Z444, "NA")</f>
        <v>4.3348121598839459E-3</v>
      </c>
      <c r="AB55" s="9"/>
      <c r="AC55" s="10">
        <f t="shared" si="15"/>
        <v>-383.5</v>
      </c>
      <c r="AD55" s="8">
        <f>IFERROR(AC55/AC444, "NA")</f>
        <v>-7.8780433692963829E-3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5.1072543876200319E-3</v>
      </c>
      <c r="AB59" s="9"/>
      <c r="AC59" s="10">
        <f t="shared" si="15"/>
        <v>-4294.58</v>
      </c>
      <c r="AD59" s="8">
        <f>IFERROR(AC59/AC444, "NA")</f>
        <v>-8.8221349394818405E-2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1.4445375918256574E-5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-1.9167941297471228E-4</v>
      </c>
      <c r="Y60" s="9"/>
      <c r="Z60" s="7">
        <v>319.54000000000002</v>
      </c>
      <c r="AA60" s="8">
        <f>IFERROR(Z60/Z444, "NA")</f>
        <v>3.8000737371759406E-4</v>
      </c>
      <c r="AB60" s="9"/>
      <c r="AC60" s="10">
        <f t="shared" si="15"/>
        <v>-306.69</v>
      </c>
      <c r="AD60" s="8">
        <f>IFERROR(AC60/AC444, "NA")</f>
        <v>-6.3001750219804633E-3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18258.68</v>
      </c>
      <c r="C61" s="15">
        <f>IFERROR(B61/B444, "NA")</f>
        <v>0.11701921413673792</v>
      </c>
      <c r="D61" s="2"/>
      <c r="E61" s="14">
        <f>IFERROR(E46+E47+E48+E49+E50+E51+E52+E53+E54+E55+E56+E57+E58+E59+E60, "NA")</f>
        <v>29448.61</v>
      </c>
      <c r="F61" s="15">
        <f>IFERROR(E61/E444, "NA")</f>
        <v>0.20299997807910355</v>
      </c>
      <c r="G61" s="2"/>
      <c r="H61" s="14">
        <f t="shared" si="12"/>
        <v>-11189.93</v>
      </c>
      <c r="I61" s="15">
        <f>IFERROR(H61/H444, "NA")</f>
        <v>-1.0205683661957183</v>
      </c>
      <c r="J61" s="2"/>
      <c r="K61" s="14">
        <f>IFERROR(K46+K47+K48+K49+K50+K51+K52+K53+K54+K55+K56+K57+K58+K59+K60, "NA")</f>
        <v>20638.600000000002</v>
      </c>
      <c r="L61" s="15">
        <f>IFERROR(K61/K444, "NA")</f>
        <v>0.15365091598238734</v>
      </c>
      <c r="M61" s="2"/>
      <c r="N61" s="14">
        <f t="shared" si="13"/>
        <v>-2379.9200000000019</v>
      </c>
      <c r="O61" s="15">
        <f>IFERROR(N61/N444, "NA")</f>
        <v>-0.10962265967330428</v>
      </c>
      <c r="P61" s="2"/>
      <c r="Q61" s="14">
        <f>IFERROR(Q46+Q47+Q48+Q49+Q50+Q51+Q52+Q53+Q54+Q55+Q56+Q57+Q58+Q59+Q60, "NA")</f>
        <v>79014.63</v>
      </c>
      <c r="R61" s="15">
        <f>IFERROR(Q61/Q444, "NA")</f>
        <v>8.8824594038284313E-2</v>
      </c>
      <c r="S61" s="2"/>
      <c r="T61" s="14">
        <f>IFERROR(T46+T47+T48+T49+T50+T51+T52+T53+T54+T55+T56+T57+T58+T59+T60, "NA")</f>
        <v>194189.18</v>
      </c>
      <c r="U61" s="15">
        <f>IFERROR(T61/T444, "NA")</f>
        <v>0.20299998001248257</v>
      </c>
      <c r="V61" s="2"/>
      <c r="W61" s="14">
        <f t="shared" si="14"/>
        <v>-115174.54999999999</v>
      </c>
      <c r="X61" s="15">
        <f>IFERROR(W61/W444, "NA")</f>
        <v>1.718022578492346</v>
      </c>
      <c r="Y61" s="2"/>
      <c r="Z61" s="14">
        <f>IFERROR(Z46+Z47+Z48+Z49+Z50+Z51+Z52+Z53+Z54+Z55+Z56+Z57+Z58+Z59+Z60, "NA")</f>
        <v>153824.01999999996</v>
      </c>
      <c r="AA61" s="15">
        <f>IFERROR(Z61/Z444, "NA")</f>
        <v>0.18293253381386568</v>
      </c>
      <c r="AB61" s="2"/>
      <c r="AC61" s="14">
        <f t="shared" si="15"/>
        <v>-74809.389999999956</v>
      </c>
      <c r="AD61" s="15">
        <f>IFERROR(AC61/AC444, "NA")</f>
        <v>-1.536770844460513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41355.350000000006</v>
      </c>
      <c r="C62" s="15">
        <f>IFERROR(B62/B444, "NA")</f>
        <v>0.2650449297183447</v>
      </c>
      <c r="D62" s="2"/>
      <c r="E62" s="14">
        <f>IFERROR(E42+E43+E44+E46+E47+E48+E49+E50+E51+E52+E53+E54+E55+E56+E57+E58+E59+E60, "NA")</f>
        <v>29448.61</v>
      </c>
      <c r="F62" s="15">
        <f>IFERROR(E62/E444, "NA")</f>
        <v>0.20299997807910355</v>
      </c>
      <c r="G62" s="2"/>
      <c r="H62" s="14">
        <f t="shared" si="12"/>
        <v>11906.740000000005</v>
      </c>
      <c r="I62" s="15">
        <f>IFERROR(H62/H444, "NA")</f>
        <v>1.0859444329425845</v>
      </c>
      <c r="J62" s="2"/>
      <c r="K62" s="14">
        <f>IFERROR(K42+K43+K44+K46+K47+K48+K49+K50+K51+K52+K53+K54+K55+K56+K57+K58+K59+K60, "NA")</f>
        <v>21242.750000000004</v>
      </c>
      <c r="L62" s="15">
        <f>IFERROR(K62/K444, "NA")</f>
        <v>0.15814871141864559</v>
      </c>
      <c r="M62" s="2"/>
      <c r="N62" s="14">
        <f t="shared" si="13"/>
        <v>20112.600000000002</v>
      </c>
      <c r="O62" s="15">
        <f>IFERROR(N62/N444, "NA")</f>
        <v>0.92641631018912329</v>
      </c>
      <c r="P62" s="2"/>
      <c r="Q62" s="14">
        <f>IFERROR(Q42+Q43+Q44+Q46+Q47+Q48+Q49+Q50+Q51+Q52+Q53+Q54+Q55+Q56+Q57+Q58+Q59+Q60, "NA")</f>
        <v>130247.97</v>
      </c>
      <c r="R62" s="15">
        <f>IFERROR(Q62/Q444, "NA")</f>
        <v>0.14641874624434278</v>
      </c>
      <c r="S62" s="2"/>
      <c r="T62" s="14">
        <f>IFERROR(T42+T43+T44+T46+T47+T48+T49+T50+T51+T52+T53+T54+T55+T56+T57+T58+T59+T60, "NA")</f>
        <v>194189.18</v>
      </c>
      <c r="U62" s="15">
        <f>IFERROR(T62/T444, "NA")</f>
        <v>0.20299998001248257</v>
      </c>
      <c r="V62" s="2"/>
      <c r="W62" s="14">
        <f t="shared" si="14"/>
        <v>-63941.209999999992</v>
      </c>
      <c r="X62" s="15">
        <f>IFERROR(W62/W444, "NA")</f>
        <v>0.95379094145469268</v>
      </c>
      <c r="Y62" s="2"/>
      <c r="Z62" s="14">
        <f>IFERROR(Z42+Z43+Z44+Z46+Z47+Z48+Z49+Z50+Z51+Z52+Z53+Z54+Z55+Z56+Z57+Z58+Z59+Z60, "NA")</f>
        <v>156962.41999999995</v>
      </c>
      <c r="AA62" s="15">
        <f>IFERROR(Z62/Z444, "NA")</f>
        <v>0.1866648212948549</v>
      </c>
      <c r="AB62" s="2"/>
      <c r="AC62" s="14">
        <f t="shared" si="15"/>
        <v>-26714.449999999953</v>
      </c>
      <c r="AD62" s="15">
        <f>IFERROR(AC62/AC444, "NA")</f>
        <v>-0.54878121430742999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2911.39</v>
      </c>
      <c r="C65" s="8">
        <f>IFERROR(B65/B444, "NA")</f>
        <v>1.8658992317383154E-2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2911.39</v>
      </c>
      <c r="I65" s="8">
        <f>IFERROR(H65/H444, "NA")</f>
        <v>0.26553093144090734</v>
      </c>
      <c r="J65" s="9"/>
      <c r="K65" s="7">
        <v>365</v>
      </c>
      <c r="L65" s="8">
        <f>IFERROR(K65/K444, "NA")</f>
        <v>2.7173637908371388E-3</v>
      </c>
      <c r="M65" s="9"/>
      <c r="N65" s="10">
        <f t="shared" si="17"/>
        <v>2546.39</v>
      </c>
      <c r="O65" s="8">
        <f>IFERROR(N65/N444, "NA")</f>
        <v>0.11729051580116352</v>
      </c>
      <c r="P65" s="9"/>
      <c r="Q65" s="7">
        <v>23413.07</v>
      </c>
      <c r="R65" s="8">
        <f>IFERROR(Q65/Q444, "NA")</f>
        <v>2.6319890859957621E-2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23413.07</v>
      </c>
      <c r="X65" s="8">
        <f>IFERROR(W65/W444, "NA")</f>
        <v>-0.34924540961368461</v>
      </c>
      <c r="Y65" s="9"/>
      <c r="Z65" s="7">
        <v>2005.04</v>
      </c>
      <c r="AA65" s="8">
        <f>IFERROR(Z65/Z444, "NA")</f>
        <v>2.3844588614843985E-3</v>
      </c>
      <c r="AB65" s="9"/>
      <c r="AC65" s="10">
        <f t="shared" si="19"/>
        <v>21408.03</v>
      </c>
      <c r="AD65" s="8">
        <f>IFERROR(AC65/AC444, "NA")</f>
        <v>0.43977415590925167</v>
      </c>
    </row>
    <row r="66" spans="1:30" ht="16.5" customHeight="1" x14ac:dyDescent="0.45">
      <c r="A66" s="12" t="s">
        <v>63</v>
      </c>
      <c r="B66" s="7">
        <v>15344</v>
      </c>
      <c r="C66" s="8">
        <f>IFERROR(B66/B444, "NA")</f>
        <v>9.8339136329357146E-2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15344</v>
      </c>
      <c r="I66" s="8">
        <f>IFERROR(H66/H444, "NA")</f>
        <v>1.3994369054057625</v>
      </c>
      <c r="J66" s="9"/>
      <c r="K66" s="7">
        <v>0</v>
      </c>
      <c r="L66" s="8">
        <f>IFERROR(K66/K444, "NA")</f>
        <v>0</v>
      </c>
      <c r="M66" s="9"/>
      <c r="N66" s="10">
        <f t="shared" si="17"/>
        <v>15344</v>
      </c>
      <c r="O66" s="8">
        <f>IFERROR(N66/N444, "NA")</f>
        <v>0.70676749219603163</v>
      </c>
      <c r="P66" s="9"/>
      <c r="Q66" s="7">
        <v>15344</v>
      </c>
      <c r="R66" s="8">
        <f>IFERROR(Q66/Q444, "NA")</f>
        <v>1.7249015415543103E-2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15344</v>
      </c>
      <c r="X66" s="8">
        <f>IFERROR(W66/W444, "NA")</f>
        <v>-0.22888162744622453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15344</v>
      </c>
      <c r="AD66" s="8">
        <f>IFERROR(AC66/AC444, "NA")</f>
        <v>0.31520390471573323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3057.4</v>
      </c>
      <c r="C68" s="8">
        <f>IFERROR(B68/B444, "NA")</f>
        <v>1.9594765081685124E-2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3057.4</v>
      </c>
      <c r="I68" s="8">
        <f>IFERROR(H68/H444, "NA")</f>
        <v>0.27884765345330931</v>
      </c>
      <c r="J68" s="9"/>
      <c r="K68" s="7">
        <v>0</v>
      </c>
      <c r="L68" s="8">
        <f>IFERROR(K68/K444, "NA")</f>
        <v>0</v>
      </c>
      <c r="M68" s="9"/>
      <c r="N68" s="10">
        <f t="shared" si="17"/>
        <v>3057.4</v>
      </c>
      <c r="O68" s="8">
        <f>IFERROR(N68/N444, "NA")</f>
        <v>0.14082839746090636</v>
      </c>
      <c r="P68" s="9"/>
      <c r="Q68" s="7">
        <v>16898.55</v>
      </c>
      <c r="R68" s="8">
        <f>IFERROR(Q68/Q444, "NA")</f>
        <v>1.899656865552176E-2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16898.55</v>
      </c>
      <c r="X68" s="8">
        <f>IFERROR(W68/W444, "NA")</f>
        <v>-0.25207036141041433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16898.55</v>
      </c>
      <c r="AD68" s="8">
        <f>IFERROR(AC68/AC444, "NA")</f>
        <v>0.34713822627959162</v>
      </c>
    </row>
    <row r="69" spans="1:30" ht="16.5" customHeight="1" x14ac:dyDescent="0.45">
      <c r="A69" s="12" t="s">
        <v>66</v>
      </c>
      <c r="B69" s="7">
        <v>5862</v>
      </c>
      <c r="C69" s="8">
        <f>IFERROR(B69/B444, "NA")</f>
        <v>3.7569344184221296E-2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5862</v>
      </c>
      <c r="I69" s="8">
        <f>IFERROR(H69/H444, "NA")</f>
        <v>0.53463889073830673</v>
      </c>
      <c r="J69" s="9"/>
      <c r="K69" s="7">
        <v>0</v>
      </c>
      <c r="L69" s="8">
        <f>IFERROR(K69/K444, "NA")</f>
        <v>0</v>
      </c>
      <c r="M69" s="9"/>
      <c r="N69" s="10">
        <f t="shared" si="17"/>
        <v>5862</v>
      </c>
      <c r="O69" s="8">
        <f>IFERROR(N69/N444, "NA")</f>
        <v>0.27001245042056427</v>
      </c>
      <c r="P69" s="9"/>
      <c r="Q69" s="7">
        <v>5862</v>
      </c>
      <c r="R69" s="8">
        <f>IFERROR(Q69/Q444, "NA")</f>
        <v>6.5897893877680958E-3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5862</v>
      </c>
      <c r="X69" s="8">
        <f>IFERROR(W69/W444, "NA")</f>
        <v>-8.744161236247186E-2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5862</v>
      </c>
      <c r="AD69" s="8">
        <f>IFERROR(AC69/AC444, "NA")</f>
        <v>0.12042005275310402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27174.79</v>
      </c>
      <c r="C73" s="15">
        <f>IFERROR(B73/B444, "NA")</f>
        <v>0.17416223791264673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27174.79</v>
      </c>
      <c r="I73" s="15">
        <f>IFERROR(H73/H444, "NA")</f>
        <v>2.478454381038286</v>
      </c>
      <c r="J73" s="2"/>
      <c r="K73" s="14">
        <f>IFERROR(K64+K65+K66+K67+K68+K69+K70+K71+K72, "NA")</f>
        <v>365</v>
      </c>
      <c r="L73" s="15">
        <f>IFERROR(K73/K444, "NA")</f>
        <v>2.7173637908371388E-3</v>
      </c>
      <c r="M73" s="2"/>
      <c r="N73" s="14">
        <f t="shared" si="17"/>
        <v>26809.79</v>
      </c>
      <c r="O73" s="15">
        <f>IFERROR(N73/N444, "NA")</f>
        <v>1.2348988558786658</v>
      </c>
      <c r="P73" s="2"/>
      <c r="Q73" s="14">
        <f>IFERROR(Q64+Q65+Q66+Q67+Q68+Q69+Q70+Q71+Q72, "NA")</f>
        <v>61517.619999999995</v>
      </c>
      <c r="R73" s="15">
        <f>IFERROR(Q73/Q444, "NA")</f>
        <v>6.9155264318790571E-2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61517.619999999995</v>
      </c>
      <c r="X73" s="15">
        <f>IFERROR(W73/W444, "NA")</f>
        <v>-0.91763901083279531</v>
      </c>
      <c r="Y73" s="2"/>
      <c r="Z73" s="14">
        <f>IFERROR(Z64+Z65+Z66+Z67+Z68+Z69+Z70+Z71+Z72, "NA")</f>
        <v>2005.04</v>
      </c>
      <c r="AA73" s="15">
        <f>IFERROR(Z73/Z444, "NA")</f>
        <v>2.3844588614843985E-3</v>
      </c>
      <c r="AB73" s="2"/>
      <c r="AC73" s="14">
        <f t="shared" si="19"/>
        <v>59512.579999999994</v>
      </c>
      <c r="AD73" s="15">
        <f>IFERROR(AC73/AC444, "NA")</f>
        <v>1.2225363396576805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2466.14</v>
      </c>
      <c r="F75" s="8">
        <f>IFERROR(E75/E444, "NA")</f>
        <v>1.6999999862132725E-2</v>
      </c>
      <c r="G75" s="9"/>
      <c r="H75" s="10">
        <f t="shared" ref="H75:H92" si="20">IFERROR(B75-E75, "NA")</f>
        <v>-2466.14</v>
      </c>
      <c r="I75" s="8">
        <f>IFERROR(H75/H444, "NA")</f>
        <v>-0.22492227123940084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16262.15</v>
      </c>
      <c r="U75" s="8">
        <f>IFERROR(T75/T444, "NA")</f>
        <v>1.7000000334519118E-2</v>
      </c>
      <c r="V75" s="9"/>
      <c r="W75" s="10">
        <f t="shared" ref="W75:W92" si="22">IFERROR(Q75-T75, "NA")</f>
        <v>-16262.15</v>
      </c>
      <c r="X75" s="8">
        <f>IFERROR(W75/W444, "NA")</f>
        <v>0.24257738254526984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301.45</v>
      </c>
      <c r="C77" s="8">
        <f>IFERROR(B77/B444, "NA")</f>
        <v>1.931982054645771E-3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301.45</v>
      </c>
      <c r="I77" s="8">
        <f>IFERROR(H77/H444, "NA")</f>
        <v>2.7493499422221523E-2</v>
      </c>
      <c r="J77" s="9"/>
      <c r="K77" s="7">
        <v>156.24</v>
      </c>
      <c r="L77" s="8">
        <f>IFERROR(K77/K444, "NA")</f>
        <v>1.1631805991243688E-3</v>
      </c>
      <c r="M77" s="9"/>
      <c r="N77" s="10">
        <f t="shared" si="21"/>
        <v>145.20999999999998</v>
      </c>
      <c r="O77" s="8">
        <f>IFERROR(N77/N444, "NA")</f>
        <v>6.6885888648191959E-3</v>
      </c>
      <c r="P77" s="9"/>
      <c r="Q77" s="7">
        <v>3217.58</v>
      </c>
      <c r="R77" s="8">
        <f>IFERROR(Q77/Q444, "NA")</f>
        <v>3.6170546807053686E-3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3217.58</v>
      </c>
      <c r="X77" s="8">
        <f>IFERROR(W77/W444, "NA")</f>
        <v>-4.7995630007717879E-2</v>
      </c>
      <c r="Y77" s="9"/>
      <c r="Z77" s="7">
        <v>1098.0899999999999</v>
      </c>
      <c r="AA77" s="8">
        <f>IFERROR(Z77/Z444, "NA")</f>
        <v>1.305884386948591E-3</v>
      </c>
      <c r="AB77" s="9"/>
      <c r="AC77" s="10">
        <f t="shared" si="23"/>
        <v>2119.4899999999998</v>
      </c>
      <c r="AD77" s="8">
        <f>IFERROR(AC77/AC444, "NA")</f>
        <v>4.3539593587457598E-2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6.7560301999425789E-5</v>
      </c>
      <c r="AB79" s="9"/>
      <c r="AC79" s="10">
        <f t="shared" si="23"/>
        <v>-56.81</v>
      </c>
      <c r="AD79" s="8">
        <f>IFERROR(AC79/AC444, "NA")</f>
        <v>-1.1670186279262777E-3</v>
      </c>
    </row>
    <row r="80" spans="1:30" ht="16.5" customHeight="1" x14ac:dyDescent="0.45">
      <c r="A80" s="12" t="s">
        <v>76</v>
      </c>
      <c r="B80" s="7">
        <v>1759.31</v>
      </c>
      <c r="C80" s="8">
        <f>IFERROR(B80/B444, "NA")</f>
        <v>1.1275353619369221E-2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1759.31</v>
      </c>
      <c r="I80" s="8">
        <f>IFERROR(H80/H444, "NA")</f>
        <v>0.16045642218778752</v>
      </c>
      <c r="J80" s="9"/>
      <c r="K80" s="7">
        <v>1940.11</v>
      </c>
      <c r="L80" s="8">
        <f>IFERROR(K80/K444, "NA")</f>
        <v>1.4443793600660388E-2</v>
      </c>
      <c r="M80" s="9"/>
      <c r="N80" s="10">
        <f t="shared" si="21"/>
        <v>-180.79999999999995</v>
      </c>
      <c r="O80" s="8">
        <f>IFERROR(N80/N444, "NA")</f>
        <v>-8.3279172698802455E-3</v>
      </c>
      <c r="P80" s="9"/>
      <c r="Q80" s="7">
        <v>7886.78</v>
      </c>
      <c r="R80" s="8">
        <f>IFERROR(Q80/Q444, "NA")</f>
        <v>8.8659534540535077E-3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7886.78</v>
      </c>
      <c r="X80" s="8">
        <f>IFERROR(W80/W444, "NA")</f>
        <v>-0.11764461950666937</v>
      </c>
      <c r="Y80" s="9"/>
      <c r="Z80" s="7">
        <v>13595.18</v>
      </c>
      <c r="AA80" s="8">
        <f>IFERROR(Z80/Z444, "NA")</f>
        <v>1.6167830778675472E-2</v>
      </c>
      <c r="AB80" s="9"/>
      <c r="AC80" s="10">
        <f t="shared" si="23"/>
        <v>-5708.4000000000005</v>
      </c>
      <c r="AD80" s="8">
        <f>IFERROR(AC80/AC444, "NA")</f>
        <v>-0.11726472690819159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2.8103844198942751E-5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-3.72917145865199E-4</v>
      </c>
      <c r="Y82" s="9"/>
      <c r="Z82" s="7">
        <v>25</v>
      </c>
      <c r="AA82" s="8">
        <f>IFERROR(Z82/Z444, "NA")</f>
        <v>2.9730814116980192E-5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176.82</v>
      </c>
      <c r="C83" s="8">
        <f>IFERROR(B83/B444, "NA")</f>
        <v>1.1332329305107488E-3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176.82</v>
      </c>
      <c r="I83" s="8">
        <f>IFERROR(H83/H444, "NA")</f>
        <v>1.6126722732914944E-2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176.82</v>
      </c>
      <c r="O83" s="8">
        <f>IFERROR(N83/N444, "NA")</f>
        <v>8.1445925423685034E-3</v>
      </c>
      <c r="P83" s="9"/>
      <c r="Q83" s="7">
        <v>176.82</v>
      </c>
      <c r="R83" s="8">
        <f>IFERROR(Q83/Q444, "NA")</f>
        <v>1.9877286925028227E-4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176.82</v>
      </c>
      <c r="X83" s="8">
        <f>IFERROR(W83/W444, "NA")</f>
        <v>-2.6375683892753796E-3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176.82</v>
      </c>
      <c r="AD83" s="8">
        <f>IFERROR(AC83/AC444, "NA")</f>
        <v>3.6323223691238234E-3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2237.58</v>
      </c>
      <c r="C88" s="15">
        <f>IFERROR(B88/B444, "NA")</f>
        <v>1.434056860452574E-2</v>
      </c>
      <c r="D88" s="2"/>
      <c r="E88" s="14">
        <f>IFERROR(E75+E76+E77+E78+E79+E80+E81+E82+E83+E84+E85+E86+E87, "NA")</f>
        <v>2466.14</v>
      </c>
      <c r="F88" s="15">
        <f>IFERROR(E88/E444, "NA")</f>
        <v>1.6999999862132725E-2</v>
      </c>
      <c r="G88" s="2"/>
      <c r="H88" s="14">
        <f t="shared" si="20"/>
        <v>-228.55999999999995</v>
      </c>
      <c r="I88" s="15">
        <f>IFERROR(H88/H444, "NA")</f>
        <v>-2.0845626896476861E-2</v>
      </c>
      <c r="J88" s="2"/>
      <c r="K88" s="14">
        <f>IFERROR(K75+K76+K77+K78+K79+K80+K81+K82+K83+K84+K85+K86+K87, "NA")</f>
        <v>2096.35</v>
      </c>
      <c r="L88" s="15">
        <f>IFERROR(K88/K444, "NA")</f>
        <v>1.5606974199784756E-2</v>
      </c>
      <c r="M88" s="2"/>
      <c r="N88" s="14">
        <f t="shared" si="21"/>
        <v>141.23000000000002</v>
      </c>
      <c r="O88" s="15">
        <f>IFERROR(N88/N444, "NA")</f>
        <v>6.5052641373074538E-3</v>
      </c>
      <c r="P88" s="2"/>
      <c r="Q88" s="14">
        <f>IFERROR(Q75+Q76+Q77+Q78+Q79+Q80+Q81+Q82+Q83+Q84+Q85+Q86+Q87, "NA")</f>
        <v>11306.18</v>
      </c>
      <c r="R88" s="15">
        <f>IFERROR(Q88/Q444, "NA")</f>
        <v>1.2709884848208102E-2</v>
      </c>
      <c r="S88" s="2"/>
      <c r="T88" s="14">
        <f>IFERROR(T75+T76+T77+T78+T79+T80+T81+T82+T83+T84+T85+T86+T87, "NA")</f>
        <v>16262.15</v>
      </c>
      <c r="U88" s="15">
        <f>IFERROR(T88/T444, "NA")</f>
        <v>1.7000000334519118E-2</v>
      </c>
      <c r="V88" s="2"/>
      <c r="W88" s="14">
        <f t="shared" si="22"/>
        <v>-4955.9699999999993</v>
      </c>
      <c r="X88" s="15">
        <f>IFERROR(W88/W444, "NA")</f>
        <v>7.3926647495742001E-2</v>
      </c>
      <c r="Y88" s="2"/>
      <c r="Z88" s="14">
        <f>IFERROR(Z75+Z76+Z77+Z78+Z79+Z80+Z81+Z82+Z83+Z84+Z85+Z86+Z87, "NA")</f>
        <v>14775.08</v>
      </c>
      <c r="AA88" s="15">
        <f>IFERROR(Z88/Z444, "NA")</f>
        <v>1.7571006281740468E-2</v>
      </c>
      <c r="AB88" s="2"/>
      <c r="AC88" s="14">
        <f t="shared" si="23"/>
        <v>-3468.8999999999996</v>
      </c>
      <c r="AD88" s="15">
        <f>IFERROR(AC88/AC444, "NA")</f>
        <v>-7.1259829579536429E-2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188.04</v>
      </c>
      <c r="L89" s="8">
        <f>IFERROR(K89/K444, "NA")</f>
        <v>1.3999262663808645E-3</v>
      </c>
      <c r="M89" s="9"/>
      <c r="N89" s="10">
        <f t="shared" si="21"/>
        <v>-188.04</v>
      </c>
      <c r="O89" s="8">
        <f>IFERROR(N89/N444, "NA")</f>
        <v>-8.6614024525900543E-3</v>
      </c>
      <c r="P89" s="9"/>
      <c r="Q89" s="7">
        <v>-140.33000000000001</v>
      </c>
      <c r="R89" s="8">
        <f>IFERROR(Q89/Q444, "NA")</f>
        <v>-1.5775249825750548E-4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-140.33000000000001</v>
      </c>
      <c r="X89" s="8">
        <f>IFERROR(W89/W444, "NA")</f>
        <v>2.0932585231705353E-3</v>
      </c>
      <c r="Y89" s="9"/>
      <c r="Z89" s="7">
        <v>1473.68</v>
      </c>
      <c r="AA89" s="8">
        <f>IFERROR(Z89/Z444, "NA")</f>
        <v>1.7525482459164548E-3</v>
      </c>
      <c r="AB89" s="9"/>
      <c r="AC89" s="10">
        <f t="shared" si="23"/>
        <v>-1614.01</v>
      </c>
      <c r="AD89" s="8">
        <f>IFERROR(AC89/AC444, "NA")</f>
        <v>-3.3155777779603796E-2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-5077.3500000000004</v>
      </c>
      <c r="F94" s="8">
        <f>IFERROR(E94/E444, "NA")</f>
        <v>-3.5000019990754624E-2</v>
      </c>
      <c r="G94" s="9"/>
      <c r="H94" s="10">
        <f t="shared" ref="H94:H124" si="24">IFERROR(B94-E94, "NA")</f>
        <v>5077.3500000000004</v>
      </c>
      <c r="I94" s="8">
        <f>IFERROR(H94/H444, "NA")</f>
        <v>0.46307553256399558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-33480.9</v>
      </c>
      <c r="U94" s="8">
        <f>IFERROR(T94/T444, "NA")</f>
        <v>-3.5000003763340101E-2</v>
      </c>
      <c r="V94" s="9"/>
      <c r="W94" s="10">
        <f t="shared" ref="W94:W124" si="26">IFERROR(Q94-T94, "NA")</f>
        <v>33480.9</v>
      </c>
      <c r="X94" s="8">
        <f>IFERROR(W94/W444, "NA")</f>
        <v>-0.49942406675992568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-2554.75</v>
      </c>
      <c r="C96" s="8">
        <f>IFERROR(B96/B444, "NA")</f>
        <v>-1.6373299565786311E-2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-2554.75</v>
      </c>
      <c r="I96" s="8">
        <f>IFERROR(H96/H444, "NA")</f>
        <v>-0.23300387344143453</v>
      </c>
      <c r="J96" s="9"/>
      <c r="K96" s="7">
        <v>-136.78</v>
      </c>
      <c r="L96" s="8">
        <f>IFERROR(K96/K444, "NA")</f>
        <v>-1.0183041624950791E-3</v>
      </c>
      <c r="M96" s="9"/>
      <c r="N96" s="10">
        <f t="shared" si="25"/>
        <v>-2417.9699999999998</v>
      </c>
      <c r="O96" s="8">
        <f>IFERROR(N96/N444, "NA")</f>
        <v>-0.11137529934210366</v>
      </c>
      <c r="P96" s="9"/>
      <c r="Q96" s="7">
        <v>-17673.7</v>
      </c>
      <c r="R96" s="8">
        <f>IFERROR(Q96/Q444, "NA")</f>
        <v>-1.9867956448754182E-2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-17673.7</v>
      </c>
      <c r="X96" s="8">
        <f>IFERROR(W96/W444, "NA")</f>
        <v>0.26363303043511072</v>
      </c>
      <c r="Y96" s="9"/>
      <c r="Z96" s="7">
        <v>-831.61</v>
      </c>
      <c r="AA96" s="8">
        <f>IFERROR(Z96/Z444, "NA")</f>
        <v>-9.8897769311287595E-4</v>
      </c>
      <c r="AB96" s="9"/>
      <c r="AC96" s="10">
        <f t="shared" si="27"/>
        <v>-16842.09</v>
      </c>
      <c r="AD96" s="8">
        <f>IFERROR(AC96/AC444, "NA")</f>
        <v>-0.34597839752175469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-2219.38</v>
      </c>
      <c r="C98" s="8">
        <f>IFERROR(B98/B444, "NA")</f>
        <v>-1.4223925468368656E-2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-2219.38</v>
      </c>
      <c r="I98" s="8">
        <f>IFERROR(H98/H444, "NA")</f>
        <v>-0.20241672830549015</v>
      </c>
      <c r="J98" s="9"/>
      <c r="K98" s="7">
        <v>-3609.79</v>
      </c>
      <c r="L98" s="8">
        <f>IFERROR(K98/K444, "NA")</f>
        <v>-2.6874281201441082E-2</v>
      </c>
      <c r="M98" s="9"/>
      <c r="N98" s="10">
        <f t="shared" si="25"/>
        <v>1390.4099999999999</v>
      </c>
      <c r="O98" s="8">
        <f>IFERROR(N98/N444, "NA")</f>
        <v>6.4044355371759926E-2</v>
      </c>
      <c r="P98" s="9"/>
      <c r="Q98" s="7">
        <v>-17326.2</v>
      </c>
      <c r="R98" s="8">
        <f>IFERROR(Q98/Q444, "NA")</f>
        <v>-1.9477313014388875E-2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-17326.2</v>
      </c>
      <c r="X98" s="8">
        <f>IFERROR(W98/W444, "NA")</f>
        <v>0.25844948210758445</v>
      </c>
      <c r="Y98" s="9"/>
      <c r="Z98" s="7">
        <v>-17004.77</v>
      </c>
      <c r="AA98" s="8">
        <f>IFERROR(Z98/Z444, "NA")</f>
        <v>-2.0222626238880052E-2</v>
      </c>
      <c r="AB98" s="9"/>
      <c r="AC98" s="10">
        <f t="shared" si="27"/>
        <v>-321.43000000000029</v>
      </c>
      <c r="AD98" s="8">
        <f>IFERROR(AC98/AC444, "NA")</f>
        <v>-6.6029712651706346E-3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-26.95</v>
      </c>
      <c r="C100" s="8">
        <f>IFERROR(B100/B444, "NA")</f>
        <v>-1.7272156700183622E-4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-26.95</v>
      </c>
      <c r="I100" s="8">
        <f>IFERROR(H100/H444, "NA")</f>
        <v>-2.4579525938924203E-3</v>
      </c>
      <c r="J100" s="9"/>
      <c r="K100" s="7">
        <v>-23.31</v>
      </c>
      <c r="L100" s="8">
        <f>IFERROR(K100/K444, "NA")</f>
        <v>-1.7353904099839371E-4</v>
      </c>
      <c r="M100" s="9"/>
      <c r="N100" s="10">
        <f t="shared" si="25"/>
        <v>-3.6400000000000006</v>
      </c>
      <c r="O100" s="8">
        <f>IFERROR(N100/N444, "NA")</f>
        <v>-1.6766382114139441E-4</v>
      </c>
      <c r="P100" s="9"/>
      <c r="Q100" s="7">
        <v>-2199.58</v>
      </c>
      <c r="R100" s="8">
        <f>IFERROR(Q100/Q444, "NA")</f>
        <v>-2.4726661449244198E-3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-2199.58</v>
      </c>
      <c r="X100" s="8">
        <f>IFERROR(W100/W444, "NA")</f>
        <v>3.2810443828086976E-2</v>
      </c>
      <c r="Y100" s="9"/>
      <c r="Z100" s="7">
        <v>-5655.45</v>
      </c>
      <c r="AA100" s="8">
        <f>IFERROR(Z100/Z444, "NA")</f>
        <v>-6.7256453079150248E-3</v>
      </c>
      <c r="AB100" s="9"/>
      <c r="AC100" s="10">
        <f t="shared" si="27"/>
        <v>3455.87</v>
      </c>
      <c r="AD100" s="8">
        <f>IFERROR(AC100/AC444, "NA")</f>
        <v>7.0992160987354072E-2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-827.9</v>
      </c>
      <c r="C102" s="8">
        <f>IFERROR(B102/B444, "NA")</f>
        <v>-5.3059809024423085E-3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-827.9</v>
      </c>
      <c r="I102" s="8">
        <f>IFERROR(H102/H444, "NA")</f>
        <v>-7.5507938867663618E-2</v>
      </c>
      <c r="J102" s="9"/>
      <c r="K102" s="7">
        <v>-888.08</v>
      </c>
      <c r="L102" s="8">
        <f>IFERROR(K102/K444, "NA")</f>
        <v>-6.6116066722373872E-3</v>
      </c>
      <c r="M102" s="9"/>
      <c r="N102" s="10">
        <f t="shared" si="25"/>
        <v>60.180000000000064</v>
      </c>
      <c r="O102" s="8">
        <f>IFERROR(N102/N444, "NA")</f>
        <v>2.7719804275519572E-3</v>
      </c>
      <c r="P102" s="9"/>
      <c r="Q102" s="7">
        <v>-7026.45</v>
      </c>
      <c r="R102" s="8">
        <f>IFERROR(Q102/Q444, "NA")</f>
        <v>-7.8988102428664518E-3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-7026.45</v>
      </c>
      <c r="X102" s="8">
        <f>IFERROR(W102/W444, "NA")</f>
        <v>0.1048113471825811</v>
      </c>
      <c r="Y102" s="9"/>
      <c r="Z102" s="7">
        <v>-2795.26</v>
      </c>
      <c r="AA102" s="8">
        <f>IFERROR(Z102/Z444, "NA")</f>
        <v>-3.3242142187452023E-3</v>
      </c>
      <c r="AB102" s="9"/>
      <c r="AC102" s="10">
        <f t="shared" si="27"/>
        <v>-4231.1899999999996</v>
      </c>
      <c r="AD102" s="8">
        <f>IFERROR(AC102/AC444, "NA")</f>
        <v>-8.6919161209212933E-2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-567.80999999999995</v>
      </c>
      <c r="C104" s="8">
        <f>IFERROR(B104/B444, "NA")</f>
        <v>-3.6390735791952734E-3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-567.80999999999995</v>
      </c>
      <c r="I104" s="8">
        <f>IFERROR(H104/H444, "NA")</f>
        <v>-5.178664424259944E-2</v>
      </c>
      <c r="J104" s="9"/>
      <c r="K104" s="7">
        <v>-517.34</v>
      </c>
      <c r="L104" s="8">
        <f>IFERROR(K104/K444, "NA")</f>
        <v>-3.8515095439772208E-3</v>
      </c>
      <c r="M104" s="9"/>
      <c r="N104" s="10">
        <f t="shared" si="25"/>
        <v>-50.469999999999914</v>
      </c>
      <c r="O104" s="8">
        <f>IFERROR(N104/N444, "NA")</f>
        <v>-2.3247233662104833E-3</v>
      </c>
      <c r="P104" s="9"/>
      <c r="Q104" s="7">
        <v>-4654.7299999999996</v>
      </c>
      <c r="R104" s="8">
        <f>IFERROR(Q104/Q444, "NA")</f>
        <v>-5.2326322683257914E-3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-4654.7299999999996</v>
      </c>
      <c r="X104" s="8">
        <f>IFERROR(W104/W444, "NA")</f>
        <v>6.9433145054924705E-2</v>
      </c>
      <c r="Y104" s="9"/>
      <c r="Z104" s="7">
        <v>-5060.0200000000004</v>
      </c>
      <c r="AA104" s="8">
        <f>IFERROR(Z104/Z444, "NA")</f>
        <v>-6.0175405619280848E-3</v>
      </c>
      <c r="AB104" s="9"/>
      <c r="AC104" s="10">
        <f t="shared" si="27"/>
        <v>405.29000000000087</v>
      </c>
      <c r="AD104" s="8">
        <f>IFERROR(AC104/AC444, "NA")</f>
        <v>8.3256641385714147E-3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-62.25</v>
      </c>
      <c r="R106" s="8">
        <f>IFERROR(Q106/Q444, "NA")</f>
        <v>-6.9978572055367445E-5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9.2856369320434547E-4</v>
      </c>
      <c r="Y106" s="9"/>
      <c r="Z106" s="7">
        <v>-1447.29</v>
      </c>
      <c r="AA106" s="8">
        <f>IFERROR(Z106/Z444, "NA")</f>
        <v>-1.7211643985345704E-3</v>
      </c>
      <c r="AB106" s="9"/>
      <c r="AC106" s="10">
        <f t="shared" si="27"/>
        <v>1385.04</v>
      </c>
      <c r="AD106" s="8">
        <f>IFERROR(AC106/AC444, "NA")</f>
        <v>2.8452164767171478E-2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-75</v>
      </c>
      <c r="AA108" s="8">
        <f>IFERROR(Z108/Z444, "NA")</f>
        <v>-8.9192442350940582E-5</v>
      </c>
      <c r="AB108" s="9"/>
      <c r="AC108" s="10">
        <f t="shared" si="27"/>
        <v>75</v>
      </c>
      <c r="AD108" s="8">
        <f>IFERROR(AC108/AC444, "NA")</f>
        <v>1.5406864477111569E-3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-6196.7899999999991</v>
      </c>
      <c r="C118" s="15">
        <f>IFERROR(B118/B444, "NA")</f>
        <v>-3.9715001082794382E-2</v>
      </c>
      <c r="D118" s="2"/>
      <c r="E118" s="14">
        <f>IFERROR(E94+E95+E96+E97+E98+E99+E100+E101+E102+E103+E104+E105+E106+E107+E108+E109+E110+E111+E112+E113+E114+E115+E116+E117, "NA")</f>
        <v>-5077.3500000000004</v>
      </c>
      <c r="F118" s="15">
        <f>IFERROR(E118/E444, "NA")</f>
        <v>-3.5000019990754624E-2</v>
      </c>
      <c r="G118" s="2"/>
      <c r="H118" s="14">
        <f t="shared" si="24"/>
        <v>-1119.4399999999987</v>
      </c>
      <c r="I118" s="15">
        <f>IFERROR(H118/H444, "NA")</f>
        <v>-0.10209760488708451</v>
      </c>
      <c r="J118" s="2"/>
      <c r="K118" s="14">
        <f>IFERROR(K94+K95+K96+K97+K98+K99+K100+K101+K102+K103+K104+K105+K106+K107+K108+K109+K110+K111+K112+K113+K114+K115+K116+K117, "NA")</f>
        <v>-5175.3</v>
      </c>
      <c r="L118" s="15">
        <f>IFERROR(K118/K444, "NA")</f>
        <v>-3.8529240621149166E-2</v>
      </c>
      <c r="M118" s="2"/>
      <c r="N118" s="14">
        <f t="shared" si="25"/>
        <v>-1021.4899999999989</v>
      </c>
      <c r="O118" s="15">
        <f>IFERROR(N118/N444, "NA")</f>
        <v>-4.7051350730143611E-2</v>
      </c>
      <c r="P118" s="2"/>
      <c r="Q118" s="14">
        <f>IFERROR(Q94+Q95+Q96+Q97+Q98+Q99+Q100+Q101+Q102+Q103+Q104+Q105+Q106+Q107+Q108+Q109+Q110+Q111+Q112+Q113+Q114+Q115+Q116+Q117, "NA")</f>
        <v>-48942.91</v>
      </c>
      <c r="R118" s="15">
        <f>IFERROR(Q118/Q444, "NA")</f>
        <v>-5.5019356691315087E-2</v>
      </c>
      <c r="S118" s="2"/>
      <c r="T118" s="14">
        <f>IFERROR(T94+T95+T96+T97+T98+T99+T100+T101+T102+T103+T104+T105+T106+T107+T108+T109+T110+T111+T112+T113+T114+T115+T116+T117, "NA")</f>
        <v>-33480.9</v>
      </c>
      <c r="U118" s="15">
        <f>IFERROR(T118/T444, "NA")</f>
        <v>-3.5000003763340101E-2</v>
      </c>
      <c r="V118" s="2"/>
      <c r="W118" s="14">
        <f t="shared" si="26"/>
        <v>-15462.010000000002</v>
      </c>
      <c r="X118" s="15">
        <f>IFERROR(W118/W444, "NA")</f>
        <v>0.23064194554156667</v>
      </c>
      <c r="Y118" s="2"/>
      <c r="Z118" s="14">
        <f>IFERROR(Z94+Z95+Z96+Z97+Z98+Z99+Z100+Z101+Z102+Z103+Z104+Z105+Z106+Z107+Z108+Z109+Z110+Z111+Z112+Z113+Z114+Z115+Z116+Z117, "NA")</f>
        <v>-32869.4</v>
      </c>
      <c r="AA118" s="15">
        <f>IFERROR(Z118/Z444, "NA")</f>
        <v>-3.9089360861466749E-2</v>
      </c>
      <c r="AB118" s="2"/>
      <c r="AC118" s="14">
        <f t="shared" si="27"/>
        <v>-16073.510000000002</v>
      </c>
      <c r="AD118" s="15">
        <f>IFERROR(AC118/AC444, "NA")</f>
        <v>-0.33018985365533016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156031.47000000006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145067.06000000003</v>
      </c>
      <c r="F122" s="15">
        <f>IFERROR(E122/E444, "NA")</f>
        <v>1.0000000000000002</v>
      </c>
      <c r="G122" s="2"/>
      <c r="H122" s="14">
        <f t="shared" si="24"/>
        <v>10964.410000000033</v>
      </c>
      <c r="I122" s="15">
        <f>IFERROR(H122/H444, "NA")</f>
        <v>1.0000000000000027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134321.35999999999</v>
      </c>
      <c r="L122" s="15">
        <f>IFERROR(K122/K444, "NA")</f>
        <v>1</v>
      </c>
      <c r="M122" s="2"/>
      <c r="N122" s="14">
        <f t="shared" si="25"/>
        <v>21710.110000000073</v>
      </c>
      <c r="O122" s="15">
        <f>IFERROR(N122/N444, "NA")</f>
        <v>1.0000000000000027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889558.02000000048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956597.04</v>
      </c>
      <c r="U122" s="15">
        <f>IFERROR(T122/T444, "NA")</f>
        <v>1</v>
      </c>
      <c r="V122" s="2"/>
      <c r="W122" s="14">
        <f t="shared" si="26"/>
        <v>-67039.019999999553</v>
      </c>
      <c r="X122" s="15">
        <f>IFERROR(W122/W444, "NA")</f>
        <v>0.99999999999999301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840878.42000000027</v>
      </c>
      <c r="AA122" s="15">
        <f>IFERROR(Z122/Z444, "NA")</f>
        <v>1.0000000000000002</v>
      </c>
      <c r="AB122" s="2"/>
      <c r="AC122" s="14">
        <f t="shared" si="27"/>
        <v>48679.60000000021</v>
      </c>
      <c r="AD122" s="15">
        <f>IFERROR(AC122/AC444, "NA")</f>
        <v>1.0000000000000049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156031.47000000006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145067.06000000003</v>
      </c>
      <c r="F124" s="15">
        <f>IFERROR(E124/E444, "NA")</f>
        <v>1.0000000000000002</v>
      </c>
      <c r="G124" s="2"/>
      <c r="H124" s="14">
        <f t="shared" si="24"/>
        <v>10964.410000000033</v>
      </c>
      <c r="I124" s="15">
        <f>IFERROR(H124/H444, "NA")</f>
        <v>1.0000000000000027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134321.35999999999</v>
      </c>
      <c r="L124" s="15">
        <f>IFERROR(K124/K444, "NA")</f>
        <v>1</v>
      </c>
      <c r="M124" s="2"/>
      <c r="N124" s="14">
        <f t="shared" si="25"/>
        <v>21710.110000000073</v>
      </c>
      <c r="O124" s="15">
        <f>IFERROR(N124/N444, "NA")</f>
        <v>1.0000000000000027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889558.02000000048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956597.04</v>
      </c>
      <c r="U124" s="15">
        <f>IFERROR(T124/T444, "NA")</f>
        <v>1</v>
      </c>
      <c r="V124" s="2"/>
      <c r="W124" s="14">
        <f t="shared" si="26"/>
        <v>-67039.019999999553</v>
      </c>
      <c r="X124" s="15">
        <f>IFERROR(W124/W444, "NA")</f>
        <v>0.99999999999999301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840878.42000000027</v>
      </c>
      <c r="AA124" s="15">
        <f>IFERROR(Z124/Z444, "NA")</f>
        <v>1.0000000000000002</v>
      </c>
      <c r="AB124" s="2"/>
      <c r="AC124" s="14">
        <f t="shared" si="27"/>
        <v>48679.60000000021</v>
      </c>
      <c r="AD124" s="15">
        <f>IFERROR(AC124/AC444, "NA")</f>
        <v>1.0000000000000049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31914.76</v>
      </c>
      <c r="F129" s="8">
        <f>IFERROR(E129/E444, "NA")</f>
        <v>0.2200000468748729</v>
      </c>
      <c r="G129" s="9"/>
      <c r="H129" s="10">
        <f t="shared" ref="H129:H141" si="28">IFERROR(-(B129-E129), "NA")</f>
        <v>31914.76</v>
      </c>
      <c r="I129" s="8">
        <f>IFERROR(H129/H444, "NA")</f>
        <v>2.9107594480687959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214619.69</v>
      </c>
      <c r="U129" s="8">
        <f>IFERROR(T129/T444, "NA")</f>
        <v>0.22435746821880193</v>
      </c>
      <c r="V129" s="9"/>
      <c r="W129" s="10">
        <f t="shared" ref="W129:W141" si="30">IFERROR(-(Q129-T129), "NA")</f>
        <v>214619.69</v>
      </c>
      <c r="X129" s="8">
        <f>IFERROR(W129/W444, "NA")</f>
        <v>-3.2014144896509515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6440.74</v>
      </c>
      <c r="C130" s="8">
        <f>IFERROR(B130/B444, "NA")</f>
        <v>4.1278467734746076E-2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-6440.74</v>
      </c>
      <c r="I130" s="8">
        <f>IFERROR(H130/H444, "NA")</f>
        <v>-0.58742239664514528</v>
      </c>
      <c r="J130" s="9"/>
      <c r="K130" s="7">
        <v>7849.55</v>
      </c>
      <c r="L130" s="8">
        <f>IFERROR(K130/K444, "NA")</f>
        <v>5.8438583409221E-2</v>
      </c>
      <c r="M130" s="9"/>
      <c r="N130" s="10">
        <f t="shared" si="29"/>
        <v>1408.8100000000004</v>
      </c>
      <c r="O130" s="8">
        <f>IFERROR(N130/N444, "NA")</f>
        <v>6.4891886775331836E-2</v>
      </c>
      <c r="P130" s="9"/>
      <c r="Q130" s="7">
        <v>43531.41</v>
      </c>
      <c r="R130" s="8">
        <f>IFERROR(Q130/Q444, "NA")</f>
        <v>4.8935998576011941E-2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-43531.41</v>
      </c>
      <c r="X130" s="8">
        <f>IFERROR(W130/W444, "NA")</f>
        <v>0.64934436690751129</v>
      </c>
      <c r="Y130" s="9"/>
      <c r="Z130" s="7">
        <v>50251.53</v>
      </c>
      <c r="AA130" s="8">
        <f>IFERROR(Z130/Z444, "NA")</f>
        <v>5.9760755900954143E-2</v>
      </c>
      <c r="AB130" s="9"/>
      <c r="AC130" s="10">
        <f t="shared" si="31"/>
        <v>6720.1199999999953</v>
      </c>
      <c r="AD130" s="8">
        <f>IFERROR(AC130/AC444, "NA")</f>
        <v>0.13804797081323592</v>
      </c>
    </row>
    <row r="131" spans="1:30" ht="16.5" customHeight="1" x14ac:dyDescent="0.45">
      <c r="A131" s="12" t="s">
        <v>123</v>
      </c>
      <c r="B131" s="7">
        <v>3938.29</v>
      </c>
      <c r="C131" s="8">
        <f>IFERROR(B131/B444, "NA")</f>
        <v>2.5240356961323252E-2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-3938.29</v>
      </c>
      <c r="I131" s="8">
        <f>IFERROR(H131/H444, "NA")</f>
        <v>-0.3591885017068861</v>
      </c>
      <c r="J131" s="9"/>
      <c r="K131" s="7">
        <v>4114.42</v>
      </c>
      <c r="L131" s="8">
        <f>IFERROR(K131/K444, "NA")</f>
        <v>3.0631166926838743E-2</v>
      </c>
      <c r="M131" s="9"/>
      <c r="N131" s="10">
        <f t="shared" si="29"/>
        <v>176.13000000000011</v>
      </c>
      <c r="O131" s="8">
        <f>IFERROR(N131/N444, "NA")</f>
        <v>8.1128101147345637E-3</v>
      </c>
      <c r="P131" s="9"/>
      <c r="Q131" s="7">
        <v>25221.96</v>
      </c>
      <c r="R131" s="8">
        <f>IFERROR(Q131/Q444, "NA")</f>
        <v>2.8353361369278643E-2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-25221.96</v>
      </c>
      <c r="X131" s="8">
        <f>IFERROR(W131/W444, "NA")</f>
        <v>0.37622805345304855</v>
      </c>
      <c r="Y131" s="9"/>
      <c r="Z131" s="7">
        <v>24699.15</v>
      </c>
      <c r="AA131" s="8">
        <f>IFERROR(Z131/Z444, "NA")</f>
        <v>2.9373033499896454E-2</v>
      </c>
      <c r="AB131" s="9"/>
      <c r="AC131" s="10">
        <f t="shared" si="31"/>
        <v>-522.80999999999767</v>
      </c>
      <c r="AD131" s="8">
        <f>IFERROR(AC131/AC444, "NA")</f>
        <v>-1.0739817089704885E-2</v>
      </c>
    </row>
    <row r="132" spans="1:30" ht="16.5" customHeight="1" x14ac:dyDescent="0.45">
      <c r="A132" s="12" t="s">
        <v>124</v>
      </c>
      <c r="B132" s="7">
        <v>6584.97</v>
      </c>
      <c r="C132" s="8">
        <f>IFERROR(B132/B444, "NA")</f>
        <v>4.2202832543973341E-2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-6584.97</v>
      </c>
      <c r="I132" s="8">
        <f>IFERROR(H132/H444, "NA")</f>
        <v>-0.60057677522091912</v>
      </c>
      <c r="J132" s="9"/>
      <c r="K132" s="7">
        <v>4825.54</v>
      </c>
      <c r="L132" s="8">
        <f>IFERROR(K132/K444, "NA")</f>
        <v>3.5925336074619854E-2</v>
      </c>
      <c r="M132" s="9"/>
      <c r="N132" s="10">
        <f t="shared" si="29"/>
        <v>-1759.4300000000003</v>
      </c>
      <c r="O132" s="8">
        <f>IFERROR(N132/N444, "NA")</f>
        <v>-8.1041966162308673E-2</v>
      </c>
      <c r="P132" s="9"/>
      <c r="Q132" s="7">
        <v>39111.370000000003</v>
      </c>
      <c r="R132" s="8">
        <f>IFERROR(Q132/Q444, "NA")</f>
        <v>4.3967193955488142E-2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-39111.370000000003</v>
      </c>
      <c r="X132" s="8">
        <f>IFERROR(W132/W444, "NA")</f>
        <v>0.58341201885111071</v>
      </c>
      <c r="Y132" s="9"/>
      <c r="Z132" s="7">
        <v>29354.79</v>
      </c>
      <c r="AA132" s="8">
        <f>IFERROR(Z132/Z444, "NA")</f>
        <v>3.4909672197319559E-2</v>
      </c>
      <c r="AB132" s="9"/>
      <c r="AC132" s="10">
        <f t="shared" si="31"/>
        <v>-9756.5800000000017</v>
      </c>
      <c r="AD132" s="8">
        <f>IFERROR(AC132/AC444, "NA")</f>
        <v>-0.20042440776012962</v>
      </c>
    </row>
    <row r="133" spans="1:30" ht="16.5" customHeight="1" x14ac:dyDescent="0.45">
      <c r="A133" s="12" t="s">
        <v>125</v>
      </c>
      <c r="B133" s="7">
        <v>3247.97</v>
      </c>
      <c r="C133" s="8">
        <f>IFERROR(B133/B444, "NA")</f>
        <v>2.0816121260666197E-2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-3247.97</v>
      </c>
      <c r="I133" s="8">
        <f>IFERROR(H133/H444, "NA")</f>
        <v>-0.29622843363208773</v>
      </c>
      <c r="J133" s="9"/>
      <c r="K133" s="7">
        <v>3025.38</v>
      </c>
      <c r="L133" s="8">
        <f>IFERROR(K133/K444, "NA")</f>
        <v>2.2523446754857162E-2</v>
      </c>
      <c r="M133" s="9"/>
      <c r="N133" s="10">
        <f t="shared" si="29"/>
        <v>-222.58999999999969</v>
      </c>
      <c r="O133" s="8">
        <f>IFERROR(N133/N444, "NA")</f>
        <v>-1.0252826908753549E-2</v>
      </c>
      <c r="P133" s="9"/>
      <c r="Q133" s="7">
        <v>21012.5</v>
      </c>
      <c r="R133" s="8">
        <f>IFERROR(Q133/Q444, "NA")</f>
        <v>2.3621281049211382E-2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-21012.5</v>
      </c>
      <c r="X133" s="8">
        <f>IFERROR(W133/W444, "NA")</f>
        <v>0.31343686109969976</v>
      </c>
      <c r="Y133" s="9"/>
      <c r="Z133" s="7">
        <v>17297.73</v>
      </c>
      <c r="AA133" s="8">
        <f>IFERROR(Z133/Z444, "NA")</f>
        <v>2.0571023811028471E-2</v>
      </c>
      <c r="AB133" s="9"/>
      <c r="AC133" s="10">
        <f t="shared" si="31"/>
        <v>-3714.7700000000004</v>
      </c>
      <c r="AD133" s="8">
        <f>IFERROR(AC133/AC444, "NA")</f>
        <v>-7.6310610604853002E-2</v>
      </c>
    </row>
    <row r="134" spans="1:30" ht="16.5" customHeight="1" x14ac:dyDescent="0.45">
      <c r="A134" s="12" t="s">
        <v>126</v>
      </c>
      <c r="B134" s="7">
        <v>2078.9</v>
      </c>
      <c r="C134" s="8">
        <f>IFERROR(B134/B444, "NA")</f>
        <v>1.3323594272360569E-2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-2078.9</v>
      </c>
      <c r="I134" s="8">
        <f>IFERROR(H134/H444, "NA")</f>
        <v>-0.18960436539677003</v>
      </c>
      <c r="J134" s="9"/>
      <c r="K134" s="7">
        <v>1345.19</v>
      </c>
      <c r="L134" s="8">
        <f>IFERROR(K134/K444, "NA")</f>
        <v>1.0014713966564961E-2</v>
      </c>
      <c r="M134" s="9"/>
      <c r="N134" s="10">
        <f t="shared" si="29"/>
        <v>-733.71</v>
      </c>
      <c r="O134" s="8">
        <f>IFERROR(N134/N444, "NA")</f>
        <v>-3.3795775332322107E-2</v>
      </c>
      <c r="P134" s="9"/>
      <c r="Q134" s="7">
        <v>8606.7900000000009</v>
      </c>
      <c r="R134" s="8">
        <f>IFERROR(Q134/Q444, "NA")</f>
        <v>9.6753554085207399E-3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-8606.7900000000009</v>
      </c>
      <c r="X134" s="8">
        <f>IFERROR(W134/W444, "NA")</f>
        <v>0.12838478247444546</v>
      </c>
      <c r="Y134" s="9"/>
      <c r="Z134" s="7">
        <v>8622.7000000000007</v>
      </c>
      <c r="AA134" s="8">
        <f>IFERROR(Z134/Z444, "NA")</f>
        <v>1.0254395635459405E-2</v>
      </c>
      <c r="AB134" s="9"/>
      <c r="AC134" s="10">
        <f t="shared" si="31"/>
        <v>15.909999999999854</v>
      </c>
      <c r="AD134" s="8">
        <f>IFERROR(AC134/AC444, "NA")</f>
        <v>3.2683095177445711E-4</v>
      </c>
    </row>
    <row r="135" spans="1:30" ht="16.5" customHeight="1" x14ac:dyDescent="0.45">
      <c r="A135" s="12" t="s">
        <v>127</v>
      </c>
      <c r="B135" s="7">
        <v>1293.1600000000001</v>
      </c>
      <c r="C135" s="8">
        <f>IFERROR(B135/B444, "NA")</f>
        <v>8.2878152721370894E-3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-1293.1600000000001</v>
      </c>
      <c r="I135" s="8">
        <f>IFERROR(H135/H444, "NA")</f>
        <v>-0.11794159466856854</v>
      </c>
      <c r="J135" s="9"/>
      <c r="K135" s="7">
        <v>1124.3699999999999</v>
      </c>
      <c r="L135" s="8">
        <f>IFERROR(K135/K444, "NA")</f>
        <v>8.3707460972700098E-3</v>
      </c>
      <c r="M135" s="9"/>
      <c r="N135" s="10">
        <f t="shared" si="29"/>
        <v>-168.79000000000019</v>
      </c>
      <c r="O135" s="8">
        <f>IFERROR(N135/N444, "NA")</f>
        <v>-7.7747187830923044E-3</v>
      </c>
      <c r="P135" s="9"/>
      <c r="Q135" s="7">
        <v>7311.93</v>
      </c>
      <c r="R135" s="8">
        <f>IFERROR(Q135/Q444, "NA")</f>
        <v>8.2197336605430195E-3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-7311.93</v>
      </c>
      <c r="X135" s="8">
        <f>IFERROR(W135/W444, "NA")</f>
        <v>0.10906976265464499</v>
      </c>
      <c r="Y135" s="9"/>
      <c r="Z135" s="7">
        <v>7354.61</v>
      </c>
      <c r="AA135" s="8">
        <f>IFERROR(Z135/Z444, "NA")</f>
        <v>8.7463417125153466E-3</v>
      </c>
      <c r="AB135" s="9"/>
      <c r="AC135" s="10">
        <f t="shared" si="31"/>
        <v>42.679999999999382</v>
      </c>
      <c r="AD135" s="8">
        <f>IFERROR(AC135/AC444, "NA")</f>
        <v>8.7675330117748299E-4</v>
      </c>
    </row>
    <row r="136" spans="1:30" ht="16.5" customHeight="1" x14ac:dyDescent="0.45">
      <c r="A136" s="12" t="s">
        <v>128</v>
      </c>
      <c r="B136" s="7">
        <v>82</v>
      </c>
      <c r="C136" s="8">
        <f>IFERROR(B136/B444, "NA")</f>
        <v>5.2553500905939043E-4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-82</v>
      </c>
      <c r="I136" s="8">
        <f>IFERROR(H136/H444, "NA")</f>
        <v>-7.4787425862403879E-3</v>
      </c>
      <c r="J136" s="9"/>
      <c r="K136" s="7">
        <v>845.43</v>
      </c>
      <c r="L136" s="8">
        <f>IFERROR(K136/K444, "NA")</f>
        <v>6.2940845744861428E-3</v>
      </c>
      <c r="M136" s="9"/>
      <c r="N136" s="10">
        <f t="shared" si="29"/>
        <v>763.43</v>
      </c>
      <c r="O136" s="8">
        <f>IFERROR(N136/N444, "NA")</f>
        <v>3.5164722795047995E-2</v>
      </c>
      <c r="P136" s="9"/>
      <c r="Q136" s="7">
        <v>4036.02</v>
      </c>
      <c r="R136" s="8">
        <f>IFERROR(Q136/Q444, "NA")</f>
        <v>4.5371070905526768E-3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-4036.02</v>
      </c>
      <c r="X136" s="8">
        <f>IFERROR(W136/W444, "NA")</f>
        <v>6.020404236219442E-2</v>
      </c>
      <c r="Y136" s="9"/>
      <c r="Z136" s="7">
        <v>6213.43</v>
      </c>
      <c r="AA136" s="8">
        <f>IFERROR(Z136/Z444, "NA")</f>
        <v>7.3892132943547293E-3</v>
      </c>
      <c r="AB136" s="9"/>
      <c r="AC136" s="10">
        <f t="shared" si="31"/>
        <v>2177.4100000000003</v>
      </c>
      <c r="AD136" s="8">
        <f>IFERROR(AC136/AC444, "NA")</f>
        <v>4.4729414374810011E-2</v>
      </c>
    </row>
    <row r="137" spans="1:30" ht="16.5" customHeight="1" x14ac:dyDescent="0.45">
      <c r="A137" s="12" t="s">
        <v>129</v>
      </c>
      <c r="B137" s="7">
        <v>607.33000000000004</v>
      </c>
      <c r="C137" s="8">
        <f>IFERROR(B137/B444, "NA")</f>
        <v>3.8923558177078E-3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-607.33000000000004</v>
      </c>
      <c r="I137" s="8">
        <f>IFERROR(H137/H444, "NA")</f>
        <v>-5.5391033352455793E-2</v>
      </c>
      <c r="J137" s="9"/>
      <c r="K137" s="7">
        <v>88.44</v>
      </c>
      <c r="L137" s="8">
        <f>IFERROR(K137/K444, "NA")</f>
        <v>6.5842096893599053E-4</v>
      </c>
      <c r="M137" s="9"/>
      <c r="N137" s="10">
        <f t="shared" si="29"/>
        <v>-518.8900000000001</v>
      </c>
      <c r="O137" s="8">
        <f>IFERROR(N137/N444, "NA")</f>
        <v>-2.390084619562037E-2</v>
      </c>
      <c r="P137" s="9"/>
      <c r="Q137" s="7">
        <v>4766.7299999999996</v>
      </c>
      <c r="R137" s="8">
        <f>IFERROR(Q137/Q444, "NA")</f>
        <v>5.3585374903370548E-3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-4766.7299999999996</v>
      </c>
      <c r="X137" s="8">
        <f>IFERROR(W137/W444, "NA")</f>
        <v>7.1103813868400798E-2</v>
      </c>
      <c r="Y137" s="9"/>
      <c r="Z137" s="7">
        <v>3514.46</v>
      </c>
      <c r="AA137" s="8">
        <f>IFERROR(Z137/Z444, "NA")</f>
        <v>4.1795102792624881E-3</v>
      </c>
      <c r="AB137" s="9"/>
      <c r="AC137" s="10">
        <f t="shared" si="31"/>
        <v>-1252.2699999999995</v>
      </c>
      <c r="AD137" s="8">
        <f>IFERROR(AC137/AC444, "NA")</f>
        <v>-2.572473890500333E-2</v>
      </c>
    </row>
    <row r="138" spans="1:30" ht="16.5" customHeight="1" x14ac:dyDescent="0.45">
      <c r="A138" s="12" t="s">
        <v>130</v>
      </c>
      <c r="B138" s="7">
        <v>10316.379999999999</v>
      </c>
      <c r="C138" s="8">
        <f>IFERROR(B138/B444, "NA")</f>
        <v>6.6117303131220898E-2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-10316.379999999999</v>
      </c>
      <c r="I138" s="8">
        <f>IFERROR(H138/H444, "NA")</f>
        <v>-0.94089695660778794</v>
      </c>
      <c r="J138" s="9"/>
      <c r="K138" s="7">
        <v>5793.07</v>
      </c>
      <c r="L138" s="8">
        <f>IFERROR(K138/K444, "NA")</f>
        <v>4.3128434673383301E-2</v>
      </c>
      <c r="M138" s="9"/>
      <c r="N138" s="10">
        <f t="shared" si="29"/>
        <v>-4523.3099999999995</v>
      </c>
      <c r="O138" s="8">
        <f>IFERROR(N138/N444, "NA")</f>
        <v>-0.20835039527667046</v>
      </c>
      <c r="P138" s="9"/>
      <c r="Q138" s="7">
        <v>52990.07</v>
      </c>
      <c r="R138" s="8">
        <f>IFERROR(Q138/Q444, "NA")</f>
        <v>5.9568986854842812E-2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-52990.07</v>
      </c>
      <c r="X138" s="8">
        <f>IFERROR(W138/W444, "NA")</f>
        <v>0.79043622654388423</v>
      </c>
      <c r="Y138" s="9"/>
      <c r="Z138" s="7">
        <v>38303.24</v>
      </c>
      <c r="AA138" s="8">
        <f>IFERROR(Z138/Z444, "NA")</f>
        <v>4.5551460340723209E-2</v>
      </c>
      <c r="AB138" s="9"/>
      <c r="AC138" s="10">
        <f t="shared" si="31"/>
        <v>-14686.830000000002</v>
      </c>
      <c r="AD138" s="8">
        <f>IFERROR(AC138/AC444, "NA")</f>
        <v>-0.30170399921116869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10.89</v>
      </c>
      <c r="C140" s="8">
        <f>IFERROR(B140/B444, "NA")</f>
        <v>6.9793612788497097E-5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-10.89</v>
      </c>
      <c r="I140" s="8">
        <f>IFERROR(H140/H444, "NA")</f>
        <v>-9.9321349712387609E-4</v>
      </c>
      <c r="J140" s="9"/>
      <c r="K140" s="7">
        <v>75.180000000000007</v>
      </c>
      <c r="L140" s="8">
        <f>IFERROR(K140/K444, "NA")</f>
        <v>5.5970249258941406E-4</v>
      </c>
      <c r="M140" s="9"/>
      <c r="N140" s="10">
        <f t="shared" si="29"/>
        <v>64.290000000000006</v>
      </c>
      <c r="O140" s="8">
        <f>IFERROR(N140/N444, "NA")</f>
        <v>2.9612931486758917E-3</v>
      </c>
      <c r="P140" s="9"/>
      <c r="Q140" s="7">
        <v>98.29</v>
      </c>
      <c r="R140" s="8">
        <f>IFERROR(Q140/Q444, "NA")</f>
        <v>1.1049307385256332E-4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-98.29</v>
      </c>
      <c r="X140" s="8">
        <f>IFERROR(W140/W444, "NA")</f>
        <v>1.4661610506836165E-3</v>
      </c>
      <c r="Y140" s="9"/>
      <c r="Z140" s="7">
        <v>208.83</v>
      </c>
      <c r="AA140" s="8">
        <f>IFERROR(Z140/Z444, "NA")</f>
        <v>2.4834743648195897E-4</v>
      </c>
      <c r="AB140" s="9"/>
      <c r="AC140" s="10">
        <f t="shared" si="31"/>
        <v>110.54</v>
      </c>
      <c r="AD140" s="8">
        <f>IFERROR(AC140/AC444, "NA")</f>
        <v>2.2707663990665507E-3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34600.630000000005</v>
      </c>
      <c r="C141" s="15">
        <f>IFERROR(B141/B444, "NA")</f>
        <v>0.22175417561598312</v>
      </c>
      <c r="D141" s="2"/>
      <c r="E141" s="14">
        <f>IFERROR(E129+E130+E131+E132+E133+E134+E135+E136+E137+E138+E139+E140, "NA")</f>
        <v>31914.76</v>
      </c>
      <c r="F141" s="15">
        <f>IFERROR(E141/E444, "NA")</f>
        <v>0.2200000468748729</v>
      </c>
      <c r="G141" s="2"/>
      <c r="H141" s="14">
        <f t="shared" si="28"/>
        <v>-2685.8700000000063</v>
      </c>
      <c r="I141" s="15">
        <f>IFERROR(H141/H444, "NA")</f>
        <v>-0.24496256524518925</v>
      </c>
      <c r="J141" s="2"/>
      <c r="K141" s="14">
        <f>IFERROR(K129+K130+K131+K132+K133+K134+K135+K136+K137+K138+K139+K140, "NA")</f>
        <v>29086.57</v>
      </c>
      <c r="L141" s="15">
        <f>IFERROR(K141/K444, "NA")</f>
        <v>0.21654463593876658</v>
      </c>
      <c r="M141" s="2"/>
      <c r="N141" s="14">
        <f t="shared" si="29"/>
        <v>-5514.0600000000049</v>
      </c>
      <c r="O141" s="15">
        <f>IFERROR(N141/N444, "NA")</f>
        <v>-0.25398581582497742</v>
      </c>
      <c r="P141" s="2"/>
      <c r="Q141" s="14">
        <f>IFERROR(Q129+Q130+Q131+Q132+Q133+Q134+Q135+Q136+Q137+Q138+Q139+Q140, "NA")</f>
        <v>206687.07</v>
      </c>
      <c r="R141" s="15">
        <f>IFERROR(Q141/Q444, "NA")</f>
        <v>0.23234804852863897</v>
      </c>
      <c r="S141" s="2"/>
      <c r="T141" s="14">
        <f>IFERROR(T129+T130+T131+T132+T133+T134+T135+T136+T137+T138+T139+T140, "NA")</f>
        <v>214619.69</v>
      </c>
      <c r="U141" s="15">
        <f>IFERROR(T141/T444, "NA")</f>
        <v>0.22435746821880193</v>
      </c>
      <c r="V141" s="2"/>
      <c r="W141" s="14">
        <f t="shared" si="30"/>
        <v>7932.6199999999953</v>
      </c>
      <c r="X141" s="15">
        <f>IFERROR(W141/W444, "NA")</f>
        <v>-0.11832840038532773</v>
      </c>
      <c r="Y141" s="2"/>
      <c r="Z141" s="14">
        <f>IFERROR(Z129+Z130+Z131+Z132+Z133+Z134+Z135+Z136+Z137+Z138+Z139+Z140, "NA")</f>
        <v>185820.46999999994</v>
      </c>
      <c r="AA141" s="15">
        <f>IFERROR(Z141/Z444, "NA")</f>
        <v>0.2209837541079957</v>
      </c>
      <c r="AB141" s="2"/>
      <c r="AC141" s="14">
        <f t="shared" si="31"/>
        <v>-20866.600000000064</v>
      </c>
      <c r="AD141" s="15">
        <f>IFERROR(AC141/AC444, "NA")</f>
        <v>-0.42865183773079635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1866.27</v>
      </c>
      <c r="C144" s="8">
        <f>IFERROR(B144/B444, "NA")</f>
        <v>1.1960856358015469E-2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-1866.27</v>
      </c>
      <c r="I144" s="8">
        <f>IFERROR(H144/H444, "NA")</f>
        <v>-0.1702116210539372</v>
      </c>
      <c r="J144" s="9"/>
      <c r="K144" s="7">
        <v>1186.43</v>
      </c>
      <c r="L144" s="8">
        <f>IFERROR(K144/K444, "NA")</f>
        <v>8.8327723900353608E-3</v>
      </c>
      <c r="M144" s="9"/>
      <c r="N144" s="10">
        <f t="shared" si="33"/>
        <v>-679.83999999999992</v>
      </c>
      <c r="O144" s="8">
        <f>IFERROR(N144/N444, "NA")</f>
        <v>-3.1314442902408118E-2</v>
      </c>
      <c r="P144" s="9"/>
      <c r="Q144" s="7">
        <v>12750.82</v>
      </c>
      <c r="R144" s="8">
        <f>IFERROR(Q144/Q444, "NA")</f>
        <v>1.4333882347550527E-2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-12750.82</v>
      </c>
      <c r="X144" s="8">
        <f>IFERROR(W144/W444, "NA")</f>
        <v>0.19019997607363587</v>
      </c>
      <c r="Y144" s="9"/>
      <c r="Z144" s="7">
        <v>9489.89</v>
      </c>
      <c r="AA144" s="8">
        <f>IFERROR(Z144/Z444, "NA")</f>
        <v>1.1285686223223566E-2</v>
      </c>
      <c r="AB144" s="9"/>
      <c r="AC144" s="10">
        <f t="shared" si="35"/>
        <v>-3260.9300000000003</v>
      </c>
      <c r="AD144" s="8">
        <f>IFERROR(AC144/AC444, "NA")</f>
        <v>-6.698760877246325E-2</v>
      </c>
    </row>
    <row r="145" spans="1:30" ht="16.5" customHeight="1" x14ac:dyDescent="0.45">
      <c r="A145" s="12" t="s">
        <v>136</v>
      </c>
      <c r="B145" s="7">
        <v>73.67</v>
      </c>
      <c r="C145" s="8">
        <f>IFERROR(B145/B444, "NA")</f>
        <v>4.7214834289518645E-4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-73.67</v>
      </c>
      <c r="I145" s="8">
        <f>IFERROR(H145/H444, "NA")</f>
        <v>-6.7190117844918218E-3</v>
      </c>
      <c r="J145" s="9"/>
      <c r="K145" s="7">
        <v>29.83</v>
      </c>
      <c r="L145" s="8">
        <f>IFERROR(K145/K444, "NA")</f>
        <v>2.2207934761827905E-4</v>
      </c>
      <c r="M145" s="9"/>
      <c r="N145" s="10">
        <f t="shared" si="33"/>
        <v>-43.84</v>
      </c>
      <c r="O145" s="8">
        <f>IFERROR(N145/N444, "NA")</f>
        <v>-2.0193356919886623E-3</v>
      </c>
      <c r="P145" s="9"/>
      <c r="Q145" s="7">
        <v>519.03</v>
      </c>
      <c r="R145" s="8">
        <f>IFERROR(Q145/Q444, "NA")</f>
        <v>5.8346953018309023E-4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-519.03</v>
      </c>
      <c r="X145" s="8">
        <f>IFERROR(W145/W444, "NA")</f>
        <v>7.7422074487365688E-3</v>
      </c>
      <c r="Y145" s="9"/>
      <c r="Z145" s="7">
        <v>367.72</v>
      </c>
      <c r="AA145" s="8">
        <f>IFERROR(Z145/Z444, "NA")</f>
        <v>4.373045986838383E-4</v>
      </c>
      <c r="AB145" s="9"/>
      <c r="AC145" s="10">
        <f t="shared" si="35"/>
        <v>-151.30999999999995</v>
      </c>
      <c r="AD145" s="8">
        <f>IFERROR(AC145/AC444, "NA")</f>
        <v>-3.1082835520423345E-3</v>
      </c>
    </row>
    <row r="146" spans="1:30" ht="16.5" customHeight="1" x14ac:dyDescent="0.45">
      <c r="A146" s="12" t="s">
        <v>137</v>
      </c>
      <c r="B146" s="7">
        <v>-16.27</v>
      </c>
      <c r="C146" s="8">
        <f>IFERROR(B146/B444, "NA")</f>
        <v>-1.0427383655361319E-4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16.27</v>
      </c>
      <c r="I146" s="8">
        <f>IFERROR(H146/H444, "NA")</f>
        <v>1.48389197412355E-3</v>
      </c>
      <c r="J146" s="9"/>
      <c r="K146" s="7">
        <v>-520.6</v>
      </c>
      <c r="L146" s="8">
        <f>IFERROR(K146/K444, "NA")</f>
        <v>-3.8757796972871631E-3</v>
      </c>
      <c r="M146" s="9"/>
      <c r="N146" s="10">
        <f t="shared" si="33"/>
        <v>-504.33000000000004</v>
      </c>
      <c r="O146" s="8">
        <f>IFERROR(N146/N444, "NA")</f>
        <v>-2.3230190911054788E-2</v>
      </c>
      <c r="P146" s="9"/>
      <c r="Q146" s="7">
        <v>180.49</v>
      </c>
      <c r="R146" s="8">
        <f>IFERROR(Q146/Q444, "NA")</f>
        <v>2.0289851357868709E-4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-180.49</v>
      </c>
      <c r="X146" s="8">
        <f>IFERROR(W146/W444, "NA")</f>
        <v>2.692312626288391E-3</v>
      </c>
      <c r="Y146" s="9"/>
      <c r="Z146" s="7">
        <v>3181.85</v>
      </c>
      <c r="AA146" s="8">
        <f>IFERROR(Z146/Z444, "NA")</f>
        <v>3.7839596359245369E-3</v>
      </c>
      <c r="AB146" s="9"/>
      <c r="AC146" s="10">
        <f t="shared" si="35"/>
        <v>3001.3599999999997</v>
      </c>
      <c r="AD146" s="8">
        <f>IFERROR(AC146/AC444, "NA")</f>
        <v>6.1655395689364768E-2</v>
      </c>
    </row>
    <row r="147" spans="1:30" ht="16.5" customHeight="1" x14ac:dyDescent="0.45">
      <c r="A147" s="12" t="s">
        <v>138</v>
      </c>
      <c r="B147" s="7">
        <v>28.32</v>
      </c>
      <c r="C147" s="8">
        <f>IFERROR(B147/B444, "NA")</f>
        <v>1.8150184703124311E-4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-28.32</v>
      </c>
      <c r="I147" s="8">
        <f>IFERROR(H147/H444, "NA")</f>
        <v>-2.5829023175893634E-3</v>
      </c>
      <c r="J147" s="9"/>
      <c r="K147" s="7">
        <v>0.35</v>
      </c>
      <c r="L147" s="8">
        <f>IFERROR(K147/K444, "NA")</f>
        <v>2.6056913062821877E-6</v>
      </c>
      <c r="M147" s="9"/>
      <c r="N147" s="10">
        <f t="shared" si="33"/>
        <v>-27.97</v>
      </c>
      <c r="O147" s="8">
        <f>IFERROR(N147/N444, "NA")</f>
        <v>-1.2883398564079121E-3</v>
      </c>
      <c r="P147" s="9"/>
      <c r="Q147" s="7">
        <v>97.29</v>
      </c>
      <c r="R147" s="8">
        <f>IFERROR(Q147/Q444, "NA")</f>
        <v>1.0936892008460562E-4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-97.29</v>
      </c>
      <c r="X147" s="8">
        <f>IFERROR(W147/W444, "NA")</f>
        <v>1.4512443648490086E-3</v>
      </c>
      <c r="Y147" s="9"/>
      <c r="Z147" s="7">
        <v>-149.88999999999999</v>
      </c>
      <c r="AA147" s="8">
        <f>IFERROR(Z147/Z444, "NA")</f>
        <v>-1.7825406911976642E-4</v>
      </c>
      <c r="AB147" s="9"/>
      <c r="AC147" s="10">
        <f t="shared" si="35"/>
        <v>-247.18</v>
      </c>
      <c r="AD147" s="8">
        <f>IFERROR(AC147/AC444, "NA")</f>
        <v>-5.0776916819365841E-3</v>
      </c>
    </row>
    <row r="148" spans="1:30" ht="16.5" customHeight="1" x14ac:dyDescent="0.45">
      <c r="A148" s="13" t="s">
        <v>139</v>
      </c>
      <c r="B148" s="14">
        <f>IFERROR(B143+B144+B145+B146+B147, "NA")</f>
        <v>1951.99</v>
      </c>
      <c r="C148" s="15">
        <f>IFERROR(B148/B444, "NA")</f>
        <v>1.2510232711388286E-2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-1951.99</v>
      </c>
      <c r="I148" s="15">
        <f>IFERROR(H148/H444, "NA")</f>
        <v>-0.17802964318189482</v>
      </c>
      <c r="J148" s="2"/>
      <c r="K148" s="14">
        <f>IFERROR(K143+K144+K145+K146+K147, "NA")</f>
        <v>696.01</v>
      </c>
      <c r="L148" s="15">
        <f>IFERROR(K148/K444, "NA")</f>
        <v>5.1816777316727588E-3</v>
      </c>
      <c r="M148" s="2"/>
      <c r="N148" s="14">
        <f t="shared" si="33"/>
        <v>-1255.98</v>
      </c>
      <c r="O148" s="15">
        <f>IFERROR(N148/N444, "NA")</f>
        <v>-5.7852309361859484E-2</v>
      </c>
      <c r="P148" s="2"/>
      <c r="Q148" s="14">
        <f>IFERROR(Q143+Q144+Q145+Q146+Q147, "NA")</f>
        <v>13547.630000000001</v>
      </c>
      <c r="R148" s="15">
        <f>IFERROR(Q148/Q444, "NA")</f>
        <v>1.5229619311396912E-2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-13547.630000000001</v>
      </c>
      <c r="X148" s="15">
        <f>IFERROR(W148/W444, "NA")</f>
        <v>0.20208574051350986</v>
      </c>
      <c r="Y148" s="2"/>
      <c r="Z148" s="14">
        <f>IFERROR(Z143+Z144+Z145+Z146+Z147, "NA")</f>
        <v>12889.57</v>
      </c>
      <c r="AA148" s="15">
        <f>IFERROR(Z148/Z444, "NA")</f>
        <v>1.5328696388712175E-2</v>
      </c>
      <c r="AB148" s="2"/>
      <c r="AC148" s="14">
        <f t="shared" si="35"/>
        <v>-658.06000000000131</v>
      </c>
      <c r="AD148" s="15">
        <f>IFERROR(AC148/AC444, "NA")</f>
        <v>-1.3518188317077413E-2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36552.620000000003</v>
      </c>
      <c r="C149" s="15">
        <f>IFERROR(B149/B444, "NA")</f>
        <v>0.23426440832737142</v>
      </c>
      <c r="D149" s="2"/>
      <c r="E149" s="14">
        <f>IFERROR(E127+E129+E130+E131+E132+E133+E134+E135+E136+E137+E138+E139+E140+E143+E144+E145+E146+E147, "NA")</f>
        <v>31914.76</v>
      </c>
      <c r="F149" s="15">
        <f>IFERROR(E149/E444, "NA")</f>
        <v>0.2200000468748729</v>
      </c>
      <c r="G149" s="2"/>
      <c r="H149" s="14">
        <f t="shared" si="32"/>
        <v>-4637.8600000000042</v>
      </c>
      <c r="I149" s="15">
        <f>IFERROR(H149/H444, "NA")</f>
        <v>-0.4229922084270839</v>
      </c>
      <c r="J149" s="2"/>
      <c r="K149" s="14">
        <f>IFERROR(K127+K129+K130+K131+K132+K133+K134+K135+K136+K137+K138+K139+K140+K143+K144+K145+K146+K147, "NA")</f>
        <v>29782.58</v>
      </c>
      <c r="L149" s="15">
        <f>IFERROR(K149/K444, "NA")</f>
        <v>0.22172631367043935</v>
      </c>
      <c r="M149" s="2"/>
      <c r="N149" s="14">
        <f t="shared" si="33"/>
        <v>-6770.0400000000009</v>
      </c>
      <c r="O149" s="15">
        <f>IFERROR(N149/N444, "NA")</f>
        <v>-0.31183812518683673</v>
      </c>
      <c r="P149" s="2"/>
      <c r="Q149" s="14">
        <f>IFERROR(Q127+Q129+Q130+Q131+Q132+Q133+Q134+Q135+Q136+Q137+Q138+Q139+Q140+Q143+Q144+Q145+Q146+Q147, "NA")</f>
        <v>220234.7</v>
      </c>
      <c r="R149" s="15">
        <f>IFERROR(Q149/Q444, "NA")</f>
        <v>0.2475776678400359</v>
      </c>
      <c r="S149" s="2"/>
      <c r="T149" s="14">
        <f>IFERROR(T127+T129+T130+T131+T132+T133+T134+T135+T136+T137+T138+T139+T140+T143+T144+T145+T146+T147, "NA")</f>
        <v>214619.69</v>
      </c>
      <c r="U149" s="15">
        <f>IFERROR(T149/T444, "NA")</f>
        <v>0.22435746821880193</v>
      </c>
      <c r="V149" s="2"/>
      <c r="W149" s="14">
        <f t="shared" si="34"/>
        <v>-5615.0100000000093</v>
      </c>
      <c r="X149" s="15">
        <f>IFERROR(W149/W444, "NA")</f>
        <v>8.3757340128182187E-2</v>
      </c>
      <c r="Y149" s="2"/>
      <c r="Z149" s="14">
        <f>IFERROR(Z127+Z129+Z130+Z131+Z132+Z133+Z134+Z135+Z136+Z137+Z138+Z139+Z140+Z143+Z144+Z145+Z146+Z147, "NA")</f>
        <v>198710.03999999992</v>
      </c>
      <c r="AA149" s="15">
        <f>IFERROR(Z149/Z444, "NA")</f>
        <v>0.23631245049670785</v>
      </c>
      <c r="AB149" s="2"/>
      <c r="AC149" s="14">
        <f t="shared" si="35"/>
        <v>-21524.660000000091</v>
      </c>
      <c r="AD149" s="15">
        <f>IFERROR(AC149/AC444, "NA")</f>
        <v>-0.44217002604787431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2611.21</v>
      </c>
      <c r="F153" s="8">
        <f>IFERROR(E153/E444, "NA")</f>
        <v>1.8000020128621893E-2</v>
      </c>
      <c r="G153" s="9"/>
      <c r="H153" s="10">
        <f t="shared" ref="H153:H158" si="36">IFERROR(-(B153-E153), "NA")</f>
        <v>2611.21</v>
      </c>
      <c r="I153" s="8">
        <f>IFERROR(H153/H444, "NA")</f>
        <v>0.23815326132459469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18367.490000000002</v>
      </c>
      <c r="U153" s="8">
        <f>IFERROR(T153/T444, "NA")</f>
        <v>1.9200864347228171E-2</v>
      </c>
      <c r="V153" s="9"/>
      <c r="W153" s="10">
        <f t="shared" ref="W153:W158" si="38">IFERROR(-(Q153-T153), "NA")</f>
        <v>18367.490000000002</v>
      </c>
      <c r="X153" s="8">
        <f>IFERROR(W153/W444, "NA")</f>
        <v>-0.27398207790030338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3876.29</v>
      </c>
      <c r="C154" s="8">
        <f>IFERROR(B154/B444, "NA")</f>
        <v>2.4843001222766149E-2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-3876.29</v>
      </c>
      <c r="I154" s="8">
        <f>IFERROR(H154/H444, "NA")</f>
        <v>-0.35353384267826526</v>
      </c>
      <c r="J154" s="9"/>
      <c r="K154" s="7">
        <v>3816.49</v>
      </c>
      <c r="L154" s="8">
        <f>IFERROR(K154/K444, "NA")</f>
        <v>2.8413128038608307E-2</v>
      </c>
      <c r="M154" s="9"/>
      <c r="N154" s="10">
        <f t="shared" si="37"/>
        <v>-59.800000000000182</v>
      </c>
      <c r="O154" s="8">
        <f>IFERROR(N154/N444, "NA")</f>
        <v>-2.7544770616086305E-3</v>
      </c>
      <c r="P154" s="9"/>
      <c r="Q154" s="7">
        <v>29137.24</v>
      </c>
      <c r="R154" s="8">
        <f>IFERROR(Q154/Q444, "NA")</f>
        <v>3.2754738133888107E-2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-29137.24</v>
      </c>
      <c r="X154" s="8">
        <f>IFERROR(W154/W444, "NA")</f>
        <v>0.43463105516757244</v>
      </c>
      <c r="Y154" s="9"/>
      <c r="Z154" s="7">
        <v>28146.62</v>
      </c>
      <c r="AA154" s="8">
        <f>IFERROR(Z154/Z444, "NA")</f>
        <v>3.3472877089651076E-2</v>
      </c>
      <c r="AB154" s="9"/>
      <c r="AC154" s="10">
        <f t="shared" si="39"/>
        <v>-990.62000000000262</v>
      </c>
      <c r="AD154" s="8">
        <f>IFERROR(AC154/AC444, "NA")</f>
        <v>-2.0349797451088406E-2</v>
      </c>
    </row>
    <row r="155" spans="1:30" ht="16.5" customHeight="1" x14ac:dyDescent="0.45">
      <c r="A155" s="12" t="s">
        <v>144</v>
      </c>
      <c r="B155" s="7">
        <v>2110.63</v>
      </c>
      <c r="C155" s="8">
        <f>IFERROR(B155/B444, "NA")</f>
        <v>1.3526950685012454E-2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-2110.63</v>
      </c>
      <c r="I155" s="8">
        <f>IFERROR(H155/H444, "NA")</f>
        <v>-0.19249827396093355</v>
      </c>
      <c r="J155" s="9"/>
      <c r="K155" s="7">
        <v>1092.94</v>
      </c>
      <c r="L155" s="8">
        <f>IFERROR(K155/K444, "NA")</f>
        <v>8.1367550179658708E-3</v>
      </c>
      <c r="M155" s="9"/>
      <c r="N155" s="10">
        <f t="shared" si="37"/>
        <v>-1017.69</v>
      </c>
      <c r="O155" s="8">
        <f>IFERROR(N155/N444, "NA")</f>
        <v>-4.6876317070710341E-2</v>
      </c>
      <c r="P155" s="9"/>
      <c r="Q155" s="7">
        <v>7958.86</v>
      </c>
      <c r="R155" s="8">
        <f>IFERROR(Q155/Q444, "NA")</f>
        <v>8.9469824576478996E-3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-7958.86</v>
      </c>
      <c r="X155" s="8">
        <f>IFERROR(W155/W444, "NA")</f>
        <v>0.1187198142216279</v>
      </c>
      <c r="Y155" s="9"/>
      <c r="Z155" s="7">
        <v>7523.26</v>
      </c>
      <c r="AA155" s="8">
        <f>IFERROR(Z155/Z444, "NA")</f>
        <v>8.9469057845484954E-3</v>
      </c>
      <c r="AB155" s="9"/>
      <c r="AC155" s="10">
        <f t="shared" si="39"/>
        <v>-435.59999999999945</v>
      </c>
      <c r="AD155" s="8">
        <f>IFERROR(AC155/AC444, "NA")</f>
        <v>-8.9483068883063881E-3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1.5582514294991659E-4</v>
      </c>
      <c r="AB156" s="9"/>
      <c r="AC156" s="10">
        <f t="shared" si="39"/>
        <v>131.03</v>
      </c>
      <c r="AD156" s="8">
        <f>IFERROR(AC156/AC444, "NA")</f>
        <v>2.6916819365812388E-3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5986.92</v>
      </c>
      <c r="C158" s="15">
        <f>IFERROR(B158/B444, "NA")</f>
        <v>3.8369951907778602E-2</v>
      </c>
      <c r="D158" s="2"/>
      <c r="E158" s="14">
        <f>IFERROR(E153+E154+E155+E156+E157, "NA")</f>
        <v>2611.21</v>
      </c>
      <c r="F158" s="15">
        <f>IFERROR(E158/E444, "NA")</f>
        <v>1.8000020128621893E-2</v>
      </c>
      <c r="G158" s="2"/>
      <c r="H158" s="14">
        <f t="shared" si="36"/>
        <v>-3375.71</v>
      </c>
      <c r="I158" s="15">
        <f>IFERROR(H158/H444, "NA")</f>
        <v>-0.30787885531460418</v>
      </c>
      <c r="J158" s="2"/>
      <c r="K158" s="14">
        <f>IFERROR(K153+K154+K155+K156+K157, "NA")</f>
        <v>4909.43</v>
      </c>
      <c r="L158" s="15">
        <f>IFERROR(K158/K444, "NA")</f>
        <v>3.6549883056574181E-2</v>
      </c>
      <c r="M158" s="2"/>
      <c r="N158" s="14">
        <f t="shared" si="37"/>
        <v>-1077.4899999999998</v>
      </c>
      <c r="O158" s="15">
        <f>IFERROR(N158/N444, "NA")</f>
        <v>-4.9630794132318953E-2</v>
      </c>
      <c r="P158" s="2"/>
      <c r="Q158" s="14">
        <f>IFERROR(Q153+Q154+Q155+Q156+Q157, "NA")</f>
        <v>37096.1</v>
      </c>
      <c r="R158" s="15">
        <f>IFERROR(Q158/Q444, "NA")</f>
        <v>4.1701720591536005E-2</v>
      </c>
      <c r="S158" s="2"/>
      <c r="T158" s="14">
        <f>IFERROR(T153+T154+T155+T156+T157, "NA")</f>
        <v>18367.490000000002</v>
      </c>
      <c r="U158" s="15">
        <f>IFERROR(T158/T444, "NA")</f>
        <v>1.9200864347228171E-2</v>
      </c>
      <c r="V158" s="2"/>
      <c r="W158" s="14">
        <f t="shared" si="38"/>
        <v>-18728.609999999997</v>
      </c>
      <c r="X158" s="15">
        <f>IFERROR(W158/W444, "NA")</f>
        <v>0.27936879148889693</v>
      </c>
      <c r="Y158" s="2"/>
      <c r="Z158" s="14">
        <f>IFERROR(Z153+Z154+Z155+Z156+Z157, "NA")</f>
        <v>35800.909999999996</v>
      </c>
      <c r="AA158" s="15">
        <f>IFERROR(Z158/Z444, "NA")</f>
        <v>4.2575608017149491E-2</v>
      </c>
      <c r="AB158" s="2"/>
      <c r="AC158" s="14">
        <f t="shared" si="39"/>
        <v>-1295.1900000000023</v>
      </c>
      <c r="AD158" s="15">
        <f>IFERROR(AC158/AC444, "NA")</f>
        <v>-2.6606422402813558E-2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302.07</v>
      </c>
      <c r="C161" s="8">
        <f>IFERROR(B161/B444, "NA")</f>
        <v>1.9359556120313421E-3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-302.07</v>
      </c>
      <c r="I161" s="8">
        <f>IFERROR(H161/H444, "NA")</f>
        <v>-2.7550046012507733E-2</v>
      </c>
      <c r="J161" s="9"/>
      <c r="K161" s="7">
        <v>593.91</v>
      </c>
      <c r="L161" s="8">
        <f>IFERROR(K161/K444, "NA")</f>
        <v>4.4215603534687262E-3</v>
      </c>
      <c r="M161" s="9"/>
      <c r="N161" s="10">
        <f t="shared" si="41"/>
        <v>291.83999999999997</v>
      </c>
      <c r="O161" s="8">
        <f>IFERROR(N161/N444, "NA")</f>
        <v>1.3442585044479267E-2</v>
      </c>
      <c r="P161" s="9"/>
      <c r="Q161" s="7">
        <v>2701.03</v>
      </c>
      <c r="R161" s="8">
        <f>IFERROR(Q161/Q444, "NA")</f>
        <v>3.0363730518668136E-3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-2701.03</v>
      </c>
      <c r="X161" s="8">
        <f>IFERROR(W161/W444, "NA")</f>
        <v>4.0290415939851144E-2</v>
      </c>
      <c r="Y161" s="9"/>
      <c r="Z161" s="7">
        <v>3779.89</v>
      </c>
      <c r="AA161" s="8">
        <f>IFERROR(Z161/Z444, "NA")</f>
        <v>4.4951682789052903E-3</v>
      </c>
      <c r="AB161" s="9"/>
      <c r="AC161" s="10">
        <f t="shared" si="43"/>
        <v>1078.8599999999997</v>
      </c>
      <c r="AD161" s="8">
        <f>IFERROR(AC161/AC444, "NA")</f>
        <v>2.2162466413035445E-2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3.2347125759274453E-6</v>
      </c>
      <c r="AB162" s="9"/>
      <c r="AC162" s="10">
        <f t="shared" si="43"/>
        <v>2.72</v>
      </c>
      <c r="AD162" s="8">
        <f>IFERROR(AC162/AC444, "NA")</f>
        <v>5.5875561836991295E-5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302.07</v>
      </c>
      <c r="C166" s="15">
        <f>IFERROR(B166/B444, "NA")</f>
        <v>1.9359556120313421E-3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-302.07</v>
      </c>
      <c r="I166" s="15">
        <f>IFERROR(H166/H444, "NA")</f>
        <v>-2.7550046012507733E-2</v>
      </c>
      <c r="J166" s="2"/>
      <c r="K166" s="14">
        <f>IFERROR(K160+K161+K162+K163+K164+K165, "NA")</f>
        <v>593.91</v>
      </c>
      <c r="L166" s="15">
        <f>IFERROR(K166/K444, "NA")</f>
        <v>4.4215603534687262E-3</v>
      </c>
      <c r="M166" s="2"/>
      <c r="N166" s="14">
        <f t="shared" si="41"/>
        <v>291.83999999999997</v>
      </c>
      <c r="O166" s="15">
        <f>IFERROR(N166/N444, "NA")</f>
        <v>1.3442585044479267E-2</v>
      </c>
      <c r="P166" s="2"/>
      <c r="Q166" s="14">
        <f>IFERROR(Q160+Q161+Q162+Q163+Q164+Q165, "NA")</f>
        <v>2701.03</v>
      </c>
      <c r="R166" s="15">
        <f>IFERROR(Q166/Q444, "NA")</f>
        <v>3.0363730518668136E-3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-2701.03</v>
      </c>
      <c r="X166" s="15">
        <f>IFERROR(W166/W444, "NA")</f>
        <v>4.0290415939851144E-2</v>
      </c>
      <c r="Y166" s="2"/>
      <c r="Z166" s="14">
        <f>IFERROR(Z160+Z161+Z162+Z163+Z164+Z165, "NA")</f>
        <v>3782.6099999999997</v>
      </c>
      <c r="AA166" s="15">
        <f>IFERROR(Z166/Z444, "NA")</f>
        <v>4.4984029914812177E-3</v>
      </c>
      <c r="AB166" s="2"/>
      <c r="AC166" s="14">
        <f t="shared" si="43"/>
        <v>1081.5799999999995</v>
      </c>
      <c r="AD166" s="15">
        <f>IFERROR(AC166/AC444, "NA")</f>
        <v>2.2218341974872432E-2</v>
      </c>
    </row>
    <row r="167" spans="1:30" ht="16.5" customHeight="1" x14ac:dyDescent="0.45">
      <c r="A167" s="6" t="s">
        <v>155</v>
      </c>
      <c r="B167" s="7">
        <v>499.93</v>
      </c>
      <c r="C167" s="8">
        <f>IFERROR(B167/B444, "NA")</f>
        <v>3.2040331351105003E-3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-499.93</v>
      </c>
      <c r="I167" s="8">
        <f>IFERROR(H167/H444, "NA")</f>
        <v>-4.5595704648038506E-2</v>
      </c>
      <c r="J167" s="9"/>
      <c r="K167" s="7">
        <v>388.86</v>
      </c>
      <c r="L167" s="8">
        <f>IFERROR(K167/K444, "NA")</f>
        <v>2.8949974896025476E-3</v>
      </c>
      <c r="M167" s="9"/>
      <c r="N167" s="10">
        <f t="shared" si="41"/>
        <v>-111.07</v>
      </c>
      <c r="O167" s="8">
        <f>IFERROR(N167/N444, "NA")</f>
        <v>-5.116049619278756E-3</v>
      </c>
      <c r="P167" s="9"/>
      <c r="Q167" s="7">
        <v>3024.07</v>
      </c>
      <c r="R167" s="8">
        <f>IFERROR(Q167/Q444, "NA")</f>
        <v>3.3995196850678724E-3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-3024.07</v>
      </c>
      <c r="X167" s="8">
        <f>IFERROR(W167/W444, "NA")</f>
        <v>4.5109102131862894E-2</v>
      </c>
      <c r="Y167" s="9"/>
      <c r="Z167" s="7">
        <v>3138.01</v>
      </c>
      <c r="AA167" s="8">
        <f>IFERROR(Z167/Z444, "NA")</f>
        <v>3.7318236802890009E-3</v>
      </c>
      <c r="AB167" s="9"/>
      <c r="AC167" s="10">
        <f t="shared" si="43"/>
        <v>113.94000000000005</v>
      </c>
      <c r="AD167" s="8">
        <f>IFERROR(AC167/AC444, "NA")</f>
        <v>2.3406108513627909E-3</v>
      </c>
    </row>
    <row r="168" spans="1:30" ht="16.5" customHeight="1" x14ac:dyDescent="0.45">
      <c r="A168" s="6" t="s">
        <v>156</v>
      </c>
      <c r="B168" s="7">
        <v>185.83</v>
      </c>
      <c r="C168" s="8">
        <f>IFERROR(B168/B444, "NA")</f>
        <v>1.1909776918720308E-3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-185.83</v>
      </c>
      <c r="I168" s="8">
        <f>IFERROR(H168/H444, "NA")</f>
        <v>-1.6948472375622577E-2</v>
      </c>
      <c r="J168" s="9"/>
      <c r="K168" s="7">
        <v>59.6</v>
      </c>
      <c r="L168" s="8">
        <f>IFERROR(K168/K444, "NA")</f>
        <v>4.4371200529833829E-4</v>
      </c>
      <c r="M168" s="9"/>
      <c r="N168" s="10">
        <f t="shared" si="41"/>
        <v>-126.23000000000002</v>
      </c>
      <c r="O168" s="8">
        <f>IFERROR(N168/N444, "NA")</f>
        <v>-5.8143417974390703E-3</v>
      </c>
      <c r="P168" s="9"/>
      <c r="Q168" s="7">
        <v>464.47</v>
      </c>
      <c r="R168" s="8">
        <f>IFERROR(Q168/Q444, "NA")</f>
        <v>5.2213570060331762E-4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-464.47</v>
      </c>
      <c r="X168" s="8">
        <f>IFERROR(W168/W444, "NA")</f>
        <v>6.9283530696003593E-3</v>
      </c>
      <c r="Y168" s="9"/>
      <c r="Z168" s="7">
        <v>372.2</v>
      </c>
      <c r="AA168" s="8">
        <f>IFERROR(Z168/Z444, "NA")</f>
        <v>4.4263236057360107E-4</v>
      </c>
      <c r="AB168" s="9"/>
      <c r="AC168" s="10">
        <f t="shared" si="43"/>
        <v>-92.270000000000039</v>
      </c>
      <c r="AD168" s="8">
        <f>IFERROR(AC168/AC444, "NA")</f>
        <v>-1.8954551804041134E-3</v>
      </c>
    </row>
    <row r="169" spans="1:30" ht="16.5" customHeight="1" x14ac:dyDescent="0.45">
      <c r="A169" s="6" t="s">
        <v>157</v>
      </c>
      <c r="B169" s="7">
        <v>-1548.46</v>
      </c>
      <c r="C169" s="8">
        <f>IFERROR(B169/B444, "NA")</f>
        <v>-9.9240236600988251E-3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1548.46</v>
      </c>
      <c r="I169" s="8">
        <f>IFERROR(H169/H444, "NA")</f>
        <v>0.14122602128158282</v>
      </c>
      <c r="J169" s="9"/>
      <c r="K169" s="7">
        <v>-2202.64</v>
      </c>
      <c r="L169" s="8">
        <f>IFERROR(K169/K444, "NA")</f>
        <v>-1.6398285425341139E-2</v>
      </c>
      <c r="M169" s="9"/>
      <c r="N169" s="10">
        <f t="shared" si="41"/>
        <v>-654.17999999999984</v>
      </c>
      <c r="O169" s="8">
        <f>IFERROR(N169/N444, "NA")</f>
        <v>-3.0132505086339929E-2</v>
      </c>
      <c r="P169" s="9"/>
      <c r="Q169" s="7">
        <v>-14603.74</v>
      </c>
      <c r="R169" s="8">
        <f>IFERROR(Q169/Q444, "NA")</f>
        <v>-1.6416849347274727E-2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14603.74</v>
      </c>
      <c r="X169" s="8">
        <f>IFERROR(W169/W444, "NA")</f>
        <v>-0.21783940159029766</v>
      </c>
      <c r="Y169" s="9"/>
      <c r="Z169" s="7">
        <v>-17526.349999999999</v>
      </c>
      <c r="AA169" s="8">
        <f>IFERROR(Z169/Z444, "NA")</f>
        <v>-2.0842906159965431E-2</v>
      </c>
      <c r="AB169" s="9"/>
      <c r="AC169" s="10">
        <f t="shared" si="43"/>
        <v>-2922.6099999999988</v>
      </c>
      <c r="AD169" s="8">
        <f>IFERROR(AC169/AC444, "NA")</f>
        <v>-6.0037674919268036E-2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5426.29</v>
      </c>
      <c r="C170" s="15">
        <f>IFERROR(B170/B444, "NA")</f>
        <v>3.4776894686693649E-2</v>
      </c>
      <c r="D170" s="2"/>
      <c r="E170" s="14">
        <f>IFERROR(E151+E153+E154+E155+E156+E157+E160+E161+E162+E163+E164+E165+E167+E168+E169, "NA")</f>
        <v>2611.21</v>
      </c>
      <c r="F170" s="15">
        <f>IFERROR(E170/E444, "NA")</f>
        <v>1.8000020128621893E-2</v>
      </c>
      <c r="G170" s="2"/>
      <c r="H170" s="14">
        <f t="shared" si="40"/>
        <v>-2815.08</v>
      </c>
      <c r="I170" s="15">
        <f>IFERROR(H170/H444, "NA")</f>
        <v>-0.25674705706919015</v>
      </c>
      <c r="J170" s="2"/>
      <c r="K170" s="14">
        <f>IFERROR(K151+K153+K154+K155+K156+K157+K160+K161+K162+K163+K164+K165+K167+K168+K169, "NA")</f>
        <v>3749.1600000000003</v>
      </c>
      <c r="L170" s="15">
        <f>IFERROR(K170/K444, "NA")</f>
        <v>2.7911867479602653E-2</v>
      </c>
      <c r="M170" s="2"/>
      <c r="N170" s="14">
        <f t="shared" si="41"/>
        <v>-1677.1299999999997</v>
      </c>
      <c r="O170" s="15">
        <f>IFERROR(N170/N444, "NA")</f>
        <v>-7.7251105590897443E-2</v>
      </c>
      <c r="P170" s="2"/>
      <c r="Q170" s="14">
        <f>IFERROR(Q151+Q153+Q154+Q155+Q156+Q157+Q160+Q161+Q162+Q163+Q164+Q165+Q167+Q168+Q169, "NA")</f>
        <v>28681.93</v>
      </c>
      <c r="R170" s="15">
        <f>IFERROR(Q170/Q444, "NA")</f>
        <v>3.2242899681799282E-2</v>
      </c>
      <c r="S170" s="2"/>
      <c r="T170" s="14">
        <f>IFERROR(T151+T153+T154+T155+T156+T157+T160+T161+T162+T163+T164+T165+T167+T168+T169, "NA")</f>
        <v>18367.490000000002</v>
      </c>
      <c r="U170" s="15">
        <f>IFERROR(T170/T444, "NA")</f>
        <v>1.9200864347228171E-2</v>
      </c>
      <c r="V170" s="2"/>
      <c r="W170" s="14">
        <f t="shared" si="42"/>
        <v>-10314.439999999999</v>
      </c>
      <c r="X170" s="15">
        <f>IFERROR(W170/W444, "NA")</f>
        <v>0.15385726103991371</v>
      </c>
      <c r="Y170" s="2"/>
      <c r="Z170" s="14">
        <f>IFERROR(Z151+Z153+Z154+Z155+Z156+Z157+Z160+Z161+Z162+Z163+Z164+Z165+Z167+Z168+Z169, "NA")</f>
        <v>25567.379999999997</v>
      </c>
      <c r="AA170" s="15">
        <f>IFERROR(Z170/Z444, "NA")</f>
        <v>3.0405560889527877E-2</v>
      </c>
      <c r="AB170" s="2"/>
      <c r="AC170" s="14">
        <f t="shared" si="43"/>
        <v>-3114.5500000000029</v>
      </c>
      <c r="AD170" s="15">
        <f>IFERROR(AC170/AC444, "NA")</f>
        <v>-6.3980599676250513E-2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41978.91</v>
      </c>
      <c r="C171" s="15">
        <f>IFERROR(B171/B444, "NA")</f>
        <v>0.26904130301406509</v>
      </c>
      <c r="D171" s="2"/>
      <c r="E171" s="14">
        <f>IFERROR(E127+E129+E130+E131+E132+E133+E134+E135+E136+E137+E138+E139+E140+E143+E144+E145+E146+E147+E151+E153+E154+E155+E156+E157+E160+E161+E162+E163+E164+E165+E167+E168+E169, "NA")</f>
        <v>34525.97</v>
      </c>
      <c r="F171" s="15">
        <f>IFERROR(E171/E444, "NA")</f>
        <v>0.2380000670034948</v>
      </c>
      <c r="G171" s="2"/>
      <c r="H171" s="14">
        <f t="shared" si="40"/>
        <v>-7452.9400000000023</v>
      </c>
      <c r="I171" s="15">
        <f>IFERROR(H171/H444, "NA")</f>
        <v>-0.67973926549627384</v>
      </c>
      <c r="J171" s="2"/>
      <c r="K171" s="14">
        <f>IFERROR(K127+K129+K130+K131+K132+K133+K134+K135+K136+K137+K138+K139+K140+K143+K144+K145+K146+K147+K151+K153+K154+K155+K156+K157+K160+K161+K162+K163+K164+K165+K167+K168+K169, "NA")</f>
        <v>33531.740000000005</v>
      </c>
      <c r="L171" s="15">
        <f>IFERROR(K171/K444, "NA")</f>
        <v>0.24963818115004202</v>
      </c>
      <c r="M171" s="2"/>
      <c r="N171" s="14">
        <f t="shared" si="41"/>
        <v>-8447.1699999999983</v>
      </c>
      <c r="O171" s="15">
        <f>IFERROR(N171/N444, "NA")</f>
        <v>-0.38908923077773405</v>
      </c>
      <c r="P171" s="2"/>
      <c r="Q171" s="14">
        <f>IFERROR(Q127+Q129+Q130+Q131+Q132+Q133+Q134+Q135+Q136+Q137+Q138+Q139+Q140+Q143+Q144+Q145+Q146+Q147+Q151+Q153+Q154+Q155+Q156+Q157+Q160+Q161+Q162+Q163+Q164+Q165+Q167+Q168+Q169, "NA")</f>
        <v>248916.62999999995</v>
      </c>
      <c r="R171" s="15">
        <f>IFERROR(Q171/Q444, "NA")</f>
        <v>0.2798205675218351</v>
      </c>
      <c r="S171" s="2"/>
      <c r="T171" s="14">
        <f>IFERROR(T127+T129+T130+T131+T132+T133+T134+T135+T136+T137+T138+T139+T140+T143+T144+T145+T146+T147+T151+T153+T154+T155+T156+T157+T160+T161+T162+T163+T164+T165+T167+T168+T169, "NA")</f>
        <v>232987.18</v>
      </c>
      <c r="U171" s="15">
        <f>IFERROR(T171/T444, "NA")</f>
        <v>0.24355833256603007</v>
      </c>
      <c r="V171" s="2"/>
      <c r="W171" s="14">
        <f t="shared" si="42"/>
        <v>-15929.449999999953</v>
      </c>
      <c r="X171" s="15">
        <f>IFERROR(W171/W444, "NA")</f>
        <v>0.23761460116809507</v>
      </c>
      <c r="Y171" s="2"/>
      <c r="Z171" s="14">
        <f>IFERROR(Z127+Z129+Z130+Z131+Z132+Z133+Z134+Z135+Z136+Z137+Z138+Z139+Z140+Z143+Z144+Z145+Z146+Z147+Z151+Z153+Z154+Z155+Z156+Z157+Z160+Z161+Z162+Z163+Z164+Z165+Z167+Z168+Z169, "NA")</f>
        <v>224277.41999999995</v>
      </c>
      <c r="AA171" s="15">
        <f>IFERROR(Z171/Z444, "NA")</f>
        <v>0.26671801138623574</v>
      </c>
      <c r="AB171" s="2"/>
      <c r="AC171" s="14">
        <f t="shared" si="43"/>
        <v>-24639.209999999992</v>
      </c>
      <c r="AD171" s="15">
        <f>IFERROR(AC171/AC444, "NA")</f>
        <v>-0.50615062572412273</v>
      </c>
    </row>
    <row r="172" spans="1:30" ht="16.5" customHeight="1" x14ac:dyDescent="0.45">
      <c r="A172" s="22" t="s">
        <v>160</v>
      </c>
      <c r="B172" s="23">
        <f>IFERROR(B124-B171, "NA")</f>
        <v>114052.56000000006</v>
      </c>
      <c r="C172" s="24">
        <f>IFERROR(B172/B444, "NA")</f>
        <v>0.7309586969859353</v>
      </c>
      <c r="D172" s="25"/>
      <c r="E172" s="23">
        <f>IFERROR(E124-E171, "NA")</f>
        <v>110541.09000000003</v>
      </c>
      <c r="F172" s="24">
        <f>IFERROR(E172/E444, "NA")</f>
        <v>0.76199993299650537</v>
      </c>
      <c r="G172" s="25"/>
      <c r="H172" s="23">
        <f>IFERROR(B172-E172, "NA")</f>
        <v>3511.4700000000303</v>
      </c>
      <c r="I172" s="24">
        <f>IFERROR(H172/H444, "NA")</f>
        <v>0.32026073450372883</v>
      </c>
      <c r="J172" s="25"/>
      <c r="K172" s="23">
        <f>IFERROR(K124-K171, "NA")</f>
        <v>100789.61999999998</v>
      </c>
      <c r="L172" s="24">
        <f>IFERROR(K172/K444, "NA")</f>
        <v>0.75036181884995801</v>
      </c>
      <c r="M172" s="25"/>
      <c r="N172" s="23">
        <f>IFERROR(B172-K172, "NA")</f>
        <v>13262.940000000075</v>
      </c>
      <c r="O172" s="24">
        <f>IFERROR(N172/N444, "NA")</f>
        <v>0.61091076922226861</v>
      </c>
      <c r="P172" s="25"/>
      <c r="Q172" s="23">
        <f>IFERROR(Q124-Q171, "NA")</f>
        <v>640641.3900000006</v>
      </c>
      <c r="R172" s="24">
        <f>IFERROR(Q172/Q444, "NA")</f>
        <v>0.72017943247816552</v>
      </c>
      <c r="S172" s="25"/>
      <c r="T172" s="23">
        <f>IFERROR(T124-T171, "NA")</f>
        <v>723609.8600000001</v>
      </c>
      <c r="U172" s="24">
        <f>IFERROR(T172/T444, "NA")</f>
        <v>0.75644166743397001</v>
      </c>
      <c r="V172" s="25"/>
      <c r="W172" s="23">
        <f>IFERROR(Q172-T172, "NA")</f>
        <v>-82968.469999999506</v>
      </c>
      <c r="X172" s="24">
        <f>IFERROR(W172/W444, "NA")</f>
        <v>1.2376146011680882</v>
      </c>
      <c r="Y172" s="25"/>
      <c r="Z172" s="23">
        <f>IFERROR(Z124-Z171, "NA")</f>
        <v>616601.00000000035</v>
      </c>
      <c r="AA172" s="24">
        <f>IFERROR(Z172/Z444, "NA")</f>
        <v>0.73328198861376459</v>
      </c>
      <c r="AB172" s="25"/>
      <c r="AC172" s="23">
        <f>IFERROR(Q172-Z172, "NA")</f>
        <v>24040.390000000247</v>
      </c>
      <c r="AD172" s="24">
        <f>IFERROR(AC172/AC444, "NA")</f>
        <v>0.49384937427588266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7050</v>
      </c>
      <c r="C178" s="8">
        <f>IFERROR(B178/B444, "NA")</f>
        <v>4.5183192852057345E-2</v>
      </c>
      <c r="D178" s="9"/>
      <c r="E178" s="7">
        <v>6971.15</v>
      </c>
      <c r="F178" s="8">
        <f>IFERROR(E178/E444, "NA")</f>
        <v>4.8054672094409299E-2</v>
      </c>
      <c r="G178" s="9"/>
      <c r="H178" s="10">
        <f t="shared" si="44"/>
        <v>-78.850000000000364</v>
      </c>
      <c r="I178" s="8">
        <f>IFERROR(H178/H444, "NA")</f>
        <v>-7.1914494259153333E-3</v>
      </c>
      <c r="J178" s="9"/>
      <c r="K178" s="7">
        <v>6778.85</v>
      </c>
      <c r="L178" s="8">
        <f>IFERROR(K178/K444, "NA")</f>
        <v>5.0467401461688606E-2</v>
      </c>
      <c r="M178" s="9"/>
      <c r="N178" s="10">
        <f t="shared" si="45"/>
        <v>-271.14999999999964</v>
      </c>
      <c r="O178" s="8">
        <f>IFERROR(N178/N444, "NA")</f>
        <v>-1.2489572830354128E-2</v>
      </c>
      <c r="P178" s="9"/>
      <c r="Q178" s="7">
        <v>54715</v>
      </c>
      <c r="R178" s="8">
        <f>IFERROR(Q178/Q444, "NA")</f>
        <v>6.1508073413806104E-2</v>
      </c>
      <c r="S178" s="9"/>
      <c r="T178" s="7">
        <v>54374.97</v>
      </c>
      <c r="U178" s="8">
        <f>IFERROR(T178/T444, "NA")</f>
        <v>5.6842084729846122E-2</v>
      </c>
      <c r="V178" s="9"/>
      <c r="W178" s="10">
        <f t="shared" si="46"/>
        <v>-340.02999999999884</v>
      </c>
      <c r="X178" s="8">
        <f>IFERROR(W178/W444, "NA")</f>
        <v>5.0721206843417277E-3</v>
      </c>
      <c r="Y178" s="9"/>
      <c r="Z178" s="7">
        <v>52875.03</v>
      </c>
      <c r="AA178" s="8">
        <f>IFERROR(Z178/Z444, "NA")</f>
        <v>6.288070753439004E-2</v>
      </c>
      <c r="AB178" s="9"/>
      <c r="AC178" s="10">
        <f t="shared" si="47"/>
        <v>-1839.9700000000012</v>
      </c>
      <c r="AD178" s="8">
        <f>IFERROR(AC178/AC444, "NA")</f>
        <v>-3.779755790926799E-2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24425.65</v>
      </c>
      <c r="C180" s="8">
        <f>IFERROR(B180/B444, "NA")</f>
        <v>0.15654309992721341</v>
      </c>
      <c r="D180" s="9"/>
      <c r="E180" s="7">
        <v>27417.68</v>
      </c>
      <c r="F180" s="8">
        <f>IFERROR(E180/E444, "NA")</f>
        <v>0.18900003901643833</v>
      </c>
      <c r="G180" s="9"/>
      <c r="H180" s="10">
        <f t="shared" si="44"/>
        <v>2992.0299999999988</v>
      </c>
      <c r="I180" s="8">
        <f>IFERROR(H180/H444, "NA")</f>
        <v>0.2728856363452295</v>
      </c>
      <c r="J180" s="9"/>
      <c r="K180" s="7">
        <v>24066.95</v>
      </c>
      <c r="L180" s="8">
        <f>IFERROR(K180/K444, "NA")</f>
        <v>0.17917440681065172</v>
      </c>
      <c r="M180" s="9"/>
      <c r="N180" s="10">
        <f t="shared" si="45"/>
        <v>-358.70000000000073</v>
      </c>
      <c r="O180" s="8">
        <f>IFERROR(N180/N444, "NA")</f>
        <v>-1.652225622071931E-2</v>
      </c>
      <c r="P180" s="9"/>
      <c r="Q180" s="7">
        <v>177626.33</v>
      </c>
      <c r="R180" s="8">
        <f>IFERROR(Q180/Q444, "NA")</f>
        <v>0.19967930815799961</v>
      </c>
      <c r="S180" s="9"/>
      <c r="T180" s="7">
        <v>188473.57</v>
      </c>
      <c r="U180" s="8">
        <f>IFERROR(T180/T444, "NA")</f>
        <v>0.19702503992694773</v>
      </c>
      <c r="V180" s="9"/>
      <c r="W180" s="10">
        <f t="shared" si="46"/>
        <v>10847.24000000002</v>
      </c>
      <c r="X180" s="8">
        <f>IFERROR(W180/W444, "NA")</f>
        <v>-0.16180487125259313</v>
      </c>
      <c r="Y180" s="9"/>
      <c r="Z180" s="7">
        <v>174184.2</v>
      </c>
      <c r="AA180" s="8">
        <f>IFERROR(Z180/Z444, "NA")</f>
        <v>0.20714552289259605</v>
      </c>
      <c r="AB180" s="9"/>
      <c r="AC180" s="10">
        <f t="shared" si="47"/>
        <v>-3442.1299999999756</v>
      </c>
      <c r="AD180" s="8">
        <f>IFERROR(AC180/AC444, "NA")</f>
        <v>-7.0709907230132887E-2</v>
      </c>
    </row>
    <row r="181" spans="1:30" ht="16.5" customHeight="1" x14ac:dyDescent="0.45">
      <c r="A181" s="12" t="s">
        <v>166</v>
      </c>
      <c r="B181" s="7">
        <v>719.83</v>
      </c>
      <c r="C181" s="8">
        <f>IFERROR(B181/B444, "NA")</f>
        <v>4.6133642142831832E-3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-719.83</v>
      </c>
      <c r="I181" s="8">
        <f>IFERROR(H181/H444, "NA")</f>
        <v>-6.5651503364066083E-2</v>
      </c>
      <c r="J181" s="9"/>
      <c r="K181" s="7">
        <v>263.87</v>
      </c>
      <c r="L181" s="8">
        <f>IFERROR(K181/K444, "NA")</f>
        <v>1.96446789996766E-3</v>
      </c>
      <c r="M181" s="9"/>
      <c r="N181" s="10">
        <f t="shared" si="45"/>
        <v>-455.96000000000004</v>
      </c>
      <c r="O181" s="8">
        <f>IFERROR(N181/N444, "NA")</f>
        <v>-2.1002196672425876E-2</v>
      </c>
      <c r="P181" s="9"/>
      <c r="Q181" s="7">
        <v>1869.86</v>
      </c>
      <c r="R181" s="8">
        <f>IFERROR(Q181/Q444, "NA")</f>
        <v>2.1020101645534035E-3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-1869.86</v>
      </c>
      <c r="X181" s="8">
        <f>IFERROR(W181/W444, "NA")</f>
        <v>2.7892114174700038E-2</v>
      </c>
      <c r="Y181" s="9"/>
      <c r="Z181" s="7">
        <v>497.98</v>
      </c>
      <c r="AA181" s="8">
        <f>IFERROR(Z181/Z444, "NA")</f>
        <v>5.9221403255895182E-4</v>
      </c>
      <c r="AB181" s="9"/>
      <c r="AC181" s="10">
        <f t="shared" si="47"/>
        <v>-1371.8799999999999</v>
      </c>
      <c r="AD181" s="8">
        <f>IFERROR(AC181/AC444, "NA")</f>
        <v>-2.818182565181309E-2</v>
      </c>
    </row>
    <row r="182" spans="1:30" ht="16.5" customHeight="1" x14ac:dyDescent="0.45">
      <c r="A182" s="13" t="s">
        <v>167</v>
      </c>
      <c r="B182" s="14">
        <f>IFERROR(B177+B178+B179+B180+B181, "NA")</f>
        <v>32195.480000000003</v>
      </c>
      <c r="C182" s="15">
        <f>IFERROR(B182/B444, "NA")</f>
        <v>0.20633965699355394</v>
      </c>
      <c r="D182" s="2"/>
      <c r="E182" s="14">
        <f>IFERROR(E177+E178+E179+E180+E181, "NA")</f>
        <v>34388.83</v>
      </c>
      <c r="F182" s="15">
        <f>IFERROR(E182/E444, "NA")</f>
        <v>0.23705471111084764</v>
      </c>
      <c r="G182" s="2"/>
      <c r="H182" s="14">
        <f t="shared" si="44"/>
        <v>2193.3499999999985</v>
      </c>
      <c r="I182" s="15">
        <f>IFERROR(H182/H444, "NA")</f>
        <v>0.2000426835552481</v>
      </c>
      <c r="J182" s="2"/>
      <c r="K182" s="14">
        <f>IFERROR(K177+K178+K179+K180+K181, "NA")</f>
        <v>31109.670000000002</v>
      </c>
      <c r="L182" s="15">
        <f>IFERROR(K182/K444, "NA")</f>
        <v>0.231606276172308</v>
      </c>
      <c r="M182" s="2"/>
      <c r="N182" s="14">
        <f t="shared" si="45"/>
        <v>-1085.8100000000013</v>
      </c>
      <c r="O182" s="15">
        <f>IFERROR(N182/N444, "NA")</f>
        <v>-5.0014025723499354E-2</v>
      </c>
      <c r="P182" s="2"/>
      <c r="Q182" s="14">
        <f>IFERROR(Q177+Q178+Q179+Q180+Q181, "NA")</f>
        <v>234211.18999999997</v>
      </c>
      <c r="R182" s="15">
        <f>IFERROR(Q182/Q444, "NA")</f>
        <v>0.26328939173635912</v>
      </c>
      <c r="S182" s="2"/>
      <c r="T182" s="14">
        <f>IFERROR(T177+T178+T179+T180+T181, "NA")</f>
        <v>242848.54</v>
      </c>
      <c r="U182" s="15">
        <f>IFERROR(T182/T444, "NA")</f>
        <v>0.25386712465679384</v>
      </c>
      <c r="V182" s="2"/>
      <c r="W182" s="14">
        <f t="shared" si="46"/>
        <v>8637.3500000000349</v>
      </c>
      <c r="X182" s="15">
        <f>IFERROR(W182/W444, "NA")</f>
        <v>-0.12884063639355159</v>
      </c>
      <c r="Y182" s="2"/>
      <c r="Z182" s="14">
        <f>IFERROR(Z177+Z178+Z179+Z180+Z181, "NA")</f>
        <v>227557.21000000002</v>
      </c>
      <c r="AA182" s="15">
        <f>IFERROR(Z182/Z444, "NA")</f>
        <v>0.27061844445954508</v>
      </c>
      <c r="AB182" s="2"/>
      <c r="AC182" s="14">
        <f t="shared" si="47"/>
        <v>-6653.9799999999523</v>
      </c>
      <c r="AD182" s="15">
        <f>IFERROR(AC182/AC444, "NA")</f>
        <v>-0.13668929079121347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3.2044817625572586E-3</v>
      </c>
      <c r="D184" s="9"/>
      <c r="E184" s="7">
        <v>500</v>
      </c>
      <c r="F184" s="8">
        <f>IFERROR(E184/E444, "NA")</f>
        <v>3.4466818311476087E-3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2.2334496910990185E-3</v>
      </c>
      <c r="M184" s="9"/>
      <c r="N184" s="10">
        <f t="shared" si="45"/>
        <v>-200</v>
      </c>
      <c r="O184" s="8">
        <f>IFERROR(N184/N444, "NA")</f>
        <v>-9.2122978649117788E-3</v>
      </c>
      <c r="P184" s="9"/>
      <c r="Q184" s="7">
        <v>2200</v>
      </c>
      <c r="R184" s="8">
        <f>IFERROR(Q184/Q444, "NA")</f>
        <v>2.473138289506962E-3</v>
      </c>
      <c r="S184" s="9"/>
      <c r="T184" s="7">
        <v>4500</v>
      </c>
      <c r="U184" s="8">
        <f>IFERROR(T184/T444, "NA")</f>
        <v>4.704175124773541E-3</v>
      </c>
      <c r="V184" s="9"/>
      <c r="W184" s="10">
        <f t="shared" si="46"/>
        <v>2300</v>
      </c>
      <c r="X184" s="8">
        <f>IFERROR(W184/W444, "NA")</f>
        <v>-3.4308377419598308E-2</v>
      </c>
      <c r="Y184" s="9"/>
      <c r="Z184" s="7">
        <v>1850</v>
      </c>
      <c r="AA184" s="8">
        <f>IFERROR(Z184/Z444, "NA")</f>
        <v>2.2000802446565343E-3</v>
      </c>
      <c r="AB184" s="9"/>
      <c r="AC184" s="10">
        <f t="shared" si="47"/>
        <v>-350</v>
      </c>
      <c r="AD184" s="8">
        <f>IFERROR(AC184/AC444, "NA")</f>
        <v>-7.1898700893187322E-3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2951.76</v>
      </c>
      <c r="C186" s="8">
        <f>IFERROR(B186/B444, "NA")</f>
        <v>1.8917722174892029E-2</v>
      </c>
      <c r="D186" s="9"/>
      <c r="E186" s="7">
        <v>3317.52</v>
      </c>
      <c r="F186" s="8">
        <f>IFERROR(E186/E444, "NA")</f>
        <v>2.2868871816937628E-2</v>
      </c>
      <c r="G186" s="9"/>
      <c r="H186" s="10">
        <f t="shared" ref="H186:H197" si="48">IFERROR(-(B186-E186), "NA")</f>
        <v>365.75999999999976</v>
      </c>
      <c r="I186" s="8">
        <f>IFERROR(H186/H444, "NA")</f>
        <v>3.3358840101747347E-2</v>
      </c>
      <c r="J186" s="9"/>
      <c r="K186" s="7">
        <v>2727.22</v>
      </c>
      <c r="L186" s="8">
        <f>IFERROR(K186/K444, "NA")</f>
        <v>2.0303695555196882E-2</v>
      </c>
      <c r="M186" s="9"/>
      <c r="N186" s="10">
        <f t="shared" ref="N186:N197" si="49">IFERROR(-(B186-K186), "NA")</f>
        <v>-224.54000000000042</v>
      </c>
      <c r="O186" s="8">
        <f>IFERROR(N186/N444, "NA")</f>
        <v>-1.0342646812936474E-2</v>
      </c>
      <c r="P186" s="9"/>
      <c r="Q186" s="7">
        <v>21086.57</v>
      </c>
      <c r="R186" s="8">
        <f>IFERROR(Q186/Q444, "NA")</f>
        <v>2.3704547118804008E-2</v>
      </c>
      <c r="S186" s="9"/>
      <c r="T186" s="7">
        <v>26596.43</v>
      </c>
      <c r="U186" s="8">
        <f>IFERROR(T186/T444, "NA")</f>
        <v>2.7803169869729055E-2</v>
      </c>
      <c r="V186" s="9"/>
      <c r="W186" s="10">
        <f t="shared" ref="W186:W197" si="50">IFERROR(-(Q186-T186), "NA")</f>
        <v>5509.8600000000006</v>
      </c>
      <c r="X186" s="8">
        <f>IFERROR(W186/W444, "NA")</f>
        <v>-8.2188850612673017E-2</v>
      </c>
      <c r="Y186" s="9"/>
      <c r="Z186" s="7">
        <v>20738.41</v>
      </c>
      <c r="AA186" s="8">
        <f>IFERROR(Z186/Z444, "NA")</f>
        <v>2.4662792511668925E-2</v>
      </c>
      <c r="AB186" s="9"/>
      <c r="AC186" s="10">
        <f t="shared" ref="AC186:AC197" si="51">IFERROR(-(Q186-Z186), "NA")</f>
        <v>-348.15999999999985</v>
      </c>
      <c r="AD186" s="8">
        <f>IFERROR(AC186/AC444, "NA")</f>
        <v>-7.1520719151348822E-3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2.3784651293584153E-8</v>
      </c>
      <c r="AB187" s="9"/>
      <c r="AC187" s="10">
        <f t="shared" si="51"/>
        <v>0.02</v>
      </c>
      <c r="AD187" s="8">
        <f>IFERROR(AC187/AC444, "NA")</f>
        <v>4.1084971938964187E-7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2951.76</v>
      </c>
      <c r="C193" s="15">
        <f>IFERROR(B193/B444, "NA")</f>
        <v>1.8917722174892029E-2</v>
      </c>
      <c r="D193" s="2"/>
      <c r="E193" s="14">
        <f>IFERROR(E186+E187+E188+E189+E190+E191+E192, "NA")</f>
        <v>3317.52</v>
      </c>
      <c r="F193" s="15">
        <f>IFERROR(E193/E444, "NA")</f>
        <v>2.2868871816937628E-2</v>
      </c>
      <c r="G193" s="2"/>
      <c r="H193" s="14">
        <f t="shared" si="48"/>
        <v>365.75999999999976</v>
      </c>
      <c r="I193" s="15">
        <f>IFERROR(H193/H444, "NA")</f>
        <v>3.3358840101747347E-2</v>
      </c>
      <c r="J193" s="2"/>
      <c r="K193" s="14">
        <f>IFERROR(K186+K187+K188+K189+K190+K191+K192, "NA")</f>
        <v>2727.22</v>
      </c>
      <c r="L193" s="15">
        <f>IFERROR(K193/K444, "NA")</f>
        <v>2.0303695555196882E-2</v>
      </c>
      <c r="M193" s="2"/>
      <c r="N193" s="14">
        <f t="shared" si="49"/>
        <v>-224.54000000000042</v>
      </c>
      <c r="O193" s="15">
        <f>IFERROR(N193/N444, "NA")</f>
        <v>-1.0342646812936474E-2</v>
      </c>
      <c r="P193" s="2"/>
      <c r="Q193" s="14">
        <f>IFERROR(Q186+Q187+Q188+Q189+Q190+Q191+Q192, "NA")</f>
        <v>21086.57</v>
      </c>
      <c r="R193" s="15">
        <f>IFERROR(Q193/Q444, "NA")</f>
        <v>2.3704547118804008E-2</v>
      </c>
      <c r="S193" s="2"/>
      <c r="T193" s="14">
        <f>IFERROR(T186+T187+T188+T189+T190+T191+T192, "NA")</f>
        <v>26596.43</v>
      </c>
      <c r="U193" s="15">
        <f>IFERROR(T193/T444, "NA")</f>
        <v>2.7803169869729055E-2</v>
      </c>
      <c r="V193" s="2"/>
      <c r="W193" s="14">
        <f t="shared" si="50"/>
        <v>5509.8600000000006</v>
      </c>
      <c r="X193" s="15">
        <f>IFERROR(W193/W444, "NA")</f>
        <v>-8.2188850612673017E-2</v>
      </c>
      <c r="Y193" s="2"/>
      <c r="Z193" s="14">
        <f>IFERROR(Z186+Z187+Z188+Z189+Z190+Z191+Z192, "NA")</f>
        <v>20738.43</v>
      </c>
      <c r="AA193" s="15">
        <f>IFERROR(Z193/Z444, "NA")</f>
        <v>2.4662816296320222E-2</v>
      </c>
      <c r="AB193" s="2"/>
      <c r="AC193" s="14">
        <f t="shared" si="51"/>
        <v>-348.13999999999942</v>
      </c>
      <c r="AD193" s="15">
        <f>IFERROR(AC193/AC444, "NA")</f>
        <v>-7.1516610654154839E-3</v>
      </c>
    </row>
    <row r="194" spans="1:30" ht="16.5" customHeight="1" x14ac:dyDescent="0.45">
      <c r="A194" s="6" t="s">
        <v>178</v>
      </c>
      <c r="B194" s="7">
        <v>224</v>
      </c>
      <c r="C194" s="8">
        <f>IFERROR(B194/B444, "NA")</f>
        <v>1.4356078296256518E-3</v>
      </c>
      <c r="D194" s="9"/>
      <c r="E194" s="7">
        <v>279.11</v>
      </c>
      <c r="F194" s="8">
        <f>IFERROR(E194/E444, "NA")</f>
        <v>1.9240067317832182E-3</v>
      </c>
      <c r="G194" s="9"/>
      <c r="H194" s="10">
        <f t="shared" si="48"/>
        <v>55.110000000000014</v>
      </c>
      <c r="I194" s="8">
        <f>IFERROR(H194/H444, "NA")</f>
        <v>5.0262622430208275E-3</v>
      </c>
      <c r="J194" s="9"/>
      <c r="K194" s="7">
        <v>224</v>
      </c>
      <c r="L194" s="8">
        <f>IFERROR(K194/K444, "NA")</f>
        <v>1.6676424360206003E-3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2282</v>
      </c>
      <c r="R194" s="8">
        <f>IFERROR(Q194/Q444, "NA")</f>
        <v>2.5653188984794944E-3</v>
      </c>
      <c r="S194" s="9"/>
      <c r="T194" s="7">
        <v>1978.8</v>
      </c>
      <c r="U194" s="8">
        <f>IFERROR(T194/T444, "NA")</f>
        <v>2.0685826082004182E-3</v>
      </c>
      <c r="V194" s="9"/>
      <c r="W194" s="10">
        <f t="shared" si="50"/>
        <v>-303.20000000000005</v>
      </c>
      <c r="X194" s="8">
        <f>IFERROR(W194/W444, "NA")</f>
        <v>4.522739145053134E-3</v>
      </c>
      <c r="Y194" s="9"/>
      <c r="Z194" s="7">
        <v>1801</v>
      </c>
      <c r="AA194" s="8">
        <f>IFERROR(Z194/Z444, "NA")</f>
        <v>2.1418078489872528E-3</v>
      </c>
      <c r="AB194" s="9"/>
      <c r="AC194" s="10">
        <f t="shared" si="51"/>
        <v>-481</v>
      </c>
      <c r="AD194" s="8">
        <f>IFERROR(AC194/AC444, "NA")</f>
        <v>-9.8809357513208861E-3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35871.240000000005</v>
      </c>
      <c r="C196" s="15">
        <f>IFERROR(B196/B444, "NA")</f>
        <v>0.22989746876062889</v>
      </c>
      <c r="D196" s="2"/>
      <c r="E196" s="14">
        <f>IFERROR(E175+E177+E178+E179+E180+E181+E183+E184+E186+E187+E188+E189+E190+E191+E192+E194+E195, "NA")</f>
        <v>38485.46</v>
      </c>
      <c r="F196" s="15">
        <f>IFERROR(E196/E444, "NA")</f>
        <v>0.2652942714907161</v>
      </c>
      <c r="G196" s="2"/>
      <c r="H196" s="14">
        <f t="shared" si="48"/>
        <v>2614.2199999999939</v>
      </c>
      <c r="I196" s="15">
        <f>IFERROR(H196/H444, "NA")</f>
        <v>0.23842778590001587</v>
      </c>
      <c r="J196" s="2"/>
      <c r="K196" s="14">
        <f>IFERROR(K175+K177+K178+K179+K180+K181+K183+K184+K186+K187+K188+K189+K190+K191+K192+K194+K195, "NA")</f>
        <v>34360.89</v>
      </c>
      <c r="L196" s="15">
        <f>IFERROR(K196/K444, "NA")</f>
        <v>0.25581106385462449</v>
      </c>
      <c r="M196" s="2"/>
      <c r="N196" s="14">
        <f t="shared" si="49"/>
        <v>-1510.3500000000058</v>
      </c>
      <c r="O196" s="15">
        <f>IFERROR(N196/N444, "NA")</f>
        <v>-6.9568970401347796E-2</v>
      </c>
      <c r="P196" s="2"/>
      <c r="Q196" s="14">
        <f>IFERROR(Q175+Q177+Q178+Q179+Q180+Q181+Q183+Q184+Q186+Q187+Q188+Q189+Q190+Q191+Q192+Q194+Q195, "NA")</f>
        <v>259779.75999999998</v>
      </c>
      <c r="R196" s="15">
        <f>IFERROR(Q196/Q444, "NA")</f>
        <v>0.29203239604314957</v>
      </c>
      <c r="S196" s="2"/>
      <c r="T196" s="14">
        <f>IFERROR(T175+T177+T178+T179+T180+T181+T183+T184+T186+T187+T188+T189+T190+T191+T192+T194+T195, "NA")</f>
        <v>275923.77</v>
      </c>
      <c r="U196" s="15">
        <f>IFERROR(T196/T444, "NA")</f>
        <v>0.28844305225949685</v>
      </c>
      <c r="V196" s="2"/>
      <c r="W196" s="14">
        <f t="shared" si="50"/>
        <v>16144.010000000038</v>
      </c>
      <c r="X196" s="15">
        <f>IFERROR(W196/W444, "NA")</f>
        <v>-0.24081512528076982</v>
      </c>
      <c r="Y196" s="2"/>
      <c r="Z196" s="14">
        <f>IFERROR(Z175+Z177+Z178+Z179+Z180+Z181+Z183+Z184+Z186+Z187+Z188+Z189+Z190+Z191+Z192+Z194+Z195, "NA")</f>
        <v>251946.64</v>
      </c>
      <c r="AA196" s="15">
        <f>IFERROR(Z196/Z444, "NA")</f>
        <v>0.29962314884950908</v>
      </c>
      <c r="AB196" s="2"/>
      <c r="AC196" s="14">
        <f t="shared" si="51"/>
        <v>-7833.1199999999662</v>
      </c>
      <c r="AD196" s="15">
        <f>IFERROR(AC196/AC444, "NA")</f>
        <v>-0.16091175769726887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35871.240000000005</v>
      </c>
      <c r="C197" s="15">
        <f>IFERROR(B197/B444, "NA")</f>
        <v>0.22989746876062889</v>
      </c>
      <c r="D197" s="2"/>
      <c r="E197" s="14">
        <f>IFERROR(E175+E177+E178+E179+E180+E181+E183+E184+E186+E187+E188+E189+E190+E191+E192+E194+E195, "NA")</f>
        <v>38485.46</v>
      </c>
      <c r="F197" s="15">
        <f>IFERROR(E197/E444, "NA")</f>
        <v>0.2652942714907161</v>
      </c>
      <c r="G197" s="2"/>
      <c r="H197" s="14">
        <f t="shared" si="48"/>
        <v>2614.2199999999939</v>
      </c>
      <c r="I197" s="15">
        <f>IFERROR(H197/H444, "NA")</f>
        <v>0.23842778590001587</v>
      </c>
      <c r="J197" s="2"/>
      <c r="K197" s="14">
        <f>IFERROR(K175+K177+K178+K179+K180+K181+K183+K184+K186+K187+K188+K189+K190+K191+K192+K194+K195, "NA")</f>
        <v>34360.89</v>
      </c>
      <c r="L197" s="15">
        <f>IFERROR(K197/K444, "NA")</f>
        <v>0.25581106385462449</v>
      </c>
      <c r="M197" s="2"/>
      <c r="N197" s="14">
        <f t="shared" si="49"/>
        <v>-1510.3500000000058</v>
      </c>
      <c r="O197" s="15">
        <f>IFERROR(N197/N444, "NA")</f>
        <v>-6.9568970401347796E-2</v>
      </c>
      <c r="P197" s="2"/>
      <c r="Q197" s="14">
        <f>IFERROR(Q175+Q177+Q178+Q179+Q180+Q181+Q183+Q184+Q186+Q187+Q188+Q189+Q190+Q191+Q192+Q194+Q195, "NA")</f>
        <v>259779.75999999998</v>
      </c>
      <c r="R197" s="15">
        <f>IFERROR(Q197/Q444, "NA")</f>
        <v>0.29203239604314957</v>
      </c>
      <c r="S197" s="2"/>
      <c r="T197" s="14">
        <f>IFERROR(T175+T177+T178+T179+T180+T181+T183+T184+T186+T187+T188+T189+T190+T191+T192+T194+T195, "NA")</f>
        <v>275923.77</v>
      </c>
      <c r="U197" s="15">
        <f>IFERROR(T197/T444, "NA")</f>
        <v>0.28844305225949685</v>
      </c>
      <c r="V197" s="2"/>
      <c r="W197" s="14">
        <f t="shared" si="50"/>
        <v>16144.010000000038</v>
      </c>
      <c r="X197" s="15">
        <f>IFERROR(W197/W444, "NA")</f>
        <v>-0.24081512528076982</v>
      </c>
      <c r="Y197" s="2"/>
      <c r="Z197" s="14">
        <f>IFERROR(Z175+Z177+Z178+Z179+Z180+Z181+Z183+Z184+Z186+Z187+Z188+Z189+Z190+Z191+Z192+Z194+Z195, "NA")</f>
        <v>251946.64</v>
      </c>
      <c r="AA197" s="15">
        <f>IFERROR(Z197/Z444, "NA")</f>
        <v>0.29962314884950908</v>
      </c>
      <c r="AB197" s="2"/>
      <c r="AC197" s="14">
        <f t="shared" si="51"/>
        <v>-7833.1199999999662</v>
      </c>
      <c r="AD197" s="15">
        <f>IFERROR(AC197/AC444, "NA")</f>
        <v>-0.16091175769726887</v>
      </c>
    </row>
    <row r="198" spans="1:30" ht="16.5" customHeight="1" x14ac:dyDescent="0.45">
      <c r="A198" s="22" t="s">
        <v>181</v>
      </c>
      <c r="B198" s="23">
        <f>IFERROR(B172-B197, "NA")</f>
        <v>78181.320000000051</v>
      </c>
      <c r="C198" s="24">
        <f>IFERROR(B198/B444, "NA")</f>
        <v>0.50106122822530641</v>
      </c>
      <c r="D198" s="25"/>
      <c r="E198" s="23">
        <f>IFERROR(E172-E197, "NA")</f>
        <v>72055.630000000034</v>
      </c>
      <c r="F198" s="24">
        <f>IFERROR(E198/E444, "NA")</f>
        <v>0.49670566150578938</v>
      </c>
      <c r="G198" s="25"/>
      <c r="H198" s="23">
        <f>IFERROR(B198-E198, "NA")</f>
        <v>6125.6900000000169</v>
      </c>
      <c r="I198" s="24">
        <f>IFERROR(H198/H444, "NA")</f>
        <v>0.55868852040374406</v>
      </c>
      <c r="J198" s="25"/>
      <c r="K198" s="23">
        <f>IFERROR(K172-K197, "NA")</f>
        <v>66428.729999999981</v>
      </c>
      <c r="L198" s="24">
        <f>IFERROR(K198/K444, "NA")</f>
        <v>0.49455075499533352</v>
      </c>
      <c r="M198" s="25"/>
      <c r="N198" s="23">
        <f>IFERROR(B198-K198, "NA")</f>
        <v>11752.590000000069</v>
      </c>
      <c r="O198" s="24">
        <f>IFERROR(N198/N444, "NA")</f>
        <v>0.54134179882092082</v>
      </c>
      <c r="P198" s="25"/>
      <c r="Q198" s="23">
        <f>IFERROR(Q172-Q197, "NA")</f>
        <v>380861.63000000059</v>
      </c>
      <c r="R198" s="24">
        <f>IFERROR(Q198/Q444, "NA")</f>
        <v>0.42814703643501589</v>
      </c>
      <c r="S198" s="25"/>
      <c r="T198" s="23">
        <f>IFERROR(T172-T197, "NA")</f>
        <v>447686.09000000008</v>
      </c>
      <c r="U198" s="24">
        <f>IFERROR(T198/T444, "NA")</f>
        <v>0.46799861517447311</v>
      </c>
      <c r="V198" s="25"/>
      <c r="W198" s="23">
        <f>IFERROR(Q198-T198, "NA")</f>
        <v>-66824.459999999497</v>
      </c>
      <c r="X198" s="24">
        <f>IFERROR(W198/W444, "NA")</f>
        <v>0.99679947588731876</v>
      </c>
      <c r="Y198" s="25"/>
      <c r="Z198" s="23">
        <f>IFERROR(Z172-Z197, "NA")</f>
        <v>364654.36000000034</v>
      </c>
      <c r="AA198" s="24">
        <f>IFERROR(Z198/Z444, "NA")</f>
        <v>0.43365883976425545</v>
      </c>
      <c r="AB198" s="25"/>
      <c r="AC198" s="23">
        <f>IFERROR(Q198-Z198, "NA")</f>
        <v>16207.270000000251</v>
      </c>
      <c r="AD198" s="24">
        <f>IFERROR(AC198/AC444, "NA")</f>
        <v>0.3329376165786132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2611.21</v>
      </c>
      <c r="F201" s="8">
        <f>IFERROR(E201/E444, "NA")</f>
        <v>1.8000020128621893E-2</v>
      </c>
      <c r="G201" s="9"/>
      <c r="H201" s="10">
        <f t="shared" ref="H201:H209" si="52">IFERROR(-(B201-E201), "NA")</f>
        <v>2611.21</v>
      </c>
      <c r="I201" s="8">
        <f>IFERROR(H201/H444, "NA")</f>
        <v>0.23815326132459469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17474.02</v>
      </c>
      <c r="U201" s="8">
        <f>IFERROR(T201/T444, "NA")</f>
        <v>1.8266855603065634E-2</v>
      </c>
      <c r="V201" s="9"/>
      <c r="W201" s="10">
        <f t="shared" ref="W201:W209" si="54">IFERROR(-(Q201-T201), "NA")</f>
        <v>17474.02</v>
      </c>
      <c r="X201" s="8">
        <f>IFERROR(W201/W444, "NA")</f>
        <v>-0.26065446660765618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1301.8499999999999</v>
      </c>
      <c r="C202" s="8">
        <f>IFERROR(B202/B444, "NA")</f>
        <v>8.343509165170333E-3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-1301.8499999999999</v>
      </c>
      <c r="I202" s="8">
        <f>IFERROR(H202/H444, "NA")</f>
        <v>-0.11873415897435426</v>
      </c>
      <c r="J202" s="9"/>
      <c r="K202" s="7">
        <v>1009.98</v>
      </c>
      <c r="L202" s="8">
        <f>IFERROR(K202/K444, "NA")</f>
        <v>7.5191317300539549E-3</v>
      </c>
      <c r="M202" s="9"/>
      <c r="N202" s="10">
        <f t="shared" si="53"/>
        <v>-291.86999999999989</v>
      </c>
      <c r="O202" s="8">
        <f>IFERROR(N202/N444, "NA")</f>
        <v>-1.3443966889159E-2</v>
      </c>
      <c r="P202" s="9"/>
      <c r="Q202" s="7">
        <v>9012.31</v>
      </c>
      <c r="R202" s="8">
        <f>IFERROR(Q202/Q444, "NA")</f>
        <v>1.013122224450295E-2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-9012.31</v>
      </c>
      <c r="X202" s="8">
        <f>IFERROR(W202/W444, "NA")</f>
        <v>0.13443379691409565</v>
      </c>
      <c r="Y202" s="9"/>
      <c r="Z202" s="7">
        <v>8418.15</v>
      </c>
      <c r="AA202" s="8">
        <f>IFERROR(Z202/Z444, "NA")</f>
        <v>1.0011138114354272E-2</v>
      </c>
      <c r="AB202" s="9"/>
      <c r="AC202" s="10">
        <f t="shared" si="55"/>
        <v>-594.15999999999985</v>
      </c>
      <c r="AD202" s="8">
        <f>IFERROR(AC202/AC444, "NA")</f>
        <v>-1.2205523463627478E-2</v>
      </c>
    </row>
    <row r="203" spans="1:30" ht="16.5" customHeight="1" x14ac:dyDescent="0.45">
      <c r="A203" s="6" t="s">
        <v>185</v>
      </c>
      <c r="B203" s="7">
        <v>923.66</v>
      </c>
      <c r="C203" s="8">
        <f>IFERROR(B203/B444, "NA")</f>
        <v>5.9197032496072742E-3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-923.66</v>
      </c>
      <c r="I203" s="8">
        <f>IFERROR(H203/H444, "NA")</f>
        <v>-8.4241650941546301E-2</v>
      </c>
      <c r="J203" s="9"/>
      <c r="K203" s="7">
        <v>968.67</v>
      </c>
      <c r="L203" s="8">
        <f>IFERROR(K203/K444, "NA")</f>
        <v>7.2115857075896201E-3</v>
      </c>
      <c r="M203" s="9"/>
      <c r="N203" s="10">
        <f t="shared" si="53"/>
        <v>45.009999999999991</v>
      </c>
      <c r="O203" s="8">
        <f>IFERROR(N203/N444, "NA")</f>
        <v>2.0732276344983956E-3</v>
      </c>
      <c r="P203" s="9"/>
      <c r="Q203" s="7">
        <v>7305.91</v>
      </c>
      <c r="R203" s="8">
        <f>IFERROR(Q203/Q444, "NA")</f>
        <v>8.2129662548599131E-3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-7305.91</v>
      </c>
      <c r="X203" s="8">
        <f>IFERROR(W203/W444, "NA")</f>
        <v>0.10897996420592064</v>
      </c>
      <c r="Y203" s="9"/>
      <c r="Z203" s="7">
        <v>5109.8100000000004</v>
      </c>
      <c r="AA203" s="8">
        <f>IFERROR(Z203/Z444, "NA")</f>
        <v>6.0767524513234625E-3</v>
      </c>
      <c r="AB203" s="9"/>
      <c r="AC203" s="10">
        <f t="shared" si="55"/>
        <v>-2196.0999999999995</v>
      </c>
      <c r="AD203" s="8">
        <f>IFERROR(AC203/AC444, "NA")</f>
        <v>-4.5113353437579613E-2</v>
      </c>
    </row>
    <row r="204" spans="1:30" ht="16.5" customHeight="1" x14ac:dyDescent="0.45">
      <c r="A204" s="6" t="s">
        <v>186</v>
      </c>
      <c r="B204" s="7">
        <v>275.97000000000003</v>
      </c>
      <c r="C204" s="8">
        <f>IFERROR(B204/B444, "NA")</f>
        <v>1.7686816640258534E-3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-275.97000000000003</v>
      </c>
      <c r="I204" s="8">
        <f>IFERROR(H204/H444, "NA")</f>
        <v>-2.5169616969814148E-2</v>
      </c>
      <c r="J204" s="9"/>
      <c r="K204" s="7">
        <v>343.61</v>
      </c>
      <c r="L204" s="8">
        <f>IFERROR(K204/K444, "NA")</f>
        <v>2.558118827861779E-3</v>
      </c>
      <c r="M204" s="9"/>
      <c r="N204" s="10">
        <f t="shared" si="53"/>
        <v>67.639999999999986</v>
      </c>
      <c r="O204" s="8">
        <f>IFERROR(N204/N444, "NA")</f>
        <v>3.1155991379131628E-3</v>
      </c>
      <c r="P204" s="9"/>
      <c r="Q204" s="7">
        <v>2262.75</v>
      </c>
      <c r="R204" s="8">
        <f>IFERROR(Q204/Q444, "NA")</f>
        <v>2.5436789384463082E-3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-2262.75</v>
      </c>
      <c r="X204" s="8">
        <f>IFERROR(W204/W444, "NA")</f>
        <v>3.3752730872259162E-2</v>
      </c>
      <c r="Y204" s="9"/>
      <c r="Z204" s="7">
        <v>1098.9100000000001</v>
      </c>
      <c r="AA204" s="8">
        <f>IFERROR(Z204/Z444, "NA")</f>
        <v>1.3068595576516283E-3</v>
      </c>
      <c r="AB204" s="9"/>
      <c r="AC204" s="10">
        <f t="shared" si="55"/>
        <v>-1163.8399999999999</v>
      </c>
      <c r="AD204" s="8">
        <f>IFERROR(AC204/AC444, "NA")</f>
        <v>-2.3908166870722038E-2</v>
      </c>
    </row>
    <row r="205" spans="1:30" ht="16.5" customHeight="1" x14ac:dyDescent="0.45">
      <c r="A205" s="6" t="s">
        <v>187</v>
      </c>
      <c r="B205" s="7">
        <v>479.65</v>
      </c>
      <c r="C205" s="8">
        <f>IFERROR(B205/B444, "NA")</f>
        <v>3.0740593548211777E-3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-479.65</v>
      </c>
      <c r="I205" s="8">
        <f>IFERROR(H205/H444, "NA")</f>
        <v>-4.3746083920612217E-2</v>
      </c>
      <c r="J205" s="9"/>
      <c r="K205" s="7">
        <v>430</v>
      </c>
      <c r="L205" s="8">
        <f>IFERROR(K205/K444, "NA")</f>
        <v>3.2012778905752596E-3</v>
      </c>
      <c r="M205" s="9"/>
      <c r="N205" s="10">
        <f t="shared" si="53"/>
        <v>-49.649999999999977</v>
      </c>
      <c r="O205" s="8">
        <f>IFERROR(N205/N444, "NA")</f>
        <v>-2.2869529449643482E-3</v>
      </c>
      <c r="P205" s="9"/>
      <c r="Q205" s="7">
        <v>3290.53</v>
      </c>
      <c r="R205" s="8">
        <f>IFERROR(Q205/Q444, "NA")</f>
        <v>3.6990616980778837E-3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-3290.53</v>
      </c>
      <c r="X205" s="8">
        <f>IFERROR(W205/W444, "NA")</f>
        <v>4.9083802239352534E-2</v>
      </c>
      <c r="Y205" s="9"/>
      <c r="Z205" s="7">
        <v>3188.09</v>
      </c>
      <c r="AA205" s="8">
        <f>IFERROR(Z205/Z444, "NA")</f>
        <v>3.7913804471281353E-3</v>
      </c>
      <c r="AB205" s="9"/>
      <c r="AC205" s="10">
        <f t="shared" si="55"/>
        <v>-102.44000000000005</v>
      </c>
      <c r="AD205" s="8">
        <f>IFERROR(AC205/AC444, "NA")</f>
        <v>-2.1043722627137468E-3</v>
      </c>
    </row>
    <row r="206" spans="1:30" ht="16.5" customHeight="1" x14ac:dyDescent="0.45">
      <c r="A206" s="6" t="s">
        <v>188</v>
      </c>
      <c r="B206" s="7">
        <v>47.7</v>
      </c>
      <c r="C206" s="8">
        <f>IFERROR(B206/B444, "NA")</f>
        <v>3.0570756014796247E-4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-47.7</v>
      </c>
      <c r="I206" s="8">
        <f>IFERROR(H206/H444, "NA")</f>
        <v>-4.3504392849227627E-3</v>
      </c>
      <c r="J206" s="9"/>
      <c r="K206" s="7">
        <v>229.16</v>
      </c>
      <c r="L206" s="8">
        <f>IFERROR(K206/K444, "NA")</f>
        <v>1.7060577707075034E-3</v>
      </c>
      <c r="M206" s="9"/>
      <c r="N206" s="10">
        <f t="shared" si="53"/>
        <v>181.45999999999998</v>
      </c>
      <c r="O206" s="8">
        <f>IFERROR(N206/N444, "NA")</f>
        <v>8.3583178528344564E-3</v>
      </c>
      <c r="P206" s="9"/>
      <c r="Q206" s="7">
        <v>538.13</v>
      </c>
      <c r="R206" s="8">
        <f>IFERROR(Q206/Q444, "NA")</f>
        <v>6.0494086715108249E-4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-538.13</v>
      </c>
      <c r="X206" s="8">
        <f>IFERROR(W206/W444, "NA")</f>
        <v>8.0271161481775821E-3</v>
      </c>
      <c r="Y206" s="9"/>
      <c r="Z206" s="7">
        <v>435.18</v>
      </c>
      <c r="AA206" s="8">
        <f>IFERROR(Z206/Z444, "NA")</f>
        <v>5.1753022749709764E-4</v>
      </c>
      <c r="AB206" s="9"/>
      <c r="AC206" s="10">
        <f t="shared" si="55"/>
        <v>-102.94999999999999</v>
      </c>
      <c r="AD206" s="8">
        <f>IFERROR(AC206/AC444, "NA")</f>
        <v>-2.1148489305581812E-3</v>
      </c>
    </row>
    <row r="207" spans="1:30" ht="16.5" customHeight="1" x14ac:dyDescent="0.45">
      <c r="A207" s="6" t="s">
        <v>189</v>
      </c>
      <c r="B207" s="7">
        <v>84.69</v>
      </c>
      <c r="C207" s="8">
        <f>IFERROR(B207/B444, "NA")</f>
        <v>5.4277512094194841E-4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-84.69</v>
      </c>
      <c r="I207" s="8">
        <f>IFERROR(H207/H444, "NA")</f>
        <v>-7.7240818247402247E-3</v>
      </c>
      <c r="J207" s="9"/>
      <c r="K207" s="7">
        <v>266.12</v>
      </c>
      <c r="L207" s="8">
        <f>IFERROR(K207/K444, "NA")</f>
        <v>1.9812187726509023E-3</v>
      </c>
      <c r="M207" s="9"/>
      <c r="N207" s="10">
        <f t="shared" si="53"/>
        <v>181.43</v>
      </c>
      <c r="O207" s="8">
        <f>IFERROR(N207/N444, "NA")</f>
        <v>8.3569360081547205E-3</v>
      </c>
      <c r="P207" s="9"/>
      <c r="Q207" s="7">
        <v>847.67</v>
      </c>
      <c r="R207" s="8">
        <f>IFERROR(Q207/Q444, "NA")</f>
        <v>9.52911424484712E-4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1.2644427081422129E-2</v>
      </c>
      <c r="Y207" s="9"/>
      <c r="Z207" s="7">
        <v>574.41999999999996</v>
      </c>
      <c r="AA207" s="8">
        <f>IFERROR(Z207/Z444, "NA")</f>
        <v>6.8311896980303044E-4</v>
      </c>
      <c r="AB207" s="9"/>
      <c r="AC207" s="10">
        <f t="shared" si="55"/>
        <v>-273.25</v>
      </c>
      <c r="AD207" s="8">
        <f>IFERROR(AC207/AC444, "NA")</f>
        <v>-5.6132342911609815E-3</v>
      </c>
    </row>
    <row r="208" spans="1:30" ht="16.5" customHeight="1" x14ac:dyDescent="0.45">
      <c r="A208" s="6" t="s">
        <v>190</v>
      </c>
      <c r="B208" s="7">
        <v>81.760000000000005</v>
      </c>
      <c r="C208" s="8">
        <f>IFERROR(B208/B444, "NA")</f>
        <v>5.2399685781336297E-4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-81.760000000000005</v>
      </c>
      <c r="I208" s="8">
        <f>IFERROR(H208/H444, "NA")</f>
        <v>-7.4568535835489533E-3</v>
      </c>
      <c r="J208" s="9"/>
      <c r="K208" s="7">
        <v>214.27</v>
      </c>
      <c r="L208" s="8">
        <f>IFERROR(K208/K444, "NA")</f>
        <v>1.5952042177059555E-3</v>
      </c>
      <c r="M208" s="9"/>
      <c r="N208" s="10">
        <f t="shared" si="53"/>
        <v>132.51</v>
      </c>
      <c r="O208" s="8">
        <f>IFERROR(N208/N444, "NA")</f>
        <v>6.1036079503972987E-3</v>
      </c>
      <c r="P208" s="9"/>
      <c r="Q208" s="7">
        <v>1279.9000000000001</v>
      </c>
      <c r="R208" s="8">
        <f>IFERROR(Q208/Q444, "NA")</f>
        <v>1.4388044076090731E-3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-1279.9000000000001</v>
      </c>
      <c r="X208" s="8">
        <f>IFERROR(W208/W444, "NA")</f>
        <v>1.909186619971473E-2</v>
      </c>
      <c r="Y208" s="9"/>
      <c r="Z208" s="7">
        <v>1231.71</v>
      </c>
      <c r="AA208" s="8">
        <f>IFERROR(Z208/Z444, "NA")</f>
        <v>1.4647896422410268E-3</v>
      </c>
      <c r="AB208" s="9"/>
      <c r="AC208" s="10">
        <f t="shared" si="55"/>
        <v>-48.190000000000055</v>
      </c>
      <c r="AD208" s="8">
        <f>IFERROR(AC208/AC444, "NA")</f>
        <v>-9.899423988693431E-4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3195.2799999999997</v>
      </c>
      <c r="C209" s="15">
        <f>IFERROR(B209/B444, "NA")</f>
        <v>2.0478432972527914E-2</v>
      </c>
      <c r="D209" s="2"/>
      <c r="E209" s="14">
        <f>IFERROR(E201+E202+E203+E204+E205+E206+E207+E208, "NA")</f>
        <v>2611.21</v>
      </c>
      <c r="F209" s="15">
        <f>IFERROR(E209/E444, "NA")</f>
        <v>1.8000020128621893E-2</v>
      </c>
      <c r="G209" s="2"/>
      <c r="H209" s="14">
        <f t="shared" si="52"/>
        <v>-584.06999999999971</v>
      </c>
      <c r="I209" s="15">
        <f>IFERROR(H209/H444, "NA")</f>
        <v>-5.3269624174944165E-2</v>
      </c>
      <c r="J209" s="2"/>
      <c r="K209" s="14">
        <f>IFERROR(K201+K202+K203+K204+K205+K206+K207+K208, "NA")</f>
        <v>3461.81</v>
      </c>
      <c r="L209" s="15">
        <f>IFERROR(K209/K444, "NA")</f>
        <v>2.5772594917144974E-2</v>
      </c>
      <c r="M209" s="2"/>
      <c r="N209" s="14">
        <f t="shared" si="53"/>
        <v>266.5300000000002</v>
      </c>
      <c r="O209" s="15">
        <f>IFERROR(N209/N444, "NA")</f>
        <v>1.2276768749674691E-2</v>
      </c>
      <c r="P209" s="2"/>
      <c r="Q209" s="14">
        <f>IFERROR(Q201+Q202+Q203+Q204+Q205+Q206+Q207+Q208, "NA")</f>
        <v>24537.200000000001</v>
      </c>
      <c r="R209" s="15">
        <f>IFERROR(Q209/Q444, "NA")</f>
        <v>2.7583585835131923E-2</v>
      </c>
      <c r="S209" s="2"/>
      <c r="T209" s="14">
        <f>IFERROR(T201+T202+T203+T204+T205+T206+T207+T208, "NA")</f>
        <v>17474.02</v>
      </c>
      <c r="U209" s="15">
        <f>IFERROR(T209/T444, "NA")</f>
        <v>1.8266855603065634E-2</v>
      </c>
      <c r="V209" s="2"/>
      <c r="W209" s="14">
        <f t="shared" si="54"/>
        <v>-7063.18</v>
      </c>
      <c r="X209" s="15">
        <f>IFERROR(W209/W444, "NA")</f>
        <v>0.10535923705328626</v>
      </c>
      <c r="Y209" s="2"/>
      <c r="Z209" s="14">
        <f>IFERROR(Z201+Z202+Z203+Z204+Z205+Z206+Z207+Z208, "NA")</f>
        <v>20056.269999999997</v>
      </c>
      <c r="AA209" s="15">
        <f>IFERROR(Z209/Z444, "NA")</f>
        <v>2.3851569409998649E-2</v>
      </c>
      <c r="AB209" s="2"/>
      <c r="AC209" s="14">
        <f t="shared" si="55"/>
        <v>-4480.9300000000039</v>
      </c>
      <c r="AD209" s="15">
        <f>IFERROR(AC209/AC444, "NA")</f>
        <v>-9.2049441655231476E-2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5988.22</v>
      </c>
      <c r="F213" s="8">
        <f>IFERROR(E213/E444, "NA")</f>
        <v>4.1278978149829469E-2</v>
      </c>
      <c r="G213" s="9"/>
      <c r="H213" s="10">
        <f t="shared" ref="H213:H227" si="56">IFERROR(-(B213-E213), "NA")</f>
        <v>5988.22</v>
      </c>
      <c r="I213" s="8">
        <f>IFERROR(H213/H444, "NA")</f>
        <v>0.54615068207044415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37487.46</v>
      </c>
      <c r="U213" s="8">
        <f>IFERROR(T213/T444, "NA")</f>
        <v>3.9188350405098472E-2</v>
      </c>
      <c r="V213" s="9"/>
      <c r="W213" s="10">
        <f t="shared" ref="W213:W227" si="58">IFERROR(-(Q213-T213), "NA")</f>
        <v>37487.46</v>
      </c>
      <c r="X213" s="8">
        <f>IFERROR(W213/W444, "NA")</f>
        <v>-0.55918866355743246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1552.78</v>
      </c>
      <c r="C214" s="8">
        <f>IFERROR(B214/B444, "NA")</f>
        <v>9.9517103825273196E-3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-1552.78</v>
      </c>
      <c r="I214" s="8">
        <f>IFERROR(H214/H444, "NA")</f>
        <v>-0.14162002333002865</v>
      </c>
      <c r="J214" s="9"/>
      <c r="K214" s="7">
        <v>2792.76</v>
      </c>
      <c r="L214" s="8">
        <f>IFERROR(K214/K444, "NA")</f>
        <v>2.0791629864378984E-2</v>
      </c>
      <c r="M214" s="9"/>
      <c r="N214" s="10">
        <f t="shared" si="57"/>
        <v>1239.9800000000002</v>
      </c>
      <c r="O214" s="8">
        <f>IFERROR(N214/N444, "NA")</f>
        <v>5.7115325532666551E-2</v>
      </c>
      <c r="P214" s="9"/>
      <c r="Q214" s="7">
        <v>20913.36</v>
      </c>
      <c r="R214" s="8">
        <f>IFERROR(Q214/Q444, "NA")</f>
        <v>2.3509832444656056E-2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-20913.36</v>
      </c>
      <c r="X214" s="8">
        <f>IFERROR(W214/W444, "NA")</f>
        <v>0.31195802086605673</v>
      </c>
      <c r="Y214" s="9"/>
      <c r="Z214" s="7">
        <v>6904.14</v>
      </c>
      <c r="AA214" s="8">
        <f>IFERROR(Z214/Z444, "NA")</f>
        <v>8.2106281191043056E-3</v>
      </c>
      <c r="AB214" s="9"/>
      <c r="AC214" s="10">
        <f t="shared" si="59"/>
        <v>-14009.220000000001</v>
      </c>
      <c r="AD214" s="8">
        <f>IFERROR(AC214/AC444, "NA")</f>
        <v>-0.28778420529338794</v>
      </c>
    </row>
    <row r="215" spans="1:30" ht="16.5" customHeight="1" x14ac:dyDescent="0.45">
      <c r="A215" s="12" t="s">
        <v>195</v>
      </c>
      <c r="B215" s="7">
        <v>879.71</v>
      </c>
      <c r="C215" s="8">
        <f>IFERROR(B215/B444, "NA")</f>
        <v>5.6380293026784918E-3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-879.71</v>
      </c>
      <c r="I215" s="8">
        <f>IFERROR(H215/H444, "NA")</f>
        <v>-8.0233227323677214E-2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-879.71</v>
      </c>
      <c r="O215" s="8">
        <f>IFERROR(N215/N444, "NA")</f>
        <v>-4.0520752773707709E-2</v>
      </c>
      <c r="P215" s="9"/>
      <c r="Q215" s="7">
        <v>1447.06</v>
      </c>
      <c r="R215" s="8">
        <f>IFERROR(Q215/Q444, "NA")</f>
        <v>1.6267179514608838E-3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-1447.06</v>
      </c>
      <c r="X215" s="8">
        <f>IFERROR(W215/W444, "NA")</f>
        <v>2.1585339403827793E-2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-1447.06</v>
      </c>
      <c r="AD215" s="8">
        <f>IFERROR(AC215/AC444, "NA")</f>
        <v>-2.9726209746998754E-2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212.11</v>
      </c>
      <c r="L216" s="8">
        <f>IFERROR(K216/K444, "NA")</f>
        <v>1.5791233799300427E-3</v>
      </c>
      <c r="M216" s="9"/>
      <c r="N216" s="10">
        <f t="shared" si="57"/>
        <v>212.11</v>
      </c>
      <c r="O216" s="8">
        <f>IFERROR(N216/N444, "NA")</f>
        <v>9.7701025006321877E-3</v>
      </c>
      <c r="P216" s="9"/>
      <c r="Q216" s="7">
        <v>5.73</v>
      </c>
      <c r="R216" s="8">
        <f>IFERROR(Q216/Q444, "NA")</f>
        <v>6.4414010903976788E-6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8.5472609832303617E-5</v>
      </c>
      <c r="Y216" s="9"/>
      <c r="Z216" s="7">
        <v>271.64</v>
      </c>
      <c r="AA216" s="8">
        <f>IFERROR(Z216/Z444, "NA")</f>
        <v>3.2304313386945997E-4</v>
      </c>
      <c r="AB216" s="9"/>
      <c r="AC216" s="10">
        <f t="shared" si="59"/>
        <v>265.90999999999997</v>
      </c>
      <c r="AD216" s="8">
        <f>IFERROR(AC216/AC444, "NA")</f>
        <v>5.4624524441449825E-3</v>
      </c>
    </row>
    <row r="217" spans="1:30" ht="16.5" customHeight="1" x14ac:dyDescent="0.45">
      <c r="A217" s="12" t="s">
        <v>197</v>
      </c>
      <c r="B217" s="7">
        <v>794</v>
      </c>
      <c r="C217" s="8">
        <f>IFERROR(B217/B444, "NA")</f>
        <v>5.0887170389409264E-3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-794</v>
      </c>
      <c r="I217" s="8">
        <f>IFERROR(H217/H444, "NA")</f>
        <v>-7.2416117237498398E-2</v>
      </c>
      <c r="J217" s="9"/>
      <c r="K217" s="7">
        <v>14656.38</v>
      </c>
      <c r="L217" s="8">
        <f>IFERROR(K217/K444, "NA")</f>
        <v>0.1091142912787661</v>
      </c>
      <c r="M217" s="9"/>
      <c r="N217" s="10">
        <f t="shared" si="57"/>
        <v>13862.38</v>
      </c>
      <c r="O217" s="8">
        <f>IFERROR(N217/N444, "NA")</f>
        <v>0.63852186838297864</v>
      </c>
      <c r="P217" s="9"/>
      <c r="Q217" s="7">
        <v>19354.13</v>
      </c>
      <c r="R217" s="8">
        <f>IFERROR(Q217/Q444, "NA")</f>
        <v>2.1757018165043357E-2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-19354.13</v>
      </c>
      <c r="X217" s="8">
        <f>IFERROR(W217/W444, "NA")</f>
        <v>0.28869947681216096</v>
      </c>
      <c r="Y217" s="9"/>
      <c r="Z217" s="7">
        <v>20433.25</v>
      </c>
      <c r="AA217" s="8">
        <f>IFERROR(Z217/Z444, "NA")</f>
        <v>2.429988630223142E-2</v>
      </c>
      <c r="AB217" s="9"/>
      <c r="AC217" s="10">
        <f t="shared" si="59"/>
        <v>1079.119999999999</v>
      </c>
      <c r="AD217" s="8">
        <f>IFERROR(AC217/AC444, "NA")</f>
        <v>2.2167807459387495E-2</v>
      </c>
    </row>
    <row r="218" spans="1:30" ht="16.5" customHeight="1" x14ac:dyDescent="0.45">
      <c r="A218" s="13" t="s">
        <v>198</v>
      </c>
      <c r="B218" s="14">
        <f>IFERROR(B213+B214+B215+B216+B217, "NA")</f>
        <v>3226.49</v>
      </c>
      <c r="C218" s="15">
        <f>IFERROR(B218/B444, "NA")</f>
        <v>2.0678456724146737E-2</v>
      </c>
      <c r="D218" s="2"/>
      <c r="E218" s="14">
        <f>IFERROR(E213+E214+E215+E216+E217, "NA")</f>
        <v>5988.22</v>
      </c>
      <c r="F218" s="15">
        <f>IFERROR(E218/E444, "NA")</f>
        <v>4.1278978149829469E-2</v>
      </c>
      <c r="G218" s="2"/>
      <c r="H218" s="14">
        <f t="shared" si="56"/>
        <v>2761.7300000000005</v>
      </c>
      <c r="I218" s="15">
        <f>IFERROR(H218/H444, "NA")</f>
        <v>0.25188131417923987</v>
      </c>
      <c r="J218" s="2"/>
      <c r="K218" s="14">
        <f>IFERROR(K213+K214+K215+K216+K217, "NA")</f>
        <v>17661.25</v>
      </c>
      <c r="L218" s="15">
        <f>IFERROR(K218/K444, "NA")</f>
        <v>0.13148504452307513</v>
      </c>
      <c r="M218" s="2"/>
      <c r="N218" s="14">
        <f t="shared" si="57"/>
        <v>14434.76</v>
      </c>
      <c r="O218" s="15">
        <f>IFERROR(N218/N444, "NA")</f>
        <v>0.66488654364256972</v>
      </c>
      <c r="P218" s="2"/>
      <c r="Q218" s="14">
        <f>IFERROR(Q213+Q214+Q215+Q216+Q217, "NA")</f>
        <v>41720.28</v>
      </c>
      <c r="R218" s="15">
        <f>IFERROR(Q218/Q444, "NA")</f>
        <v>4.6900009962250688E-2</v>
      </c>
      <c r="S218" s="2"/>
      <c r="T218" s="14">
        <f>IFERROR(T213+T214+T215+T216+T217, "NA")</f>
        <v>37487.46</v>
      </c>
      <c r="U218" s="15">
        <f>IFERROR(T218/T444, "NA")</f>
        <v>3.9188350405098472E-2</v>
      </c>
      <c r="V218" s="2"/>
      <c r="W218" s="14">
        <f t="shared" si="58"/>
        <v>-4232.82</v>
      </c>
      <c r="X218" s="15">
        <f>IFERROR(W218/W444, "NA")</f>
        <v>6.3139646134445254E-2</v>
      </c>
      <c r="Y218" s="2"/>
      <c r="Z218" s="14">
        <f>IFERROR(Z213+Z214+Z215+Z216+Z217, "NA")</f>
        <v>27609.03</v>
      </c>
      <c r="AA218" s="15">
        <f>IFERROR(Z218/Z444, "NA")</f>
        <v>3.2833557555205187E-2</v>
      </c>
      <c r="AB218" s="2"/>
      <c r="AC218" s="14">
        <f t="shared" si="59"/>
        <v>-14111.25</v>
      </c>
      <c r="AD218" s="15">
        <f>IFERROR(AC218/AC444, "NA")</f>
        <v>-0.28988015513685417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542.4</v>
      </c>
      <c r="C222" s="8">
        <f>IFERROR(B222/B444, "NA")</f>
        <v>3.4762218160221139E-3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-542.4</v>
      </c>
      <c r="I222" s="8">
        <f>IFERROR(H222/H444, "NA")</f>
        <v>-4.9469146082643738E-2</v>
      </c>
      <c r="J222" s="9"/>
      <c r="K222" s="7">
        <v>300.26</v>
      </c>
      <c r="L222" s="8">
        <f>IFERROR(K222/K444, "NA")</f>
        <v>2.2353853474979708E-3</v>
      </c>
      <c r="M222" s="9"/>
      <c r="N222" s="10">
        <f t="shared" si="57"/>
        <v>-242.14</v>
      </c>
      <c r="O222" s="8">
        <f>IFERROR(N222/N444, "NA")</f>
        <v>-1.1153329025048691E-2</v>
      </c>
      <c r="P222" s="9"/>
      <c r="Q222" s="7">
        <v>1798.33</v>
      </c>
      <c r="R222" s="8">
        <f>IFERROR(Q222/Q444, "NA")</f>
        <v>2.0215994455313885E-3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-1798.33</v>
      </c>
      <c r="X222" s="8">
        <f>IFERROR(W222/W444, "NA")</f>
        <v>2.6825123636950533E-2</v>
      </c>
      <c r="Y222" s="9"/>
      <c r="Z222" s="7">
        <v>300.26</v>
      </c>
      <c r="AA222" s="8">
        <f>IFERROR(Z222/Z444, "NA")</f>
        <v>3.5707896987057891E-4</v>
      </c>
      <c r="AB222" s="9"/>
      <c r="AC222" s="10">
        <f t="shared" si="59"/>
        <v>-1498.07</v>
      </c>
      <c r="AD222" s="8">
        <f>IFERROR(AC222/AC444, "NA")</f>
        <v>-3.0774081956302036E-2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145.07</v>
      </c>
      <c r="F226" s="8">
        <f>IFERROR(E226/E444, "NA")</f>
        <v>1.0000202664891672E-3</v>
      </c>
      <c r="G226" s="9"/>
      <c r="H226" s="10">
        <f t="shared" si="56"/>
        <v>145.07</v>
      </c>
      <c r="I226" s="8">
        <f>IFERROR(H226/H444, "NA")</f>
        <v>1.3230990085193817E-2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956.6</v>
      </c>
      <c r="U226" s="8">
        <f>IFERROR(T226/T444, "NA")</f>
        <v>1.0000030943018599E-3</v>
      </c>
      <c r="V226" s="9"/>
      <c r="W226" s="10">
        <f t="shared" si="58"/>
        <v>956.6</v>
      </c>
      <c r="X226" s="8">
        <f>IFERROR(W226/W444, "NA")</f>
        <v>-1.4269301669385975E-2</v>
      </c>
      <c r="Y226" s="9"/>
      <c r="Z226" s="7">
        <v>1334.74</v>
      </c>
      <c r="AA226" s="8">
        <f>IFERROR(Z226/Z444, "NA")</f>
        <v>1.5873162733799258E-3</v>
      </c>
      <c r="AB226" s="9"/>
      <c r="AC226" s="10">
        <f t="shared" si="59"/>
        <v>1334.74</v>
      </c>
      <c r="AD226" s="8">
        <f>IFERROR(AC226/AC444, "NA")</f>
        <v>2.7418877722906528E-2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3768.89</v>
      </c>
      <c r="C227" s="15">
        <f>IFERROR(B227/B444, "NA")</f>
        <v>2.4154678540168849E-2</v>
      </c>
      <c r="D227" s="2"/>
      <c r="E227" s="14">
        <f>IFERROR(E211+E213+E214+E215+E216+E217+E219+E220+E221+E222+E223+E224+E225+E226, "NA")</f>
        <v>6133.29</v>
      </c>
      <c r="F227" s="15">
        <f>IFERROR(E227/E444, "NA")</f>
        <v>4.2278998416318631E-2</v>
      </c>
      <c r="G227" s="2"/>
      <c r="H227" s="14">
        <f t="shared" si="56"/>
        <v>2364.4</v>
      </c>
      <c r="I227" s="15">
        <f>IFERROR(H227/H444, "NA")</f>
        <v>0.21564315818178992</v>
      </c>
      <c r="J227" s="2"/>
      <c r="K227" s="14">
        <f>IFERROR(K211+K213+K214+K215+K216+K217+K219+K220+K221+K222+K223+K224+K225+K226, "NA")</f>
        <v>17961.509999999998</v>
      </c>
      <c r="L227" s="15">
        <f>IFERROR(K227/K444, "NA")</f>
        <v>0.13372042987057309</v>
      </c>
      <c r="M227" s="2"/>
      <c r="N227" s="14">
        <f t="shared" si="57"/>
        <v>14192.619999999999</v>
      </c>
      <c r="O227" s="15">
        <f>IFERROR(N227/N444, "NA")</f>
        <v>0.65373321461752099</v>
      </c>
      <c r="P227" s="2"/>
      <c r="Q227" s="14">
        <f>IFERROR(Q211+Q213+Q214+Q215+Q216+Q217+Q219+Q220+Q221+Q222+Q223+Q224+Q225+Q226, "NA")</f>
        <v>43518.61</v>
      </c>
      <c r="R227" s="15">
        <f>IFERROR(Q227/Q444, "NA")</f>
        <v>4.8921609407782077E-2</v>
      </c>
      <c r="S227" s="2"/>
      <c r="T227" s="14">
        <f>IFERROR(T211+T213+T214+T215+T216+T217+T219+T220+T221+T222+T223+T224+T225+T226, "NA")</f>
        <v>38444.06</v>
      </c>
      <c r="U227" s="15">
        <f>IFERROR(T227/T444, "NA")</f>
        <v>4.018835349940033E-2</v>
      </c>
      <c r="V227" s="2"/>
      <c r="W227" s="14">
        <f t="shared" si="58"/>
        <v>-5074.5500000000029</v>
      </c>
      <c r="X227" s="15">
        <f>IFERROR(W227/W444, "NA")</f>
        <v>7.5695468102009861E-2</v>
      </c>
      <c r="Y227" s="2"/>
      <c r="Z227" s="14">
        <f>IFERROR(Z211+Z213+Z214+Z215+Z216+Z217+Z219+Z220+Z221+Z222+Z223+Z224+Z225+Z226, "NA")</f>
        <v>29244.03</v>
      </c>
      <c r="AA227" s="15">
        <f>IFERROR(Z227/Z444, "NA")</f>
        <v>3.4777952798455691E-2</v>
      </c>
      <c r="AB227" s="2"/>
      <c r="AC227" s="14">
        <f t="shared" si="59"/>
        <v>-14274.580000000002</v>
      </c>
      <c r="AD227" s="15">
        <f>IFERROR(AC227/AC444, "NA")</f>
        <v>-0.29323535937024975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1914.89</v>
      </c>
      <c r="F229" s="8">
        <f>IFERROR(E229/E444, "NA")</f>
        <v>1.3200033143292489E-2</v>
      </c>
      <c r="G229" s="9"/>
      <c r="H229" s="10">
        <f t="shared" ref="H229:H236" si="60">IFERROR(-(B229-E229), "NA")</f>
        <v>1914.89</v>
      </c>
      <c r="I229" s="8">
        <f>IFERROR(H229/H444, "NA")</f>
        <v>0.17464596818251046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12627.1</v>
      </c>
      <c r="U229" s="8">
        <f>IFERROR(T229/T444, "NA")</f>
        <v>1.320001993733955E-2</v>
      </c>
      <c r="V229" s="9"/>
      <c r="W229" s="10">
        <f t="shared" ref="W229:W236" si="62">IFERROR(-(Q229-T229), "NA")</f>
        <v>12627.1</v>
      </c>
      <c r="X229" s="8">
        <f>IFERROR(W229/W444, "NA")</f>
        <v>-0.18835448370217817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-5.3515465410564348E-5</v>
      </c>
      <c r="AB230" s="9"/>
      <c r="AC230" s="10">
        <f t="shared" si="63"/>
        <v>-45</v>
      </c>
      <c r="AD230" s="8">
        <f>IFERROR(AC230/AC444, "NA")</f>
        <v>-9.2441186862669421E-4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282.13</v>
      </c>
      <c r="L231" s="8">
        <f>IFERROR(K231/K444, "NA")</f>
        <v>2.1004105378325533E-3</v>
      </c>
      <c r="M231" s="9"/>
      <c r="N231" s="10">
        <f t="shared" si="61"/>
        <v>282.13</v>
      </c>
      <c r="O231" s="8">
        <f>IFERROR(N231/N444, "NA")</f>
        <v>1.2995327983137801E-2</v>
      </c>
      <c r="P231" s="9"/>
      <c r="Q231" s="7">
        <v>1795.13</v>
      </c>
      <c r="R231" s="8">
        <f>IFERROR(Q231/Q444, "NA")</f>
        <v>2.0180021534739242E-3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-1795.13</v>
      </c>
      <c r="X231" s="8">
        <f>IFERROR(W231/W444, "NA")</f>
        <v>2.6777390242279788E-2</v>
      </c>
      <c r="Y231" s="9"/>
      <c r="Z231" s="7">
        <v>2955.56</v>
      </c>
      <c r="AA231" s="8">
        <f>IFERROR(Z231/Z444, "NA")</f>
        <v>3.5148481988632788E-3</v>
      </c>
      <c r="AB231" s="9"/>
      <c r="AC231" s="10">
        <f t="shared" si="63"/>
        <v>1160.4299999999998</v>
      </c>
      <c r="AD231" s="8">
        <f>IFERROR(AC231/AC444, "NA")</f>
        <v>2.38381169935661E-2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1686.55</v>
      </c>
      <c r="C234" s="8">
        <f>IFERROR(B234/B444, "NA")</f>
        <v>1.0809037433281888E-2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-1686.55</v>
      </c>
      <c r="I234" s="8">
        <f>IFERROR(H234/H444, "NA")</f>
        <v>-0.1538204062051674</v>
      </c>
      <c r="J234" s="9"/>
      <c r="K234" s="7">
        <v>1332.29</v>
      </c>
      <c r="L234" s="8">
        <f>IFERROR(K234/K444, "NA")</f>
        <v>9.9186756298477036E-3</v>
      </c>
      <c r="M234" s="9"/>
      <c r="N234" s="10">
        <f t="shared" si="61"/>
        <v>-354.26</v>
      </c>
      <c r="O234" s="8">
        <f>IFERROR(N234/N444, "NA")</f>
        <v>-1.6317743208118234E-2</v>
      </c>
      <c r="P234" s="9"/>
      <c r="Q234" s="7">
        <v>9670.32</v>
      </c>
      <c r="R234" s="8">
        <f>IFERROR(Q234/Q444, "NA")</f>
        <v>1.0870926665356802E-2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-9670.32</v>
      </c>
      <c r="X234" s="8">
        <f>IFERROR(W234/W444, "NA")</f>
        <v>0.14424912536012605</v>
      </c>
      <c r="Y234" s="9"/>
      <c r="Z234" s="7">
        <v>12767.9</v>
      </c>
      <c r="AA234" s="8">
        <f>IFERROR(Z234/Z444, "NA")</f>
        <v>1.5184002462567655E-2</v>
      </c>
      <c r="AB234" s="9"/>
      <c r="AC234" s="10">
        <f t="shared" si="63"/>
        <v>3097.58</v>
      </c>
      <c r="AD234" s="8">
        <f>IFERROR(AC234/AC444, "NA")</f>
        <v>6.363199368934834E-2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1686.55</v>
      </c>
      <c r="C236" s="15">
        <f>IFERROR(B236/B444, "NA")</f>
        <v>1.0809037433281888E-2</v>
      </c>
      <c r="D236" s="2"/>
      <c r="E236" s="14">
        <f>IFERROR(E229+E230+E231+E232+E233+E234+E235, "NA")</f>
        <v>1914.89</v>
      </c>
      <c r="F236" s="15">
        <f>IFERROR(E236/E444, "NA")</f>
        <v>1.3200033143292489E-2</v>
      </c>
      <c r="G236" s="2"/>
      <c r="H236" s="14">
        <f t="shared" si="60"/>
        <v>228.34000000000015</v>
      </c>
      <c r="I236" s="15">
        <f>IFERROR(H236/H444, "NA")</f>
        <v>2.0825561977343063E-2</v>
      </c>
      <c r="J236" s="2"/>
      <c r="K236" s="14">
        <f>IFERROR(K229+K230+K231+K232+K233+K234+K235, "NA")</f>
        <v>1614.42</v>
      </c>
      <c r="L236" s="15">
        <f>IFERROR(K236/K444, "NA")</f>
        <v>1.2019086167680257E-2</v>
      </c>
      <c r="M236" s="2"/>
      <c r="N236" s="14">
        <f t="shared" si="61"/>
        <v>-72.129999999999882</v>
      </c>
      <c r="O236" s="15">
        <f>IFERROR(N236/N444, "NA")</f>
        <v>-3.3224152249804275E-3</v>
      </c>
      <c r="P236" s="2"/>
      <c r="Q236" s="14">
        <f>IFERROR(Q229+Q230+Q231+Q232+Q233+Q234+Q235, "NA")</f>
        <v>11465.45</v>
      </c>
      <c r="R236" s="15">
        <f>IFERROR(Q236/Q444, "NA")</f>
        <v>1.2888928818830728E-2</v>
      </c>
      <c r="S236" s="2"/>
      <c r="T236" s="14">
        <f>IFERROR(T229+T230+T231+T232+T233+T234+T235, "NA")</f>
        <v>12627.1</v>
      </c>
      <c r="U236" s="15">
        <f>IFERROR(T236/T444, "NA")</f>
        <v>1.320001993733955E-2</v>
      </c>
      <c r="V236" s="2"/>
      <c r="W236" s="14">
        <f t="shared" si="62"/>
        <v>1161.6499999999996</v>
      </c>
      <c r="X236" s="15">
        <f>IFERROR(W236/W444, "NA")</f>
        <v>-1.7327968099772332E-2</v>
      </c>
      <c r="Y236" s="2"/>
      <c r="Z236" s="14">
        <f>IFERROR(Z229+Z230+Z231+Z232+Z233+Z234+Z235, "NA")</f>
        <v>15678.46</v>
      </c>
      <c r="AA236" s="15">
        <f>IFERROR(Z236/Z444, "NA")</f>
        <v>1.8645335196020369E-2</v>
      </c>
      <c r="AB236" s="2"/>
      <c r="AC236" s="14">
        <f t="shared" si="63"/>
        <v>4213.0099999999984</v>
      </c>
      <c r="AD236" s="15">
        <f>IFERROR(AC236/AC444, "NA")</f>
        <v>8.6545698814287725E-2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8858.3799999999992</v>
      </c>
      <c r="F240" s="8">
        <f>IFERROR(E240/E444, "NA")</f>
        <v>6.1064034798802701E-2</v>
      </c>
      <c r="G240" s="9"/>
      <c r="H240" s="10">
        <f t="shared" ref="H240:H263" si="64">IFERROR(-(B240-E240), "NA")</f>
        <v>8858.3799999999992</v>
      </c>
      <c r="I240" s="8">
        <f>IFERROR(H240/H444, "NA")</f>
        <v>0.80792126525731855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58738.63</v>
      </c>
      <c r="U240" s="8">
        <f>IFERROR(T240/T444, "NA")</f>
        <v>6.1403733802061516E-2</v>
      </c>
      <c r="V240" s="9"/>
      <c r="W240" s="10">
        <f t="shared" ref="W240:W263" si="66">IFERROR(-(Q240-T240), "NA")</f>
        <v>58738.63</v>
      </c>
      <c r="X240" s="8">
        <f>IFERROR(W240/W444, "NA")</f>
        <v>-0.87618569006527813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1683.93</v>
      </c>
      <c r="C242" s="8">
        <f>IFERROR(B242/B444, "NA")</f>
        <v>1.0792245948846089E-2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-1683.93</v>
      </c>
      <c r="I242" s="8">
        <f>IFERROR(H242/H444, "NA")</f>
        <v>-0.15358145125911923</v>
      </c>
      <c r="J242" s="9"/>
      <c r="K242" s="7">
        <v>1934.48</v>
      </c>
      <c r="L242" s="8">
        <f>IFERROR(K242/K444, "NA")</f>
        <v>1.4401879194790763E-2</v>
      </c>
      <c r="M242" s="9"/>
      <c r="N242" s="10">
        <f t="shared" si="65"/>
        <v>250.54999999999995</v>
      </c>
      <c r="O242" s="8">
        <f>IFERROR(N242/N444, "NA")</f>
        <v>1.154070615026823E-2</v>
      </c>
      <c r="P242" s="9"/>
      <c r="Q242" s="7">
        <v>13050.09</v>
      </c>
      <c r="R242" s="8">
        <f>IFERROR(Q242/Q444, "NA")</f>
        <v>1.4670307845687233E-2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-13050.09</v>
      </c>
      <c r="X242" s="8">
        <f>IFERROR(W242/W444, "NA")</f>
        <v>0.19466409264335899</v>
      </c>
      <c r="Y242" s="9"/>
      <c r="Z242" s="7">
        <v>10471.86</v>
      </c>
      <c r="AA242" s="8">
        <f>IFERROR(Z242/Z444, "NA")</f>
        <v>1.2453476924761609E-2</v>
      </c>
      <c r="AB242" s="9"/>
      <c r="AC242" s="10">
        <f t="shared" si="67"/>
        <v>-2578.2299999999996</v>
      </c>
      <c r="AD242" s="8">
        <f>IFERROR(AC242/AC444, "NA")</f>
        <v>-5.2963253601097805E-2</v>
      </c>
    </row>
    <row r="243" spans="1:30" ht="16.5" customHeight="1" x14ac:dyDescent="0.45">
      <c r="A243" s="12" t="s">
        <v>220</v>
      </c>
      <c r="B243" s="7">
        <v>2902.81</v>
      </c>
      <c r="C243" s="8">
        <f>IFERROR(B243/B444, "NA")</f>
        <v>1.8604003410337671E-2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-2902.81</v>
      </c>
      <c r="I243" s="8">
        <f>IFERROR(H243/H444, "NA")</f>
        <v>-0.26474839959468854</v>
      </c>
      <c r="J243" s="9"/>
      <c r="K243" s="7">
        <v>3301.27</v>
      </c>
      <c r="L243" s="8">
        <f>IFERROR(K243/K444, "NA")</f>
        <v>2.4577401539114852E-2</v>
      </c>
      <c r="M243" s="9"/>
      <c r="N243" s="10">
        <f t="shared" si="65"/>
        <v>398.46000000000004</v>
      </c>
      <c r="O243" s="8">
        <f>IFERROR(N243/N444, "NA")</f>
        <v>1.8353661036263739E-2</v>
      </c>
      <c r="P243" s="9"/>
      <c r="Q243" s="7">
        <v>13189.92</v>
      </c>
      <c r="R243" s="8">
        <f>IFERROR(Q243/Q444, "NA")</f>
        <v>1.4827498267060759E-2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-13189.92</v>
      </c>
      <c r="X243" s="8">
        <f>IFERROR(W243/W444, "NA")</f>
        <v>0.19674989282361222</v>
      </c>
      <c r="Y243" s="9"/>
      <c r="Z243" s="7">
        <v>21158.91</v>
      </c>
      <c r="AA243" s="8">
        <f>IFERROR(Z243/Z444, "NA")</f>
        <v>2.5162864805116533E-2</v>
      </c>
      <c r="AB243" s="9"/>
      <c r="AC243" s="10">
        <f t="shared" si="67"/>
        <v>7968.99</v>
      </c>
      <c r="AD243" s="8">
        <f>IFERROR(AC243/AC444, "NA")</f>
        <v>0.1637028652659431</v>
      </c>
    </row>
    <row r="244" spans="1:30" ht="16.5" customHeight="1" x14ac:dyDescent="0.45">
      <c r="A244" s="12" t="s">
        <v>221</v>
      </c>
      <c r="B244" s="7">
        <v>850.63</v>
      </c>
      <c r="C244" s="8">
        <f>IFERROR(B244/B444, "NA")</f>
        <v>5.4516566433681617E-3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-850.63</v>
      </c>
      <c r="I244" s="8">
        <f>IFERROR(H244/H444, "NA")</f>
        <v>-7.7581009830898315E-2</v>
      </c>
      <c r="J244" s="9"/>
      <c r="K244" s="7">
        <v>90.17</v>
      </c>
      <c r="L244" s="8">
        <f>IFERROR(K244/K444, "NA")</f>
        <v>6.7130052882132831E-4</v>
      </c>
      <c r="M244" s="9"/>
      <c r="N244" s="10">
        <f t="shared" si="65"/>
        <v>-760.46</v>
      </c>
      <c r="O244" s="8">
        <f>IFERROR(N244/N444, "NA")</f>
        <v>-3.5027920171754059E-2</v>
      </c>
      <c r="P244" s="9"/>
      <c r="Q244" s="7">
        <v>5565.97</v>
      </c>
      <c r="R244" s="8">
        <f>IFERROR(Q244/Q444, "NA")</f>
        <v>6.2570061478395755E-3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-5565.97</v>
      </c>
      <c r="X244" s="8">
        <f>IFERROR(W244/W444, "NA")</f>
        <v>8.3025825854852867E-2</v>
      </c>
      <c r="Y244" s="9"/>
      <c r="Z244" s="7">
        <v>495.8</v>
      </c>
      <c r="AA244" s="8">
        <f>IFERROR(Z244/Z444, "NA")</f>
        <v>5.8962150556795114E-4</v>
      </c>
      <c r="AB244" s="9"/>
      <c r="AC244" s="10">
        <f t="shared" si="67"/>
        <v>-5070.17</v>
      </c>
      <c r="AD244" s="8">
        <f>IFERROR(AC244/AC444, "NA")</f>
        <v>-0.10415389608788903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138.09</v>
      </c>
      <c r="C246" s="8">
        <f>IFERROR(B246/B444, "NA")</f>
        <v>8.8501377318306361E-4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-138.09</v>
      </c>
      <c r="I246" s="8">
        <f>IFERROR(H246/H444, "NA")</f>
        <v>-1.2594384923584575E-2</v>
      </c>
      <c r="J246" s="9"/>
      <c r="K246" s="7">
        <v>370.5</v>
      </c>
      <c r="L246" s="8">
        <f>IFERROR(K246/K444, "NA")</f>
        <v>2.7583103685072875E-3</v>
      </c>
      <c r="M246" s="9"/>
      <c r="N246" s="10">
        <f t="shared" si="65"/>
        <v>232.41</v>
      </c>
      <c r="O246" s="8">
        <f>IFERROR(N246/N444, "NA")</f>
        <v>1.0705150733920733E-2</v>
      </c>
      <c r="P246" s="9"/>
      <c r="Q246" s="7">
        <v>3357.39</v>
      </c>
      <c r="R246" s="8">
        <f>IFERROR(Q246/Q444, "NA")</f>
        <v>3.7742226190035357E-3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-3357.39</v>
      </c>
      <c r="X246" s="8">
        <f>IFERROR(W246/W444, "NA")</f>
        <v>5.0081131854254418E-2</v>
      </c>
      <c r="Y246" s="9"/>
      <c r="Z246" s="7">
        <v>621.29</v>
      </c>
      <c r="AA246" s="8">
        <f>IFERROR(Z246/Z444, "NA")</f>
        <v>7.3885830010954486E-4</v>
      </c>
      <c r="AB246" s="9"/>
      <c r="AC246" s="10">
        <f t="shared" si="67"/>
        <v>-2736.1</v>
      </c>
      <c r="AD246" s="8">
        <f>IFERROR(AC246/AC444, "NA")</f>
        <v>-5.6206295861099952E-2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1.6778882255058942E-4</v>
      </c>
      <c r="AB247" s="9"/>
      <c r="AC247" s="10">
        <f t="shared" si="67"/>
        <v>141.09</v>
      </c>
      <c r="AD247" s="8">
        <f>IFERROR(AC247/AC444, "NA")</f>
        <v>2.8983393454342287E-3</v>
      </c>
    </row>
    <row r="248" spans="1:30" ht="16.5" customHeight="1" x14ac:dyDescent="0.45">
      <c r="A248" s="12" t="s">
        <v>225</v>
      </c>
      <c r="B248" s="7">
        <v>255.97</v>
      </c>
      <c r="C248" s="8">
        <f>IFERROR(B248/B444, "NA")</f>
        <v>1.640502393523563E-3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-255.97</v>
      </c>
      <c r="I248" s="8">
        <f>IFERROR(H248/H444, "NA")</f>
        <v>-2.3345533412194537E-2</v>
      </c>
      <c r="J248" s="9"/>
      <c r="K248" s="7">
        <v>268.5</v>
      </c>
      <c r="L248" s="8">
        <f>IFERROR(K248/K444, "NA")</f>
        <v>1.9989374735336213E-3</v>
      </c>
      <c r="M248" s="9"/>
      <c r="N248" s="10">
        <f t="shared" si="65"/>
        <v>12.530000000000001</v>
      </c>
      <c r="O248" s="8">
        <f>IFERROR(N248/N444, "NA")</f>
        <v>5.7715046123672298E-4</v>
      </c>
      <c r="P248" s="9"/>
      <c r="Q248" s="7">
        <v>2384.21</v>
      </c>
      <c r="R248" s="8">
        <f>IFERROR(Q248/Q444, "NA")</f>
        <v>2.6802186551024517E-3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-2384.21</v>
      </c>
      <c r="X248" s="8">
        <f>IFERROR(W248/W444, "NA")</f>
        <v>3.5564511533730643E-2</v>
      </c>
      <c r="Y248" s="9"/>
      <c r="Z248" s="7">
        <v>2260.17</v>
      </c>
      <c r="AA248" s="8">
        <f>IFERROR(Z248/Z444, "NA")</f>
        <v>2.6878677657110051E-3</v>
      </c>
      <c r="AB248" s="9"/>
      <c r="AC248" s="10">
        <f t="shared" si="67"/>
        <v>-124.03999999999996</v>
      </c>
      <c r="AD248" s="8">
        <f>IFERROR(AC248/AC444, "NA")</f>
        <v>-2.548089959654558E-3</v>
      </c>
    </row>
    <row r="249" spans="1:30" ht="16.5" customHeight="1" x14ac:dyDescent="0.45">
      <c r="A249" s="12" t="s">
        <v>226</v>
      </c>
      <c r="B249" s="7">
        <v>1682.85</v>
      </c>
      <c r="C249" s="8">
        <f>IFERROR(B249/B444, "NA")</f>
        <v>1.0785324268238965E-2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-1682.85</v>
      </c>
      <c r="I249" s="8">
        <f>IFERROR(H249/H444, "NA")</f>
        <v>-0.15348295074700777</v>
      </c>
      <c r="J249" s="9"/>
      <c r="K249" s="7">
        <v>2409.23</v>
      </c>
      <c r="L249" s="8">
        <f>IFERROR(K249/K444, "NA")</f>
        <v>1.793631333095496E-2</v>
      </c>
      <c r="M249" s="9"/>
      <c r="N249" s="10">
        <f t="shared" si="65"/>
        <v>726.38000000000011</v>
      </c>
      <c r="O249" s="8">
        <f>IFERROR(N249/N444, "NA")</f>
        <v>3.3458144615573095E-2</v>
      </c>
      <c r="P249" s="9"/>
      <c r="Q249" s="7">
        <v>15446.32</v>
      </c>
      <c r="R249" s="8">
        <f>IFERROR(Q249/Q444, "NA")</f>
        <v>1.7364038829080535E-2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-15446.32</v>
      </c>
      <c r="X249" s="8">
        <f>IFERROR(W249/W444, "NA")</f>
        <v>0.23040790274082162</v>
      </c>
      <c r="Y249" s="9"/>
      <c r="Z249" s="7">
        <v>13115.31</v>
      </c>
      <c r="AA249" s="8">
        <f>IFERROR(Z249/Z444, "NA")</f>
        <v>1.5597153747862859E-2</v>
      </c>
      <c r="AB249" s="9"/>
      <c r="AC249" s="10">
        <f t="shared" si="67"/>
        <v>-2331.0100000000002</v>
      </c>
      <c r="AD249" s="8">
        <f>IFERROR(AC249/AC444, "NA")</f>
        <v>-4.7884740219722458E-2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7.1353953880752457E-7</v>
      </c>
      <c r="AB250" s="9"/>
      <c r="AC250" s="10">
        <f t="shared" si="67"/>
        <v>0.6</v>
      </c>
      <c r="AD250" s="8">
        <f>IFERROR(AC250/AC444, "NA")</f>
        <v>1.2325491581689256E-5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91.05</v>
      </c>
      <c r="L251" s="8">
        <f>IFERROR(K251/K444, "NA")</f>
        <v>6.7785198124855207E-4</v>
      </c>
      <c r="M251" s="9"/>
      <c r="N251" s="10">
        <f t="shared" si="65"/>
        <v>91.05</v>
      </c>
      <c r="O251" s="8">
        <f>IFERROR(N251/N444, "NA")</f>
        <v>4.1938986030010872E-3</v>
      </c>
      <c r="P251" s="9"/>
      <c r="Q251" s="7">
        <v>433.71</v>
      </c>
      <c r="R251" s="8">
        <f>IFERROR(Q251/Q444, "NA")</f>
        <v>4.8755673070093839E-4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-433.71</v>
      </c>
      <c r="X251" s="8">
        <f>IFERROR(W251/W444, "NA")</f>
        <v>6.4695158133278178E-3</v>
      </c>
      <c r="Y251" s="9"/>
      <c r="Z251" s="7">
        <v>569.11</v>
      </c>
      <c r="AA251" s="8">
        <f>IFERROR(Z251/Z444, "NA")</f>
        <v>6.7680414488458386E-4</v>
      </c>
      <c r="AB251" s="9"/>
      <c r="AC251" s="10">
        <f t="shared" si="67"/>
        <v>135.40000000000003</v>
      </c>
      <c r="AD251" s="8">
        <f>IFERROR(AC251/AC444, "NA")</f>
        <v>2.781452600267876E-3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2.6703028007306931E-4</v>
      </c>
      <c r="AB255" s="9"/>
      <c r="AC255" s="10">
        <f t="shared" si="67"/>
        <v>224.54</v>
      </c>
      <c r="AD255" s="8">
        <f>IFERROR(AC255/AC444, "NA")</f>
        <v>4.6126097995875092E-3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9.284338632450573E-5</v>
      </c>
      <c r="AB256" s="9"/>
      <c r="AC256" s="10">
        <f t="shared" si="67"/>
        <v>78.069999999999993</v>
      </c>
      <c r="AD256" s="8">
        <f>IFERROR(AC256/AC444, "NA")</f>
        <v>1.6037518796374669E-3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917.22</v>
      </c>
      <c r="C258" s="8">
        <f>IFERROR(B258/B444, "NA")</f>
        <v>5.8784295245055372E-3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-917.22</v>
      </c>
      <c r="I258" s="8">
        <f>IFERROR(H258/H444, "NA")</f>
        <v>-8.3654296035992795E-2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-917.22</v>
      </c>
      <c r="O258" s="8">
        <f>IFERROR(N258/N444, "NA")</f>
        <v>-4.2248519238271907E-2</v>
      </c>
      <c r="P258" s="9"/>
      <c r="Q258" s="7">
        <v>4475.75</v>
      </c>
      <c r="R258" s="8">
        <f>IFERROR(Q258/Q444, "NA")</f>
        <v>5.0314312269367206E-3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-4475.75</v>
      </c>
      <c r="X258" s="8">
        <f>IFERROR(W258/W444, "NA")</f>
        <v>6.6763356624246581E-2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-4475.75</v>
      </c>
      <c r="AD258" s="8">
        <f>IFERROR(AC258/AC444, "NA")</f>
        <v>-9.1943031577909479E-2</v>
      </c>
    </row>
    <row r="259" spans="1:30" ht="16.5" customHeight="1" x14ac:dyDescent="0.45">
      <c r="A259" s="12" t="s">
        <v>236</v>
      </c>
      <c r="B259" s="7">
        <v>1103.4000000000001</v>
      </c>
      <c r="C259" s="8">
        <f>IFERROR(B259/B444, "NA")</f>
        <v>7.0716503536113586E-3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-1103.4000000000001</v>
      </c>
      <c r="I259" s="8">
        <f>IFERROR(H259/H444, "NA")</f>
        <v>-0.10063468987387372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-1103.4000000000001</v>
      </c>
      <c r="O259" s="8">
        <f>IFERROR(N259/N444, "NA")</f>
        <v>-5.0824247320718288E-2</v>
      </c>
      <c r="P259" s="9"/>
      <c r="Q259" s="7">
        <v>1103.4000000000001</v>
      </c>
      <c r="R259" s="8">
        <f>IFERROR(Q259/Q444, "NA")</f>
        <v>1.2403912675645373E-3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-1103.4000000000001</v>
      </c>
      <c r="X259" s="8">
        <f>IFERROR(W259/W444, "NA")</f>
        <v>1.6459071149906423E-2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-1103.4000000000001</v>
      </c>
      <c r="AD259" s="8">
        <f>IFERROR(AC259/AC444, "NA")</f>
        <v>-2.2666579018726544E-2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9534.9</v>
      </c>
      <c r="C262" s="15">
        <f>IFERROR(B262/B444, "NA")</f>
        <v>6.1108826315614408E-2</v>
      </c>
      <c r="D262" s="2"/>
      <c r="E262" s="14">
        <f>IFERROR(E240+E241+E242+E243+E244+E245+E246+E247+E248+E249+E250+E251+E252+E253+E254+E255+E256+E257+E258+E259+E260+E261, "NA")</f>
        <v>8858.3799999999992</v>
      </c>
      <c r="F262" s="15">
        <f>IFERROR(E262/E444, "NA")</f>
        <v>6.1064034798802701E-2</v>
      </c>
      <c r="G262" s="2"/>
      <c r="H262" s="14">
        <f t="shared" si="64"/>
        <v>-676.52000000000044</v>
      </c>
      <c r="I262" s="15">
        <f>IFERROR(H262/H444, "NA")</f>
        <v>-6.1701450420040861E-2</v>
      </c>
      <c r="J262" s="2"/>
      <c r="K262" s="14">
        <f>IFERROR(K240+K241+K242+K243+K244+K245+K246+K247+K248+K249+K250+K251+K252+K253+K254+K255+K256+K257+K258+K259+K260+K261, "NA")</f>
        <v>8465.1999999999989</v>
      </c>
      <c r="L262" s="15">
        <f>IFERROR(K262/K444, "NA")</f>
        <v>6.3021994416971358E-2</v>
      </c>
      <c r="M262" s="2"/>
      <c r="N262" s="14">
        <f t="shared" si="65"/>
        <v>-1069.7000000000007</v>
      </c>
      <c r="O262" s="15">
        <f>IFERROR(N262/N444, "NA")</f>
        <v>-4.9271975130480684E-2</v>
      </c>
      <c r="P262" s="2"/>
      <c r="Q262" s="14">
        <f>IFERROR(Q240+Q241+Q242+Q243+Q244+Q245+Q246+Q247+Q248+Q249+Q250+Q251+Q252+Q253+Q254+Q255+Q256+Q257+Q258+Q259+Q260+Q261, "NA")</f>
        <v>59006.76</v>
      </c>
      <c r="R262" s="15">
        <f>IFERROR(Q262/Q444, "NA")</f>
        <v>6.6332671588976294E-2</v>
      </c>
      <c r="S262" s="2"/>
      <c r="T262" s="14">
        <f>IFERROR(T240+T241+T242+T243+T244+T245+T246+T247+T248+T249+T250+T251+T252+T253+T254+T255+T256+T257+T258+T259+T260+T261, "NA")</f>
        <v>58738.63</v>
      </c>
      <c r="U262" s="15">
        <f>IFERROR(T262/T444, "NA")</f>
        <v>6.1403733802061516E-2</v>
      </c>
      <c r="V262" s="2"/>
      <c r="W262" s="14">
        <f t="shared" si="66"/>
        <v>-268.13000000000466</v>
      </c>
      <c r="X262" s="15">
        <f>IFERROR(W262/W444, "NA")</f>
        <v>3.9996109728335019E-3</v>
      </c>
      <c r="Y262" s="2"/>
      <c r="Z262" s="14">
        <f>IFERROR(Z240+Z241+Z242+Z243+Z244+Z245+Z246+Z247+Z248+Z249+Z250+Z251+Z252+Z253+Z254+Z255+Z256+Z257+Z258+Z259+Z260+Z261, "NA")</f>
        <v>49136.749999999993</v>
      </c>
      <c r="AA262" s="15">
        <f>IFERROR(Z262/Z444, "NA")</f>
        <v>5.8435023222501048E-2</v>
      </c>
      <c r="AB262" s="2"/>
      <c r="AC262" s="14">
        <f t="shared" si="67"/>
        <v>-9870.0100000000093</v>
      </c>
      <c r="AD262" s="15">
        <f>IFERROR(AC262/AC444, "NA")</f>
        <v>-0.20275454194364814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9534.9</v>
      </c>
      <c r="C263" s="15">
        <f>IFERROR(B263/B444, "NA")</f>
        <v>6.1108826315614408E-2</v>
      </c>
      <c r="D263" s="2"/>
      <c r="E263" s="14">
        <f>IFERROR(E238+E240+E241+E242+E243+E244+E245+E246+E247+E248+E249+E250+E251+E252+E253+E254+E255+E256+E257+E258+E259+E260+E261, "NA")</f>
        <v>8858.3799999999992</v>
      </c>
      <c r="F263" s="15">
        <f>IFERROR(E263/E444, "NA")</f>
        <v>6.1064034798802701E-2</v>
      </c>
      <c r="G263" s="2"/>
      <c r="H263" s="14">
        <f t="shared" si="64"/>
        <v>-676.52000000000044</v>
      </c>
      <c r="I263" s="15">
        <f>IFERROR(H263/H444, "NA")</f>
        <v>-6.1701450420040861E-2</v>
      </c>
      <c r="J263" s="2"/>
      <c r="K263" s="14">
        <f>IFERROR(K238+K240+K241+K242+K243+K244+K245+K246+K247+K248+K249+K250+K251+K252+K253+K254+K255+K256+K257+K258+K259+K260+K261, "NA")</f>
        <v>8465.1999999999989</v>
      </c>
      <c r="L263" s="15">
        <f>IFERROR(K263/K444, "NA")</f>
        <v>6.3021994416971358E-2</v>
      </c>
      <c r="M263" s="2"/>
      <c r="N263" s="14">
        <f t="shared" si="65"/>
        <v>-1069.7000000000007</v>
      </c>
      <c r="O263" s="15">
        <f>IFERROR(N263/N444, "NA")</f>
        <v>-4.9271975130480684E-2</v>
      </c>
      <c r="P263" s="2"/>
      <c r="Q263" s="14">
        <f>IFERROR(Q238+Q240+Q241+Q242+Q243+Q244+Q245+Q246+Q247+Q248+Q249+Q250+Q251+Q252+Q253+Q254+Q255+Q256+Q257+Q258+Q259+Q260+Q261, "NA")</f>
        <v>59006.76</v>
      </c>
      <c r="R263" s="15">
        <f>IFERROR(Q263/Q444, "NA")</f>
        <v>6.6332671588976294E-2</v>
      </c>
      <c r="S263" s="2"/>
      <c r="T263" s="14">
        <f>IFERROR(T238+T240+T241+T242+T243+T244+T245+T246+T247+T248+T249+T250+T251+T252+T253+T254+T255+T256+T257+T258+T259+T260+T261, "NA")</f>
        <v>58738.63</v>
      </c>
      <c r="U263" s="15">
        <f>IFERROR(T263/T444, "NA")</f>
        <v>6.1403733802061516E-2</v>
      </c>
      <c r="V263" s="2"/>
      <c r="W263" s="14">
        <f t="shared" si="66"/>
        <v>-268.13000000000466</v>
      </c>
      <c r="X263" s="15">
        <f>IFERROR(W263/W444, "NA")</f>
        <v>3.9996109728335019E-3</v>
      </c>
      <c r="Y263" s="2"/>
      <c r="Z263" s="14">
        <f>IFERROR(Z238+Z240+Z241+Z242+Z243+Z244+Z245+Z246+Z247+Z248+Z249+Z250+Z251+Z252+Z253+Z254+Z255+Z256+Z257+Z258+Z259+Z260+Z261, "NA")</f>
        <v>49136.749999999993</v>
      </c>
      <c r="AA263" s="15">
        <f>IFERROR(Z263/Z444, "NA")</f>
        <v>5.8435023222501048E-2</v>
      </c>
      <c r="AB263" s="2"/>
      <c r="AC263" s="14">
        <f t="shared" si="67"/>
        <v>-9870.0100000000093</v>
      </c>
      <c r="AD263" s="15">
        <f>IFERROR(AC263/AC444, "NA")</f>
        <v>-0.20275454194364814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3573.39</v>
      </c>
      <c r="C265" s="8">
        <f>IFERROR(B265/B444, "NA")</f>
        <v>2.2901726171008961E-2</v>
      </c>
      <c r="D265" s="9"/>
      <c r="E265" s="7">
        <v>3771.74</v>
      </c>
      <c r="F265" s="8">
        <f>IFERROR(E265/E444, "NA")</f>
        <v>2.599997545962536E-2</v>
      </c>
      <c r="G265" s="9"/>
      <c r="H265" s="10">
        <f>IFERROR(-(B265-E265), "NA")</f>
        <v>198.34999999999991</v>
      </c>
      <c r="I265" s="8">
        <f>IFERROR(H265/H444, "NA")</f>
        <v>1.8090348682692443E-2</v>
      </c>
      <c r="J265" s="9"/>
      <c r="K265" s="7">
        <v>3027.26</v>
      </c>
      <c r="L265" s="8">
        <f>IFERROR(K265/K444, "NA")</f>
        <v>2.2537443039588049E-2</v>
      </c>
      <c r="M265" s="9"/>
      <c r="N265" s="10">
        <f>IFERROR(-(B265-K265), "NA")</f>
        <v>-546.12999999999965</v>
      </c>
      <c r="O265" s="8">
        <f>IFERROR(N265/N444, "NA")</f>
        <v>-2.5155561164821334E-2</v>
      </c>
      <c r="P265" s="9"/>
      <c r="Q265" s="7">
        <v>21393.279999999999</v>
      </c>
      <c r="R265" s="8">
        <f>IFERROR(Q265/Q444, "NA")</f>
        <v>2.4049336320974318E-2</v>
      </c>
      <c r="S265" s="9"/>
      <c r="T265" s="7">
        <v>24999.15</v>
      </c>
      <c r="U265" s="8">
        <f>IFERROR(T265/T444, "NA")</f>
        <v>2.6133417682329439E-2</v>
      </c>
      <c r="V265" s="9"/>
      <c r="W265" s="10">
        <f>IFERROR(-(Q265-T265), "NA")</f>
        <v>3605.8700000000026</v>
      </c>
      <c r="X265" s="8">
        <f>IFERROR(W265/W444, "NA")</f>
        <v>-5.3787629950437843E-2</v>
      </c>
      <c r="Y265" s="9"/>
      <c r="Z265" s="7">
        <v>22074.81</v>
      </c>
      <c r="AA265" s="8">
        <f>IFERROR(Z265/Z444, "NA")</f>
        <v>2.6252082911106221E-2</v>
      </c>
      <c r="AB265" s="9"/>
      <c r="AC265" s="10">
        <f>IFERROR(-(Q265-Z265), "NA")</f>
        <v>681.53000000000247</v>
      </c>
      <c r="AD265" s="8">
        <f>IFERROR(AC265/AC444, "NA")</f>
        <v>1.4000320462781182E-2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3573.39</v>
      </c>
      <c r="C267" s="15">
        <f>IFERROR(B267/B444, "NA")</f>
        <v>2.2901726171008961E-2</v>
      </c>
      <c r="D267" s="2"/>
      <c r="E267" s="14">
        <f>IFERROR(E265+E266, "NA")</f>
        <v>3771.74</v>
      </c>
      <c r="F267" s="15">
        <f>IFERROR(E267/E444, "NA")</f>
        <v>2.599997545962536E-2</v>
      </c>
      <c r="G267" s="2"/>
      <c r="H267" s="14">
        <f>IFERROR(-(B267-E267), "NA")</f>
        <v>198.34999999999991</v>
      </c>
      <c r="I267" s="15">
        <f>IFERROR(H267/H444, "NA")</f>
        <v>1.8090348682692443E-2</v>
      </c>
      <c r="J267" s="2"/>
      <c r="K267" s="14">
        <f>IFERROR(K265+K266, "NA")</f>
        <v>3027.26</v>
      </c>
      <c r="L267" s="15">
        <f>IFERROR(K267/K444, "NA")</f>
        <v>2.2537443039588049E-2</v>
      </c>
      <c r="M267" s="2"/>
      <c r="N267" s="14">
        <f>IFERROR(-(B267-K267), "NA")</f>
        <v>-546.12999999999965</v>
      </c>
      <c r="O267" s="15">
        <f>IFERROR(N267/N444, "NA")</f>
        <v>-2.5155561164821334E-2</v>
      </c>
      <c r="P267" s="2"/>
      <c r="Q267" s="14">
        <f>IFERROR(Q265+Q266, "NA")</f>
        <v>21393.279999999999</v>
      </c>
      <c r="R267" s="15">
        <f>IFERROR(Q267/Q444, "NA")</f>
        <v>2.4049336320974318E-2</v>
      </c>
      <c r="S267" s="2"/>
      <c r="T267" s="14">
        <f>IFERROR(T265+T266, "NA")</f>
        <v>24999.15</v>
      </c>
      <c r="U267" s="15">
        <f>IFERROR(T267/T444, "NA")</f>
        <v>2.6133417682329439E-2</v>
      </c>
      <c r="V267" s="2"/>
      <c r="W267" s="14">
        <f>IFERROR(-(Q267-T267), "NA")</f>
        <v>3605.8700000000026</v>
      </c>
      <c r="X267" s="15">
        <f>IFERROR(W267/W444, "NA")</f>
        <v>-5.3787629950437843E-2</v>
      </c>
      <c r="Y267" s="2"/>
      <c r="Z267" s="14">
        <f>IFERROR(Z265+Z266, "NA")</f>
        <v>22074.81</v>
      </c>
      <c r="AA267" s="15">
        <f>IFERROR(Z267/Z444, "NA")</f>
        <v>2.6252082911106221E-2</v>
      </c>
      <c r="AB267" s="2"/>
      <c r="AC267" s="14">
        <f>IFERROR(-(Q267-Z267), "NA")</f>
        <v>681.53000000000247</v>
      </c>
      <c r="AD267" s="15">
        <f>IFERROR(AC267/AC444, "NA")</f>
        <v>1.4000320462781182E-2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1.973448048653262E-3</v>
      </c>
      <c r="D270" s="9"/>
      <c r="E270" s="7">
        <v>209.33</v>
      </c>
      <c r="F270" s="8">
        <f>IFERROR(E270/E444, "NA")</f>
        <v>1.4429878154282579E-3</v>
      </c>
      <c r="G270" s="9"/>
      <c r="H270" s="10">
        <f>IFERROR(-(B270-E270), "NA")</f>
        <v>-98.59</v>
      </c>
      <c r="I270" s="8">
        <f>IFERROR(H270/H444, "NA")</f>
        <v>-8.9918198972858531E-3</v>
      </c>
      <c r="J270" s="9"/>
      <c r="K270" s="7">
        <v>352</v>
      </c>
      <c r="L270" s="8">
        <f>IFERROR(K270/K444, "NA")</f>
        <v>2.6205809708895146E-3</v>
      </c>
      <c r="M270" s="9"/>
      <c r="N270" s="10">
        <f>IFERROR(-(B270-K270), "NA")</f>
        <v>44.079999999999984</v>
      </c>
      <c r="O270" s="8">
        <f>IFERROR(N270/N444, "NA")</f>
        <v>2.0303904494265554E-3</v>
      </c>
      <c r="P270" s="9"/>
      <c r="Q270" s="7">
        <v>3325.75</v>
      </c>
      <c r="R270" s="8">
        <f>IFERROR(Q270/Q444, "NA")</f>
        <v>3.7386543937853543E-3</v>
      </c>
      <c r="S270" s="9"/>
      <c r="T270" s="7">
        <v>1622.75</v>
      </c>
      <c r="U270" s="8">
        <f>IFERROR(T270/T444, "NA")</f>
        <v>1.6963778186058363E-3</v>
      </c>
      <c r="V270" s="9"/>
      <c r="W270" s="10">
        <f>IFERROR(-(Q270-T270), "NA")</f>
        <v>-1703</v>
      </c>
      <c r="X270" s="8">
        <f>IFERROR(W270/W444, "NA")</f>
        <v>2.5403115976337355E-2</v>
      </c>
      <c r="Y270" s="9"/>
      <c r="Z270" s="7">
        <v>2779.5</v>
      </c>
      <c r="AA270" s="8">
        <f>IFERROR(Z270/Z444, "NA")</f>
        <v>3.3054719135258578E-3</v>
      </c>
      <c r="AB270" s="9"/>
      <c r="AC270" s="10">
        <f>IFERROR(-(Q270-Z270), "NA")</f>
        <v>-546.25</v>
      </c>
      <c r="AD270" s="8">
        <f>IFERROR(AC270/AC444, "NA")</f>
        <v>-1.1221332960829594E-2</v>
      </c>
    </row>
    <row r="271" spans="1:30" ht="16.5" customHeight="1" x14ac:dyDescent="0.45">
      <c r="A271" s="6" t="s">
        <v>246</v>
      </c>
      <c r="B271" s="7">
        <v>905.41</v>
      </c>
      <c r="C271" s="8">
        <f>IFERROR(B271/B444, "NA")</f>
        <v>5.8027396652739344E-3</v>
      </c>
      <c r="D271" s="9"/>
      <c r="E271" s="7">
        <v>870.4</v>
      </c>
      <c r="F271" s="8">
        <f>IFERROR(E271/E444, "NA")</f>
        <v>5.9999837316617568E-3</v>
      </c>
      <c r="G271" s="9"/>
      <c r="H271" s="10">
        <f>IFERROR(-(B271-E271), "NA")</f>
        <v>-35.009999999999991</v>
      </c>
      <c r="I271" s="8">
        <f>IFERROR(H271/H444, "NA")</f>
        <v>-3.1930582676131208E-3</v>
      </c>
      <c r="J271" s="9"/>
      <c r="K271" s="7">
        <v>223</v>
      </c>
      <c r="L271" s="8">
        <f>IFERROR(K271/K444, "NA")</f>
        <v>1.6601976037169369E-3</v>
      </c>
      <c r="M271" s="9"/>
      <c r="N271" s="10">
        <f>IFERROR(-(B271-K271), "NA")</f>
        <v>-682.41</v>
      </c>
      <c r="O271" s="8">
        <f>IFERROR(N271/N444, "NA")</f>
        <v>-3.1432820929972231E-2</v>
      </c>
      <c r="P271" s="9"/>
      <c r="Q271" s="7">
        <v>8432.74</v>
      </c>
      <c r="R271" s="8">
        <f>IFERROR(Q271/Q444, "NA")</f>
        <v>9.4796964452076998E-3</v>
      </c>
      <c r="S271" s="9"/>
      <c r="T271" s="7">
        <v>5739.58</v>
      </c>
      <c r="U271" s="8">
        <f>IFERROR(T271/T444, "NA")</f>
        <v>5.9999976583661602E-3</v>
      </c>
      <c r="V271" s="9"/>
      <c r="W271" s="10">
        <f>IFERROR(-(Q271-T271), "NA")</f>
        <v>-2693.16</v>
      </c>
      <c r="X271" s="8">
        <f>IFERROR(W271/W444, "NA")</f>
        <v>4.0173021622332772E-2</v>
      </c>
      <c r="Y271" s="9"/>
      <c r="Z271" s="7">
        <v>5780.1</v>
      </c>
      <c r="AA271" s="8">
        <f>IFERROR(Z271/Z444, "NA")</f>
        <v>6.8738831471022886E-3</v>
      </c>
      <c r="AB271" s="9"/>
      <c r="AC271" s="10">
        <f>IFERROR(-(Q271-Z271), "NA")</f>
        <v>-2652.6399999999994</v>
      </c>
      <c r="AD271" s="8">
        <f>IFERROR(AC271/AC444, "NA")</f>
        <v>-5.4491819982086964E-2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1213.33</v>
      </c>
      <c r="C273" s="15">
        <f>IFERROR(B273/B444, "NA")</f>
        <v>7.7761877139271964E-3</v>
      </c>
      <c r="D273" s="2"/>
      <c r="E273" s="14">
        <f>IFERROR(E269+E270+E271+E272, "NA")</f>
        <v>1079.73</v>
      </c>
      <c r="F273" s="15">
        <f>IFERROR(E273/E444, "NA")</f>
        <v>7.4429715470900153E-3</v>
      </c>
      <c r="G273" s="2"/>
      <c r="H273" s="14">
        <f>IFERROR(-(B273-E273), "NA")</f>
        <v>-133.59999999999991</v>
      </c>
      <c r="I273" s="15">
        <f>IFERROR(H273/H444, "NA")</f>
        <v>-1.2184878164898966E-2</v>
      </c>
      <c r="J273" s="2"/>
      <c r="K273" s="14">
        <f>IFERROR(K269+K270+K271+K272, "NA")</f>
        <v>575</v>
      </c>
      <c r="L273" s="15">
        <f>IFERROR(K273/K444, "NA")</f>
        <v>4.2807785746064517E-3</v>
      </c>
      <c r="M273" s="2"/>
      <c r="N273" s="14">
        <f>IFERROR(-(B273-K273), "NA")</f>
        <v>-638.32999999999993</v>
      </c>
      <c r="O273" s="15">
        <f>IFERROR(N273/N444, "NA")</f>
        <v>-2.9402430480545676E-2</v>
      </c>
      <c r="P273" s="2"/>
      <c r="Q273" s="14">
        <f>IFERROR(Q269+Q270+Q271+Q272, "NA")</f>
        <v>11758.49</v>
      </c>
      <c r="R273" s="15">
        <f>IFERROR(Q273/Q444, "NA")</f>
        <v>1.3218350838993054E-2</v>
      </c>
      <c r="S273" s="2"/>
      <c r="T273" s="14">
        <f>IFERROR(T269+T270+T271+T272, "NA")</f>
        <v>7362.33</v>
      </c>
      <c r="U273" s="15">
        <f>IFERROR(T273/T444, "NA")</f>
        <v>7.6963754769719958E-3</v>
      </c>
      <c r="V273" s="2"/>
      <c r="W273" s="14">
        <f>IFERROR(-(Q273-T273), "NA")</f>
        <v>-4396.16</v>
      </c>
      <c r="X273" s="15">
        <f>IFERROR(W273/W444, "NA")</f>
        <v>6.5576137598670134E-2</v>
      </c>
      <c r="Y273" s="2"/>
      <c r="Z273" s="14">
        <f>IFERROR(Z269+Z270+Z271+Z272, "NA")</f>
        <v>8559.6</v>
      </c>
      <c r="AA273" s="15">
        <f>IFERROR(Z273/Z444, "NA")</f>
        <v>1.0179355060628146E-2</v>
      </c>
      <c r="AB273" s="2"/>
      <c r="AC273" s="14">
        <f>IFERROR(-(Q273-Z273), "NA")</f>
        <v>-3198.8899999999994</v>
      </c>
      <c r="AD273" s="15">
        <f>IFERROR(AC273/AC444, "NA")</f>
        <v>-6.5713152942916561E-2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2.2817033722197168E-3</v>
      </c>
      <c r="G287" s="9"/>
      <c r="H287" s="10">
        <f t="shared" si="72"/>
        <v>331</v>
      </c>
      <c r="I287" s="8">
        <f>IFERROR(H287/H444, "NA")</f>
        <v>3.0188582878604493E-2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2979</v>
      </c>
      <c r="U287" s="8">
        <f>IFERROR(T287/T444, "NA")</f>
        <v>3.1141639326000841E-3</v>
      </c>
      <c r="V287" s="9"/>
      <c r="W287" s="10">
        <f t="shared" si="74"/>
        <v>2979</v>
      </c>
      <c r="X287" s="8">
        <f>IFERROR(W287/W444, "NA")</f>
        <v>-4.4436807101297111E-2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8.8123248470324609E-4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-1.2540574458634797E-2</v>
      </c>
      <c r="J288" s="9"/>
      <c r="K288" s="7">
        <v>142.19999999999999</v>
      </c>
      <c r="L288" s="8">
        <f>IFERROR(K288/K444, "NA")</f>
        <v>1.0586551535809346E-3</v>
      </c>
      <c r="M288" s="9"/>
      <c r="N288" s="10">
        <f t="shared" si="73"/>
        <v>4.6999999999999886</v>
      </c>
      <c r="O288" s="8">
        <f>IFERROR(N288/N444, "NA")</f>
        <v>2.1648899982542629E-4</v>
      </c>
      <c r="P288" s="9"/>
      <c r="Q288" s="7">
        <v>1237.5</v>
      </c>
      <c r="R288" s="8">
        <f>IFERROR(Q288/Q444, "NA")</f>
        <v>1.3911402878476662E-3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-1237.5</v>
      </c>
      <c r="X288" s="8">
        <f>IFERROR(W288/W444, "NA")</f>
        <v>1.8459398720327352E-2</v>
      </c>
      <c r="Y288" s="9"/>
      <c r="Z288" s="7">
        <v>1209.3</v>
      </c>
      <c r="AA288" s="8">
        <f>IFERROR(Z288/Z444, "NA")</f>
        <v>1.4381389404665658E-3</v>
      </c>
      <c r="AB288" s="9"/>
      <c r="AC288" s="10">
        <f t="shared" si="75"/>
        <v>-28.200000000000045</v>
      </c>
      <c r="AD288" s="8">
        <f>IFERROR(AC288/AC444, "NA")</f>
        <v>-5.7929810433939596E-4</v>
      </c>
    </row>
    <row r="289" spans="1:30" ht="16.5" customHeight="1" x14ac:dyDescent="0.45">
      <c r="A289" s="6" t="s">
        <v>262</v>
      </c>
      <c r="B289" s="7">
        <v>228.86</v>
      </c>
      <c r="C289" s="8">
        <f>IFERROR(B289/B444, "NA")</f>
        <v>1.4667553923577085E-3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-228.86</v>
      </c>
      <c r="I289" s="8">
        <f>IFERROR(H289/H444, "NA")</f>
        <v>-2.0872988149841162E-2</v>
      </c>
      <c r="J289" s="9"/>
      <c r="K289" s="7">
        <v>198.58</v>
      </c>
      <c r="L289" s="8">
        <f>IFERROR(K289/K444, "NA")</f>
        <v>1.478394798861477E-3</v>
      </c>
      <c r="M289" s="9"/>
      <c r="N289" s="10">
        <f t="shared" si="73"/>
        <v>-30.28</v>
      </c>
      <c r="O289" s="8">
        <f>IFERROR(N289/N444, "NA")</f>
        <v>-1.3947418967476433E-3</v>
      </c>
      <c r="P289" s="9"/>
      <c r="Q289" s="7">
        <v>2022</v>
      </c>
      <c r="R289" s="8">
        <f>IFERROR(Q289/Q444, "NA")</f>
        <v>2.2730389188104897E-3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-2022</v>
      </c>
      <c r="X289" s="8">
        <f>IFERROR(W289/W444, "NA")</f>
        <v>3.0161538757577294E-2</v>
      </c>
      <c r="Y289" s="9"/>
      <c r="Z289" s="7">
        <v>1787.22</v>
      </c>
      <c r="AA289" s="8">
        <f>IFERROR(Z289/Z444, "NA")</f>
        <v>2.1254202242459736E-3</v>
      </c>
      <c r="AB289" s="9"/>
      <c r="AC289" s="10">
        <f t="shared" si="75"/>
        <v>-234.77999999999997</v>
      </c>
      <c r="AD289" s="8">
        <f>IFERROR(AC289/AC444, "NA")</f>
        <v>-4.8229648559150054E-3</v>
      </c>
    </row>
    <row r="290" spans="1:30" ht="16.5" customHeight="1" x14ac:dyDescent="0.45">
      <c r="A290" s="6" t="s">
        <v>263</v>
      </c>
      <c r="B290" s="7">
        <v>1145</v>
      </c>
      <c r="C290" s="8">
        <f>IFERROR(B290/B444, "NA")</f>
        <v>7.3382632362561217E-3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-1145</v>
      </c>
      <c r="I290" s="8">
        <f>IFERROR(H290/H444, "NA")</f>
        <v>-0.10442878367372249</v>
      </c>
      <c r="J290" s="9"/>
      <c r="K290" s="7">
        <v>790</v>
      </c>
      <c r="L290" s="8">
        <f>IFERROR(K290/K444, "NA")</f>
        <v>5.8814175198940817E-3</v>
      </c>
      <c r="M290" s="9"/>
      <c r="N290" s="10">
        <f t="shared" si="73"/>
        <v>-355</v>
      </c>
      <c r="O290" s="8">
        <f>IFERROR(N290/N444, "NA")</f>
        <v>-1.6351828710218407E-2</v>
      </c>
      <c r="P290" s="9"/>
      <c r="Q290" s="7">
        <v>11459.04</v>
      </c>
      <c r="R290" s="8">
        <f>IFERROR(Q290/Q444, "NA")</f>
        <v>1.2881722993178118E-2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-11459.04</v>
      </c>
      <c r="X290" s="8">
        <f>IFERROR(W290/W444, "NA")</f>
        <v>0.170930899646206</v>
      </c>
      <c r="Y290" s="9"/>
      <c r="Z290" s="7">
        <v>6762.18</v>
      </c>
      <c r="AA290" s="8">
        <f>IFERROR(Z290/Z444, "NA")</f>
        <v>8.041804664222444E-3</v>
      </c>
      <c r="AB290" s="9"/>
      <c r="AC290" s="10">
        <f t="shared" si="75"/>
        <v>-4696.8600000000006</v>
      </c>
      <c r="AD290" s="8">
        <f>IFERROR(AC290/AC444, "NA")</f>
        <v>-9.6485180650621671E-2</v>
      </c>
    </row>
    <row r="291" spans="1:30" ht="16.5" customHeight="1" x14ac:dyDescent="0.45">
      <c r="A291" s="6" t="s">
        <v>264</v>
      </c>
      <c r="B291" s="7">
        <v>3393.72</v>
      </c>
      <c r="C291" s="8">
        <f>IFERROR(B291/B444, "NA")</f>
        <v>2.1750227694451636E-2</v>
      </c>
      <c r="D291" s="9"/>
      <c r="E291" s="7">
        <v>1740.8</v>
      </c>
      <c r="F291" s="8">
        <f>IFERROR(E291/E444, "NA")</f>
        <v>1.1999967463323514E-2</v>
      </c>
      <c r="G291" s="9"/>
      <c r="H291" s="10">
        <f t="shared" si="72"/>
        <v>-1652.9199999999998</v>
      </c>
      <c r="I291" s="8">
        <f>IFERROR(H291/H444, "NA")</f>
        <v>-0.15075320970303002</v>
      </c>
      <c r="J291" s="9"/>
      <c r="K291" s="7">
        <v>2641.06</v>
      </c>
      <c r="L291" s="8">
        <f>IFERROR(K291/K444, "NA")</f>
        <v>1.9662248803913245E-2</v>
      </c>
      <c r="M291" s="9"/>
      <c r="N291" s="10">
        <f t="shared" si="73"/>
        <v>-752.65999999999985</v>
      </c>
      <c r="O291" s="8">
        <f>IFERROR(N291/N444, "NA")</f>
        <v>-3.4668640555022494E-2</v>
      </c>
      <c r="P291" s="9"/>
      <c r="Q291" s="7">
        <v>15851.22</v>
      </c>
      <c r="R291" s="8">
        <f>IFERROR(Q291/Q444, "NA")</f>
        <v>1.7819208689726612E-2</v>
      </c>
      <c r="S291" s="9"/>
      <c r="T291" s="7">
        <v>11479.16</v>
      </c>
      <c r="U291" s="8">
        <f>IFERROR(T291/T444, "NA")</f>
        <v>1.199999531673232E-2</v>
      </c>
      <c r="V291" s="9"/>
      <c r="W291" s="10">
        <f t="shared" si="74"/>
        <v>-4372.0599999999995</v>
      </c>
      <c r="X291" s="8">
        <f>IFERROR(W291/W444, "NA")</f>
        <v>6.5216645470056067E-2</v>
      </c>
      <c r="Y291" s="9"/>
      <c r="Z291" s="7">
        <v>4205.49</v>
      </c>
      <c r="AA291" s="8">
        <f>IFERROR(Z291/Z444, "NA")</f>
        <v>5.0013056584327607E-3</v>
      </c>
      <c r="AB291" s="9"/>
      <c r="AC291" s="10">
        <f t="shared" si="75"/>
        <v>-11645.73</v>
      </c>
      <c r="AD291" s="8">
        <f>IFERROR(AC291/AC444, "NA")</f>
        <v>-0.23923224512937669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2647.1</v>
      </c>
      <c r="R292" s="8">
        <f>IFERROR(Q292/Q444, "NA")</f>
        <v>2.9757474391608543E-3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-2647.1</v>
      </c>
      <c r="X292" s="8">
        <f>IFERROR(W292/W444, "NA")</f>
        <v>3.9485959072790733E-2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-2647.1</v>
      </c>
      <c r="AD292" s="8">
        <f>IFERROR(AC292/AC444, "NA")</f>
        <v>-5.4378014609816047E-2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1.5725112567699631E-3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2.0866056812882998E-2</v>
      </c>
      <c r="Y293" s="9"/>
      <c r="Z293" s="7">
        <v>1091.2</v>
      </c>
      <c r="AA293" s="8">
        <f>IFERROR(Z293/Z444, "NA")</f>
        <v>1.2976905745779514E-3</v>
      </c>
      <c r="AB293" s="9"/>
      <c r="AC293" s="10">
        <f t="shared" si="75"/>
        <v>-307.63999999999987</v>
      </c>
      <c r="AD293" s="8">
        <f>IFERROR(AC293/AC444, "NA")</f>
        <v>-6.3196903836514684E-3</v>
      </c>
    </row>
    <row r="294" spans="1:30" ht="16.5" customHeight="1" x14ac:dyDescent="0.45">
      <c r="A294" s="6" t="s">
        <v>267</v>
      </c>
      <c r="B294" s="7">
        <v>511.48</v>
      </c>
      <c r="C294" s="8">
        <f>IFERROR(B294/B444, "NA")</f>
        <v>3.2780566638255732E-3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-511.48</v>
      </c>
      <c r="I294" s="8">
        <f>IFERROR(H294/H444, "NA")</f>
        <v>-4.6649112902563829E-2</v>
      </c>
      <c r="J294" s="9"/>
      <c r="K294" s="7">
        <v>523.98</v>
      </c>
      <c r="L294" s="8">
        <f>IFERROR(K294/K444, "NA")</f>
        <v>3.9009432304735457E-3</v>
      </c>
      <c r="M294" s="9"/>
      <c r="N294" s="10">
        <f t="shared" si="73"/>
        <v>12.5</v>
      </c>
      <c r="O294" s="8">
        <f>IFERROR(N294/N444, "NA")</f>
        <v>5.7576861655698618E-4</v>
      </c>
      <c r="P294" s="9"/>
      <c r="Q294" s="7">
        <v>3446.91</v>
      </c>
      <c r="R294" s="8">
        <f>IFERROR(Q294/Q444, "NA")</f>
        <v>3.87485686431111E-3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-3446.91</v>
      </c>
      <c r="X294" s="8">
        <f>IFERROR(W294/W444, "NA")</f>
        <v>5.1416473570168521E-2</v>
      </c>
      <c r="Y294" s="9"/>
      <c r="Z294" s="7">
        <v>483.98</v>
      </c>
      <c r="AA294" s="8">
        <f>IFERROR(Z294/Z444, "NA")</f>
        <v>5.7556477665344293E-4</v>
      </c>
      <c r="AB294" s="9"/>
      <c r="AC294" s="10">
        <f t="shared" si="75"/>
        <v>-2962.93</v>
      </c>
      <c r="AD294" s="8">
        <f>IFERROR(AC294/AC444, "NA")</f>
        <v>-6.0865947953557577E-2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5416.5599999999995</v>
      </c>
      <c r="C295" s="15">
        <f>IFERROR(B295/B444, "NA")</f>
        <v>3.4714535471594282E-2</v>
      </c>
      <c r="D295" s="2"/>
      <c r="E295" s="14">
        <f>IFERROR(E286+E287+E288+E289+E290+E291+E292+E293+E294, "NA")</f>
        <v>2071.8000000000002</v>
      </c>
      <c r="F295" s="15">
        <f>IFERROR(E295/E444, "NA")</f>
        <v>1.4281670835543232E-2</v>
      </c>
      <c r="G295" s="2"/>
      <c r="H295" s="14">
        <f t="shared" si="72"/>
        <v>-3344.7599999999993</v>
      </c>
      <c r="I295" s="15">
        <f>IFERROR(H295/H444, "NA")</f>
        <v>-0.30505608600918777</v>
      </c>
      <c r="J295" s="2"/>
      <c r="K295" s="14">
        <f>IFERROR(K286+K287+K288+K289+K290+K291+K292+K293+K294, "NA")</f>
        <v>4295.82</v>
      </c>
      <c r="L295" s="15">
        <f>IFERROR(K295/K444, "NA")</f>
        <v>3.1981659506723277E-2</v>
      </c>
      <c r="M295" s="2"/>
      <c r="N295" s="14">
        <f t="shared" si="73"/>
        <v>-1120.7399999999998</v>
      </c>
      <c r="O295" s="15">
        <f>IFERROR(N295/N444, "NA")</f>
        <v>-5.1622953545606129E-2</v>
      </c>
      <c r="P295" s="2"/>
      <c r="Q295" s="14">
        <f>IFERROR(Q286+Q287+Q288+Q289+Q290+Q291+Q292+Q293+Q294, "NA")</f>
        <v>38062.61</v>
      </c>
      <c r="R295" s="15">
        <f>IFERROR(Q295/Q444, "NA")</f>
        <v>4.2788226449804817E-2</v>
      </c>
      <c r="S295" s="2"/>
      <c r="T295" s="14">
        <f>IFERROR(T286+T287+T288+T289+T290+T291+T292+T293+T294, "NA")</f>
        <v>14458.16</v>
      </c>
      <c r="U295" s="15">
        <f>IFERROR(T295/T444, "NA")</f>
        <v>1.5114159249332404E-2</v>
      </c>
      <c r="V295" s="2"/>
      <c r="W295" s="14">
        <f t="shared" si="74"/>
        <v>-23604.45</v>
      </c>
      <c r="X295" s="15">
        <f>IFERROR(W295/W444, "NA")</f>
        <v>0.35210016494871188</v>
      </c>
      <c r="Y295" s="2"/>
      <c r="Z295" s="14">
        <f>IFERROR(Z286+Z287+Z288+Z289+Z290+Z291+Z292+Z293+Z294, "NA")</f>
        <v>15539.37</v>
      </c>
      <c r="AA295" s="15">
        <f>IFERROR(Z295/Z444, "NA")</f>
        <v>1.847992483859914E-2</v>
      </c>
      <c r="AB295" s="2"/>
      <c r="AC295" s="14">
        <f t="shared" si="75"/>
        <v>-22523.239999999998</v>
      </c>
      <c r="AD295" s="15">
        <f>IFERROR(AC295/AC444, "NA")</f>
        <v>-0.46268334168727782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1885.87</v>
      </c>
      <c r="F297" s="8">
        <f>IFERROR(E297/E444, "NA")</f>
        <v>1.299998772981268E-2</v>
      </c>
      <c r="G297" s="9"/>
      <c r="H297" s="10">
        <f t="shared" ref="H297:H325" si="76">IFERROR(-(B297-E297), "NA")</f>
        <v>1885.87</v>
      </c>
      <c r="I297" s="8">
        <f>IFERROR(H297/H444, "NA")</f>
        <v>0.1719992229404044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12435.76</v>
      </c>
      <c r="U297" s="8">
        <f>IFERROR(T297/T444, "NA")</f>
        <v>1.2999998411034179E-2</v>
      </c>
      <c r="V297" s="9"/>
      <c r="W297" s="10">
        <f t="shared" ref="W297:W325" si="78">IFERROR(-(Q297-T297), "NA")</f>
        <v>12435.76</v>
      </c>
      <c r="X297" s="8">
        <f>IFERROR(W297/W444, "NA")</f>
        <v>-0.1855003250345843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411.65</v>
      </c>
      <c r="R299" s="8">
        <f>IFERROR(Q299/Q444, "NA")</f>
        <v>4.6275789857979131E-4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6.1404537238163668E-3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-8.4563143493373034E-3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3.015542482546557E-4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4.0014009751335854E-3</v>
      </c>
      <c r="Y304" s="9"/>
      <c r="Z304" s="7">
        <v>74.680000000000007</v>
      </c>
      <c r="AA304" s="8">
        <f>IFERROR(Z304/Z444, "NA")</f>
        <v>8.8811887930243235E-5</v>
      </c>
      <c r="AB304" s="9"/>
      <c r="AC304" s="10">
        <f t="shared" si="79"/>
        <v>-193.57</v>
      </c>
      <c r="AD304" s="8">
        <f>IFERROR(AC304/AC444, "NA")</f>
        <v>-3.9764090091126483E-3</v>
      </c>
    </row>
    <row r="305" spans="1:30" ht="16.5" customHeight="1" x14ac:dyDescent="0.45">
      <c r="A305" s="6" t="s">
        <v>277</v>
      </c>
      <c r="B305" s="7">
        <v>70.930000000000007</v>
      </c>
      <c r="C305" s="8">
        <f>IFERROR(B305/B444, "NA")</f>
        <v>4.5458778283637271E-4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-70.930000000000007</v>
      </c>
      <c r="I305" s="8">
        <f>IFERROR(H305/H444, "NA")</f>
        <v>-6.4691123370979363E-3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-70.930000000000007</v>
      </c>
      <c r="O305" s="8">
        <f>IFERROR(N305/N444, "NA")</f>
        <v>-3.2671414377909627E-3</v>
      </c>
      <c r="P305" s="9"/>
      <c r="Q305" s="7">
        <v>356.26</v>
      </c>
      <c r="R305" s="8">
        <f>IFERROR(Q305/Q444, "NA")</f>
        <v>4.0049102137261375E-4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-356.26</v>
      </c>
      <c r="X305" s="8">
        <f>IFERROR(W305/W444, "NA")</f>
        <v>5.3142184954374314E-3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-356.26</v>
      </c>
      <c r="AD305" s="8">
        <f>IFERROR(AC305/AC444, "NA")</f>
        <v>-7.31846605148769E-3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559.05999999999995</v>
      </c>
      <c r="L310" s="8">
        <f>IFERROR(K310/K444, "NA")</f>
        <v>4.1621079476860572E-3</v>
      </c>
      <c r="M310" s="9"/>
      <c r="N310" s="10">
        <f t="shared" si="77"/>
        <v>559.05999999999995</v>
      </c>
      <c r="O310" s="8">
        <f>IFERROR(N310/N444, "NA")</f>
        <v>2.5751136221787894E-2</v>
      </c>
      <c r="P310" s="9"/>
      <c r="Q310" s="7">
        <v>323.8</v>
      </c>
      <c r="R310" s="8">
        <f>IFERROR(Q310/Q444, "NA")</f>
        <v>3.640009900647065E-4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-323.8</v>
      </c>
      <c r="X310" s="8">
        <f>IFERROR(W310/W444, "NA")</f>
        <v>4.8300228732460577E-3</v>
      </c>
      <c r="Y310" s="9"/>
      <c r="Z310" s="7">
        <v>708.55</v>
      </c>
      <c r="AA310" s="8">
        <f>IFERROR(Z310/Z444, "NA")</f>
        <v>8.4263073370345251E-4</v>
      </c>
      <c r="AB310" s="9"/>
      <c r="AC310" s="10">
        <f t="shared" si="79"/>
        <v>384.74999999999994</v>
      </c>
      <c r="AD310" s="8">
        <f>IFERROR(AC310/AC444, "NA")</f>
        <v>7.9037214767582343E-3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6.814620141359638E-5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9.0424949529393454E-4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-1.2452854994700045E-3</v>
      </c>
    </row>
    <row r="312" spans="1:30" ht="16.5" customHeight="1" x14ac:dyDescent="0.45">
      <c r="A312" s="6" t="s">
        <v>284</v>
      </c>
      <c r="B312" s="7">
        <v>700.87</v>
      </c>
      <c r="C312" s="8">
        <f>IFERROR(B312/B444, "NA")</f>
        <v>4.4918502658470114E-3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-700.87</v>
      </c>
      <c r="I312" s="8">
        <f>IFERROR(H312/H444, "NA")</f>
        <v>-6.3922272151442694E-2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-700.87</v>
      </c>
      <c r="O312" s="8">
        <f>IFERROR(N312/N444, "NA")</f>
        <v>-3.2283116022903589E-2</v>
      </c>
      <c r="P312" s="9"/>
      <c r="Q312" s="7">
        <v>1945.27</v>
      </c>
      <c r="R312" s="8">
        <f>IFERROR(Q312/Q444, "NA")</f>
        <v>2.1867826001950945E-3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-1945.27</v>
      </c>
      <c r="X312" s="8">
        <f>IFERROR(W312/W444, "NA")</f>
        <v>2.9016981453487824E-2</v>
      </c>
      <c r="Y312" s="9"/>
      <c r="Z312" s="7">
        <v>146.1</v>
      </c>
      <c r="AA312" s="8">
        <f>IFERROR(Z312/Z444, "NA")</f>
        <v>1.7374687769963223E-4</v>
      </c>
      <c r="AB312" s="9"/>
      <c r="AC312" s="10">
        <f t="shared" si="79"/>
        <v>-1799.17</v>
      </c>
      <c r="AD312" s="8">
        <f>IFERROR(AC312/AC444, "NA")</f>
        <v>-3.6959424481713098E-2</v>
      </c>
    </row>
    <row r="313" spans="1:30" ht="16.5" customHeight="1" x14ac:dyDescent="0.45">
      <c r="A313" s="6" t="s">
        <v>285</v>
      </c>
      <c r="B313" s="7">
        <v>9</v>
      </c>
      <c r="C313" s="8">
        <f>IFERROR(B313/B444, "NA")</f>
        <v>5.7680671726030651E-5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-9</v>
      </c>
      <c r="I313" s="8">
        <f>IFERROR(H313/H444, "NA")</f>
        <v>-8.2083760092882313E-4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-9</v>
      </c>
      <c r="O313" s="8">
        <f>IFERROR(N313/N444, "NA")</f>
        <v>-4.1455340392103005E-4</v>
      </c>
      <c r="P313" s="9"/>
      <c r="Q313" s="7">
        <v>67</v>
      </c>
      <c r="R313" s="8">
        <f>IFERROR(Q313/Q444, "NA")</f>
        <v>7.531830245316657E-5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-67</v>
      </c>
      <c r="X313" s="8">
        <f>IFERROR(W313/W444, "NA")</f>
        <v>9.9941795091873335E-4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-67</v>
      </c>
      <c r="AD313" s="8">
        <f>IFERROR(AC313/AC444, "NA")</f>
        <v>-1.3763465599553003E-3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2.615305745693481E-3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-408.07</v>
      </c>
      <c r="I315" s="8">
        <f>IFERROR(H315/H444, "NA")</f>
        <v>-3.7217688867891646E-2</v>
      </c>
      <c r="J315" s="9"/>
      <c r="K315" s="7">
        <v>455.52</v>
      </c>
      <c r="L315" s="8">
        <f>IFERROR(K315/K444, "NA")</f>
        <v>3.3912700109647491E-3</v>
      </c>
      <c r="M315" s="9"/>
      <c r="N315" s="10">
        <f t="shared" si="77"/>
        <v>47.449999999999989</v>
      </c>
      <c r="O315" s="8">
        <f>IFERROR(N315/N444, "NA")</f>
        <v>2.1856176684503189E-3</v>
      </c>
      <c r="P315" s="9"/>
      <c r="Q315" s="7">
        <v>4004.86</v>
      </c>
      <c r="R315" s="8">
        <f>IFERROR(Q315/Q444, "NA")</f>
        <v>4.5020784591431147E-3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-4004.86</v>
      </c>
      <c r="X315" s="8">
        <f>IFERROR(W315/W444, "NA")</f>
        <v>5.9739238431588036E-2</v>
      </c>
      <c r="Y315" s="9"/>
      <c r="Z315" s="7">
        <v>5149.13</v>
      </c>
      <c r="AA315" s="8">
        <f>IFERROR(Z315/Z444, "NA")</f>
        <v>6.1235130757666487E-3</v>
      </c>
      <c r="AB315" s="9"/>
      <c r="AC315" s="10">
        <f t="shared" si="79"/>
        <v>1144.27</v>
      </c>
      <c r="AD315" s="8">
        <f>IFERROR(AC315/AC444, "NA")</f>
        <v>2.3506150420299275E-2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2.6570280982419763E-3</v>
      </c>
      <c r="D318" s="9"/>
      <c r="E318" s="7">
        <v>415</v>
      </c>
      <c r="F318" s="8">
        <f>IFERROR(E318/E444, "NA")</f>
        <v>2.8607459198525149E-3</v>
      </c>
      <c r="G318" s="9"/>
      <c r="H318" s="10">
        <f t="shared" si="76"/>
        <v>0.42000000000001592</v>
      </c>
      <c r="I318" s="8">
        <f>IFERROR(H318/H444, "NA")</f>
        <v>3.8305754710013194E-5</v>
      </c>
      <c r="J318" s="9"/>
      <c r="K318" s="7">
        <v>414.58</v>
      </c>
      <c r="L318" s="8">
        <f>IFERROR(K318/K444, "NA")</f>
        <v>3.0864785764527698E-3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3731.22</v>
      </c>
      <c r="R318" s="8">
        <f>IFERROR(Q318/Q444, "NA")</f>
        <v>4.1944650220791663E-3</v>
      </c>
      <c r="S318" s="9"/>
      <c r="T318" s="7">
        <v>3735</v>
      </c>
      <c r="U318" s="8">
        <f>IFERROR(T318/T444, "NA")</f>
        <v>3.9044653535620388E-3</v>
      </c>
      <c r="V318" s="9"/>
      <c r="W318" s="10">
        <f t="shared" si="78"/>
        <v>3.7800000000002001</v>
      </c>
      <c r="X318" s="8">
        <f>IFERROR(W318/W444, "NA")</f>
        <v>-5.6385072454821077E-5</v>
      </c>
      <c r="Y318" s="9"/>
      <c r="Z318" s="7">
        <v>3731.22</v>
      </c>
      <c r="AA318" s="8">
        <f>IFERROR(Z318/Z444, "NA")</f>
        <v>4.4372883299823532E-3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308.56</v>
      </c>
      <c r="C319" s="8">
        <f>IFERROR(B319/B444, "NA")</f>
        <v>1.9775497853093352E-3</v>
      </c>
      <c r="D319" s="9"/>
      <c r="E319" s="7">
        <v>249</v>
      </c>
      <c r="F319" s="8">
        <f>IFERROR(E319/E444, "NA")</f>
        <v>1.7164475519115092E-3</v>
      </c>
      <c r="G319" s="9"/>
      <c r="H319" s="10">
        <f t="shared" si="76"/>
        <v>-59.56</v>
      </c>
      <c r="I319" s="8">
        <f>IFERROR(H319/H444, "NA")</f>
        <v>-5.432120834591189E-3</v>
      </c>
      <c r="J319" s="9"/>
      <c r="K319" s="7">
        <v>249.03</v>
      </c>
      <c r="L319" s="8">
        <f>IFERROR(K319/K444, "NA")</f>
        <v>1.853986588581295E-3</v>
      </c>
      <c r="M319" s="9"/>
      <c r="N319" s="10">
        <f t="shared" si="77"/>
        <v>-59.53</v>
      </c>
      <c r="O319" s="8">
        <f>IFERROR(N319/N444, "NA")</f>
        <v>-2.7420404594909911E-3</v>
      </c>
      <c r="P319" s="9"/>
      <c r="Q319" s="7">
        <v>2555.11</v>
      </c>
      <c r="R319" s="8">
        <f>IFERROR(Q319/Q444, "NA")</f>
        <v>2.8723365340464248E-3</v>
      </c>
      <c r="S319" s="9"/>
      <c r="T319" s="7">
        <v>2241</v>
      </c>
      <c r="U319" s="8">
        <f>IFERROR(T319/T444, "NA")</f>
        <v>2.3426792121372234E-3</v>
      </c>
      <c r="V319" s="9"/>
      <c r="W319" s="10">
        <f t="shared" si="78"/>
        <v>-314.11000000000013</v>
      </c>
      <c r="X319" s="8">
        <f>IFERROR(W319/W444, "NA")</f>
        <v>4.6854801875087079E-3</v>
      </c>
      <c r="Y319" s="9"/>
      <c r="Z319" s="7">
        <v>2095.67</v>
      </c>
      <c r="AA319" s="8">
        <f>IFERROR(Z319/Z444, "NA")</f>
        <v>2.4922390088212751E-3</v>
      </c>
      <c r="AB319" s="9"/>
      <c r="AC319" s="10">
        <f t="shared" si="79"/>
        <v>-459.44000000000005</v>
      </c>
      <c r="AD319" s="8">
        <f>IFERROR(AC319/AC444, "NA")</f>
        <v>-9.4380397538188533E-3</v>
      </c>
    </row>
    <row r="320" spans="1:30" ht="16.5" customHeight="1" x14ac:dyDescent="0.45">
      <c r="A320" s="6" t="s">
        <v>292</v>
      </c>
      <c r="B320" s="7">
        <v>1273.27</v>
      </c>
      <c r="C320" s="8">
        <f>IFERROR(B320/B444, "NA")</f>
        <v>8.1603409876225604E-3</v>
      </c>
      <c r="D320" s="9"/>
      <c r="E320" s="7">
        <v>878</v>
      </c>
      <c r="F320" s="8">
        <f>IFERROR(E320/E444, "NA")</f>
        <v>6.052373295495201E-3</v>
      </c>
      <c r="G320" s="9"/>
      <c r="H320" s="10">
        <f t="shared" si="76"/>
        <v>-395.27</v>
      </c>
      <c r="I320" s="8">
        <f>IFERROR(H320/H444, "NA")</f>
        <v>-3.6050275391015102E-2</v>
      </c>
      <c r="J320" s="9"/>
      <c r="K320" s="7">
        <v>830.5</v>
      </c>
      <c r="L320" s="8">
        <f>IFERROR(K320/K444, "NA")</f>
        <v>6.1829332281924491E-3</v>
      </c>
      <c r="M320" s="9"/>
      <c r="N320" s="10">
        <f t="shared" si="77"/>
        <v>-442.77</v>
      </c>
      <c r="O320" s="8">
        <f>IFERROR(N320/N444, "NA")</f>
        <v>-2.0394645628234939E-2</v>
      </c>
      <c r="P320" s="9"/>
      <c r="Q320" s="7">
        <v>10731.71</v>
      </c>
      <c r="R320" s="8">
        <f>IFERROR(Q320/Q444, "NA")</f>
        <v>1.2064092233129436E-2</v>
      </c>
      <c r="S320" s="9"/>
      <c r="T320" s="7">
        <v>7902</v>
      </c>
      <c r="U320" s="8">
        <f>IFERROR(T320/T444, "NA")</f>
        <v>8.2605315191023373E-3</v>
      </c>
      <c r="V320" s="9"/>
      <c r="W320" s="10">
        <f t="shared" si="78"/>
        <v>-2829.7099999999991</v>
      </c>
      <c r="X320" s="8">
        <f>IFERROR(W320/W444, "NA")</f>
        <v>4.2209895073048474E-2</v>
      </c>
      <c r="Y320" s="9"/>
      <c r="Z320" s="7">
        <v>7438.2</v>
      </c>
      <c r="AA320" s="8">
        <f>IFERROR(Z320/Z444, "NA")</f>
        <v>8.8457496625968818E-3</v>
      </c>
      <c r="AB320" s="9"/>
      <c r="AC320" s="10">
        <f t="shared" si="79"/>
        <v>-3293.5099999999993</v>
      </c>
      <c r="AD320" s="8">
        <f>IFERROR(AC320/AC444, "NA")</f>
        <v>-6.7656882965348955E-2</v>
      </c>
    </row>
    <row r="321" spans="1:30" ht="16.5" customHeight="1" x14ac:dyDescent="0.45">
      <c r="A321" s="6" t="s">
        <v>293</v>
      </c>
      <c r="B321" s="7">
        <v>1548.46</v>
      </c>
      <c r="C321" s="8">
        <f>IFERROR(B321/B444, "NA")</f>
        <v>9.9240236600988251E-3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-1548.46</v>
      </c>
      <c r="I321" s="8">
        <f>IFERROR(H321/H444, "NA")</f>
        <v>-0.14122602128158282</v>
      </c>
      <c r="J321" s="9"/>
      <c r="K321" s="7">
        <v>2202.64</v>
      </c>
      <c r="L321" s="8">
        <f>IFERROR(K321/K444, "NA")</f>
        <v>1.6398285425341139E-2</v>
      </c>
      <c r="M321" s="9"/>
      <c r="N321" s="10">
        <f t="shared" si="77"/>
        <v>654.17999999999984</v>
      </c>
      <c r="O321" s="8">
        <f>IFERROR(N321/N444, "NA")</f>
        <v>3.0132505086339929E-2</v>
      </c>
      <c r="P321" s="9"/>
      <c r="Q321" s="7">
        <v>14603.74</v>
      </c>
      <c r="R321" s="8">
        <f>IFERROR(Q321/Q444, "NA")</f>
        <v>1.6416849347274727E-2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-14603.74</v>
      </c>
      <c r="X321" s="8">
        <f>IFERROR(W321/W444, "NA")</f>
        <v>0.21783940159029766</v>
      </c>
      <c r="Y321" s="9"/>
      <c r="Z321" s="7">
        <v>17526.349999999999</v>
      </c>
      <c r="AA321" s="8">
        <f>IFERROR(Z321/Z444, "NA")</f>
        <v>2.0842906159965431E-2</v>
      </c>
      <c r="AB321" s="9"/>
      <c r="AC321" s="10">
        <f t="shared" si="79"/>
        <v>2922.6099999999988</v>
      </c>
      <c r="AD321" s="8">
        <f>IFERROR(AC321/AC444, "NA")</f>
        <v>6.0037674919268036E-2</v>
      </c>
    </row>
    <row r="322" spans="1:30" ht="16.5" customHeight="1" x14ac:dyDescent="0.45">
      <c r="A322" s="6" t="s">
        <v>294</v>
      </c>
      <c r="B322" s="7">
        <v>302.16000000000003</v>
      </c>
      <c r="C322" s="8">
        <f>IFERROR(B322/B444, "NA")</f>
        <v>1.9365324187486026E-3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-302.16000000000003</v>
      </c>
      <c r="I322" s="8">
        <f>IFERROR(H322/H444, "NA")</f>
        <v>-2.7558254388517021E-2</v>
      </c>
      <c r="J322" s="9"/>
      <c r="K322" s="7">
        <v>299.72000000000003</v>
      </c>
      <c r="L322" s="8">
        <f>IFERROR(K322/K444, "NA")</f>
        <v>2.2313651380539926E-3</v>
      </c>
      <c r="M322" s="9"/>
      <c r="N322" s="10">
        <f t="shared" si="77"/>
        <v>-2.4399999999999977</v>
      </c>
      <c r="O322" s="8">
        <f>IFERROR(N322/N444, "NA")</f>
        <v>-1.123900339519236E-4</v>
      </c>
      <c r="P322" s="9"/>
      <c r="Q322" s="7">
        <v>3345.73</v>
      </c>
      <c r="R322" s="8">
        <f>IFERROR(Q322/Q444, "NA")</f>
        <v>3.7611149860691494E-3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-3345.73</v>
      </c>
      <c r="X322" s="8">
        <f>IFERROR(W322/W444, "NA")</f>
        <v>4.9907203297422889E-2</v>
      </c>
      <c r="Y322" s="9"/>
      <c r="Z322" s="7">
        <v>3216.45</v>
      </c>
      <c r="AA322" s="8">
        <f>IFERROR(Z322/Z444, "NA")</f>
        <v>3.8251070826624371E-3</v>
      </c>
      <c r="AB322" s="9"/>
      <c r="AC322" s="10">
        <f t="shared" si="79"/>
        <v>-129.2800000000002</v>
      </c>
      <c r="AD322" s="8">
        <f>IFERROR(AC322/AC444, "NA")</f>
        <v>-2.6557325861346491E-3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5035.8999999999996</v>
      </c>
      <c r="C324" s="15">
        <f>IFERROR(B324/B444, "NA")</f>
        <v>3.2274899416124193E-2</v>
      </c>
      <c r="D324" s="2"/>
      <c r="E324" s="14">
        <f>IFERROR(E297+E298+E299+E300+E301+E302+E303+E304+E305+E306+E307+E308+E309+E310+E311+E312+E313+E314+E315+E316+E317+E318+E319+E320+E321+E322+E323, "NA")</f>
        <v>3427.87</v>
      </c>
      <c r="F324" s="15">
        <f>IFERROR(E324/E444, "NA")</f>
        <v>2.3629554497071905E-2</v>
      </c>
      <c r="G324" s="2"/>
      <c r="H324" s="14">
        <f t="shared" si="76"/>
        <v>-1608.0299999999997</v>
      </c>
      <c r="I324" s="15">
        <f>IFERROR(H324/H444, "NA")</f>
        <v>-0.1466590541579528</v>
      </c>
      <c r="J324" s="2"/>
      <c r="K324" s="14">
        <f>IFERROR(K297+K298+K299+K300+K301+K302+K303+K304+K305+K306+K307+K308+K309+K310+K311+K312+K313+K314+K315+K316+K317+K318+K319+K320+K321+K322+K323, "NA")</f>
        <v>5011.05</v>
      </c>
      <c r="L324" s="15">
        <f>IFERROR(K324/K444, "NA")</f>
        <v>3.7306426915272452E-2</v>
      </c>
      <c r="M324" s="2"/>
      <c r="N324" s="14">
        <f t="shared" si="77"/>
        <v>-24.849999999999454</v>
      </c>
      <c r="O324" s="15">
        <f>IFERROR(N324/N444, "NA")</f>
        <v>-1.1446280097152635E-3</v>
      </c>
      <c r="P324" s="2"/>
      <c r="Q324" s="14">
        <f>IFERROR(Q297+Q298+Q299+Q300+Q301+Q302+Q303+Q304+Q305+Q306+Q307+Q308+Q309+Q310+Q311+Q312+Q313+Q314+Q315+Q316+Q317+Q318+Q319+Q320+Q321+Q322+Q323, "NA")</f>
        <v>42405.22</v>
      </c>
      <c r="R324" s="15">
        <f>IFERROR(Q324/Q444, "NA")</f>
        <v>4.7669987844075647E-2</v>
      </c>
      <c r="S324" s="2"/>
      <c r="T324" s="14">
        <f>IFERROR(T297+T298+T299+T300+T301+T302+T303+T304+T305+T306+T307+T308+T309+T310+T311+T312+T313+T314+T315+T316+T317+T318+T319+T320+T321+T322+T323, "NA")</f>
        <v>26313.760000000002</v>
      </c>
      <c r="U324" s="15">
        <f>IFERROR(T324/T444, "NA")</f>
        <v>2.7507674495835781E-2</v>
      </c>
      <c r="V324" s="2"/>
      <c r="W324" s="14">
        <f t="shared" si="78"/>
        <v>-16091.46</v>
      </c>
      <c r="X324" s="15">
        <f>IFERROR(W324/W444, "NA")</f>
        <v>0.2400312534401606</v>
      </c>
      <c r="Y324" s="2"/>
      <c r="Z324" s="14">
        <f>IFERROR(Z297+Z298+Z299+Z300+Z301+Z302+Z303+Z304+Z305+Z306+Z307+Z308+Z309+Z310+Z311+Z312+Z313+Z314+Z315+Z316+Z317+Z318+Z319+Z320+Z321+Z322+Z323, "NA")</f>
        <v>40086.349999999991</v>
      </c>
      <c r="AA324" s="15">
        <f>IFERROR(Z324/Z444, "NA")</f>
        <v>4.7671992819128345E-2</v>
      </c>
      <c r="AB324" s="2"/>
      <c r="AC324" s="14">
        <f t="shared" si="79"/>
        <v>-2318.8700000000099</v>
      </c>
      <c r="AD324" s="15">
        <f>IFERROR(AC324/AC444, "NA")</f>
        <v>-4.7635354440053145E-2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33424.800000000003</v>
      </c>
      <c r="C325" s="15">
        <f>IFERROR(B325/B444, "NA")</f>
        <v>0.21421832403424773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29868.909999999996</v>
      </c>
      <c r="F325" s="15">
        <f>IFERROR(E325/E444, "NA")</f>
        <v>0.2058972588263662</v>
      </c>
      <c r="G325" s="2"/>
      <c r="H325" s="14">
        <f t="shared" si="76"/>
        <v>-3555.8900000000067</v>
      </c>
      <c r="I325" s="15">
        <f>IFERROR(H325/H444, "NA")</f>
        <v>-0.32431202408519982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44412.069999999992</v>
      </c>
      <c r="L325" s="15">
        <f>IFERROR(K325/K444, "NA")</f>
        <v>0.33064041340855987</v>
      </c>
      <c r="M325" s="2"/>
      <c r="N325" s="14">
        <f t="shared" si="77"/>
        <v>10987.26999999999</v>
      </c>
      <c r="O325" s="15">
        <f>IFERROR(N325/N444, "NA")</f>
        <v>0.50609001981104573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252147.61999999994</v>
      </c>
      <c r="R325" s="15">
        <f>IFERROR(Q325/Q444, "NA")</f>
        <v>0.28345269710456877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200417.21</v>
      </c>
      <c r="U325" s="15">
        <f>IFERROR(T325/T444, "NA")</f>
        <v>0.20951058974633666</v>
      </c>
      <c r="V325" s="2"/>
      <c r="W325" s="14">
        <f t="shared" si="78"/>
        <v>-51730.409999999945</v>
      </c>
      <c r="X325" s="15">
        <f>IFERROR(W325/W444, "NA")</f>
        <v>0.77164627406546116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200375.64000000004</v>
      </c>
      <c r="AA325" s="15">
        <f>IFERROR(Z325/Z444, "NA")</f>
        <v>0.2382932362564377</v>
      </c>
      <c r="AB325" s="2"/>
      <c r="AC325" s="14">
        <f t="shared" si="79"/>
        <v>-51771.979999999894</v>
      </c>
      <c r="AD325" s="15">
        <f>IFERROR(AC325/AC444, "NA")</f>
        <v>-1.0635251727623054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7.3330847937278287E-2</v>
      </c>
      <c r="D329" s="9"/>
      <c r="E329" s="7">
        <v>13203</v>
      </c>
      <c r="F329" s="8">
        <f>IFERROR(E329/E444, "NA")</f>
        <v>9.1013080433283752E-2</v>
      </c>
      <c r="G329" s="9"/>
      <c r="H329" s="10">
        <f t="shared" si="80"/>
        <v>1761.08</v>
      </c>
      <c r="I329" s="8">
        <f>IFERROR(H329/H444, "NA")</f>
        <v>0.16061785358263686</v>
      </c>
      <c r="J329" s="9"/>
      <c r="K329" s="7">
        <v>4125.3</v>
      </c>
      <c r="L329" s="8">
        <f>IFERROR(K329/K444, "NA")</f>
        <v>3.0712166702302601E-2</v>
      </c>
      <c r="M329" s="9"/>
      <c r="N329" s="10">
        <f t="shared" si="81"/>
        <v>-7316.62</v>
      </c>
      <c r="O329" s="8">
        <f>IFERROR(N329/N444, "NA")</f>
        <v>-0.33701441402185411</v>
      </c>
      <c r="P329" s="9"/>
      <c r="Q329" s="7">
        <v>83831.13</v>
      </c>
      <c r="R329" s="8">
        <f>IFERROR(Q329/Q444, "NA")</f>
        <v>9.4239080661652624E-2</v>
      </c>
      <c r="S329" s="9"/>
      <c r="T329" s="7">
        <v>83825</v>
      </c>
      <c r="U329" s="8">
        <f>IFERROR(T329/T444, "NA")</f>
        <v>8.7628328852031576E-2</v>
      </c>
      <c r="V329" s="9"/>
      <c r="W329" s="10">
        <f t="shared" si="82"/>
        <v>-6.1300000000046566</v>
      </c>
      <c r="X329" s="8">
        <f>IFERROR(W329/W444, "NA")</f>
        <v>9.143928416621625E-5</v>
      </c>
      <c r="Y329" s="9"/>
      <c r="Z329" s="7">
        <v>37127.699999999997</v>
      </c>
      <c r="AA329" s="8">
        <f>IFERROR(Z329/Z444, "NA")</f>
        <v>4.4153469891640214E-2</v>
      </c>
      <c r="AB329" s="9"/>
      <c r="AC329" s="10">
        <f t="shared" si="83"/>
        <v>-46703.430000000008</v>
      </c>
      <c r="AD329" s="8">
        <f>IFERROR(AC329/AC444, "NA")</f>
        <v>-0.95940455550168924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6.578352431083294E-3</v>
      </c>
      <c r="D330" s="9"/>
      <c r="E330" s="7">
        <v>1117</v>
      </c>
      <c r="F330" s="8">
        <f>IFERROR(E330/E444, "NA")</f>
        <v>7.6998872107837575E-3</v>
      </c>
      <c r="G330" s="9"/>
      <c r="H330" s="10">
        <f t="shared" si="80"/>
        <v>90.569999999999936</v>
      </c>
      <c r="I330" s="8">
        <f>IFERROR(H330/H444, "NA")</f>
        <v>8.2603623906803841E-3</v>
      </c>
      <c r="J330" s="9"/>
      <c r="K330" s="7">
        <v>1117.48</v>
      </c>
      <c r="L330" s="8">
        <f>IFERROR(K330/K444, "NA")</f>
        <v>8.3194512026977703E-3</v>
      </c>
      <c r="M330" s="9"/>
      <c r="N330" s="10">
        <f t="shared" si="81"/>
        <v>91.049999999999955</v>
      </c>
      <c r="O330" s="8">
        <f>IFERROR(N330/N444, "NA")</f>
        <v>4.1938986030010854E-3</v>
      </c>
      <c r="P330" s="9"/>
      <c r="Q330" s="7">
        <v>7028.17</v>
      </c>
      <c r="R330" s="8">
        <f>IFERROR(Q330/Q444, "NA")</f>
        <v>7.9007437873473384E-3</v>
      </c>
      <c r="S330" s="9"/>
      <c r="T330" s="7">
        <v>10053</v>
      </c>
      <c r="U330" s="8">
        <f>IFERROR(T330/T444, "NA")</f>
        <v>1.050912722874409E-2</v>
      </c>
      <c r="V330" s="9"/>
      <c r="W330" s="10">
        <f t="shared" si="82"/>
        <v>3024.83</v>
      </c>
      <c r="X330" s="8">
        <f>IFERROR(W330/W444, "NA")</f>
        <v>-4.5120438813097193E-2</v>
      </c>
      <c r="Y330" s="9"/>
      <c r="Z330" s="7">
        <v>9084.6</v>
      </c>
      <c r="AA330" s="8">
        <f>IFERROR(Z330/Z444, "NA")</f>
        <v>1.0803702157084731E-2</v>
      </c>
      <c r="AB330" s="9"/>
      <c r="AC330" s="10">
        <f t="shared" si="83"/>
        <v>2056.4300000000003</v>
      </c>
      <c r="AD330" s="8">
        <f>IFERROR(AC330/AC444, "NA")</f>
        <v>4.2244184422222067E-2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5.5127340657625023E-3</v>
      </c>
      <c r="D333" s="9"/>
      <c r="E333" s="7">
        <v>726</v>
      </c>
      <c r="F333" s="8">
        <f>IFERROR(E333/E444, "NA")</f>
        <v>5.0045820188263281E-3</v>
      </c>
      <c r="G333" s="9"/>
      <c r="H333" s="10">
        <f t="shared" si="80"/>
        <v>-134.15999999999997</v>
      </c>
      <c r="I333" s="8">
        <f>IFERROR(H333/H444, "NA")</f>
        <v>-1.223595250451232E-2</v>
      </c>
      <c r="J333" s="9"/>
      <c r="K333" s="7">
        <v>726.35</v>
      </c>
      <c r="L333" s="8">
        <f>IFERROR(K333/K444, "NA")</f>
        <v>5.4075539437659064E-3</v>
      </c>
      <c r="M333" s="9"/>
      <c r="N333" s="10">
        <f t="shared" si="81"/>
        <v>-133.80999999999995</v>
      </c>
      <c r="O333" s="8">
        <f>IFERROR(N333/N444, "NA")</f>
        <v>-6.1634878865192231E-3</v>
      </c>
      <c r="P333" s="9"/>
      <c r="Q333" s="7">
        <v>9030.4699999999993</v>
      </c>
      <c r="R333" s="8">
        <f>IFERROR(Q333/Q444, "NA")</f>
        <v>1.0151636876929061E-2</v>
      </c>
      <c r="S333" s="9"/>
      <c r="T333" s="7">
        <v>6534</v>
      </c>
      <c r="U333" s="8">
        <f>IFERROR(T333/T444, "NA")</f>
        <v>6.8304622811711816E-3</v>
      </c>
      <c r="V333" s="9"/>
      <c r="W333" s="10">
        <f t="shared" si="82"/>
        <v>-2496.4699999999993</v>
      </c>
      <c r="X333" s="8">
        <f>IFERROR(W333/W444, "NA")</f>
        <v>3.7239058685523727E-2</v>
      </c>
      <c r="Y333" s="9"/>
      <c r="Z333" s="7">
        <v>6327.82</v>
      </c>
      <c r="AA333" s="8">
        <f>IFERROR(Z333/Z444, "NA")</f>
        <v>7.5252496074283831E-3</v>
      </c>
      <c r="AB333" s="9"/>
      <c r="AC333" s="10">
        <f t="shared" si="83"/>
        <v>-2702.6499999999996</v>
      </c>
      <c r="AD333" s="8">
        <f>IFERROR(AC333/AC444, "NA")</f>
        <v>-5.5519149705420767E-2</v>
      </c>
    </row>
    <row r="334" spans="1:30" ht="16.5" customHeight="1" x14ac:dyDescent="0.45">
      <c r="A334" s="6" t="s">
        <v>305</v>
      </c>
      <c r="B334" s="7">
        <v>1762.06</v>
      </c>
      <c r="C334" s="8">
        <f>IFERROR(B334/B444, "NA")</f>
        <v>1.1292978269063286E-2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-1762.06</v>
      </c>
      <c r="I334" s="8">
        <f>IFERROR(H334/H444, "NA")</f>
        <v>-0.16070723367696021</v>
      </c>
      <c r="J334" s="9"/>
      <c r="K334" s="7">
        <v>635.29999999999995</v>
      </c>
      <c r="L334" s="8">
        <f>IFERROR(K334/K444, "NA")</f>
        <v>4.7297019625173542E-3</v>
      </c>
      <c r="M334" s="9"/>
      <c r="N334" s="10">
        <f t="shared" si="81"/>
        <v>-1126.76</v>
      </c>
      <c r="O334" s="8">
        <f>IFERROR(N334/N444, "NA")</f>
        <v>-5.1900243711339979E-2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2137.8000000000002</v>
      </c>
      <c r="F337" s="8">
        <f>IFERROR(E337/E444, "NA")</f>
        <v>1.4736632837254716E-2</v>
      </c>
      <c r="G337" s="9"/>
      <c r="H337" s="10">
        <f t="shared" ref="H337:H344" si="84">IFERROR(-(B337-E337), "NA")</f>
        <v>2137.8000000000002</v>
      </c>
      <c r="I337" s="8">
        <f>IFERROR(H337/H444, "NA")</f>
        <v>0.19497629147395978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19259.54</v>
      </c>
      <c r="U337" s="8">
        <f>IFERROR(T337/T444, "NA")</f>
        <v>2.0133388662795779E-2</v>
      </c>
      <c r="V337" s="9"/>
      <c r="W337" s="10">
        <f t="shared" ref="W337:W344" si="86">IFERROR(-(Q337-T337), "NA")</f>
        <v>19259.54</v>
      </c>
      <c r="X337" s="8">
        <f>IFERROR(W337/W444, "NA")</f>
        <v>-0.28728850749906543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1534.63</v>
      </c>
      <c r="C338" s="8">
        <f>IFERROR(B338/B444, "NA")</f>
        <v>9.8353876945464925E-3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-1534.63</v>
      </c>
      <c r="I338" s="8">
        <f>IFERROR(H338/H444, "NA")</f>
        <v>-0.13996466750148887</v>
      </c>
      <c r="J338" s="9"/>
      <c r="K338" s="7">
        <v>1521.75</v>
      </c>
      <c r="L338" s="8">
        <f>IFERROR(K338/K444, "NA")</f>
        <v>1.1329173558099771E-2</v>
      </c>
      <c r="M338" s="9"/>
      <c r="N338" s="10">
        <f t="shared" si="85"/>
        <v>-12.880000000000109</v>
      </c>
      <c r="O338" s="8">
        <f>IFERROR(N338/N444, "NA")</f>
        <v>-5.9327198250032354E-4</v>
      </c>
      <c r="P338" s="9"/>
      <c r="Q338" s="7">
        <v>10924.26</v>
      </c>
      <c r="R338" s="8">
        <f>IFERROR(Q338/Q444, "NA")</f>
        <v>1.2280548041149694E-2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-10924.26</v>
      </c>
      <c r="X338" s="8">
        <f>IFERROR(W338/W444, "NA")</f>
        <v>0.16295375439557436</v>
      </c>
      <c r="Y338" s="9"/>
      <c r="Z338" s="7">
        <v>10877.6</v>
      </c>
      <c r="AA338" s="8">
        <f>IFERROR(Z338/Z444, "NA")</f>
        <v>1.2935996145554549E-2</v>
      </c>
      <c r="AB338" s="9"/>
      <c r="AC338" s="10">
        <f t="shared" si="87"/>
        <v>-46.659999999999854</v>
      </c>
      <c r="AD338" s="8">
        <f>IFERROR(AC338/AC444, "NA")</f>
        <v>-9.585123953360315E-4</v>
      </c>
    </row>
    <row r="339" spans="1:30" ht="16.5" customHeight="1" x14ac:dyDescent="0.45">
      <c r="A339" s="12" t="s">
        <v>309</v>
      </c>
      <c r="B339" s="7">
        <v>333.19</v>
      </c>
      <c r="C339" s="8">
        <f>IFERROR(B339/B444, "NA")</f>
        <v>2.1354025569329058E-3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-333.19</v>
      </c>
      <c r="I339" s="8">
        <f>IFERROR(H339/H444, "NA")</f>
        <v>-3.0388320028163839E-2</v>
      </c>
      <c r="J339" s="9"/>
      <c r="K339" s="7">
        <v>326.83999999999997</v>
      </c>
      <c r="L339" s="8">
        <f>IFERROR(K339/K444, "NA")</f>
        <v>2.4332689901293437E-3</v>
      </c>
      <c r="M339" s="9"/>
      <c r="N339" s="10">
        <f t="shared" si="85"/>
        <v>-6.3500000000000227</v>
      </c>
      <c r="O339" s="8">
        <f>IFERROR(N339/N444, "NA")</f>
        <v>-2.9249045721095005E-4</v>
      </c>
      <c r="P339" s="9"/>
      <c r="Q339" s="7">
        <v>4051.23</v>
      </c>
      <c r="R339" s="8">
        <f>IFERROR(Q339/Q444, "NA")</f>
        <v>4.5542054693633134E-3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-4051.23</v>
      </c>
      <c r="X339" s="8">
        <f>IFERROR(W339/W444, "NA")</f>
        <v>6.0430925153738803E-2</v>
      </c>
      <c r="Y339" s="9"/>
      <c r="Z339" s="7">
        <v>3482.96</v>
      </c>
      <c r="AA339" s="8">
        <f>IFERROR(Z339/Z444, "NA")</f>
        <v>4.1420494534750935E-3</v>
      </c>
      <c r="AB339" s="9"/>
      <c r="AC339" s="10">
        <f t="shared" si="87"/>
        <v>-568.27</v>
      </c>
      <c r="AD339" s="8">
        <f>IFERROR(AC339/AC444, "NA")</f>
        <v>-1.1673678501877588E-2</v>
      </c>
    </row>
    <row r="340" spans="1:30" ht="16.5" customHeight="1" x14ac:dyDescent="0.45">
      <c r="A340" s="12" t="s">
        <v>310</v>
      </c>
      <c r="B340" s="7">
        <v>411.35</v>
      </c>
      <c r="C340" s="8">
        <f>IFERROR(B340/B444, "NA")</f>
        <v>2.6363271460558566E-3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-411.35</v>
      </c>
      <c r="I340" s="8">
        <f>IFERROR(H340/H444, "NA")</f>
        <v>-3.7516838571341263E-2</v>
      </c>
      <c r="J340" s="9"/>
      <c r="K340" s="7">
        <v>324.47000000000003</v>
      </c>
      <c r="L340" s="8">
        <f>IFERROR(K340/K444, "NA")</f>
        <v>2.4156247375696619E-3</v>
      </c>
      <c r="M340" s="9"/>
      <c r="N340" s="10">
        <f t="shared" si="85"/>
        <v>-86.88</v>
      </c>
      <c r="O340" s="8">
        <f>IFERROR(N340/N444, "NA")</f>
        <v>-4.0018221925176766E-3</v>
      </c>
      <c r="P340" s="9"/>
      <c r="Q340" s="7">
        <v>3667.91</v>
      </c>
      <c r="R340" s="8">
        <f>IFERROR(Q340/Q444, "NA")</f>
        <v>4.1232948470297636E-3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-3667.91</v>
      </c>
      <c r="X340" s="8">
        <f>IFERROR(W340/W444, "NA")</f>
        <v>5.4713061139616881E-2</v>
      </c>
      <c r="Y340" s="9"/>
      <c r="Z340" s="7">
        <v>3064.82</v>
      </c>
      <c r="AA340" s="8">
        <f>IFERROR(Z340/Z444, "NA")</f>
        <v>3.6447837488801293E-3</v>
      </c>
      <c r="AB340" s="9"/>
      <c r="AC340" s="10">
        <f t="shared" si="87"/>
        <v>-603.08999999999969</v>
      </c>
      <c r="AD340" s="8">
        <f>IFERROR(AC340/AC444, "NA")</f>
        <v>-1.2388967863334949E-2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2279.17</v>
      </c>
      <c r="C342" s="15">
        <f>IFERROR(B342/B444, "NA")</f>
        <v>1.4607117397535254E-2</v>
      </c>
      <c r="D342" s="2"/>
      <c r="E342" s="14">
        <f>IFERROR(E337+E338+E339+E340+E341, "NA")</f>
        <v>2137.8000000000002</v>
      </c>
      <c r="F342" s="15">
        <f>IFERROR(E342/E444, "NA")</f>
        <v>1.4736632837254716E-2</v>
      </c>
      <c r="G342" s="2"/>
      <c r="H342" s="14">
        <f t="shared" si="84"/>
        <v>-141.36999999999989</v>
      </c>
      <c r="I342" s="15">
        <f>IFERROR(H342/H444, "NA")</f>
        <v>-1.2893534627034181E-2</v>
      </c>
      <c r="J342" s="2"/>
      <c r="K342" s="14">
        <f>IFERROR(K337+K338+K339+K340+K341, "NA")</f>
        <v>2173.06</v>
      </c>
      <c r="L342" s="15">
        <f>IFERROR(K342/K444, "NA")</f>
        <v>1.6178067285798774E-2</v>
      </c>
      <c r="M342" s="2"/>
      <c r="N342" s="14">
        <f t="shared" si="85"/>
        <v>-106.11000000000013</v>
      </c>
      <c r="O342" s="15">
        <f>IFERROR(N342/N444, "NA")</f>
        <v>-4.8875846322289501E-3</v>
      </c>
      <c r="P342" s="2"/>
      <c r="Q342" s="14">
        <f>IFERROR(Q337+Q338+Q339+Q340+Q341, "NA")</f>
        <v>18643.400000000001</v>
      </c>
      <c r="R342" s="15">
        <f>IFERROR(Q342/Q444, "NA")</f>
        <v>2.0958048357542773E-2</v>
      </c>
      <c r="S342" s="2"/>
      <c r="T342" s="14">
        <f>IFERROR(T337+T338+T339+T340+T341, "NA")</f>
        <v>19259.54</v>
      </c>
      <c r="U342" s="15">
        <f>IFERROR(T342/T444, "NA")</f>
        <v>2.0133388662795779E-2</v>
      </c>
      <c r="V342" s="2"/>
      <c r="W342" s="14">
        <f t="shared" si="86"/>
        <v>616.13999999999942</v>
      </c>
      <c r="X342" s="15">
        <f>IFERROR(W342/W444, "NA")</f>
        <v>-9.1907668101353403E-3</v>
      </c>
      <c r="Y342" s="2"/>
      <c r="Z342" s="14">
        <f>IFERROR(Z337+Z338+Z339+Z340+Z341, "NA")</f>
        <v>17425.38</v>
      </c>
      <c r="AA342" s="15">
        <f>IFERROR(Z342/Z444, "NA")</f>
        <v>2.0722829347909772E-2</v>
      </c>
      <c r="AB342" s="2"/>
      <c r="AC342" s="14">
        <f t="shared" si="87"/>
        <v>-1218.0200000000004</v>
      </c>
      <c r="AD342" s="15">
        <f>IFERROR(AC342/AC444, "NA")</f>
        <v>-2.5021158760548588E-2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17369.739999999998</v>
      </c>
      <c r="C343" s="15">
        <f>IFERROR(B343/B444, "NA")</f>
        <v>0.11132203010072261</v>
      </c>
      <c r="D343" s="2"/>
      <c r="E343" s="14">
        <f>IFERROR(E328+E329+E330+E331+E332+E333+E334+E335+E337+E338+E339+E340+E341, "NA")</f>
        <v>17183.8</v>
      </c>
      <c r="F343" s="15">
        <f>IFERROR(E343/E444, "NA")</f>
        <v>0.11845418250014855</v>
      </c>
      <c r="G343" s="2"/>
      <c r="H343" s="14">
        <f t="shared" si="84"/>
        <v>-185.93999999999869</v>
      </c>
      <c r="I343" s="15">
        <f>IFERROR(H343/H444, "NA")</f>
        <v>-1.6958504835189365E-2</v>
      </c>
      <c r="J343" s="2"/>
      <c r="K343" s="14">
        <f>IFERROR(K328+K329+K330+K331+K332+K333+K334+K335+K337+K338+K339+K340+K341, "NA")</f>
        <v>8777.49</v>
      </c>
      <c r="L343" s="15">
        <f>IFERROR(K343/K444, "NA")</f>
        <v>6.5346941097082403E-2</v>
      </c>
      <c r="M343" s="2"/>
      <c r="N343" s="14">
        <f t="shared" si="85"/>
        <v>-8592.2499999999982</v>
      </c>
      <c r="O343" s="15">
        <f>IFERROR(N343/N444, "NA")</f>
        <v>-0.39577183164894109</v>
      </c>
      <c r="P343" s="2"/>
      <c r="Q343" s="14">
        <f>IFERROR(Q328+Q329+Q330+Q331+Q332+Q333+Q334+Q335+Q337+Q338+Q339+Q340+Q341, "NA")</f>
        <v>118533.17</v>
      </c>
      <c r="R343" s="15">
        <f>IFERROR(Q343/Q444, "NA")</f>
        <v>0.1332495096834718</v>
      </c>
      <c r="S343" s="2"/>
      <c r="T343" s="14">
        <f>IFERROR(T328+T329+T330+T331+T332+T333+T334+T335+T337+T338+T339+T340+T341, "NA")</f>
        <v>119671.54000000001</v>
      </c>
      <c r="U343" s="15">
        <f>IFERROR(T343/T444, "NA")</f>
        <v>0.12510130702474262</v>
      </c>
      <c r="V343" s="2"/>
      <c r="W343" s="14">
        <f t="shared" si="86"/>
        <v>1138.3700000000099</v>
      </c>
      <c r="X343" s="15">
        <f>IFERROR(W343/W444, "NA")</f>
        <v>-1.6980707653542811E-2</v>
      </c>
      <c r="Y343" s="2"/>
      <c r="Z343" s="14">
        <f>IFERROR(Z328+Z329+Z330+Z331+Z332+Z333+Z334+Z335+Z337+Z338+Z339+Z340+Z341, "NA")</f>
        <v>69965.5</v>
      </c>
      <c r="AA343" s="15">
        <f>IFERROR(Z343/Z444, "NA")</f>
        <v>8.3205251004063105E-2</v>
      </c>
      <c r="AB343" s="2"/>
      <c r="AC343" s="14">
        <f t="shared" si="87"/>
        <v>-48567.67</v>
      </c>
      <c r="AD343" s="15">
        <f>IFERROR(AC343/AC444, "NA")</f>
        <v>-0.99770067954543629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17369.739999999998</v>
      </c>
      <c r="C344" s="15">
        <f>IFERROR(B344/B444, "NA")</f>
        <v>0.11132203010072261</v>
      </c>
      <c r="D344" s="2"/>
      <c r="E344" s="14">
        <f>IFERROR(E328+E329+E330+E331+E332+E333+E334+E335+E337+E338+E339+E340+E341, "NA")</f>
        <v>17183.8</v>
      </c>
      <c r="F344" s="15">
        <f>IFERROR(E344/E444, "NA")</f>
        <v>0.11845418250014855</v>
      </c>
      <c r="G344" s="2"/>
      <c r="H344" s="14">
        <f t="shared" si="84"/>
        <v>-185.93999999999869</v>
      </c>
      <c r="I344" s="15">
        <f>IFERROR(H344/H444, "NA")</f>
        <v>-1.6958504835189365E-2</v>
      </c>
      <c r="J344" s="2"/>
      <c r="K344" s="14">
        <f>IFERROR(K328+K329+K330+K331+K332+K333+K334+K335+K337+K338+K339+K340+K341, "NA")</f>
        <v>8777.49</v>
      </c>
      <c r="L344" s="15">
        <f>IFERROR(K344/K444, "NA")</f>
        <v>6.5346941097082403E-2</v>
      </c>
      <c r="M344" s="2"/>
      <c r="N344" s="14">
        <f t="shared" si="85"/>
        <v>-8592.2499999999982</v>
      </c>
      <c r="O344" s="15">
        <f>IFERROR(N344/N444, "NA")</f>
        <v>-0.39577183164894109</v>
      </c>
      <c r="P344" s="2"/>
      <c r="Q344" s="14">
        <f>IFERROR(Q328+Q329+Q330+Q331+Q332+Q333+Q334+Q335+Q337+Q338+Q339+Q340+Q341, "NA")</f>
        <v>118533.17</v>
      </c>
      <c r="R344" s="15">
        <f>IFERROR(Q344/Q444, "NA")</f>
        <v>0.1332495096834718</v>
      </c>
      <c r="S344" s="2"/>
      <c r="T344" s="14">
        <f>IFERROR(T328+T329+T330+T331+T332+T333+T334+T335+T337+T338+T339+T340+T341, "NA")</f>
        <v>119671.54000000001</v>
      </c>
      <c r="U344" s="15">
        <f>IFERROR(T344/T444, "NA")</f>
        <v>0.12510130702474262</v>
      </c>
      <c r="V344" s="2"/>
      <c r="W344" s="14">
        <f t="shared" si="86"/>
        <v>1138.3700000000099</v>
      </c>
      <c r="X344" s="15">
        <f>IFERROR(W344/W444, "NA")</f>
        <v>-1.6980707653542811E-2</v>
      </c>
      <c r="Y344" s="2"/>
      <c r="Z344" s="14">
        <f>IFERROR(Z328+Z329+Z330+Z331+Z332+Z333+Z334+Z335+Z337+Z338+Z339+Z340+Z341, "NA")</f>
        <v>69965.5</v>
      </c>
      <c r="AA344" s="15">
        <f>IFERROR(Z344/Z444, "NA")</f>
        <v>8.3205251004063105E-2</v>
      </c>
      <c r="AB344" s="2"/>
      <c r="AC344" s="14">
        <f t="shared" si="87"/>
        <v>-48567.67</v>
      </c>
      <c r="AD344" s="15">
        <f>IFERROR(AC344/AC444, "NA")</f>
        <v>-0.99770067954543629</v>
      </c>
    </row>
    <row r="345" spans="1:30" ht="16.5" customHeight="1" x14ac:dyDescent="0.45">
      <c r="A345" s="22" t="s">
        <v>315</v>
      </c>
      <c r="B345" s="23">
        <f>IFERROR(B198-B325-B344, "NA")</f>
        <v>27386.78000000005</v>
      </c>
      <c r="C345" s="24">
        <f>IFERROR(B345/B444, "NA")</f>
        <v>0.17552087409033607</v>
      </c>
      <c r="D345" s="25"/>
      <c r="E345" s="23">
        <f>IFERROR(E198-E325-E344, "NA")</f>
        <v>25002.920000000038</v>
      </c>
      <c r="F345" s="24">
        <f>IFERROR(E345/E444, "NA")</f>
        <v>0.1723542201792746</v>
      </c>
      <c r="G345" s="25"/>
      <c r="H345" s="23">
        <f>IFERROR(B345-E345, "NA")</f>
        <v>2383.8600000000115</v>
      </c>
      <c r="I345" s="24">
        <f>IFERROR(H345/H444, "NA")</f>
        <v>0.21741799148335486</v>
      </c>
      <c r="J345" s="25"/>
      <c r="K345" s="23">
        <f>IFERROR(K198-K325-K344, "NA")</f>
        <v>13239.169999999989</v>
      </c>
      <c r="L345" s="24">
        <f>IFERROR(K345/K444, "NA")</f>
        <v>9.8563400489691214E-2</v>
      </c>
      <c r="M345" s="25"/>
      <c r="N345" s="23">
        <f>IFERROR(B345-K345, "NA")</f>
        <v>14147.610000000061</v>
      </c>
      <c r="O345" s="24">
        <f>IFERROR(N345/N444, "NA")</f>
        <v>0.65165998698302541</v>
      </c>
      <c r="P345" s="25"/>
      <c r="Q345" s="23">
        <f>IFERROR(Q198-Q325-Q344, "NA")</f>
        <v>10180.840000000651</v>
      </c>
      <c r="R345" s="24">
        <f>IFERROR(Q345/Q444, "NA")</f>
        <v>1.1444829646975305E-2</v>
      </c>
      <c r="S345" s="25"/>
      <c r="T345" s="23">
        <f>IFERROR(T198-T325-T344, "NA")</f>
        <v>127597.34000000008</v>
      </c>
      <c r="U345" s="24">
        <f>IFERROR(T345/T444, "NA")</f>
        <v>0.13338671840339383</v>
      </c>
      <c r="V345" s="25"/>
      <c r="W345" s="23">
        <f>IFERROR(Q345-T345, "NA")</f>
        <v>-117416.49999999943</v>
      </c>
      <c r="X345" s="24">
        <f>IFERROR(W345/W444, "NA")</f>
        <v>1.7514650422992371</v>
      </c>
      <c r="Y345" s="25"/>
      <c r="Z345" s="23">
        <f>IFERROR(Z198-Z325-Z344, "NA")</f>
        <v>94313.220000000292</v>
      </c>
      <c r="AA345" s="24">
        <f>IFERROR(Z345/Z444, "NA")</f>
        <v>0.1121603525037547</v>
      </c>
      <c r="AB345" s="25"/>
      <c r="AC345" s="23">
        <f>IFERROR(Q345-Z345, "NA")</f>
        <v>-84132.379999999641</v>
      </c>
      <c r="AD345" s="24">
        <f>IFERROR(AC345/AC444, "NA")</f>
        <v>-1.7282882357291285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27386.78000000005</v>
      </c>
      <c r="C404" s="24">
        <f>IFERROR(B404/B444, "NA")</f>
        <v>0.17552087409033607</v>
      </c>
      <c r="D404" s="25"/>
      <c r="E404" s="23">
        <f>IFERROR(E345-E403, "NA")</f>
        <v>25002.920000000038</v>
      </c>
      <c r="F404" s="24">
        <f>IFERROR(E404/E444, "NA")</f>
        <v>0.1723542201792746</v>
      </c>
      <c r="G404" s="25"/>
      <c r="H404" s="23">
        <f>IFERROR(B404-E404, "NA")</f>
        <v>2383.8600000000115</v>
      </c>
      <c r="I404" s="24">
        <f>IFERROR(H404/H444, "NA")</f>
        <v>0.21741799148335486</v>
      </c>
      <c r="J404" s="25"/>
      <c r="K404" s="23">
        <f>IFERROR(K345-K403, "NA")</f>
        <v>13239.169999999989</v>
      </c>
      <c r="L404" s="24">
        <f>IFERROR(K404/K444, "NA")</f>
        <v>9.8563400489691214E-2</v>
      </c>
      <c r="M404" s="25"/>
      <c r="N404" s="23">
        <f>IFERROR(B404-K404, "NA")</f>
        <v>14147.610000000061</v>
      </c>
      <c r="O404" s="24">
        <f>IFERROR(N404/N444, "NA")</f>
        <v>0.65165998698302541</v>
      </c>
      <c r="P404" s="25"/>
      <c r="Q404" s="23">
        <f>IFERROR(Q345-Q403, "NA")</f>
        <v>10180.840000000651</v>
      </c>
      <c r="R404" s="24">
        <f>IFERROR(Q404/Q444, "NA")</f>
        <v>1.1444829646975305E-2</v>
      </c>
      <c r="S404" s="25"/>
      <c r="T404" s="23">
        <f>IFERROR(T345-T403, "NA")</f>
        <v>127597.34000000008</v>
      </c>
      <c r="U404" s="24">
        <f>IFERROR(T404/T444, "NA")</f>
        <v>0.13338671840339383</v>
      </c>
      <c r="V404" s="25"/>
      <c r="W404" s="23">
        <f>IFERROR(Q404-T404, "NA")</f>
        <v>-117416.49999999943</v>
      </c>
      <c r="X404" s="24">
        <f>IFERROR(W404/W444, "NA")</f>
        <v>1.7514650422992371</v>
      </c>
      <c r="Y404" s="25"/>
      <c r="Z404" s="23">
        <f>IFERROR(Z345-Z403, "NA")</f>
        <v>94313.220000000292</v>
      </c>
      <c r="AA404" s="24">
        <f>IFERROR(Z404/Z444, "NA")</f>
        <v>0.1121603525037547</v>
      </c>
      <c r="AB404" s="25"/>
      <c r="AC404" s="23">
        <f>IFERROR(Q404-Z404, "NA")</f>
        <v>-84132.379999999641</v>
      </c>
      <c r="AD404" s="24">
        <f>IFERROR(AC404/AC444, "NA")</f>
        <v>-1.7282882357291285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1831.46</v>
      </c>
      <c r="L408" s="8">
        <f>IFERROR(K408/K444, "NA")</f>
        <v>1.3634912570867361E-2</v>
      </c>
      <c r="M408" s="9"/>
      <c r="N408" s="10">
        <f t="shared" si="101"/>
        <v>1831.46</v>
      </c>
      <c r="O408" s="8">
        <f>IFERROR(N408/N444, "NA")</f>
        <v>8.4359775238356638E-2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2941.46</v>
      </c>
      <c r="AA408" s="8">
        <f>IFERROR(Z408/Z444, "NA")</f>
        <v>3.4980800197013024E-3</v>
      </c>
      <c r="AB408" s="9"/>
      <c r="AC408" s="10">
        <f t="shared" si="103"/>
        <v>2941.46</v>
      </c>
      <c r="AD408" s="8">
        <f>IFERROR(AC408/AC444, "NA")</f>
        <v>6.0424900779792796E-2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3263.09</v>
      </c>
      <c r="C410" s="8">
        <f>IFERROR(B410/B444, "NA")</f>
        <v>2.0913024789165929E-2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-3263.09</v>
      </c>
      <c r="I410" s="8">
        <f>IFERROR(H410/H444, "NA")</f>
        <v>-0.29760744080164814</v>
      </c>
      <c r="J410" s="9"/>
      <c r="K410" s="7">
        <v>3009.38</v>
      </c>
      <c r="L410" s="8">
        <f>IFERROR(K410/K444, "NA")</f>
        <v>2.2404329437998548E-2</v>
      </c>
      <c r="M410" s="9"/>
      <c r="N410" s="10">
        <f t="shared" si="101"/>
        <v>-253.71000000000004</v>
      </c>
      <c r="O410" s="8">
        <f>IFERROR(N410/N444, "NA")</f>
        <v>-1.1686260456533839E-2</v>
      </c>
      <c r="P410" s="9"/>
      <c r="Q410" s="7">
        <v>27212.2</v>
      </c>
      <c r="R410" s="8">
        <f>IFERROR(Q410/Q444, "NA")</f>
        <v>3.0590697164418798E-2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-27212.2</v>
      </c>
      <c r="X410" s="8">
        <f>IFERROR(W410/W444, "NA")</f>
        <v>0.40591583826851874</v>
      </c>
      <c r="Y410" s="9"/>
      <c r="Z410" s="7">
        <v>51066.75</v>
      </c>
      <c r="AA410" s="8">
        <f>IFERROR(Z410/Z444, "NA")</f>
        <v>6.0730242072331929E-2</v>
      </c>
      <c r="AB410" s="9"/>
      <c r="AC410" s="10">
        <f t="shared" si="103"/>
        <v>23854.55</v>
      </c>
      <c r="AD410" s="8">
        <f>IFERROR(AC410/AC444, "NA")</f>
        <v>0.49003175868330906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-35.64</v>
      </c>
      <c r="C416" s="8">
        <f>IFERROR(B416/B444, "NA")</f>
        <v>-2.2841546003508139E-4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35.64</v>
      </c>
      <c r="I416" s="8">
        <f>IFERROR(H416/H444, "NA")</f>
        <v>3.2505168996781394E-3</v>
      </c>
      <c r="J416" s="9"/>
      <c r="K416" s="7">
        <v>-32.93</v>
      </c>
      <c r="L416" s="8">
        <f>IFERROR(K416/K444, "NA")</f>
        <v>-2.4515832775963555E-4</v>
      </c>
      <c r="M416" s="9"/>
      <c r="N416" s="10">
        <f t="shared" si="101"/>
        <v>2.7100000000000009</v>
      </c>
      <c r="O416" s="8">
        <f>IFERROR(N416/N444, "NA")</f>
        <v>1.2482663606955464E-4</v>
      </c>
      <c r="P416" s="9"/>
      <c r="Q416" s="7">
        <v>-231.09</v>
      </c>
      <c r="R416" s="8">
        <f>IFERROR(Q416/Q444, "NA")</f>
        <v>-2.5978069423734723E-4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231.09</v>
      </c>
      <c r="X416" s="8">
        <f>IFERROR(W416/W444, "NA")</f>
        <v>-3.4470969295195535E-3</v>
      </c>
      <c r="Y416" s="9"/>
      <c r="Z416" s="7">
        <v>-276.99</v>
      </c>
      <c r="AA416" s="8">
        <f>IFERROR(Z416/Z444, "NA")</f>
        <v>-3.2940552809049376E-4</v>
      </c>
      <c r="AB416" s="9"/>
      <c r="AC416" s="10">
        <f t="shared" si="103"/>
        <v>-45.900000000000006</v>
      </c>
      <c r="AD416" s="8">
        <f>IFERROR(AC416/AC444, "NA")</f>
        <v>-9.4290010599922815E-4</v>
      </c>
    </row>
    <row r="417" spans="1:30" ht="16.5" customHeight="1" x14ac:dyDescent="0.45">
      <c r="A417" s="6" t="s">
        <v>382</v>
      </c>
      <c r="B417" s="7">
        <v>-16.89</v>
      </c>
      <c r="C417" s="8">
        <f>IFERROR(B417/B444, "NA")</f>
        <v>-1.0824739393918419E-4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16.89</v>
      </c>
      <c r="I417" s="8">
        <f>IFERROR(H417/H444, "NA")</f>
        <v>1.540438564409758E-3</v>
      </c>
      <c r="J417" s="9"/>
      <c r="K417" s="7">
        <v>30.5</v>
      </c>
      <c r="L417" s="8">
        <f>IFERROR(K417/K444, "NA")</f>
        <v>2.2706738526173353E-4</v>
      </c>
      <c r="M417" s="9"/>
      <c r="N417" s="10">
        <f t="shared" si="101"/>
        <v>47.39</v>
      </c>
      <c r="O417" s="8">
        <f>IFERROR(N417/N444, "NA")</f>
        <v>2.1828539790908459E-3</v>
      </c>
      <c r="P417" s="9"/>
      <c r="Q417" s="7">
        <v>48.6</v>
      </c>
      <c r="R417" s="8">
        <f>IFERROR(Q417/Q444, "NA")</f>
        <v>5.4633873122744708E-5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-48.6</v>
      </c>
      <c r="X417" s="8">
        <f>IFERROR(W417/W444, "NA")</f>
        <v>7.2495093156194686E-4</v>
      </c>
      <c r="Y417" s="9"/>
      <c r="Z417" s="7">
        <v>14.34</v>
      </c>
      <c r="AA417" s="8">
        <f>IFERROR(Z417/Z444, "NA")</f>
        <v>1.7053594977499839E-5</v>
      </c>
      <c r="AB417" s="9"/>
      <c r="AC417" s="10">
        <f t="shared" si="103"/>
        <v>-34.260000000000005</v>
      </c>
      <c r="AD417" s="8">
        <f>IFERROR(AC417/AC444, "NA")</f>
        <v>-7.0378556931445665E-4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3210.5600000000004</v>
      </c>
      <c r="C428" s="15">
        <f>IFERROR(B428/B444, "NA")</f>
        <v>2.0576361935191665E-2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-3210.5600000000004</v>
      </c>
      <c r="I428" s="15">
        <f>IFERROR(H428/H444, "NA")</f>
        <v>-0.29281648533756027</v>
      </c>
      <c r="J428" s="2"/>
      <c r="K428" s="14">
        <f>IFERROR(K407+K408+K409+K410+K411+K412+K413+K414+K415+K416+K417+K418+K419+K420+K421+K422+K423+K424+K425+K426+K427, "NA")</f>
        <v>4838.41</v>
      </c>
      <c r="L428" s="15">
        <f>IFERROR(K428/K444, "NA")</f>
        <v>3.6021151066368003E-2</v>
      </c>
      <c r="M428" s="2"/>
      <c r="N428" s="14">
        <f t="shared" si="101"/>
        <v>1627.8499999999995</v>
      </c>
      <c r="O428" s="15">
        <f>IFERROR(N428/N444, "NA")</f>
        <v>7.4981195396983169E-2</v>
      </c>
      <c r="P428" s="2"/>
      <c r="Q428" s="14">
        <f>IFERROR(Q407+Q408+Q409+Q410+Q411+Q412+Q413+Q414+Q415+Q416+Q417+Q418+Q419+Q420+Q421+Q422+Q423+Q424+Q425+Q426+Q427, "NA")</f>
        <v>27029.71</v>
      </c>
      <c r="R428" s="15">
        <f>IFERROR(Q428/Q444, "NA")</f>
        <v>3.0385550343304195E-2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-27029.71</v>
      </c>
      <c r="X428" s="15">
        <f>IFERROR(W428/W444, "NA")</f>
        <v>0.40319369227056112</v>
      </c>
      <c r="Y428" s="2"/>
      <c r="Z428" s="14">
        <f>IFERROR(Z407+Z408+Z409+Z410+Z411+Z412+Z413+Z414+Z415+Z416+Z417+Z418+Z419+Z420+Z421+Z422+Z423+Z424+Z425+Z426+Z427, "NA")</f>
        <v>53745.56</v>
      </c>
      <c r="AA428" s="15">
        <f>IFERROR(Z428/Z444, "NA")</f>
        <v>6.3915970158920241E-2</v>
      </c>
      <c r="AB428" s="2"/>
      <c r="AC428" s="14">
        <f t="shared" si="103"/>
        <v>26715.85</v>
      </c>
      <c r="AD428" s="15">
        <f>IFERROR(AC428/AC444, "NA")</f>
        <v>0.54880997378778817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3210.5600000000004</v>
      </c>
      <c r="C429" s="15">
        <f>IFERROR(B429/B444, "NA")</f>
        <v>2.0576361935191665E-2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-3210.5600000000004</v>
      </c>
      <c r="I429" s="15">
        <f>IFERROR(H429/H444, "NA")</f>
        <v>-0.29281648533756027</v>
      </c>
      <c r="J429" s="2"/>
      <c r="K429" s="14">
        <f>IFERROR(K407+K408+K409+K410+K411+K412+K413+K414+K415+K416+K417+K418+K419+K420+K421+K422+K423+K424+K425+K426+K427, "NA")</f>
        <v>4838.41</v>
      </c>
      <c r="L429" s="15">
        <f>IFERROR(K429/K444, "NA")</f>
        <v>3.6021151066368003E-2</v>
      </c>
      <c r="M429" s="2"/>
      <c r="N429" s="14">
        <f t="shared" si="101"/>
        <v>1627.8499999999995</v>
      </c>
      <c r="O429" s="15">
        <f>IFERROR(N429/N444, "NA")</f>
        <v>7.4981195396983169E-2</v>
      </c>
      <c r="P429" s="2"/>
      <c r="Q429" s="14">
        <f>IFERROR(Q407+Q408+Q409+Q410+Q411+Q412+Q413+Q414+Q415+Q416+Q417+Q418+Q419+Q420+Q421+Q422+Q423+Q424+Q425+Q426+Q427, "NA")</f>
        <v>27029.71</v>
      </c>
      <c r="R429" s="15">
        <f>IFERROR(Q429/Q444, "NA")</f>
        <v>3.0385550343304195E-2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-27029.71</v>
      </c>
      <c r="X429" s="15">
        <f>IFERROR(W429/W444, "NA")</f>
        <v>0.40319369227056112</v>
      </c>
      <c r="Y429" s="2"/>
      <c r="Z429" s="14">
        <f>IFERROR(Z407+Z408+Z409+Z410+Z411+Z412+Z413+Z414+Z415+Z416+Z417+Z418+Z419+Z420+Z421+Z422+Z423+Z424+Z425+Z426+Z427, "NA")</f>
        <v>53745.56</v>
      </c>
      <c r="AA429" s="15">
        <f>IFERROR(Z429/Z444, "NA")</f>
        <v>6.3915970158920241E-2</v>
      </c>
      <c r="AB429" s="2"/>
      <c r="AC429" s="14">
        <f t="shared" si="103"/>
        <v>26715.85</v>
      </c>
      <c r="AD429" s="15">
        <f>IFERROR(AC429/AC444, "NA")</f>
        <v>0.54880997378778817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24176.220000000048</v>
      </c>
      <c r="C443" s="24">
        <f>IFERROR(B443/B444, "NA")</f>
        <v>0.1549445121551444</v>
      </c>
      <c r="D443" s="25"/>
      <c r="E443" s="23">
        <f>IFERROR(E404-E429-E442, "NA")</f>
        <v>25002.920000000038</v>
      </c>
      <c r="F443" s="24">
        <f>IFERROR(E443/E444, "NA")</f>
        <v>0.1723542201792746</v>
      </c>
      <c r="G443" s="25"/>
      <c r="H443" s="23">
        <f>IFERROR(B443-E443, "NA")</f>
        <v>-826.69999999998981</v>
      </c>
      <c r="I443" s="24">
        <f>IFERROR(H443/H444, "NA")</f>
        <v>-7.5398493854205523E-2</v>
      </c>
      <c r="J443" s="25"/>
      <c r="K443" s="23">
        <f>IFERROR(K404-K429-K442, "NA")</f>
        <v>8400.7599999999893</v>
      </c>
      <c r="L443" s="24">
        <f>IFERROR(K443/K444, "NA")</f>
        <v>6.2542249423323218E-2</v>
      </c>
      <c r="M443" s="25"/>
      <c r="N443" s="23">
        <f>IFERROR(B443-K443, "NA")</f>
        <v>15775.460000000059</v>
      </c>
      <c r="O443" s="24">
        <f>IFERROR(N443/N444, "NA")</f>
        <v>0.72664118238000863</v>
      </c>
      <c r="P443" s="25"/>
      <c r="Q443" s="23">
        <f>IFERROR(Q404-Q429-Q442, "NA")</f>
        <v>-16848.869999999348</v>
      </c>
      <c r="R443" s="24">
        <f>IFERROR(Q443/Q444, "NA")</f>
        <v>-1.8940720696328888E-2</v>
      </c>
      <c r="S443" s="25"/>
      <c r="T443" s="23">
        <f>IFERROR(T404-T429-T442, "NA")</f>
        <v>127597.34000000008</v>
      </c>
      <c r="U443" s="24">
        <f>IFERROR(T443/T444, "NA")</f>
        <v>0.13338671840339383</v>
      </c>
      <c r="V443" s="25"/>
      <c r="W443" s="23">
        <f>IFERROR(Q443-T443, "NA")</f>
        <v>-144446.20999999944</v>
      </c>
      <c r="X443" s="24">
        <f>IFERROR(W443/W444, "NA")</f>
        <v>2.1546587345697983</v>
      </c>
      <c r="Y443" s="25"/>
      <c r="Z443" s="23">
        <f>IFERROR(Z404-Z429-Z442, "NA")</f>
        <v>40567.660000000295</v>
      </c>
      <c r="AA443" s="24">
        <f>IFERROR(Z443/Z444, "NA")</f>
        <v>4.8244382344834455E-2</v>
      </c>
      <c r="AB443" s="25"/>
      <c r="AC443" s="23">
        <f>IFERROR(Q443-Z443, "NA")</f>
        <v>-57416.529999999642</v>
      </c>
      <c r="AD443" s="24">
        <f>IFERROR(AC443/AC444, "NA")</f>
        <v>-1.1794782619413402</v>
      </c>
    </row>
    <row r="444" spans="1:30" ht="15.75" hidden="1" x14ac:dyDescent="0.45">
      <c r="A444" s="26" t="s">
        <v>117</v>
      </c>
      <c r="B444" s="7">
        <v>156031.47</v>
      </c>
      <c r="C444" s="27"/>
      <c r="D444" s="9"/>
      <c r="E444" s="7">
        <v>145067.06</v>
      </c>
      <c r="F444" s="27"/>
      <c r="G444" s="9"/>
      <c r="H444" s="10">
        <f>IFERROR(B444-E444, "NA")</f>
        <v>10964.410000000003</v>
      </c>
      <c r="I444" s="27"/>
      <c r="J444" s="9"/>
      <c r="K444" s="7">
        <v>134321.35999999999</v>
      </c>
      <c r="L444" s="27"/>
      <c r="M444" s="9"/>
      <c r="N444" s="10">
        <f>IFERROR(B444-K444, "NA")</f>
        <v>21710.110000000015</v>
      </c>
      <c r="O444" s="27"/>
      <c r="P444" s="9"/>
      <c r="Q444" s="7">
        <v>889558.02</v>
      </c>
      <c r="R444" s="27"/>
      <c r="S444" s="9"/>
      <c r="T444" s="7">
        <v>956597.04</v>
      </c>
      <c r="U444" s="27"/>
      <c r="V444" s="9"/>
      <c r="W444" s="10">
        <f>IFERROR(Q444-T444, "NA")</f>
        <v>-67039.020000000019</v>
      </c>
      <c r="X444" s="27"/>
      <c r="Y444" s="9"/>
      <c r="Z444" s="7">
        <v>840878.42</v>
      </c>
      <c r="AA444" s="27"/>
      <c r="AB444" s="9"/>
      <c r="AC444" s="10">
        <f>IFERROR(Q444-Z444, "NA")</f>
        <v>48679.599999999977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91892.96</v>
      </c>
      <c r="F10" s="8">
        <f>IFERROR(E10/E444, "NA")</f>
        <v>0.58899997064388976</v>
      </c>
      <c r="G10" s="9"/>
      <c r="H10" s="10">
        <f t="shared" ref="H10:H19" si="0">IFERROR(B10-E10, "NA")</f>
        <v>-91892.96</v>
      </c>
      <c r="I10" s="8">
        <f>IFERROR(H10/H444, "NA")</f>
        <v>2.7195618062588456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643915.07999999996</v>
      </c>
      <c r="U10" s="8">
        <f>IFERROR(T10/T444, "NA")</f>
        <v>0.58899997911701407</v>
      </c>
      <c r="V10" s="9"/>
      <c r="W10" s="10">
        <f t="shared" ref="W10:W19" si="2">IFERROR(Q10-T10, "NA")</f>
        <v>-643915.07999999996</v>
      </c>
      <c r="X10" s="8">
        <f>IFERROR(W10/W444, "NA")</f>
        <v>7.955982786122644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72665.5</v>
      </c>
      <c r="C11" s="8">
        <f>IFERROR(B11/B444, "NA")</f>
        <v>0.5945194787344058</v>
      </c>
      <c r="D11" s="9"/>
      <c r="E11" s="7">
        <v>0</v>
      </c>
      <c r="F11" s="8">
        <f>IFERROR(E11/E444, "NA")</f>
        <v>0</v>
      </c>
      <c r="G11" s="9"/>
      <c r="H11" s="10">
        <f t="shared" si="0"/>
        <v>72665.5</v>
      </c>
      <c r="I11" s="8">
        <f>IFERROR(H11/H444, "NA")</f>
        <v>-2.150527292109234</v>
      </c>
      <c r="J11" s="9"/>
      <c r="K11" s="7">
        <v>68637.039999999994</v>
      </c>
      <c r="L11" s="8">
        <f>IFERROR(K11/K444, "NA")</f>
        <v>0.48393194173868076</v>
      </c>
      <c r="M11" s="9"/>
      <c r="N11" s="10">
        <f t="shared" si="1"/>
        <v>4028.4600000000064</v>
      </c>
      <c r="O11" s="8">
        <f>IFERROR(N11/N444, "NA")</f>
        <v>-0.20546647754484404</v>
      </c>
      <c r="P11" s="9"/>
      <c r="Q11" s="7">
        <v>553117.89</v>
      </c>
      <c r="R11" s="8">
        <f>IFERROR(Q11/Q444, "NA")</f>
        <v>0.54639732853046086</v>
      </c>
      <c r="S11" s="9"/>
      <c r="T11" s="7">
        <v>0</v>
      </c>
      <c r="U11" s="8">
        <f>IFERROR(T11/T444, "NA")</f>
        <v>0</v>
      </c>
      <c r="V11" s="9"/>
      <c r="W11" s="10">
        <f t="shared" si="2"/>
        <v>553117.89</v>
      </c>
      <c r="X11" s="8">
        <f>IFERROR(W11/W444, "NA")</f>
        <v>-6.8341254122150366</v>
      </c>
      <c r="Y11" s="9"/>
      <c r="Z11" s="7">
        <v>514305.72</v>
      </c>
      <c r="AA11" s="8">
        <f>IFERROR(Z11/Z444, "NA")</f>
        <v>0.53880790720672334</v>
      </c>
      <c r="AB11" s="9"/>
      <c r="AC11" s="10">
        <f t="shared" si="3"/>
        <v>38812.170000000042</v>
      </c>
      <c r="AD11" s="8">
        <f>IFERROR(AC11/AC444, "NA")</f>
        <v>0.67178627694048132</v>
      </c>
    </row>
    <row r="12" spans="1:30" ht="16.5" customHeight="1" x14ac:dyDescent="0.45">
      <c r="A12" s="12" t="s">
        <v>14</v>
      </c>
      <c r="B12" s="7">
        <v>7661.75</v>
      </c>
      <c r="C12" s="8">
        <f>IFERROR(B12/B444, "NA")</f>
        <v>6.2685313060439049E-2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7661.75</v>
      </c>
      <c r="I12" s="8">
        <f>IFERROR(H12/H444, "NA")</f>
        <v>-0.22674862872089124</v>
      </c>
      <c r="J12" s="9"/>
      <c r="K12" s="7">
        <v>7256.1</v>
      </c>
      <c r="L12" s="8">
        <f>IFERROR(K12/K444, "NA")</f>
        <v>5.1159819281980136E-2</v>
      </c>
      <c r="M12" s="9"/>
      <c r="N12" s="10">
        <f t="shared" si="1"/>
        <v>405.64999999999964</v>
      </c>
      <c r="O12" s="8">
        <f>IFERROR(N12/N444, "NA")</f>
        <v>-2.0689662207410718E-2</v>
      </c>
      <c r="P12" s="9"/>
      <c r="Q12" s="7">
        <v>60954.3</v>
      </c>
      <c r="R12" s="8">
        <f>IFERROR(Q12/Q444, "NA")</f>
        <v>6.0213685517285065E-2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60954.3</v>
      </c>
      <c r="X12" s="8">
        <f>IFERROR(W12/W444, "NA")</f>
        <v>-0.75312937466871488</v>
      </c>
      <c r="Y12" s="9"/>
      <c r="Z12" s="7">
        <v>57841.25</v>
      </c>
      <c r="AA12" s="8">
        <f>IFERROR(Z12/Z444, "NA")</f>
        <v>6.0596881681037669E-2</v>
      </c>
      <c r="AB12" s="9"/>
      <c r="AC12" s="10">
        <f t="shared" si="3"/>
        <v>3113.0500000000029</v>
      </c>
      <c r="AD12" s="8">
        <f>IFERROR(AC12/AC444, "NA")</f>
        <v>5.3882693738318804E-2</v>
      </c>
    </row>
    <row r="13" spans="1:30" ht="16.5" customHeight="1" x14ac:dyDescent="0.45">
      <c r="A13" s="12" t="s">
        <v>15</v>
      </c>
      <c r="B13" s="7">
        <v>320</v>
      </c>
      <c r="C13" s="8">
        <f>IFERROR(B13/B444, "NA")</f>
        <v>2.6181094631566545E-3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320</v>
      </c>
      <c r="I13" s="8">
        <f>IFERROR(H13/H444, "NA")</f>
        <v>-9.4703639756824748E-3</v>
      </c>
      <c r="J13" s="9"/>
      <c r="K13" s="7">
        <v>224</v>
      </c>
      <c r="L13" s="8">
        <f>IFERROR(K13/K444, "NA")</f>
        <v>1.579333184377772E-3</v>
      </c>
      <c r="M13" s="9"/>
      <c r="N13" s="10">
        <f t="shared" si="1"/>
        <v>96</v>
      </c>
      <c r="O13" s="8">
        <f>IFERROR(N13/N444, "NA")</f>
        <v>-4.8963578747970677E-3</v>
      </c>
      <c r="P13" s="9"/>
      <c r="Q13" s="7">
        <v>2910</v>
      </c>
      <c r="R13" s="8">
        <f>IFERROR(Q13/Q444, "NA")</f>
        <v>2.8746425577079802E-3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2910</v>
      </c>
      <c r="X13" s="8">
        <f>IFERROR(W13/W444, "NA")</f>
        <v>-3.5954911799265354E-2</v>
      </c>
      <c r="Y13" s="9"/>
      <c r="Z13" s="7">
        <v>1840.99</v>
      </c>
      <c r="AA13" s="8">
        <f>IFERROR(Z13/Z444, "NA")</f>
        <v>1.9286971357979565E-3</v>
      </c>
      <c r="AB13" s="9"/>
      <c r="AC13" s="10">
        <f t="shared" si="3"/>
        <v>1069.01</v>
      </c>
      <c r="AD13" s="8">
        <f>IFERROR(AC13/AC444, "NA")</f>
        <v>1.8503120230385035E-2</v>
      </c>
    </row>
    <row r="14" spans="1:30" ht="16.5" customHeight="1" x14ac:dyDescent="0.45">
      <c r="A14" s="12" t="s">
        <v>16</v>
      </c>
      <c r="B14" s="7">
        <v>5</v>
      </c>
      <c r="C14" s="8">
        <f>IFERROR(B14/B444, "NA")</f>
        <v>4.0907960361822727E-5</v>
      </c>
      <c r="D14" s="9"/>
      <c r="E14" s="7">
        <v>0</v>
      </c>
      <c r="F14" s="8">
        <f>IFERROR(E14/E444, "NA")</f>
        <v>0</v>
      </c>
      <c r="G14" s="9"/>
      <c r="H14" s="10">
        <f t="shared" si="0"/>
        <v>5</v>
      </c>
      <c r="I14" s="8">
        <f>IFERROR(H14/H444, "NA")</f>
        <v>-1.4797443712003867E-4</v>
      </c>
      <c r="J14" s="9"/>
      <c r="K14" s="7">
        <v>645</v>
      </c>
      <c r="L14" s="8">
        <f>IFERROR(K14/K444, "NA")</f>
        <v>4.5476334996592096E-3</v>
      </c>
      <c r="M14" s="9"/>
      <c r="N14" s="10">
        <f t="shared" si="1"/>
        <v>-640</v>
      </c>
      <c r="O14" s="8">
        <f>IFERROR(N14/N444, "NA")</f>
        <v>3.2642385831980453E-2</v>
      </c>
      <c r="P14" s="9"/>
      <c r="Q14" s="7">
        <v>3245</v>
      </c>
      <c r="R14" s="8">
        <f>IFERROR(Q14/Q444, "NA")</f>
        <v>3.2055721992310638E-3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3245</v>
      </c>
      <c r="X14" s="8">
        <f>IFERROR(W14/W444, "NA")</f>
        <v>-4.0094051130108617E-2</v>
      </c>
      <c r="Y14" s="9"/>
      <c r="Z14" s="7">
        <v>5680</v>
      </c>
      <c r="AA14" s="8">
        <f>IFERROR(Z14/Z444, "NA")</f>
        <v>5.9506025189340478E-3</v>
      </c>
      <c r="AB14" s="9"/>
      <c r="AC14" s="10">
        <f t="shared" si="3"/>
        <v>-2435</v>
      </c>
      <c r="AD14" s="8">
        <f>IFERROR(AC14/AC444, "NA")</f>
        <v>-4.2146563419413814E-2</v>
      </c>
    </row>
    <row r="15" spans="1:30" ht="16.5" customHeight="1" x14ac:dyDescent="0.45">
      <c r="A15" s="12" t="s">
        <v>17</v>
      </c>
      <c r="B15" s="7">
        <v>53</v>
      </c>
      <c r="C15" s="8">
        <f>IFERROR(B15/B444, "NA")</f>
        <v>4.3362437983532088E-4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53</v>
      </c>
      <c r="I15" s="8">
        <f>IFERROR(H15/H444, "NA")</f>
        <v>-1.5685290334724099E-3</v>
      </c>
      <c r="J15" s="9"/>
      <c r="K15" s="7">
        <v>126</v>
      </c>
      <c r="L15" s="8">
        <f>IFERROR(K15/K444, "NA")</f>
        <v>8.8837491621249665E-4</v>
      </c>
      <c r="M15" s="9"/>
      <c r="N15" s="10">
        <f t="shared" si="1"/>
        <v>-73</v>
      </c>
      <c r="O15" s="8">
        <f>IFERROR(N15/N444, "NA")</f>
        <v>3.7232721339602705E-3</v>
      </c>
      <c r="P15" s="9"/>
      <c r="Q15" s="7">
        <v>436</v>
      </c>
      <c r="R15" s="8">
        <f>IFERROR(Q15/Q444, "NA")</f>
        <v>4.3070245881810285E-4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436</v>
      </c>
      <c r="X15" s="8">
        <f>IFERROR(W15/W444, "NA")</f>
        <v>-5.3870589499930219E-3</v>
      </c>
      <c r="Y15" s="9"/>
      <c r="Z15" s="7">
        <v>551</v>
      </c>
      <c r="AA15" s="8">
        <f>IFERROR(Z15/Z444, "NA")</f>
        <v>5.7725034998814444E-4</v>
      </c>
      <c r="AB15" s="9"/>
      <c r="AC15" s="10">
        <f t="shared" si="3"/>
        <v>-115</v>
      </c>
      <c r="AD15" s="8">
        <f>IFERROR(AC15/AC444, "NA")</f>
        <v>-1.9904947816150259E-3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80705.25</v>
      </c>
      <c r="C18" s="15">
        <f>IFERROR(B18/B444, "NA")</f>
        <v>0.6602974335981987</v>
      </c>
      <c r="D18" s="2"/>
      <c r="E18" s="14">
        <f>IFERROR(E10+E11+E12+E13+E14+E15+E16+E17, "NA")</f>
        <v>91892.96</v>
      </c>
      <c r="F18" s="15">
        <f>IFERROR(E18/E444, "NA")</f>
        <v>0.58899997064388976</v>
      </c>
      <c r="G18" s="2"/>
      <c r="H18" s="14">
        <f t="shared" si="0"/>
        <v>-11187.710000000006</v>
      </c>
      <c r="I18" s="15">
        <f>IFERROR(H18/H444, "NA")</f>
        <v>0.33109901798244573</v>
      </c>
      <c r="J18" s="2"/>
      <c r="K18" s="14">
        <f>IFERROR(K10+K11+K12+K13+K14+K15+K16+K17, "NA")</f>
        <v>76888.14</v>
      </c>
      <c r="L18" s="15">
        <f>IFERROR(K18/K444, "NA")</f>
        <v>0.54210710262091044</v>
      </c>
      <c r="M18" s="2"/>
      <c r="N18" s="14">
        <f t="shared" si="1"/>
        <v>3817.1100000000006</v>
      </c>
      <c r="O18" s="15">
        <f>IFERROR(N18/N444, "NA")</f>
        <v>-0.19468683966111083</v>
      </c>
      <c r="P18" s="2"/>
      <c r="Q18" s="14">
        <f>IFERROR(Q10+Q11+Q12+Q13+Q14+Q15+Q16+Q17, "NA")</f>
        <v>620663.19000000006</v>
      </c>
      <c r="R18" s="15">
        <f>IFERROR(Q18/Q444, "NA")</f>
        <v>0.61312193126350312</v>
      </c>
      <c r="S18" s="2"/>
      <c r="T18" s="14">
        <f>IFERROR(T10+T11+T12+T13+T14+T15+T16+T17, "NA")</f>
        <v>643915.07999999996</v>
      </c>
      <c r="U18" s="15">
        <f>IFERROR(T18/T444, "NA")</f>
        <v>0.58899997911701407</v>
      </c>
      <c r="V18" s="2"/>
      <c r="W18" s="14">
        <f t="shared" si="2"/>
        <v>-23251.889999999898</v>
      </c>
      <c r="X18" s="15">
        <f>IFERROR(W18/W444, "NA")</f>
        <v>0.28729197735952455</v>
      </c>
      <c r="Y18" s="2"/>
      <c r="Z18" s="14">
        <f>IFERROR(Z10+Z11+Z12+Z13+Z14+Z15+Z16+Z17, "NA")</f>
        <v>580218.96</v>
      </c>
      <c r="AA18" s="15">
        <f>IFERROR(Z18/Z444, "NA")</f>
        <v>0.60786133889248117</v>
      </c>
      <c r="AB18" s="2"/>
      <c r="AC18" s="14">
        <f t="shared" si="3"/>
        <v>40444.230000000098</v>
      </c>
      <c r="AD18" s="15">
        <f>IFERROR(AC18/AC444, "NA")</f>
        <v>0.70003503270815726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12949.26</v>
      </c>
      <c r="F21" s="8">
        <f>IFERROR(E21/E444, "NA")</f>
        <v>8.2999979104602745E-2</v>
      </c>
      <c r="G21" s="9"/>
      <c r="H21" s="10">
        <f t="shared" ref="H21:H29" si="4">IFERROR(B21-E21, "NA")</f>
        <v>-12949.26</v>
      </c>
      <c r="I21" s="8">
        <f>IFERROR(H21/H444, "NA")</f>
        <v>0.38323189192420637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90738.46</v>
      </c>
      <c r="U21" s="8">
        <f>IFERROR(T21/T444, "NA")</f>
        <v>8.2999999076135977E-2</v>
      </c>
      <c r="V21" s="9"/>
      <c r="W21" s="10">
        <f t="shared" ref="W21:W29" si="6">IFERROR(Q21-T21, "NA")</f>
        <v>-90738.46</v>
      </c>
      <c r="X21" s="8">
        <f>IFERROR(W21/W444, "NA")</f>
        <v>1.1211317271825318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8993.6</v>
      </c>
      <c r="C22" s="8">
        <f>IFERROR(B22/B444, "NA")</f>
        <v>7.358196646201777E-2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8993.6</v>
      </c>
      <c r="I22" s="8">
        <f>IFERROR(H22/H444, "NA")</f>
        <v>-0.26616457953655592</v>
      </c>
      <c r="J22" s="9"/>
      <c r="K22" s="7">
        <v>10109.719999999999</v>
      </c>
      <c r="L22" s="8">
        <f>IFERROR(K22/K444, "NA")</f>
        <v>7.1279536967712706E-2</v>
      </c>
      <c r="M22" s="9"/>
      <c r="N22" s="10">
        <f t="shared" si="5"/>
        <v>-1116.119999999999</v>
      </c>
      <c r="O22" s="8">
        <f>IFERROR(N22/N444, "NA")</f>
        <v>5.6926280741859361E-2</v>
      </c>
      <c r="P22" s="9"/>
      <c r="Q22" s="7">
        <v>72740.490000000005</v>
      </c>
      <c r="R22" s="8">
        <f>IFERROR(Q22/Q444, "NA")</f>
        <v>7.1856669492278952E-2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72740.490000000005</v>
      </c>
      <c r="X22" s="8">
        <f>IFERROR(W22/W444, "NA")</f>
        <v>-0.89875529284719713</v>
      </c>
      <c r="Y22" s="9"/>
      <c r="Z22" s="7">
        <v>66605.789999999994</v>
      </c>
      <c r="AA22" s="8">
        <f>IFERROR(Z22/Z444, "NA")</f>
        <v>6.9778975660139464E-2</v>
      </c>
      <c r="AB22" s="9"/>
      <c r="AC22" s="10">
        <f t="shared" si="7"/>
        <v>6134.7000000000116</v>
      </c>
      <c r="AD22" s="8">
        <f>IFERROR(AC22/AC444, "NA")</f>
        <v>0.10618337684151063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1063.55</v>
      </c>
      <c r="C24" s="8">
        <f>IFERROR(B24/B444, "NA")</f>
        <v>8.701532248563312E-3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1063.55</v>
      </c>
      <c r="I24" s="8">
        <f>IFERROR(H24/H444, "NA")</f>
        <v>-3.1475642519803421E-2</v>
      </c>
      <c r="J24" s="9"/>
      <c r="K24" s="7">
        <v>1425.05</v>
      </c>
      <c r="L24" s="8">
        <f>IFERROR(K24/K444, "NA")</f>
        <v>1.0047449796417605E-2</v>
      </c>
      <c r="M24" s="9"/>
      <c r="N24" s="10">
        <f t="shared" si="5"/>
        <v>-361.5</v>
      </c>
      <c r="O24" s="8">
        <f>IFERROR(N24/N444, "NA")</f>
        <v>1.8437847622282708E-2</v>
      </c>
      <c r="P24" s="9"/>
      <c r="Q24" s="7">
        <v>8447.82</v>
      </c>
      <c r="R24" s="8">
        <f>IFERROR(Q24/Q444, "NA")</f>
        <v>8.3451762514971228E-3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8447.82</v>
      </c>
      <c r="X24" s="8">
        <f>IFERROR(W24/W444, "NA")</f>
        <v>-0.10437822096084874</v>
      </c>
      <c r="Y24" s="9"/>
      <c r="Z24" s="7">
        <v>4108.6899999999996</v>
      </c>
      <c r="AA24" s="8">
        <f>IFERROR(Z24/Z444, "NA")</f>
        <v>4.3044332858308328E-3</v>
      </c>
      <c r="AB24" s="9"/>
      <c r="AC24" s="10">
        <f t="shared" si="7"/>
        <v>4339.13</v>
      </c>
      <c r="AD24" s="8">
        <f>IFERROR(AC24/AC444, "NA")</f>
        <v>7.5104483667384425E-2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862.56</v>
      </c>
      <c r="C28" s="8">
        <f>IFERROR(B28/B444, "NA")</f>
        <v>7.057114057938762E-3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862.56</v>
      </c>
      <c r="I28" s="8">
        <f>IFERROR(H28/H444, "NA")</f>
        <v>-2.5527366096452106E-2</v>
      </c>
      <c r="J28" s="9"/>
      <c r="K28" s="7">
        <v>910.57</v>
      </c>
      <c r="L28" s="8">
        <f>IFERROR(K28/K444, "NA")</f>
        <v>6.4200599004413739E-3</v>
      </c>
      <c r="M28" s="9"/>
      <c r="N28" s="10">
        <f t="shared" si="5"/>
        <v>-48.010000000000105</v>
      </c>
      <c r="O28" s="8">
        <f>IFERROR(N28/N444, "NA")</f>
        <v>2.4486889746771641E-3</v>
      </c>
      <c r="P28" s="9"/>
      <c r="Q28" s="7">
        <v>8020.61</v>
      </c>
      <c r="R28" s="8">
        <f>IFERROR(Q28/Q444, "NA")</f>
        <v>7.9231569913327145E-3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8020.61</v>
      </c>
      <c r="X28" s="8">
        <f>IFERROR(W28/W444, "NA")</f>
        <v>-9.9099768084641132E-2</v>
      </c>
      <c r="Y28" s="9"/>
      <c r="Z28" s="7">
        <v>7899.66</v>
      </c>
      <c r="AA28" s="8">
        <f>IFERROR(Z28/Z444, "NA")</f>
        <v>8.2760099814652346E-3</v>
      </c>
      <c r="AB28" s="9"/>
      <c r="AC28" s="10">
        <f t="shared" si="7"/>
        <v>120.94999999999982</v>
      </c>
      <c r="AD28" s="8">
        <f>IFERROR(AC28/AC444, "NA")</f>
        <v>2.0934812507507569E-3</v>
      </c>
    </row>
    <row r="29" spans="1:30" ht="16.5" customHeight="1" x14ac:dyDescent="0.45">
      <c r="A29" s="13" t="s">
        <v>30</v>
      </c>
      <c r="B29" s="14">
        <f>IFERROR(B21+B22+B23+B24+B25+B26+B27+B28, "NA")</f>
        <v>10919.71</v>
      </c>
      <c r="C29" s="15">
        <f>IFERROR(B29/B444, "NA")</f>
        <v>8.9340612768519845E-2</v>
      </c>
      <c r="D29" s="2"/>
      <c r="E29" s="14">
        <f>IFERROR(E21+E22+E23+E24+E25+E26+E27+E28, "NA")</f>
        <v>12949.26</v>
      </c>
      <c r="F29" s="15">
        <f>IFERROR(E29/E444, "NA")</f>
        <v>8.2999979104602745E-2</v>
      </c>
      <c r="G29" s="2"/>
      <c r="H29" s="14">
        <f t="shared" si="4"/>
        <v>-2029.5500000000011</v>
      </c>
      <c r="I29" s="15">
        <f>IFERROR(H29/H444, "NA")</f>
        <v>6.0064303771394927E-2</v>
      </c>
      <c r="J29" s="2"/>
      <c r="K29" s="14">
        <f>IFERROR(K21+K22+K23+K24+K25+K26+K27+K28, "NA")</f>
        <v>12445.339999999998</v>
      </c>
      <c r="L29" s="15">
        <f>IFERROR(K29/K444, "NA")</f>
        <v>8.7747046664571685E-2</v>
      </c>
      <c r="M29" s="2"/>
      <c r="N29" s="14">
        <f t="shared" si="5"/>
        <v>-1525.6299999999992</v>
      </c>
      <c r="O29" s="15">
        <f>IFERROR(N29/N444, "NA")</f>
        <v>7.7812817338819243E-2</v>
      </c>
      <c r="P29" s="2"/>
      <c r="Q29" s="14">
        <f>IFERROR(Q21+Q22+Q23+Q24+Q25+Q26+Q27+Q28, "NA")</f>
        <v>89208.92</v>
      </c>
      <c r="R29" s="15">
        <f>IFERROR(Q29/Q444, "NA")</f>
        <v>8.8125002735108787E-2</v>
      </c>
      <c r="S29" s="2"/>
      <c r="T29" s="14">
        <f>IFERROR(T21+T22+T23+T24+T25+T26+T27+T28, "NA")</f>
        <v>90738.46</v>
      </c>
      <c r="U29" s="15">
        <f>IFERROR(T29/T444, "NA")</f>
        <v>8.2999999076135977E-2</v>
      </c>
      <c r="V29" s="2"/>
      <c r="W29" s="14">
        <f t="shared" si="6"/>
        <v>-1529.5400000000081</v>
      </c>
      <c r="X29" s="15">
        <f>IFERROR(W29/W444, "NA")</f>
        <v>1.8898445289844888E-2</v>
      </c>
      <c r="Y29" s="2"/>
      <c r="Z29" s="14">
        <f>IFERROR(Z21+Z22+Z23+Z24+Z25+Z26+Z27+Z28, "NA")</f>
        <v>78614.14</v>
      </c>
      <c r="AA29" s="15">
        <f>IFERROR(Z29/Z444, "NA")</f>
        <v>8.2359418927435535E-2</v>
      </c>
      <c r="AB29" s="2"/>
      <c r="AC29" s="14">
        <f t="shared" si="7"/>
        <v>10594.779999999999</v>
      </c>
      <c r="AD29" s="15">
        <f>IFERROR(AC29/AC444, "NA")</f>
        <v>0.1833813417596456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23558.3</v>
      </c>
      <c r="F31" s="8">
        <f>IFERROR(E31/E444, "NA")</f>
        <v>0.15100001140914329</v>
      </c>
      <c r="G31" s="9"/>
      <c r="H31" s="10">
        <f t="shared" ref="H31:H40" si="8">IFERROR(B31-E31, "NA")</f>
        <v>-23558.3</v>
      </c>
      <c r="I31" s="8">
        <f>IFERROR(H31/H444, "NA")</f>
        <v>0.69720523640100129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165078.41</v>
      </c>
      <c r="U31" s="8">
        <f>IFERROR(T31/T444, "NA")</f>
        <v>0.15100000460102581</v>
      </c>
      <c r="V31" s="9"/>
      <c r="W31" s="10">
        <f t="shared" ref="W31:W40" si="10">IFERROR(Q31-T31, "NA")</f>
        <v>-165078.41</v>
      </c>
      <c r="X31" s="8">
        <f>IFERROR(W31/W444, "NA")</f>
        <v>2.0396493716539394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7745.92</v>
      </c>
      <c r="C33" s="8">
        <f>IFERROR(B33/B444, "NA")</f>
        <v>6.3373957665169983E-2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7745.92</v>
      </c>
      <c r="I33" s="8">
        <f>IFERROR(H33/H444, "NA")</f>
        <v>-0.22923963039536999</v>
      </c>
      <c r="J33" s="9"/>
      <c r="K33" s="7">
        <v>11987.7</v>
      </c>
      <c r="L33" s="8">
        <f>IFERROR(K33/K444, "NA")</f>
        <v>8.4520412564131328E-2</v>
      </c>
      <c r="M33" s="9"/>
      <c r="N33" s="10">
        <f t="shared" si="9"/>
        <v>-4241.7800000000007</v>
      </c>
      <c r="O33" s="8">
        <f>IFERROR(N33/N444, "NA")</f>
        <v>0.21634659277246573</v>
      </c>
      <c r="P33" s="9"/>
      <c r="Q33" s="7">
        <v>78893.45</v>
      </c>
      <c r="R33" s="8">
        <f>IFERROR(Q33/Q444, "NA")</f>
        <v>7.7934869035878568E-2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78893.45</v>
      </c>
      <c r="X33" s="8">
        <f>IFERROR(W33/W444, "NA")</f>
        <v>-0.97477905027139211</v>
      </c>
      <c r="Y33" s="9"/>
      <c r="Z33" s="7">
        <v>58704.67</v>
      </c>
      <c r="AA33" s="8">
        <f>IFERROR(Z33/Z444, "NA")</f>
        <v>6.1501436122392956E-2</v>
      </c>
      <c r="AB33" s="9"/>
      <c r="AC33" s="10">
        <f t="shared" si="11"/>
        <v>20188.78</v>
      </c>
      <c r="AD33" s="8">
        <f>IFERROR(AC33/AC444, "NA")</f>
        <v>0.3494405324971635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1021.91</v>
      </c>
      <c r="C35" s="8">
        <f>IFERROR(B35/B444, "NA")</f>
        <v>8.3608507546700517E-3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1021.91</v>
      </c>
      <c r="I35" s="8">
        <f>IFERROR(H35/H444, "NA")</f>
        <v>-3.0243311407467742E-2</v>
      </c>
      <c r="J35" s="9"/>
      <c r="K35" s="7">
        <v>2003.03</v>
      </c>
      <c r="L35" s="8">
        <f>IFERROR(K35/K444, "NA")</f>
        <v>1.4122552447786645E-2</v>
      </c>
      <c r="M35" s="9"/>
      <c r="N35" s="10">
        <f t="shared" si="9"/>
        <v>-981.12</v>
      </c>
      <c r="O35" s="8">
        <f>IFERROR(N35/N444, "NA")</f>
        <v>5.0040777480426034E-2</v>
      </c>
      <c r="P35" s="9"/>
      <c r="Q35" s="7">
        <v>9141.48</v>
      </c>
      <c r="R35" s="8">
        <f>IFERROR(Q35/Q444, "NA")</f>
        <v>9.0304080578819061E-3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9141.48</v>
      </c>
      <c r="X35" s="8">
        <f>IFERROR(W35/W444, "NA")</f>
        <v>-0.11294883406005093</v>
      </c>
      <c r="Y35" s="9"/>
      <c r="Z35" s="7">
        <v>3394.92</v>
      </c>
      <c r="AA35" s="8">
        <f>IFERROR(Z35/Z444, "NA")</f>
        <v>3.5566583633062634E-3</v>
      </c>
      <c r="AB35" s="9"/>
      <c r="AC35" s="10">
        <f t="shared" si="11"/>
        <v>5746.5599999999995</v>
      </c>
      <c r="AD35" s="8">
        <f>IFERROR(AC35/AC444, "NA")</f>
        <v>9.9465197323805599E-2</v>
      </c>
    </row>
    <row r="36" spans="1:30" ht="16.5" customHeight="1" x14ac:dyDescent="0.45">
      <c r="A36" s="12" t="s">
        <v>36</v>
      </c>
      <c r="B36" s="7">
        <v>5896.75</v>
      </c>
      <c r="C36" s="8">
        <f>IFERROR(B36/B444, "NA")</f>
        <v>4.8244803052715633E-2</v>
      </c>
      <c r="D36" s="9"/>
      <c r="E36" s="7">
        <v>0</v>
      </c>
      <c r="F36" s="8">
        <f>IFERROR(E36/E444, "NA")</f>
        <v>0</v>
      </c>
      <c r="G36" s="9"/>
      <c r="H36" s="10">
        <f t="shared" si="8"/>
        <v>5896.75</v>
      </c>
      <c r="I36" s="8">
        <f>IFERROR(H36/H444, "NA")</f>
        <v>-0.1745136524175176</v>
      </c>
      <c r="J36" s="9"/>
      <c r="K36" s="7">
        <v>26801.82</v>
      </c>
      <c r="L36" s="8">
        <f>IFERROR(K36/K444, "NA")</f>
        <v>0.1889687666416065</v>
      </c>
      <c r="M36" s="9"/>
      <c r="N36" s="10">
        <f t="shared" si="9"/>
        <v>-20905.07</v>
      </c>
      <c r="O36" s="8">
        <f>IFERROR(N36/N444, "NA")</f>
        <v>1.0662365012258743</v>
      </c>
      <c r="P36" s="9"/>
      <c r="Q36" s="7">
        <v>65964.08</v>
      </c>
      <c r="R36" s="8">
        <f>IFERROR(Q36/Q444, "NA")</f>
        <v>6.5162595068059728E-2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65964.08</v>
      </c>
      <c r="X36" s="8">
        <f>IFERROR(W36/W444, "NA")</f>
        <v>-0.81502841179370578</v>
      </c>
      <c r="Y36" s="9"/>
      <c r="Z36" s="7">
        <v>66760.289999999994</v>
      </c>
      <c r="AA36" s="8">
        <f>IFERROR(Z36/Z444, "NA")</f>
        <v>6.9940836239219623E-2</v>
      </c>
      <c r="AB36" s="9"/>
      <c r="AC36" s="10">
        <f t="shared" si="11"/>
        <v>-796.20999999999185</v>
      </c>
      <c r="AD36" s="8">
        <f>IFERROR(AC36/AC444, "NA")</f>
        <v>-1.3781320435388553E-2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16.05</v>
      </c>
      <c r="C39" s="8">
        <f>IFERROR(B39/B444, "NA")</f>
        <v>1.3131455276145095E-4</v>
      </c>
      <c r="D39" s="9"/>
      <c r="E39" s="7">
        <v>0</v>
      </c>
      <c r="F39" s="8">
        <f>IFERROR(E39/E444, "NA")</f>
        <v>0</v>
      </c>
      <c r="G39" s="9"/>
      <c r="H39" s="10">
        <f t="shared" si="8"/>
        <v>16.05</v>
      </c>
      <c r="I39" s="8">
        <f>IFERROR(H39/H444, "NA")</f>
        <v>-4.7499794315532414E-4</v>
      </c>
      <c r="J39" s="9"/>
      <c r="K39" s="7">
        <v>1279.81</v>
      </c>
      <c r="L39" s="8">
        <f>IFERROR(K39/K444, "NA")</f>
        <v>9.0234214406183753E-3</v>
      </c>
      <c r="M39" s="9"/>
      <c r="N39" s="10">
        <f t="shared" si="9"/>
        <v>-1263.76</v>
      </c>
      <c r="O39" s="8">
        <f>IFERROR(N39/N444, "NA")</f>
        <v>6.4456471123474399E-2</v>
      </c>
      <c r="P39" s="9"/>
      <c r="Q39" s="7">
        <v>6889.17</v>
      </c>
      <c r="R39" s="8">
        <f>IFERROR(Q39/Q444, "NA")</f>
        <v>6.8054643537062151E-3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6889.17</v>
      </c>
      <c r="X39" s="8">
        <f>IFERROR(W39/W444, "NA")</f>
        <v>-8.5120102996613364E-2</v>
      </c>
      <c r="Y39" s="9"/>
      <c r="Z39" s="7">
        <v>9461.7099999999991</v>
      </c>
      <c r="AA39" s="8">
        <f>IFERROR(Z39/Z444, "NA")</f>
        <v>9.9124780562365247E-3</v>
      </c>
      <c r="AB39" s="9"/>
      <c r="AC39" s="10">
        <f t="shared" si="11"/>
        <v>-2572.5399999999991</v>
      </c>
      <c r="AD39" s="8">
        <f>IFERROR(AC39/AC444, "NA")</f>
        <v>-4.4527195178225371E-2</v>
      </c>
    </row>
    <row r="40" spans="1:30" ht="16.5" customHeight="1" x14ac:dyDescent="0.45">
      <c r="A40" s="13" t="s">
        <v>40</v>
      </c>
      <c r="B40" s="14">
        <f>IFERROR(B31+B32+B33+B34+B35+B36+B37+B38+B39, "NA")</f>
        <v>14680.63</v>
      </c>
      <c r="C40" s="15">
        <f>IFERROR(B40/B444, "NA")</f>
        <v>0.1201109260253171</v>
      </c>
      <c r="D40" s="2"/>
      <c r="E40" s="14">
        <f>IFERROR(E31+E32+E33+E34+E35+E36+E37+E38+E39, "NA")</f>
        <v>23558.3</v>
      </c>
      <c r="F40" s="15">
        <f>IFERROR(E40/E444, "NA")</f>
        <v>0.15100001140914329</v>
      </c>
      <c r="G40" s="2"/>
      <c r="H40" s="14">
        <f t="shared" si="8"/>
        <v>-8877.67</v>
      </c>
      <c r="I40" s="15">
        <f>IFERROR(H40/H444, "NA")</f>
        <v>0.26273364423749074</v>
      </c>
      <c r="J40" s="2"/>
      <c r="K40" s="14">
        <f>IFERROR(K31+K32+K33+K34+K35+K36+K37+K38+K39, "NA")</f>
        <v>42072.36</v>
      </c>
      <c r="L40" s="15">
        <f>IFERROR(K40/K444, "NA")</f>
        <v>0.29663515309414284</v>
      </c>
      <c r="M40" s="2"/>
      <c r="N40" s="14">
        <f t="shared" si="9"/>
        <v>-27391.730000000003</v>
      </c>
      <c r="O40" s="15">
        <f>IFERROR(N40/N444, "NA")</f>
        <v>1.3970803426022407</v>
      </c>
      <c r="P40" s="2"/>
      <c r="Q40" s="14">
        <f>IFERROR(Q31+Q32+Q33+Q34+Q35+Q36+Q37+Q38+Q39, "NA")</f>
        <v>160888.18000000002</v>
      </c>
      <c r="R40" s="15">
        <f>IFERROR(Q40/Q444, "NA")</f>
        <v>0.15893333651552644</v>
      </c>
      <c r="S40" s="2"/>
      <c r="T40" s="14">
        <f>IFERROR(T31+T32+T33+T34+T35+T36+T37+T38+T39, "NA")</f>
        <v>165078.41</v>
      </c>
      <c r="U40" s="15">
        <f>IFERROR(T40/T444, "NA")</f>
        <v>0.15100000460102581</v>
      </c>
      <c r="V40" s="2"/>
      <c r="W40" s="14">
        <f t="shared" si="10"/>
        <v>-4190.2299999999814</v>
      </c>
      <c r="X40" s="15">
        <f>IFERROR(W40/W444, "NA")</f>
        <v>5.1772972532176977E-2</v>
      </c>
      <c r="Y40" s="2"/>
      <c r="Z40" s="14">
        <f>IFERROR(Z31+Z32+Z33+Z34+Z35+Z36+Z37+Z38+Z39, "NA")</f>
        <v>138321.59</v>
      </c>
      <c r="AA40" s="15">
        <f>IFERROR(Z40/Z444, "NA")</f>
        <v>0.14491140878115538</v>
      </c>
      <c r="AB40" s="2"/>
      <c r="AC40" s="14">
        <f t="shared" si="11"/>
        <v>22566.590000000026</v>
      </c>
      <c r="AD40" s="15">
        <f>IFERROR(AC40/AC444, "NA")</f>
        <v>0.39059721420735549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1485.01</v>
      </c>
      <c r="C43" s="8">
        <f>IFERROR(B43/B444, "NA")</f>
        <v>1.2149746043382073E-2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1485.01</v>
      </c>
      <c r="I43" s="8">
        <f>IFERROR(H43/H444, "NA")</f>
        <v>-4.3948703773525721E-2</v>
      </c>
      <c r="J43" s="9"/>
      <c r="K43" s="7">
        <v>4129</v>
      </c>
      <c r="L43" s="8">
        <f>IFERROR(K43/K444, "NA")</f>
        <v>2.9111904992392055E-2</v>
      </c>
      <c r="M43" s="9"/>
      <c r="N43" s="10">
        <f>IFERROR(B43-K43, "NA")</f>
        <v>-2643.99</v>
      </c>
      <c r="O43" s="8">
        <f>IFERROR(N43/N444, "NA")</f>
        <v>0.13485334643109062</v>
      </c>
      <c r="P43" s="9"/>
      <c r="Q43" s="7">
        <v>21929.22</v>
      </c>
      <c r="R43" s="8">
        <f>IFERROR(Q43/Q444, "NA")</f>
        <v>2.1662772876062199E-2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21929.22</v>
      </c>
      <c r="X43" s="8">
        <f>IFERROR(W43/W444, "NA")</f>
        <v>-0.27094954327377518</v>
      </c>
      <c r="Y43" s="9"/>
      <c r="Z43" s="7">
        <v>17665.25</v>
      </c>
      <c r="AA43" s="8">
        <f>IFERROR(Z43/Z444, "NA")</f>
        <v>1.8506845272464732E-2</v>
      </c>
      <c r="AB43" s="9"/>
      <c r="AC43" s="10">
        <f>IFERROR(Q43-Z43, "NA")</f>
        <v>4263.9700000000012</v>
      </c>
      <c r="AD43" s="8">
        <f>IFERROR(AC43/AC444, "NA")</f>
        <v>7.380356551272195E-2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31047.03</v>
      </c>
      <c r="F46" s="8">
        <f>IFERROR(E46/E444, "NA")</f>
        <v>0.19900000781974989</v>
      </c>
      <c r="G46" s="9"/>
      <c r="H46" s="10">
        <f t="shared" ref="H46:H62" si="12">IFERROR(B46-E46, "NA")</f>
        <v>-31047.03</v>
      </c>
      <c r="I46" s="8">
        <f>IFERROR(H46/H444, "NA")</f>
        <v>0.91883335769979069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217553.66</v>
      </c>
      <c r="U46" s="8">
        <f>IFERROR(T46/T444, "NA")</f>
        <v>0.19900000042991695</v>
      </c>
      <c r="V46" s="9"/>
      <c r="W46" s="10">
        <f t="shared" ref="W46:W62" si="14">IFERROR(Q46-T46, "NA")</f>
        <v>-217553.66</v>
      </c>
      <c r="X46" s="8">
        <f>IFERROR(W46/W444, "NA")</f>
        <v>2.6880146587310527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14582.59</v>
      </c>
      <c r="C48" s="8">
        <f>IFERROR(B48/B444, "NA")</f>
        <v>0.1193088027385425</v>
      </c>
      <c r="D48" s="9"/>
      <c r="E48" s="7">
        <v>0</v>
      </c>
      <c r="F48" s="8">
        <f>IFERROR(E48/E444, "NA")</f>
        <v>0</v>
      </c>
      <c r="G48" s="9"/>
      <c r="H48" s="10">
        <f t="shared" si="12"/>
        <v>14582.59</v>
      </c>
      <c r="I48" s="8">
        <f>IFERROR(H48/H444, "NA")</f>
        <v>-0.43157010940046092</v>
      </c>
      <c r="J48" s="9"/>
      <c r="K48" s="7">
        <v>10621.14</v>
      </c>
      <c r="L48" s="8">
        <f>IFERROR(K48/K444, "NA")</f>
        <v>7.4885352044295209E-2</v>
      </c>
      <c r="M48" s="9"/>
      <c r="N48" s="10">
        <f t="shared" si="13"/>
        <v>3961.4500000000007</v>
      </c>
      <c r="O48" s="8">
        <f>IFERROR(N48/N444, "NA")</f>
        <v>-0.20204871774077968</v>
      </c>
      <c r="P48" s="9"/>
      <c r="Q48" s="7">
        <v>120248.96000000001</v>
      </c>
      <c r="R48" s="8">
        <f>IFERROR(Q48/Q444, "NA")</f>
        <v>0.11878789619798097</v>
      </c>
      <c r="S48" s="9"/>
      <c r="T48" s="7">
        <v>0</v>
      </c>
      <c r="U48" s="8">
        <f>IFERROR(T48/T444, "NA")</f>
        <v>0</v>
      </c>
      <c r="V48" s="9"/>
      <c r="W48" s="10">
        <f t="shared" si="14"/>
        <v>120248.96000000001</v>
      </c>
      <c r="X48" s="8">
        <f>IFERROR(W48/W444, "NA")</f>
        <v>-1.4857528353104426</v>
      </c>
      <c r="Y48" s="9"/>
      <c r="Z48" s="7">
        <v>147229.96</v>
      </c>
      <c r="AA48" s="8">
        <f>IFERROR(Z48/Z444, "NA")</f>
        <v>0.15424418500678855</v>
      </c>
      <c r="AB48" s="9"/>
      <c r="AC48" s="10">
        <f t="shared" si="15"/>
        <v>-26980.999999999985</v>
      </c>
      <c r="AD48" s="8">
        <f>IFERROR(AC48/AC444, "NA")</f>
        <v>-0.4670046930674347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36153.550000000003</v>
      </c>
      <c r="R49" s="8">
        <f>IFERROR(Q49/Q444, "NA")</f>
        <v>3.571427266055785E-2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-0.44670024105853268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0.62576915314659065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1.1508448727593803E-5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-1.4394320359499704E-4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2.0164577570273959E-4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3.240146937897654E-5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-4.0526498522883283E-4</v>
      </c>
      <c r="Y56" s="9"/>
      <c r="Z56" s="7">
        <v>887.25</v>
      </c>
      <c r="AA56" s="8">
        <f>IFERROR(Z56/Z444, "NA")</f>
        <v>9.2951973326130873E-4</v>
      </c>
      <c r="AB56" s="9"/>
      <c r="AC56" s="10">
        <f t="shared" si="15"/>
        <v>-854.45</v>
      </c>
      <c r="AD56" s="8">
        <f>IFERROR(AC56/AC444, "NA")</f>
        <v>-1.4789376227399644E-2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14582.59</v>
      </c>
      <c r="C61" s="15">
        <f>IFERROR(B61/B444, "NA")</f>
        <v>0.1193088027385425</v>
      </c>
      <c r="D61" s="2"/>
      <c r="E61" s="14">
        <f>IFERROR(E46+E47+E48+E49+E50+E51+E52+E53+E54+E55+E56+E57+E58+E59+E60, "NA")</f>
        <v>31047.03</v>
      </c>
      <c r="F61" s="15">
        <f>IFERROR(E61/E444, "NA")</f>
        <v>0.19900000781974989</v>
      </c>
      <c r="G61" s="2"/>
      <c r="H61" s="14">
        <f t="shared" si="12"/>
        <v>-16464.439999999999</v>
      </c>
      <c r="I61" s="15">
        <f>IFERROR(H61/H444, "NA")</f>
        <v>0.48726324829932982</v>
      </c>
      <c r="J61" s="2"/>
      <c r="K61" s="14">
        <f>IFERROR(K46+K47+K48+K49+K50+K51+K52+K53+K54+K55+K56+K57+K58+K59+K60, "NA")</f>
        <v>10621.14</v>
      </c>
      <c r="L61" s="15">
        <f>IFERROR(K61/K444, "NA")</f>
        <v>7.4885352044295209E-2</v>
      </c>
      <c r="M61" s="2"/>
      <c r="N61" s="14">
        <f t="shared" si="13"/>
        <v>3961.4500000000007</v>
      </c>
      <c r="O61" s="15">
        <f>IFERROR(N61/N444, "NA")</f>
        <v>-0.20204871774077968</v>
      </c>
      <c r="P61" s="2"/>
      <c r="Q61" s="14">
        <f>IFERROR(Q46+Q47+Q48+Q49+Q50+Q51+Q52+Q53+Q54+Q55+Q56+Q57+Q58+Q59+Q60, "NA")</f>
        <v>156446.96</v>
      </c>
      <c r="R61" s="15">
        <f>IFERROR(Q61/Q444, "NA")</f>
        <v>0.15454607877664536</v>
      </c>
      <c r="S61" s="2"/>
      <c r="T61" s="14">
        <f>IFERROR(T46+T47+T48+T49+T50+T51+T52+T53+T54+T55+T56+T57+T58+T59+T60, "NA")</f>
        <v>217553.66</v>
      </c>
      <c r="U61" s="15">
        <f>IFERROR(T61/T444, "NA")</f>
        <v>0.19900000042991695</v>
      </c>
      <c r="V61" s="2"/>
      <c r="W61" s="14">
        <f t="shared" si="14"/>
        <v>-61106.700000000012</v>
      </c>
      <c r="X61" s="15">
        <f>IFERROR(W61/W444, "NA")</f>
        <v>0.75501237417325384</v>
      </c>
      <c r="Y61" s="2"/>
      <c r="Z61" s="14">
        <f>IFERROR(Z46+Z47+Z48+Z49+Z50+Z51+Z52+Z53+Z54+Z55+Z56+Z57+Z58+Z59+Z60, "NA")</f>
        <v>148117.21</v>
      </c>
      <c r="AA61" s="15">
        <f>IFERROR(Z61/Z444, "NA")</f>
        <v>0.15517370474004988</v>
      </c>
      <c r="AB61" s="2"/>
      <c r="AC61" s="14">
        <f t="shared" si="15"/>
        <v>8329.75</v>
      </c>
      <c r="AD61" s="15">
        <f>IFERROR(AC61/AC444, "NA")</f>
        <v>0.14417672962745881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16067.6</v>
      </c>
      <c r="C62" s="15">
        <f>IFERROR(B62/B444, "NA")</f>
        <v>0.13145854878192456</v>
      </c>
      <c r="D62" s="2"/>
      <c r="E62" s="14">
        <f>IFERROR(E42+E43+E44+E46+E47+E48+E49+E50+E51+E52+E53+E54+E55+E56+E57+E58+E59+E60, "NA")</f>
        <v>31047.03</v>
      </c>
      <c r="F62" s="15">
        <f>IFERROR(E62/E444, "NA")</f>
        <v>0.19900000781974989</v>
      </c>
      <c r="G62" s="2"/>
      <c r="H62" s="14">
        <f t="shared" si="12"/>
        <v>-14979.429999999998</v>
      </c>
      <c r="I62" s="15">
        <f>IFERROR(H62/H444, "NA")</f>
        <v>0.4433145445258041</v>
      </c>
      <c r="J62" s="2"/>
      <c r="K62" s="14">
        <f>IFERROR(K42+K43+K44+K46+K47+K48+K49+K50+K51+K52+K53+K54+K55+K56+K57+K58+K59+K60, "NA")</f>
        <v>14750.14</v>
      </c>
      <c r="L62" s="15">
        <f>IFERROR(K62/K444, "NA")</f>
        <v>0.10399725703668726</v>
      </c>
      <c r="M62" s="2"/>
      <c r="N62" s="14">
        <f t="shared" si="13"/>
        <v>1317.4600000000009</v>
      </c>
      <c r="O62" s="15">
        <f>IFERROR(N62/N444, "NA")</f>
        <v>-6.7195371309689056E-2</v>
      </c>
      <c r="P62" s="2"/>
      <c r="Q62" s="14">
        <f>IFERROR(Q42+Q43+Q44+Q46+Q47+Q48+Q49+Q50+Q51+Q52+Q53+Q54+Q55+Q56+Q57+Q58+Q59+Q60, "NA")</f>
        <v>178376.17999999996</v>
      </c>
      <c r="R62" s="15">
        <f>IFERROR(Q62/Q444, "NA")</f>
        <v>0.17620885165270753</v>
      </c>
      <c r="S62" s="2"/>
      <c r="T62" s="14">
        <f>IFERROR(T42+T43+T44+T46+T47+T48+T49+T50+T51+T52+T53+T54+T55+T56+T57+T58+T59+T60, "NA")</f>
        <v>217553.66</v>
      </c>
      <c r="U62" s="15">
        <f>IFERROR(T62/T444, "NA")</f>
        <v>0.19900000042991695</v>
      </c>
      <c r="V62" s="2"/>
      <c r="W62" s="14">
        <f t="shared" si="14"/>
        <v>-39177.48000000004</v>
      </c>
      <c r="X62" s="15">
        <f>IFERROR(W62/W444, "NA")</f>
        <v>0.48406283089947899</v>
      </c>
      <c r="Y62" s="2"/>
      <c r="Z62" s="14">
        <f>IFERROR(Z42+Z43+Z44+Z46+Z47+Z48+Z49+Z50+Z51+Z52+Z53+Z54+Z55+Z56+Z57+Z58+Z59+Z60, "NA")</f>
        <v>165782.46</v>
      </c>
      <c r="AA62" s="15">
        <f>IFERROR(Z62/Z444, "NA")</f>
        <v>0.17368055001251459</v>
      </c>
      <c r="AB62" s="2"/>
      <c r="AC62" s="14">
        <f t="shared" si="15"/>
        <v>12593.719999999972</v>
      </c>
      <c r="AD62" s="15">
        <f>IFERROR(AC62/AC444, "NA")</f>
        <v>0.21798029514018027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6476.89</v>
      </c>
      <c r="C65" s="8">
        <f>IFERROR(B65/B444, "NA")</f>
        <v>5.2991271877577205E-2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6476.89</v>
      </c>
      <c r="I65" s="8">
        <f>IFERROR(H65/H444, "NA")</f>
        <v>-0.19168283040768144</v>
      </c>
      <c r="J65" s="9"/>
      <c r="K65" s="7">
        <v>326.89</v>
      </c>
      <c r="L65" s="8">
        <f>IFERROR(K65/K444, "NA")</f>
        <v>2.3047688600055798E-3</v>
      </c>
      <c r="M65" s="9"/>
      <c r="N65" s="10">
        <f t="shared" si="17"/>
        <v>6150</v>
      </c>
      <c r="O65" s="8">
        <f>IFERROR(N65/N444, "NA")</f>
        <v>-0.3136729263541872</v>
      </c>
      <c r="P65" s="9"/>
      <c r="Q65" s="7">
        <v>13834.06</v>
      </c>
      <c r="R65" s="8">
        <f>IFERROR(Q65/Q444, "NA")</f>
        <v>1.3665971691369641E-2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13834.06</v>
      </c>
      <c r="X65" s="8">
        <f>IFERROR(W65/W444, "NA")</f>
        <v>-0.17092866224252401</v>
      </c>
      <c r="Y65" s="9"/>
      <c r="Z65" s="7">
        <v>2104.2800000000002</v>
      </c>
      <c r="AA65" s="8">
        <f>IFERROR(Z65/Z444, "NA")</f>
        <v>2.2045306106588977E-3</v>
      </c>
      <c r="AB65" s="9"/>
      <c r="AC65" s="10">
        <f t="shared" si="19"/>
        <v>11729.779999999999</v>
      </c>
      <c r="AD65" s="8">
        <f>IFERROR(AC65/AC444, "NA")</f>
        <v>0.20302665982167215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11.85</v>
      </c>
      <c r="R66" s="8">
        <f>IFERROR(Q66/Q444, "NA")</f>
        <v>1.1706018662831464E-5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-1.4641433155370944E-4</v>
      </c>
      <c r="Y66" s="9"/>
      <c r="Z66" s="7">
        <v>12322.44</v>
      </c>
      <c r="AA66" s="8">
        <f>IFERROR(Z66/Z444, "NA")</f>
        <v>1.2909496919615083E-2</v>
      </c>
      <c r="AB66" s="9"/>
      <c r="AC66" s="10">
        <f t="shared" si="19"/>
        <v>-12310.59</v>
      </c>
      <c r="AD66" s="8">
        <f>IFERROR(AC66/AC444, "NA")</f>
        <v>-0.21307969698784454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6476.89</v>
      </c>
      <c r="C73" s="15">
        <f>IFERROR(B73/B444, "NA")</f>
        <v>5.2991271877577205E-2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6476.89</v>
      </c>
      <c r="I73" s="15">
        <f>IFERROR(H73/H444, "NA")</f>
        <v>-0.19168283040768144</v>
      </c>
      <c r="J73" s="2"/>
      <c r="K73" s="14">
        <f>IFERROR(K64+K65+K66+K67+K68+K69+K70+K71+K72, "NA")</f>
        <v>326.89</v>
      </c>
      <c r="L73" s="15">
        <f>IFERROR(K73/K444, "NA")</f>
        <v>2.3047688600055798E-3</v>
      </c>
      <c r="M73" s="2"/>
      <c r="N73" s="14">
        <f t="shared" si="17"/>
        <v>6150</v>
      </c>
      <c r="O73" s="15">
        <f>IFERROR(N73/N444, "NA")</f>
        <v>-0.3136729263541872</v>
      </c>
      <c r="P73" s="2"/>
      <c r="Q73" s="14">
        <f>IFERROR(Q64+Q65+Q66+Q67+Q68+Q69+Q70+Q71+Q72, "NA")</f>
        <v>13845.91</v>
      </c>
      <c r="R73" s="15">
        <f>IFERROR(Q73/Q444, "NA")</f>
        <v>1.3677677710032473E-2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13845.91</v>
      </c>
      <c r="X73" s="15">
        <f>IFERROR(W73/W444, "NA")</f>
        <v>-0.17107507657407772</v>
      </c>
      <c r="Y73" s="2"/>
      <c r="Z73" s="14">
        <f>IFERROR(Z64+Z65+Z66+Z67+Z68+Z69+Z70+Z71+Z72, "NA")</f>
        <v>14426.720000000001</v>
      </c>
      <c r="AA73" s="15">
        <f>IFERROR(Z73/Z444, "NA")</f>
        <v>1.5114027530273981E-2</v>
      </c>
      <c r="AB73" s="2"/>
      <c r="AC73" s="14">
        <f t="shared" si="19"/>
        <v>-580.81000000000131</v>
      </c>
      <c r="AD73" s="15">
        <f>IFERROR(AC73/AC444, "NA")</f>
        <v>-1.00530371661724E-2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2028.2</v>
      </c>
      <c r="F75" s="8">
        <f>IFERROR(E75/E444, "NA")</f>
        <v>1.300001371661047E-2</v>
      </c>
      <c r="G75" s="9"/>
      <c r="H75" s="10">
        <f t="shared" ref="H75:H92" si="20">IFERROR(B75-E75, "NA")</f>
        <v>-2028.2</v>
      </c>
      <c r="I75" s="8">
        <f>IFERROR(H75/H444, "NA")</f>
        <v>6.002435067337248E-2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14212.05</v>
      </c>
      <c r="U75" s="8">
        <f>IFERROR(T75/T444, "NA")</f>
        <v>1.3000001728814862E-2</v>
      </c>
      <c r="V75" s="9"/>
      <c r="W75" s="10">
        <f t="shared" ref="W75:W92" si="22">IFERROR(Q75-T75, "NA")</f>
        <v>-14212.05</v>
      </c>
      <c r="X75" s="8">
        <f>IFERROR(W75/W444, "NA")</f>
        <v>0.17559897052809248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151.49</v>
      </c>
      <c r="C77" s="8">
        <f>IFERROR(B77/B444, "NA")</f>
        <v>1.2394293830425051E-3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151.49</v>
      </c>
      <c r="I77" s="8">
        <f>IFERROR(H77/H444, "NA")</f>
        <v>-4.4833294958629318E-3</v>
      </c>
      <c r="J77" s="9"/>
      <c r="K77" s="7">
        <v>113.49</v>
      </c>
      <c r="L77" s="8">
        <f>IFERROR(K77/K444, "NA")</f>
        <v>8.0017197810282738E-4</v>
      </c>
      <c r="M77" s="9"/>
      <c r="N77" s="10">
        <f t="shared" si="21"/>
        <v>38.000000000000014</v>
      </c>
      <c r="O77" s="8">
        <f>IFERROR(N77/N444, "NA")</f>
        <v>-1.9381416587738402E-3</v>
      </c>
      <c r="P77" s="9"/>
      <c r="Q77" s="7">
        <v>2393.83</v>
      </c>
      <c r="R77" s="8">
        <f>IFERROR(Q77/Q444, "NA")</f>
        <v>2.3647441903498602E-3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2393.83</v>
      </c>
      <c r="X77" s="8">
        <f>IFERROR(W77/W444, "NA")</f>
        <v>-2.9577301207022469E-2</v>
      </c>
      <c r="Y77" s="9"/>
      <c r="Z77" s="7">
        <v>687.57</v>
      </c>
      <c r="AA77" s="8">
        <f>IFERROR(Z77/Z444, "NA")</f>
        <v>7.2032672076469779E-4</v>
      </c>
      <c r="AB77" s="9"/>
      <c r="AC77" s="10">
        <f t="shared" si="23"/>
        <v>1706.2599999999998</v>
      </c>
      <c r="AD77" s="8">
        <f>IFERROR(AC77/AC444, "NA")</f>
        <v>2.953305761807351E-2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5.0479118453222605E-6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-6.3137319345101702E-5</v>
      </c>
      <c r="Y79" s="9"/>
      <c r="Z79" s="7">
        <v>17.940000000000001</v>
      </c>
      <c r="AA79" s="8">
        <f>IFERROR(Z79/Z444, "NA")</f>
        <v>1.8794684716492398E-5</v>
      </c>
      <c r="AB79" s="9"/>
      <c r="AC79" s="10">
        <f t="shared" si="23"/>
        <v>-12.830000000000002</v>
      </c>
      <c r="AD79" s="8">
        <f>IFERROR(AC79/AC444, "NA")</f>
        <v>-2.2206998302713729E-4</v>
      </c>
    </row>
    <row r="80" spans="1:30" ht="16.5" customHeight="1" x14ac:dyDescent="0.45">
      <c r="A80" s="12" t="s">
        <v>76</v>
      </c>
      <c r="B80" s="7">
        <v>1339.56</v>
      </c>
      <c r="C80" s="8">
        <f>IFERROR(B80/B444, "NA")</f>
        <v>1.0959733476456649E-2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1339.56</v>
      </c>
      <c r="I80" s="8">
        <f>IFERROR(H80/H444, "NA")</f>
        <v>-3.9644127397703795E-2</v>
      </c>
      <c r="J80" s="9"/>
      <c r="K80" s="7">
        <v>1119.21</v>
      </c>
      <c r="L80" s="8">
        <f>IFERROR(K80/K444, "NA")</f>
        <v>7.8910959521760991E-3</v>
      </c>
      <c r="M80" s="9"/>
      <c r="N80" s="10">
        <f t="shared" si="21"/>
        <v>220.34999999999991</v>
      </c>
      <c r="O80" s="8">
        <f>IFERROR(N80/N444, "NA")</f>
        <v>-1.123867143449514E-2</v>
      </c>
      <c r="P80" s="9"/>
      <c r="Q80" s="7">
        <v>10440.41</v>
      </c>
      <c r="R80" s="8">
        <f>IFERROR(Q80/Q444, "NA")</f>
        <v>1.0313555637773187E-2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10440.41</v>
      </c>
      <c r="X80" s="8">
        <f>IFERROR(W80/W444, "NA")</f>
        <v>-0.1289979452571024</v>
      </c>
      <c r="Y80" s="9"/>
      <c r="Z80" s="7">
        <v>12434.48</v>
      </c>
      <c r="AA80" s="8">
        <f>IFERROR(Z80/Z444, "NA")</f>
        <v>1.3026874649583632E-2</v>
      </c>
      <c r="AB80" s="9"/>
      <c r="AC80" s="10">
        <f t="shared" si="23"/>
        <v>-1994.0699999999997</v>
      </c>
      <c r="AD80" s="8">
        <f>IFERROR(AC80/AC444, "NA")</f>
        <v>-3.4514660253696303E-2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1491.05</v>
      </c>
      <c r="C88" s="15">
        <f>IFERROR(B88/B444, "NA")</f>
        <v>1.2199162859499155E-2</v>
      </c>
      <c r="D88" s="2"/>
      <c r="E88" s="14">
        <f>IFERROR(E75+E76+E77+E78+E79+E80+E81+E82+E83+E84+E85+E86+E87, "NA")</f>
        <v>2028.2</v>
      </c>
      <c r="F88" s="15">
        <f>IFERROR(E88/E444, "NA")</f>
        <v>1.300001371661047E-2</v>
      </c>
      <c r="G88" s="2"/>
      <c r="H88" s="14">
        <f t="shared" si="20"/>
        <v>-537.15000000000009</v>
      </c>
      <c r="I88" s="15">
        <f>IFERROR(H88/H444, "NA")</f>
        <v>1.5896893779805757E-2</v>
      </c>
      <c r="J88" s="2"/>
      <c r="K88" s="14">
        <f>IFERROR(K75+K76+K77+K78+K79+K80+K81+K82+K83+K84+K85+K86+K87, "NA")</f>
        <v>1232.7</v>
      </c>
      <c r="L88" s="15">
        <f>IFERROR(K88/K444, "NA")</f>
        <v>8.6912679302789259E-3</v>
      </c>
      <c r="M88" s="2"/>
      <c r="N88" s="14">
        <f t="shared" si="21"/>
        <v>258.34999999999991</v>
      </c>
      <c r="O88" s="15">
        <f>IFERROR(N88/N444, "NA")</f>
        <v>-1.317681309326898E-2</v>
      </c>
      <c r="P88" s="2"/>
      <c r="Q88" s="14">
        <f>IFERROR(Q75+Q76+Q77+Q78+Q79+Q80+Q81+Q82+Q83+Q84+Q85+Q86+Q87, "NA")</f>
        <v>12839.35</v>
      </c>
      <c r="R88" s="15">
        <f>IFERROR(Q88/Q444, "NA")</f>
        <v>1.2683347739968369E-2</v>
      </c>
      <c r="S88" s="2"/>
      <c r="T88" s="14">
        <f>IFERROR(T75+T76+T77+T78+T79+T80+T81+T82+T83+T84+T85+T86+T87, "NA")</f>
        <v>14212.05</v>
      </c>
      <c r="U88" s="15">
        <f>IFERROR(T88/T444, "NA")</f>
        <v>1.3000001728814862E-2</v>
      </c>
      <c r="V88" s="2"/>
      <c r="W88" s="14">
        <f t="shared" si="22"/>
        <v>-1372.6999999999989</v>
      </c>
      <c r="X88" s="15">
        <f>IFERROR(W88/W444, "NA")</f>
        <v>1.6960586744622513E-2</v>
      </c>
      <c r="Y88" s="2"/>
      <c r="Z88" s="14">
        <f>IFERROR(Z75+Z76+Z77+Z78+Z79+Z80+Z81+Z82+Z83+Z84+Z85+Z86+Z87, "NA")</f>
        <v>13139.99</v>
      </c>
      <c r="AA88" s="15">
        <f>IFERROR(Z88/Z444, "NA")</f>
        <v>1.3765996055064823E-2</v>
      </c>
      <c r="AB88" s="2"/>
      <c r="AC88" s="14">
        <f t="shared" si="23"/>
        <v>-300.63999999999942</v>
      </c>
      <c r="AD88" s="15">
        <f>IFERROR(AC88/AC444, "NA")</f>
        <v>-5.2036726186499155E-3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-39.799999999999997</v>
      </c>
      <c r="L89" s="8">
        <f>IFERROR(K89/K444, "NA")</f>
        <v>-2.8061366400997909E-4</v>
      </c>
      <c r="M89" s="9"/>
      <c r="N89" s="10">
        <f t="shared" si="21"/>
        <v>39.799999999999997</v>
      </c>
      <c r="O89" s="8">
        <f>IFERROR(N89/N444, "NA")</f>
        <v>-2.0299483689262842E-3</v>
      </c>
      <c r="P89" s="9"/>
      <c r="Q89" s="7">
        <v>121.65</v>
      </c>
      <c r="R89" s="8">
        <f>IFERROR(Q89/Q444, "NA")</f>
        <v>1.2017191310830784E-4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121.65</v>
      </c>
      <c r="X89" s="8">
        <f>IFERROR(W89/W444, "NA")</f>
        <v>-1.5030635808868146E-3</v>
      </c>
      <c r="Y89" s="9"/>
      <c r="Z89" s="7">
        <v>1317.44</v>
      </c>
      <c r="AA89" s="8">
        <f>IFERROR(Z89/Z444, "NA")</f>
        <v>1.3802045391803647E-3</v>
      </c>
      <c r="AB89" s="9"/>
      <c r="AC89" s="10">
        <f t="shared" si="23"/>
        <v>-1195.79</v>
      </c>
      <c r="AD89" s="8">
        <f>IFERROR(AC89/AC444, "NA")</f>
        <v>-2.0697510912238537E-2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-5460.53</v>
      </c>
      <c r="F94" s="8">
        <f>IFERROR(E94/E444, "NA")</f>
        <v>-3.4999982693996137E-2</v>
      </c>
      <c r="G94" s="9"/>
      <c r="H94" s="10">
        <f t="shared" ref="H94:H124" si="24">IFERROR(B94-E94, "NA")</f>
        <v>5460.53</v>
      </c>
      <c r="I94" s="8">
        <f>IFERROR(H94/H444, "NA")</f>
        <v>-0.16160377062541692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-38263.19</v>
      </c>
      <c r="U94" s="8">
        <f>IFERROR(T94/T444, "NA")</f>
        <v>-3.4999984952907681E-2</v>
      </c>
      <c r="V94" s="9"/>
      <c r="W94" s="10">
        <f t="shared" ref="W94:W124" si="26">IFERROR(Q94-T94, "NA")</f>
        <v>38263.19</v>
      </c>
      <c r="X94" s="8">
        <f>IFERROR(W94/W444, "NA")</f>
        <v>-0.47276619299262274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-2131.25</v>
      </c>
      <c r="C96" s="8">
        <f>IFERROR(B96/B444, "NA")</f>
        <v>-1.7437018104226938E-2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-2131.25</v>
      </c>
      <c r="I96" s="8">
        <f>IFERROR(H96/H444, "NA")</f>
        <v>6.3074103822416475E-2</v>
      </c>
      <c r="J96" s="9"/>
      <c r="K96" s="7">
        <v>-283.66000000000003</v>
      </c>
      <c r="L96" s="8">
        <f>IFERROR(K96/K444, "NA")</f>
        <v>-1.9999716566098161E-3</v>
      </c>
      <c r="M96" s="9"/>
      <c r="N96" s="10">
        <f t="shared" si="25"/>
        <v>-1847.59</v>
      </c>
      <c r="O96" s="8">
        <f>IFERROR(N96/N444, "NA")</f>
        <v>9.4233977561419949E-2</v>
      </c>
      <c r="P96" s="9"/>
      <c r="Q96" s="7">
        <v>-15194.97</v>
      </c>
      <c r="R96" s="8">
        <f>IFERROR(Q96/Q444, "NA")</f>
        <v>-1.5010346194191074E-2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-15194.97</v>
      </c>
      <c r="X96" s="8">
        <f>IFERROR(W96/W444, "NA")</f>
        <v>0.18774357599398042</v>
      </c>
      <c r="Y96" s="9"/>
      <c r="Z96" s="7">
        <v>-945.91</v>
      </c>
      <c r="AA96" s="8">
        <f>IFERROR(Z96/Z444, "NA")</f>
        <v>-9.9097437124734248E-4</v>
      </c>
      <c r="AB96" s="9"/>
      <c r="AC96" s="10">
        <f t="shared" si="27"/>
        <v>-14249.06</v>
      </c>
      <c r="AD96" s="8">
        <f>IFERROR(AC96/AC444, "NA")</f>
        <v>-0.24663199628625568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-3007.47</v>
      </c>
      <c r="C98" s="8">
        <f>IFERROR(B98/B444, "NA")</f>
        <v>-2.4605892709874198E-2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-3007.47</v>
      </c>
      <c r="I98" s="8">
        <f>IFERROR(H98/H444, "NA")</f>
        <v>8.9005736081080533E-2</v>
      </c>
      <c r="J98" s="9"/>
      <c r="K98" s="7">
        <v>-3779.01</v>
      </c>
      <c r="L98" s="8">
        <f>IFERROR(K98/K444, "NA")</f>
        <v>-2.6644267397747518E-2</v>
      </c>
      <c r="M98" s="9"/>
      <c r="N98" s="10">
        <f t="shared" si="25"/>
        <v>771.54000000000042</v>
      </c>
      <c r="O98" s="8">
        <f>IFERROR(N98/N444, "NA")</f>
        <v>-3.935141619500971E-2</v>
      </c>
      <c r="P98" s="9"/>
      <c r="Q98" s="7">
        <v>-23332.2</v>
      </c>
      <c r="R98" s="8">
        <f>IFERROR(Q98/Q444, "NA")</f>
        <v>-2.3048706214760871E-2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-23332.2</v>
      </c>
      <c r="X98" s="8">
        <f>IFERROR(W98/W444, "NA")</f>
        <v>0.28828425879134678</v>
      </c>
      <c r="Y98" s="9"/>
      <c r="Z98" s="7">
        <v>-19567.41</v>
      </c>
      <c r="AA98" s="8">
        <f>IFERROR(Z98/Z444, "NA")</f>
        <v>-2.049962662588297E-2</v>
      </c>
      <c r="AB98" s="9"/>
      <c r="AC98" s="10">
        <f t="shared" si="27"/>
        <v>-3764.7900000000009</v>
      </c>
      <c r="AD98" s="8">
        <f>IFERROR(AC98/AC444, "NA")</f>
        <v>-6.5163433468490739E-2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-123.55</v>
      </c>
      <c r="C100" s="8">
        <f>IFERROR(B100/B444, "NA")</f>
        <v>-1.0108357005406395E-3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-123.55</v>
      </c>
      <c r="I100" s="8">
        <f>IFERROR(H100/H444, "NA")</f>
        <v>3.6564483412361553E-3</v>
      </c>
      <c r="J100" s="9"/>
      <c r="K100" s="7">
        <v>-99.72</v>
      </c>
      <c r="L100" s="8">
        <f>IFERROR(K100/K444, "NA")</f>
        <v>-7.0308529083103308E-4</v>
      </c>
      <c r="M100" s="9"/>
      <c r="N100" s="10">
        <f t="shared" si="25"/>
        <v>-23.83</v>
      </c>
      <c r="O100" s="8">
        <f>IFERROR(N100/N444, "NA")</f>
        <v>1.2154188349626472E-3</v>
      </c>
      <c r="P100" s="9"/>
      <c r="Q100" s="7">
        <v>-1584.34</v>
      </c>
      <c r="R100" s="8">
        <f>IFERROR(Q100/Q444, "NA")</f>
        <v>-1.5650897559721859E-3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-1584.34</v>
      </c>
      <c r="X100" s="8">
        <f>IFERROR(W100/W444, "NA")</f>
        <v>1.9575534350531984E-2</v>
      </c>
      <c r="Y100" s="9"/>
      <c r="Z100" s="7">
        <v>-4780.76</v>
      </c>
      <c r="AA100" s="8">
        <f>IFERROR(Z100/Z444, "NA")</f>
        <v>-5.008521566623088E-3</v>
      </c>
      <c r="AB100" s="9"/>
      <c r="AC100" s="10">
        <f t="shared" si="27"/>
        <v>3196.42</v>
      </c>
      <c r="AD100" s="8">
        <f>IFERROR(AC100/AC444, "NA")</f>
        <v>5.5325715911738273E-2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-950.5</v>
      </c>
      <c r="C102" s="8">
        <f>IFERROR(B102/B444, "NA")</f>
        <v>-7.7766032647825006E-3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-950.5</v>
      </c>
      <c r="I102" s="8">
        <f>IFERROR(H102/H444, "NA")</f>
        <v>2.8129940496519349E-2</v>
      </c>
      <c r="J102" s="9"/>
      <c r="K102" s="7">
        <v>-473.23</v>
      </c>
      <c r="L102" s="8">
        <f>IFERROR(K102/K444, "NA")</f>
        <v>-3.3365528698352368E-3</v>
      </c>
      <c r="M102" s="9"/>
      <c r="N102" s="10">
        <f t="shared" si="25"/>
        <v>-477.27</v>
      </c>
      <c r="O102" s="8">
        <f>IFERROR(N102/N444, "NA")</f>
        <v>2.4342549196920797E-2</v>
      </c>
      <c r="P102" s="9"/>
      <c r="Q102" s="7">
        <v>-12492.33</v>
      </c>
      <c r="R102" s="8">
        <f>IFERROR(Q102/Q444, "NA")</f>
        <v>-1.2340544145337503E-2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-12492.33</v>
      </c>
      <c r="X102" s="8">
        <f>IFERROR(W102/W444, "NA")</f>
        <v>0.15435072966230809</v>
      </c>
      <c r="Y102" s="9"/>
      <c r="Z102" s="7">
        <v>-3697.92</v>
      </c>
      <c r="AA102" s="8">
        <f>IFERROR(Z102/Z444, "NA")</f>
        <v>-3.8740936737353157E-3</v>
      </c>
      <c r="AB102" s="9"/>
      <c r="AC102" s="10">
        <f t="shared" si="27"/>
        <v>-8794.41</v>
      </c>
      <c r="AD102" s="8">
        <f>IFERROR(AC102/AC444, "NA")</f>
        <v>-0.1522193670642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-1902.76</v>
      </c>
      <c r="C104" s="8">
        <f>IFERROR(B104/B444, "NA")</f>
        <v>-1.5567606131612361E-2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-1902.76</v>
      </c>
      <c r="I104" s="8">
        <f>IFERROR(H104/H444, "NA")</f>
        <v>5.6311967994904955E-2</v>
      </c>
      <c r="J104" s="9"/>
      <c r="K104" s="7">
        <v>-1208.1400000000001</v>
      </c>
      <c r="L104" s="8">
        <f>IFERROR(K104/K444, "NA")</f>
        <v>-8.5181053275632211E-3</v>
      </c>
      <c r="M104" s="9"/>
      <c r="N104" s="10">
        <f t="shared" si="25"/>
        <v>-694.61999999999989</v>
      </c>
      <c r="O104" s="8">
        <f>IFERROR(N104/N444, "NA")</f>
        <v>3.5428209447828533E-2</v>
      </c>
      <c r="P104" s="9"/>
      <c r="Q104" s="7">
        <v>-9843.5300000000007</v>
      </c>
      <c r="R104" s="8">
        <f>IFERROR(Q104/Q444, "NA")</f>
        <v>-9.7239279230499093E-3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-9843.5300000000007</v>
      </c>
      <c r="X104" s="8">
        <f>IFERROR(W104/W444, "NA")</f>
        <v>0.12162311097712114</v>
      </c>
      <c r="Y104" s="9"/>
      <c r="Z104" s="7">
        <v>-6734.8</v>
      </c>
      <c r="AA104" s="8">
        <f>IFERROR(Z104/Z444, "NA")</f>
        <v>-7.0556545500910254E-3</v>
      </c>
      <c r="AB104" s="9"/>
      <c r="AC104" s="10">
        <f t="shared" si="27"/>
        <v>-3108.7300000000005</v>
      </c>
      <c r="AD104" s="8">
        <f>IFERROR(AC104/AC444, "NA")</f>
        <v>-5.3807920369131138E-2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-1196.24</v>
      </c>
      <c r="R106" s="8">
        <f>IFERROR(Q106/Q444, "NA")</f>
        <v>-1.1817052966435031E-3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-1196.24</v>
      </c>
      <c r="X106" s="8">
        <f>IFERROR(W106/W444, "NA")</f>
        <v>1.478031054665058E-2</v>
      </c>
      <c r="Y106" s="9"/>
      <c r="Z106" s="7">
        <v>-1564.31</v>
      </c>
      <c r="AA106" s="8">
        <f>IFERROR(Z106/Z444, "NA")</f>
        <v>-1.6388357440834014E-3</v>
      </c>
      <c r="AB106" s="9"/>
      <c r="AC106" s="10">
        <f t="shared" si="27"/>
        <v>368.06999999999994</v>
      </c>
      <c r="AD106" s="8">
        <f>IFERROR(AC106/AC444, "NA")</f>
        <v>6.3707949066873258E-3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-5.2382064427236333E-6</v>
      </c>
      <c r="AB108" s="9"/>
      <c r="AC108" s="10">
        <f t="shared" si="27"/>
        <v>5</v>
      </c>
      <c r="AD108" s="8">
        <f>IFERROR(AC108/AC444, "NA")</f>
        <v>8.6543251374566346E-5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-8115.53</v>
      </c>
      <c r="C118" s="15">
        <f>IFERROR(B118/B444, "NA")</f>
        <v>-6.639795591103663E-2</v>
      </c>
      <c r="D118" s="2"/>
      <c r="E118" s="14">
        <f>IFERROR(E94+E95+E96+E97+E98+E99+E100+E101+E102+E103+E104+E105+E106+E107+E108+E109+E110+E111+E112+E113+E114+E115+E116+E117, "NA")</f>
        <v>-5460.53</v>
      </c>
      <c r="F118" s="15">
        <f>IFERROR(E118/E444, "NA")</f>
        <v>-3.4999982693996137E-2</v>
      </c>
      <c r="G118" s="2"/>
      <c r="H118" s="14">
        <f t="shared" si="24"/>
        <v>-2655</v>
      </c>
      <c r="I118" s="15">
        <f>IFERROR(H118/H444, "NA")</f>
        <v>7.8574426110740531E-2</v>
      </c>
      <c r="J118" s="2"/>
      <c r="K118" s="14">
        <f>IFERROR(K94+K95+K96+K97+K98+K99+K100+K101+K102+K103+K104+K105+K106+K107+K108+K109+K110+K111+K112+K113+K114+K115+K116+K117, "NA")</f>
        <v>-5843.7600000000011</v>
      </c>
      <c r="L118" s="15">
        <f>IFERROR(K118/K444, "NA")</f>
        <v>-4.1201982542586828E-2</v>
      </c>
      <c r="M118" s="2"/>
      <c r="N118" s="14">
        <f t="shared" si="25"/>
        <v>-2271.7699999999986</v>
      </c>
      <c r="O118" s="15">
        <f>IFERROR(N118/N444, "NA")</f>
        <v>0.11586873884612217</v>
      </c>
      <c r="P118" s="2"/>
      <c r="Q118" s="14">
        <f>IFERROR(Q94+Q95+Q96+Q97+Q98+Q99+Q100+Q101+Q102+Q103+Q104+Q105+Q106+Q107+Q108+Q109+Q110+Q111+Q112+Q113+Q114+Q115+Q116+Q117, "NA")</f>
        <v>-63643.609999999993</v>
      </c>
      <c r="R118" s="15">
        <f>IFERROR(Q118/Q444, "NA")</f>
        <v>-6.2870319529955032E-2</v>
      </c>
      <c r="S118" s="2"/>
      <c r="T118" s="14">
        <f>IFERROR(T94+T95+T96+T97+T98+T99+T100+T101+T102+T103+T104+T105+T106+T107+T108+T109+T110+T111+T112+T113+T114+T115+T116+T117, "NA")</f>
        <v>-38263.19</v>
      </c>
      <c r="U118" s="15">
        <f>IFERROR(T118/T444, "NA")</f>
        <v>-3.4999984952907681E-2</v>
      </c>
      <c r="V118" s="2"/>
      <c r="W118" s="14">
        <f t="shared" si="26"/>
        <v>-25380.419999999991</v>
      </c>
      <c r="X118" s="15">
        <f>IFERROR(W118/W444, "NA")</f>
        <v>0.31359132732931616</v>
      </c>
      <c r="Y118" s="2"/>
      <c r="Z118" s="14">
        <f>IFERROR(Z94+Z95+Z96+Z97+Z98+Z99+Z100+Z101+Z102+Z103+Z104+Z105+Z106+Z107+Z108+Z109+Z110+Z111+Z112+Z113+Z114+Z115+Z116+Z117, "NA")</f>
        <v>-37296.11</v>
      </c>
      <c r="AA118" s="15">
        <f>IFERROR(Z118/Z444, "NA")</f>
        <v>-3.9072944738105866E-2</v>
      </c>
      <c r="AB118" s="2"/>
      <c r="AC118" s="14">
        <f t="shared" si="27"/>
        <v>-26347.499999999993</v>
      </c>
      <c r="AD118" s="15">
        <f>IFERROR(AC118/AC444, "NA")</f>
        <v>-0.45603966311827726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122225.60000000001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156015.22</v>
      </c>
      <c r="F122" s="15">
        <f>IFERROR(E122/E444, "NA")</f>
        <v>1</v>
      </c>
      <c r="G122" s="2"/>
      <c r="H122" s="14">
        <f t="shared" si="24"/>
        <v>-33789.619999999995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141832.00999999995</v>
      </c>
      <c r="L122" s="15">
        <f>IFERROR(K122/K444, "NA")</f>
        <v>0.99999999999999956</v>
      </c>
      <c r="M122" s="2"/>
      <c r="N122" s="14">
        <f t="shared" si="25"/>
        <v>-19606.409999999945</v>
      </c>
      <c r="O122" s="15">
        <f>IFERROR(N122/N444, "NA")</f>
        <v>0.999999999999997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1012299.77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1093234.47</v>
      </c>
      <c r="U122" s="15">
        <f>IFERROR(T122/T444, "NA")</f>
        <v>1</v>
      </c>
      <c r="V122" s="2"/>
      <c r="W122" s="14">
        <f t="shared" si="26"/>
        <v>-80934.699999999953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954525.18999999959</v>
      </c>
      <c r="AA122" s="15">
        <f>IFERROR(Z122/Z444, "NA")</f>
        <v>0.99999999999999967</v>
      </c>
      <c r="AB122" s="2"/>
      <c r="AC122" s="14">
        <f t="shared" si="27"/>
        <v>57774.580000000424</v>
      </c>
      <c r="AD122" s="15">
        <f>IFERROR(AC122/AC444, "NA")</f>
        <v>1.000000000000006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122225.60000000001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156015.22</v>
      </c>
      <c r="F124" s="15">
        <f>IFERROR(E124/E444, "NA")</f>
        <v>1</v>
      </c>
      <c r="G124" s="2"/>
      <c r="H124" s="14">
        <f t="shared" si="24"/>
        <v>-33789.619999999995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141832.00999999995</v>
      </c>
      <c r="L124" s="15">
        <f>IFERROR(K124/K444, "NA")</f>
        <v>0.99999999999999956</v>
      </c>
      <c r="M124" s="2"/>
      <c r="N124" s="14">
        <f t="shared" si="25"/>
        <v>-19606.409999999945</v>
      </c>
      <c r="O124" s="15">
        <f>IFERROR(N124/N444, "NA")</f>
        <v>0.999999999999997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1012299.77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1093234.47</v>
      </c>
      <c r="U124" s="15">
        <f>IFERROR(T124/T444, "NA")</f>
        <v>1</v>
      </c>
      <c r="V124" s="2"/>
      <c r="W124" s="14">
        <f t="shared" si="26"/>
        <v>-80934.699999999953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954525.18999999959</v>
      </c>
      <c r="AA124" s="15">
        <f>IFERROR(Z124/Z444, "NA")</f>
        <v>0.99999999999999967</v>
      </c>
      <c r="AB124" s="2"/>
      <c r="AC124" s="14">
        <f t="shared" si="27"/>
        <v>57774.580000000424</v>
      </c>
      <c r="AD124" s="15">
        <f>IFERROR(AC124/AC444, "NA")</f>
        <v>1.000000000000006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34947.410000000003</v>
      </c>
      <c r="F129" s="8">
        <f>IFERROR(E129/E444, "NA")</f>
        <v>0.22400000461493438</v>
      </c>
      <c r="G129" s="9"/>
      <c r="H129" s="10">
        <f t="shared" ref="H129:H141" si="28">IFERROR(-(B129-E129), "NA")</f>
        <v>34947.410000000003</v>
      </c>
      <c r="I129" s="8">
        <f>IFERROR(H129/H444, "NA")</f>
        <v>-1.0342646647106422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254194.43</v>
      </c>
      <c r="U129" s="8">
        <f>IFERROR(T129/T444, "NA")</f>
        <v>0.23251593045726046</v>
      </c>
      <c r="V129" s="9"/>
      <c r="W129" s="10">
        <f t="shared" ref="W129:W141" si="30">IFERROR(-(Q129-T129), "NA")</f>
        <v>254194.43</v>
      </c>
      <c r="X129" s="8">
        <f>IFERROR(W129/W444, "NA")</f>
        <v>-3.1407348146098046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6765.06</v>
      </c>
      <c r="C130" s="8">
        <f>IFERROR(B130/B444, "NA")</f>
        <v>5.5348961265070495E-2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-6765.06</v>
      </c>
      <c r="I130" s="8">
        <f>IFERROR(H130/H444, "NA")</f>
        <v>0.20021118911665775</v>
      </c>
      <c r="J130" s="9"/>
      <c r="K130" s="7">
        <v>8664.0499999999993</v>
      </c>
      <c r="L130" s="8">
        <f>IFERROR(K130/K444, "NA")</f>
        <v>6.1086703911197471E-2</v>
      </c>
      <c r="M130" s="9"/>
      <c r="N130" s="10">
        <f t="shared" si="29"/>
        <v>1898.9899999999989</v>
      </c>
      <c r="O130" s="8">
        <f>IFERROR(N130/N444, "NA")</f>
        <v>-9.6855569173550815E-2</v>
      </c>
      <c r="P130" s="9"/>
      <c r="Q130" s="7">
        <v>55059.49</v>
      </c>
      <c r="R130" s="8">
        <f>IFERROR(Q130/Q444, "NA")</f>
        <v>5.4390499367593451E-2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-55059.49</v>
      </c>
      <c r="X130" s="8">
        <f>IFERROR(W130/W444, "NA")</f>
        <v>0.68029522565722778</v>
      </c>
      <c r="Y130" s="9"/>
      <c r="Z130" s="7">
        <v>60991.9</v>
      </c>
      <c r="AA130" s="8">
        <f>IFERROR(Z130/Z444, "NA")</f>
        <v>6.3897632706791122E-2</v>
      </c>
      <c r="AB130" s="9"/>
      <c r="AC130" s="10">
        <f t="shared" si="31"/>
        <v>5932.4100000000035</v>
      </c>
      <c r="AD130" s="8">
        <f>IFERROR(AC130/AC444, "NA")</f>
        <v>0.10268200997739829</v>
      </c>
    </row>
    <row r="131" spans="1:30" ht="16.5" customHeight="1" x14ac:dyDescent="0.45">
      <c r="A131" s="12" t="s">
        <v>123</v>
      </c>
      <c r="B131" s="7">
        <v>3101.23</v>
      </c>
      <c r="C131" s="8">
        <f>IFERROR(B131/B444, "NA")</f>
        <v>2.53729987825791E-2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-3101.23</v>
      </c>
      <c r="I131" s="8">
        <f>IFERROR(H131/H444, "NA")</f>
        <v>9.1780552725955505E-2</v>
      </c>
      <c r="J131" s="9"/>
      <c r="K131" s="7">
        <v>3551.88</v>
      </c>
      <c r="L131" s="8">
        <f>IFERROR(K131/K444, "NA")</f>
        <v>2.5042865852355895E-2</v>
      </c>
      <c r="M131" s="9"/>
      <c r="N131" s="10">
        <f t="shared" si="29"/>
        <v>450.65000000000009</v>
      </c>
      <c r="O131" s="8">
        <f>IFERROR(N131/N444, "NA")</f>
        <v>-2.2984829961221868E-2</v>
      </c>
      <c r="P131" s="9"/>
      <c r="Q131" s="7">
        <v>32394.09</v>
      </c>
      <c r="R131" s="8">
        <f>IFERROR(Q131/Q444, "NA")</f>
        <v>3.2000491316914952E-2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-32394.09</v>
      </c>
      <c r="X131" s="8">
        <f>IFERROR(W131/W444, "NA")</f>
        <v>0.40024970748022815</v>
      </c>
      <c r="Y131" s="9"/>
      <c r="Z131" s="7">
        <v>32069.08</v>
      </c>
      <c r="AA131" s="8">
        <f>IFERROR(Z131/Z444, "NA")</f>
        <v>3.3596892293643925E-2</v>
      </c>
      <c r="AB131" s="9"/>
      <c r="AC131" s="10">
        <f t="shared" si="31"/>
        <v>-325.0099999999984</v>
      </c>
      <c r="AD131" s="8">
        <f>IFERROR(AC131/AC444, "NA")</f>
        <v>-5.6254844258495345E-3</v>
      </c>
    </row>
    <row r="132" spans="1:30" ht="16.5" customHeight="1" x14ac:dyDescent="0.45">
      <c r="A132" s="12" t="s">
        <v>124</v>
      </c>
      <c r="B132" s="7">
        <v>6432.24</v>
      </c>
      <c r="C132" s="8">
        <f>IFERROR(B132/B444, "NA")</f>
        <v>5.2625963791546118E-2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-6432.24</v>
      </c>
      <c r="I132" s="8">
        <f>IFERROR(H132/H444, "NA")</f>
        <v>0.19036141868419948</v>
      </c>
      <c r="J132" s="9"/>
      <c r="K132" s="7">
        <v>5430.97</v>
      </c>
      <c r="L132" s="8">
        <f>IFERROR(K132/K444, "NA")</f>
        <v>3.829156760875066E-2</v>
      </c>
      <c r="M132" s="9"/>
      <c r="N132" s="10">
        <f t="shared" si="29"/>
        <v>-1001.2699999999995</v>
      </c>
      <c r="O132" s="8">
        <f>IFERROR(N132/N444, "NA")</f>
        <v>5.1068502596854769E-2</v>
      </c>
      <c r="P132" s="9"/>
      <c r="Q132" s="7">
        <v>48246.47</v>
      </c>
      <c r="R132" s="8">
        <f>IFERROR(Q132/Q444, "NA")</f>
        <v>4.7660259766728982E-2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-48246.47</v>
      </c>
      <c r="X132" s="8">
        <f>IFERROR(W132/W444, "NA")</f>
        <v>0.5961160046308942</v>
      </c>
      <c r="Y132" s="9"/>
      <c r="Z132" s="7">
        <v>34676.699999999997</v>
      </c>
      <c r="AA132" s="8">
        <f>IFERROR(Z132/Z444, "NA")</f>
        <v>3.632874267047892E-2</v>
      </c>
      <c r="AB132" s="9"/>
      <c r="AC132" s="10">
        <f t="shared" si="31"/>
        <v>-13569.770000000004</v>
      </c>
      <c r="AD132" s="8">
        <f>IFERROR(AC132/AC444, "NA")</f>
        <v>-0.23487440324100992</v>
      </c>
    </row>
    <row r="133" spans="1:30" ht="16.5" customHeight="1" x14ac:dyDescent="0.45">
      <c r="A133" s="12" t="s">
        <v>125</v>
      </c>
      <c r="B133" s="7">
        <v>2863.18</v>
      </c>
      <c r="C133" s="8">
        <f>IFERROR(B133/B444, "NA")</f>
        <v>2.3425370789752716E-2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-2863.18</v>
      </c>
      <c r="I133" s="8">
        <f>IFERROR(H133/H444, "NA")</f>
        <v>8.473548977467045E-2</v>
      </c>
      <c r="J133" s="9"/>
      <c r="K133" s="7">
        <v>3398.82</v>
      </c>
      <c r="L133" s="8">
        <f>IFERROR(K133/K444, "NA")</f>
        <v>2.3963701846994905E-2</v>
      </c>
      <c r="M133" s="9"/>
      <c r="N133" s="10">
        <f t="shared" si="29"/>
        <v>535.64000000000033</v>
      </c>
      <c r="O133" s="8">
        <f>IFERROR(N133/N444, "NA")</f>
        <v>-2.7319636792253157E-2</v>
      </c>
      <c r="P133" s="9"/>
      <c r="Q133" s="7">
        <v>25972.86</v>
      </c>
      <c r="R133" s="8">
        <f>IFERROR(Q133/Q444, "NA")</f>
        <v>2.565728134068429E-2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-25972.86</v>
      </c>
      <c r="X133" s="8">
        <f>IFERROR(W133/W444, "NA")</f>
        <v>0.32091130256861417</v>
      </c>
      <c r="Y133" s="9"/>
      <c r="Z133" s="7">
        <v>21788.69</v>
      </c>
      <c r="AA133" s="8">
        <f>IFERROR(Z133/Z444, "NA")</f>
        <v>2.28267312673016E-2</v>
      </c>
      <c r="AB133" s="9"/>
      <c r="AC133" s="10">
        <f t="shared" si="31"/>
        <v>-4184.1700000000019</v>
      </c>
      <c r="AD133" s="8">
        <f>IFERROR(AC133/AC444, "NA")</f>
        <v>-7.2422335220783896E-2</v>
      </c>
    </row>
    <row r="134" spans="1:30" ht="16.5" customHeight="1" x14ac:dyDescent="0.45">
      <c r="A134" s="12" t="s">
        <v>126</v>
      </c>
      <c r="B134" s="7">
        <v>1057.22</v>
      </c>
      <c r="C134" s="8">
        <f>IFERROR(B134/B444, "NA")</f>
        <v>8.6497427707452439E-3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-1057.22</v>
      </c>
      <c r="I134" s="8">
        <f>IFERROR(H134/H444, "NA")</f>
        <v>3.1288306882409453E-2</v>
      </c>
      <c r="J134" s="9"/>
      <c r="K134" s="7">
        <v>1322.23</v>
      </c>
      <c r="L134" s="8">
        <f>IFERROR(K134/K444, "NA")</f>
        <v>9.3225076624099176E-3</v>
      </c>
      <c r="M134" s="9"/>
      <c r="N134" s="10">
        <f t="shared" si="29"/>
        <v>265.01</v>
      </c>
      <c r="O134" s="8">
        <f>IFERROR(N134/N444, "NA")</f>
        <v>-1.351649792083303E-2</v>
      </c>
      <c r="P134" s="9"/>
      <c r="Q134" s="7">
        <v>8643.85</v>
      </c>
      <c r="R134" s="8">
        <f>IFERROR(Q134/Q444, "NA")</f>
        <v>8.5388244235203182E-3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-8643.85</v>
      </c>
      <c r="X134" s="8">
        <f>IFERROR(W134/W444, "NA")</f>
        <v>0.1068002970295807</v>
      </c>
      <c r="Y134" s="9"/>
      <c r="Z134" s="7">
        <v>9916.36</v>
      </c>
      <c r="AA134" s="8">
        <f>IFERROR(Z134/Z444, "NA")</f>
        <v>1.0388788168073386E-2</v>
      </c>
      <c r="AB134" s="9"/>
      <c r="AC134" s="10">
        <f t="shared" si="31"/>
        <v>1272.5100000000002</v>
      </c>
      <c r="AD134" s="8">
        <f>IFERROR(AC134/AC444, "NA")</f>
        <v>2.2025430561329887E-2</v>
      </c>
    </row>
    <row r="135" spans="1:30" ht="16.5" customHeight="1" x14ac:dyDescent="0.45">
      <c r="A135" s="12" t="s">
        <v>127</v>
      </c>
      <c r="B135" s="7">
        <v>931.93</v>
      </c>
      <c r="C135" s="8">
        <f>IFERROR(B135/B444, "NA")</f>
        <v>7.6246710999986903E-3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-931.93</v>
      </c>
      <c r="I135" s="8">
        <f>IFERROR(H135/H444, "NA")</f>
        <v>2.7580363437055524E-2</v>
      </c>
      <c r="J135" s="9"/>
      <c r="K135" s="7">
        <v>811.16</v>
      </c>
      <c r="L135" s="8">
        <f>IFERROR(K135/K444, "NA")</f>
        <v>5.7191602939280061E-3</v>
      </c>
      <c r="M135" s="9"/>
      <c r="N135" s="10">
        <f t="shared" si="29"/>
        <v>-120.76999999999998</v>
      </c>
      <c r="O135" s="8">
        <f>IFERROR(N135/N444, "NA")</f>
        <v>6.159720213950436E-3</v>
      </c>
      <c r="P135" s="9"/>
      <c r="Q135" s="7">
        <v>7168</v>
      </c>
      <c r="R135" s="8">
        <f>IFERROR(Q135/Q444, "NA")</f>
        <v>7.0809064789178009E-3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-7168</v>
      </c>
      <c r="X135" s="8">
        <f>IFERROR(W135/W444, "NA")</f>
        <v>8.8565226040252257E-2</v>
      </c>
      <c r="Y135" s="9"/>
      <c r="Z135" s="7">
        <v>5902.92</v>
      </c>
      <c r="AA135" s="8">
        <f>IFERROR(Z135/Z444, "NA")</f>
        <v>6.1841427149764384E-3</v>
      </c>
      <c r="AB135" s="9"/>
      <c r="AC135" s="10">
        <f t="shared" si="31"/>
        <v>-1265.08</v>
      </c>
      <c r="AD135" s="8">
        <f>IFERROR(AC135/AC444, "NA")</f>
        <v>-2.1896827289787278E-2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1106.8800000000001</v>
      </c>
      <c r="L136" s="8">
        <f>IFERROR(K136/K444, "NA")</f>
        <v>7.8041621210895905E-3</v>
      </c>
      <c r="M136" s="9"/>
      <c r="N136" s="10">
        <f t="shared" si="29"/>
        <v>1106.8800000000001</v>
      </c>
      <c r="O136" s="8">
        <f>IFERROR(N136/N444, "NA")</f>
        <v>-5.6455006296410197E-2</v>
      </c>
      <c r="P136" s="9"/>
      <c r="Q136" s="7">
        <v>4617.18</v>
      </c>
      <c r="R136" s="8">
        <f>IFERROR(Q136/Q444, "NA")</f>
        <v>4.5610797679031386E-3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5.7048212942038497E-2</v>
      </c>
      <c r="Y136" s="9"/>
      <c r="Z136" s="7">
        <v>8580.4</v>
      </c>
      <c r="AA136" s="8">
        <f>IFERROR(Z136/Z444, "NA")</f>
        <v>8.9891813122291719E-3</v>
      </c>
      <c r="AB136" s="9"/>
      <c r="AC136" s="10">
        <f t="shared" si="31"/>
        <v>3963.2199999999993</v>
      </c>
      <c r="AD136" s="8">
        <f>IFERROR(AC136/AC444, "NA")</f>
        <v>6.8597988942541765E-2</v>
      </c>
    </row>
    <row r="137" spans="1:30" ht="16.5" customHeight="1" x14ac:dyDescent="0.45">
      <c r="A137" s="12" t="s">
        <v>129</v>
      </c>
      <c r="B137" s="7">
        <v>500.65</v>
      </c>
      <c r="C137" s="8">
        <f>IFERROR(B137/B444, "NA")</f>
        <v>4.0961140710293097E-3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-500.65</v>
      </c>
      <c r="I137" s="8">
        <f>IFERROR(H137/H444, "NA")</f>
        <v>1.4816680388829471E-2</v>
      </c>
      <c r="J137" s="9"/>
      <c r="K137" s="7">
        <v>736.95</v>
      </c>
      <c r="L137" s="8">
        <f>IFERROR(K137/K444, "NA")</f>
        <v>5.1959356706571388E-3</v>
      </c>
      <c r="M137" s="9"/>
      <c r="N137" s="10">
        <f t="shared" si="29"/>
        <v>236.30000000000007</v>
      </c>
      <c r="O137" s="8">
        <f>IFERROR(N137/N444, "NA")</f>
        <v>-1.2052180893901537E-2</v>
      </c>
      <c r="P137" s="9"/>
      <c r="Q137" s="7">
        <v>5690.21</v>
      </c>
      <c r="R137" s="8">
        <f>IFERROR(Q137/Q444, "NA")</f>
        <v>5.6210721059434792E-3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-5690.21</v>
      </c>
      <c r="X137" s="8">
        <f>IFERROR(W137/W444, "NA")</f>
        <v>7.0306185109724306E-2</v>
      </c>
      <c r="Y137" s="9"/>
      <c r="Z137" s="7">
        <v>5811.19</v>
      </c>
      <c r="AA137" s="8">
        <f>IFERROR(Z137/Z444, "NA")</f>
        <v>6.0880425795782301E-3</v>
      </c>
      <c r="AB137" s="9"/>
      <c r="AC137" s="10">
        <f t="shared" si="31"/>
        <v>120.97999999999956</v>
      </c>
      <c r="AD137" s="8">
        <f>IFERROR(AC137/AC444, "NA")</f>
        <v>2.0940005102589999E-3</v>
      </c>
    </row>
    <row r="138" spans="1:30" ht="16.5" customHeight="1" x14ac:dyDescent="0.45">
      <c r="A138" s="12" t="s">
        <v>130</v>
      </c>
      <c r="B138" s="7">
        <v>7575.33</v>
      </c>
      <c r="C138" s="8">
        <f>IFERROR(B138/B444, "NA")</f>
        <v>6.1978259873545306E-2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-7575.33</v>
      </c>
      <c r="I138" s="8">
        <f>IFERROR(H138/H444, "NA")</f>
        <v>0.22419103854970848</v>
      </c>
      <c r="J138" s="9"/>
      <c r="K138" s="7">
        <v>6761.94</v>
      </c>
      <c r="L138" s="8">
        <f>IFERROR(K138/K444, "NA")</f>
        <v>4.7675697467729601E-2</v>
      </c>
      <c r="M138" s="9"/>
      <c r="N138" s="10">
        <f t="shared" si="29"/>
        <v>-813.39000000000033</v>
      </c>
      <c r="O138" s="8">
        <f>IFERROR(N138/N444, "NA")</f>
        <v>4.148592220605405E-2</v>
      </c>
      <c r="P138" s="9"/>
      <c r="Q138" s="7">
        <v>61229.47</v>
      </c>
      <c r="R138" s="8">
        <f>IFERROR(Q138/Q444, "NA")</f>
        <v>6.04855121126818E-2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-61229.47</v>
      </c>
      <c r="X138" s="8">
        <f>IFERROR(W138/W444, "NA")</f>
        <v>0.7565292760707093</v>
      </c>
      <c r="Y138" s="9"/>
      <c r="Z138" s="7">
        <v>46757.52</v>
      </c>
      <c r="AA138" s="8">
        <f>IFERROR(Z138/Z444, "NA")</f>
        <v>4.8985108501955824E-2</v>
      </c>
      <c r="AB138" s="9"/>
      <c r="AC138" s="10">
        <f t="shared" si="31"/>
        <v>-14471.950000000004</v>
      </c>
      <c r="AD138" s="8">
        <f>IFERROR(AC138/AC444, "NA")</f>
        <v>-0.25048992134603115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29226.840000000004</v>
      </c>
      <c r="C141" s="15">
        <f>IFERROR(B141/B444, "NA")</f>
        <v>0.23912208244426703</v>
      </c>
      <c r="D141" s="2"/>
      <c r="E141" s="14">
        <f>IFERROR(E129+E130+E131+E132+E133+E134+E135+E136+E137+E138+E139+E140, "NA")</f>
        <v>34947.410000000003</v>
      </c>
      <c r="F141" s="15">
        <f>IFERROR(E141/E444, "NA")</f>
        <v>0.22400000461493438</v>
      </c>
      <c r="G141" s="2"/>
      <c r="H141" s="14">
        <f t="shared" si="28"/>
        <v>5720.57</v>
      </c>
      <c r="I141" s="15">
        <f>IFERROR(H141/H444, "NA")</f>
        <v>-0.1692996251511559</v>
      </c>
      <c r="J141" s="2"/>
      <c r="K141" s="14">
        <f>IFERROR(K129+K130+K131+K132+K133+K134+K135+K136+K137+K138+K139+K140, "NA")</f>
        <v>31784.880000000001</v>
      </c>
      <c r="L141" s="15">
        <f>IFERROR(K141/K444, "NA")</f>
        <v>0.2241023024351132</v>
      </c>
      <c r="M141" s="2"/>
      <c r="N141" s="14">
        <f t="shared" si="29"/>
        <v>2558.0399999999972</v>
      </c>
      <c r="O141" s="15">
        <f>IFERROR(N141/N444, "NA")</f>
        <v>-0.13046957602131123</v>
      </c>
      <c r="P141" s="2"/>
      <c r="Q141" s="14">
        <f>IFERROR(Q129+Q130+Q131+Q132+Q133+Q134+Q135+Q136+Q137+Q138+Q139+Q140, "NA")</f>
        <v>249021.61999999997</v>
      </c>
      <c r="R141" s="15">
        <f>IFERROR(Q141/Q444, "NA")</f>
        <v>0.24599592668088818</v>
      </c>
      <c r="S141" s="2"/>
      <c r="T141" s="14">
        <f>IFERROR(T129+T130+T131+T132+T133+T134+T135+T136+T137+T138+T139+T140, "NA")</f>
        <v>254194.43</v>
      </c>
      <c r="U141" s="15">
        <f>IFERROR(T141/T444, "NA")</f>
        <v>0.23251593045726046</v>
      </c>
      <c r="V141" s="2"/>
      <c r="W141" s="14">
        <f t="shared" si="30"/>
        <v>5172.8100000000268</v>
      </c>
      <c r="X141" s="15">
        <f>IFERROR(W141/W444, "NA")</f>
        <v>-6.3913377080535669E-2</v>
      </c>
      <c r="Y141" s="2"/>
      <c r="Z141" s="14">
        <f>IFERROR(Z129+Z130+Z131+Z132+Z133+Z134+Z135+Z136+Z137+Z138+Z139+Z140, "NA")</f>
        <v>226494.75999999998</v>
      </c>
      <c r="AA141" s="15">
        <f>IFERROR(Z141/Z444, "NA")</f>
        <v>0.2372852622150286</v>
      </c>
      <c r="AB141" s="2"/>
      <c r="AC141" s="14">
        <f t="shared" si="31"/>
        <v>-22526.859999999986</v>
      </c>
      <c r="AD141" s="15">
        <f>IFERROR(AC141/AC444, "NA")</f>
        <v>-0.38990954153193252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1890.44</v>
      </c>
      <c r="C144" s="8">
        <f>IFERROR(B144/B444, "NA")</f>
        <v>1.5466808917280831E-2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-1890.44</v>
      </c>
      <c r="I144" s="8">
        <f>IFERROR(H144/H444, "NA")</f>
        <v>5.594735898184118E-2</v>
      </c>
      <c r="J144" s="9"/>
      <c r="K144" s="7">
        <v>1332.34</v>
      </c>
      <c r="L144" s="8">
        <f>IFERROR(K144/K444, "NA")</f>
        <v>9.3937891735441093E-3</v>
      </c>
      <c r="M144" s="9"/>
      <c r="N144" s="10">
        <f t="shared" si="33"/>
        <v>-558.10000000000014</v>
      </c>
      <c r="O144" s="8">
        <f>IFERROR(N144/N444, "NA")</f>
        <v>2.8465180520044212E-2</v>
      </c>
      <c r="P144" s="9"/>
      <c r="Q144" s="7">
        <v>13261.17</v>
      </c>
      <c r="R144" s="8">
        <f>IFERROR(Q144/Q444, "NA")</f>
        <v>1.3100042490378121E-2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-13261.17</v>
      </c>
      <c r="X144" s="8">
        <f>IFERROR(W144/W444, "NA")</f>
        <v>0.16385023976119029</v>
      </c>
      <c r="Y144" s="9"/>
      <c r="Z144" s="7">
        <v>8963.6200000000008</v>
      </c>
      <c r="AA144" s="8">
        <f>IFERROR(Z144/Z444, "NA")</f>
        <v>9.3906584068252832E-3</v>
      </c>
      <c r="AB144" s="9"/>
      <c r="AC144" s="10">
        <f t="shared" si="35"/>
        <v>-4297.5499999999993</v>
      </c>
      <c r="AD144" s="8">
        <f>IFERROR(AC144/AC444, "NA")</f>
        <v>-7.4384789988953509E-2</v>
      </c>
    </row>
    <row r="145" spans="1:30" ht="16.5" customHeight="1" x14ac:dyDescent="0.45">
      <c r="A145" s="12" t="s">
        <v>136</v>
      </c>
      <c r="B145" s="7">
        <v>105.62</v>
      </c>
      <c r="C145" s="8">
        <f>IFERROR(B145/B444, "NA")</f>
        <v>8.6413975468314333E-4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-105.62</v>
      </c>
      <c r="I145" s="8">
        <f>IFERROR(H145/H444, "NA")</f>
        <v>3.1258120097236966E-3</v>
      </c>
      <c r="J145" s="9"/>
      <c r="K145" s="7">
        <v>70.430000000000007</v>
      </c>
      <c r="L145" s="8">
        <f>IFERROR(K145/K444, "NA")</f>
        <v>4.9657337578449319E-4</v>
      </c>
      <c r="M145" s="9"/>
      <c r="N145" s="10">
        <f t="shared" si="33"/>
        <v>-35.19</v>
      </c>
      <c r="O145" s="8">
        <f>IFERROR(N145/N444, "NA")</f>
        <v>1.7948211834803002E-3</v>
      </c>
      <c r="P145" s="9"/>
      <c r="Q145" s="7">
        <v>670.39</v>
      </c>
      <c r="R145" s="8">
        <f>IFERROR(Q145/Q444, "NA")</f>
        <v>6.6224454441988069E-4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-670.39</v>
      </c>
      <c r="X145" s="8">
        <f>IFERROR(W145/W444, "NA")</f>
        <v>8.2830973612060144E-3</v>
      </c>
      <c r="Y145" s="9"/>
      <c r="Z145" s="7">
        <v>621.05999999999995</v>
      </c>
      <c r="AA145" s="8">
        <f>IFERROR(Z145/Z444, "NA")</f>
        <v>6.5064809866358791E-4</v>
      </c>
      <c r="AB145" s="9"/>
      <c r="AC145" s="10">
        <f t="shared" si="35"/>
        <v>-49.330000000000041</v>
      </c>
      <c r="AD145" s="8">
        <f>IFERROR(AC145/AC444, "NA")</f>
        <v>-8.5383571806147232E-4</v>
      </c>
    </row>
    <row r="146" spans="1:30" ht="16.5" customHeight="1" x14ac:dyDescent="0.45">
      <c r="A146" s="12" t="s">
        <v>137</v>
      </c>
      <c r="B146" s="7">
        <v>5</v>
      </c>
      <c r="C146" s="8">
        <f>IFERROR(B146/B444, "NA")</f>
        <v>4.0907960361822727E-5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</v>
      </c>
      <c r="I146" s="8">
        <f>IFERROR(H146/H444, "NA")</f>
        <v>1.4797443712003867E-4</v>
      </c>
      <c r="J146" s="9"/>
      <c r="K146" s="7">
        <v>310.64</v>
      </c>
      <c r="L146" s="8">
        <f>IFERROR(K146/K444, "NA")</f>
        <v>2.1901966981924602E-3</v>
      </c>
      <c r="M146" s="9"/>
      <c r="N146" s="10">
        <f t="shared" si="33"/>
        <v>305.64</v>
      </c>
      <c r="O146" s="8">
        <f>IFERROR(N146/N444, "NA")</f>
        <v>-1.5588779383885165E-2</v>
      </c>
      <c r="P146" s="9"/>
      <c r="Q146" s="7">
        <v>934.69</v>
      </c>
      <c r="R146" s="8">
        <f>IFERROR(Q146/Q444, "NA")</f>
        <v>9.2333321383645086E-4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-934.69</v>
      </c>
      <c r="X146" s="8">
        <f>IFERROR(W146/W444, "NA")</f>
        <v>1.1548692958644446E-2</v>
      </c>
      <c r="Y146" s="9"/>
      <c r="Z146" s="7">
        <v>3004.12</v>
      </c>
      <c r="AA146" s="8">
        <f>IFERROR(Z146/Z444, "NA")</f>
        <v>3.147240147742984E-3</v>
      </c>
      <c r="AB146" s="9"/>
      <c r="AC146" s="10">
        <f t="shared" si="35"/>
        <v>2069.4299999999998</v>
      </c>
      <c r="AD146" s="8">
        <f>IFERROR(AC146/AC444, "NA")</f>
        <v>3.5819040138413763E-2</v>
      </c>
    </row>
    <row r="147" spans="1:30" ht="16.5" customHeight="1" x14ac:dyDescent="0.45">
      <c r="A147" s="12" t="s">
        <v>138</v>
      </c>
      <c r="B147" s="7">
        <v>21.37</v>
      </c>
      <c r="C147" s="8">
        <f>IFERROR(B147/B444, "NA")</f>
        <v>1.7484062258643033E-4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-21.37</v>
      </c>
      <c r="I147" s="8">
        <f>IFERROR(H147/H444, "NA")</f>
        <v>6.3244274425104522E-4</v>
      </c>
      <c r="J147" s="9"/>
      <c r="K147" s="7">
        <v>91.81</v>
      </c>
      <c r="L147" s="8">
        <f>IFERROR(K147/K444, "NA")</f>
        <v>6.4731508775769302E-4</v>
      </c>
      <c r="M147" s="9"/>
      <c r="N147" s="10">
        <f t="shared" si="33"/>
        <v>70.44</v>
      </c>
      <c r="O147" s="8">
        <f>IFERROR(N147/N444, "NA")</f>
        <v>-3.5927025906323487E-3</v>
      </c>
      <c r="P147" s="9"/>
      <c r="Q147" s="7">
        <v>132.85</v>
      </c>
      <c r="R147" s="8">
        <f>IFERROR(Q147/Q444, "NA")</f>
        <v>1.3123582948161688E-4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-132.85</v>
      </c>
      <c r="X147" s="8">
        <f>IFERROR(W147/W444, "NA")</f>
        <v>1.6414467465747087E-3</v>
      </c>
      <c r="Y147" s="9"/>
      <c r="Z147" s="7">
        <v>205.13</v>
      </c>
      <c r="AA147" s="8">
        <f>IFERROR(Z147/Z444, "NA")</f>
        <v>2.1490265751917978E-4</v>
      </c>
      <c r="AB147" s="9"/>
      <c r="AC147" s="10">
        <f t="shared" si="35"/>
        <v>72.28</v>
      </c>
      <c r="AD147" s="8">
        <f>IFERROR(AC147/AC444, "NA")</f>
        <v>1.2510692418707312E-3</v>
      </c>
    </row>
    <row r="148" spans="1:30" ht="16.5" customHeight="1" x14ac:dyDescent="0.45">
      <c r="A148" s="13" t="s">
        <v>139</v>
      </c>
      <c r="B148" s="14">
        <f>IFERROR(B143+B144+B145+B146+B147, "NA")</f>
        <v>2022.4299999999998</v>
      </c>
      <c r="C148" s="15">
        <f>IFERROR(B148/B444, "NA")</f>
        <v>1.6546697254912226E-2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-2022.4299999999998</v>
      </c>
      <c r="I148" s="15">
        <f>IFERROR(H148/H444, "NA")</f>
        <v>5.985358817293595E-2</v>
      </c>
      <c r="J148" s="2"/>
      <c r="K148" s="14">
        <f>IFERROR(K143+K144+K145+K146+K147, "NA")</f>
        <v>1805.2199999999998</v>
      </c>
      <c r="L148" s="15">
        <f>IFERROR(K148/K444, "NA")</f>
        <v>1.2727874335278755E-2</v>
      </c>
      <c r="M148" s="2"/>
      <c r="N148" s="14">
        <f t="shared" si="33"/>
        <v>-217.21000000000004</v>
      </c>
      <c r="O148" s="15">
        <f>IFERROR(N148/N444, "NA")</f>
        <v>1.1078519729006992E-2</v>
      </c>
      <c r="P148" s="2"/>
      <c r="Q148" s="14">
        <f>IFERROR(Q143+Q144+Q145+Q146+Q147, "NA")</f>
        <v>14999.1</v>
      </c>
      <c r="R148" s="15">
        <f>IFERROR(Q148/Q444, "NA")</f>
        <v>1.4816856078116071E-2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-14999.1</v>
      </c>
      <c r="X148" s="15">
        <f>IFERROR(W148/W444, "NA")</f>
        <v>0.18532347682761546</v>
      </c>
      <c r="Y148" s="2"/>
      <c r="Z148" s="14">
        <f>IFERROR(Z143+Z144+Z145+Z146+Z147, "NA")</f>
        <v>12793.929999999998</v>
      </c>
      <c r="AA148" s="15">
        <f>IFERROR(Z148/Z444, "NA")</f>
        <v>1.3403449310751034E-2</v>
      </c>
      <c r="AB148" s="2"/>
      <c r="AC148" s="14">
        <f t="shared" si="35"/>
        <v>-2205.1700000000019</v>
      </c>
      <c r="AD148" s="15">
        <f>IFERROR(AC148/AC444, "NA")</f>
        <v>-3.8168516326730531E-2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31249.27</v>
      </c>
      <c r="C149" s="15">
        <f>IFERROR(B149/B444, "NA")</f>
        <v>0.25566877969917923</v>
      </c>
      <c r="D149" s="2"/>
      <c r="E149" s="14">
        <f>IFERROR(E127+E129+E130+E131+E132+E133+E134+E135+E136+E137+E138+E139+E140+E143+E144+E145+E146+E147, "NA")</f>
        <v>34947.410000000003</v>
      </c>
      <c r="F149" s="15">
        <f>IFERROR(E149/E444, "NA")</f>
        <v>0.22400000461493438</v>
      </c>
      <c r="G149" s="2"/>
      <c r="H149" s="14">
        <f t="shared" si="32"/>
        <v>3698.1400000000031</v>
      </c>
      <c r="I149" s="15">
        <f>IFERROR(H149/H444, "NA")</f>
        <v>-0.10944603697822004</v>
      </c>
      <c r="J149" s="2"/>
      <c r="K149" s="14">
        <f>IFERROR(K127+K129+K130+K131+K132+K133+K134+K135+K136+K137+K138+K139+K140+K143+K144+K145+K146+K147, "NA")</f>
        <v>33590.1</v>
      </c>
      <c r="L149" s="15">
        <f>IFERROR(K149/K444, "NA")</f>
        <v>0.23683017677039192</v>
      </c>
      <c r="M149" s="2"/>
      <c r="N149" s="14">
        <f t="shared" si="33"/>
        <v>2340.8299999999981</v>
      </c>
      <c r="O149" s="15">
        <f>IFERROR(N149/N444, "NA")</f>
        <v>-0.11939105629230429</v>
      </c>
      <c r="P149" s="2"/>
      <c r="Q149" s="14">
        <f>IFERROR(Q127+Q129+Q130+Q131+Q132+Q133+Q134+Q135+Q136+Q137+Q138+Q139+Q140+Q143+Q144+Q145+Q146+Q147, "NA")</f>
        <v>264020.71999999997</v>
      </c>
      <c r="R149" s="15">
        <f>IFERROR(Q149/Q444, "NA")</f>
        <v>0.26081278275900427</v>
      </c>
      <c r="S149" s="2"/>
      <c r="T149" s="14">
        <f>IFERROR(T127+T129+T130+T131+T132+T133+T134+T135+T136+T137+T138+T139+T140+T143+T144+T145+T146+T147, "NA")</f>
        <v>254194.43</v>
      </c>
      <c r="U149" s="15">
        <f>IFERROR(T149/T444, "NA")</f>
        <v>0.23251593045726046</v>
      </c>
      <c r="V149" s="2"/>
      <c r="W149" s="14">
        <f t="shared" si="34"/>
        <v>-9826.289999999979</v>
      </c>
      <c r="X149" s="15">
        <f>IFERROR(W149/W444, "NA")</f>
        <v>0.12141009974707986</v>
      </c>
      <c r="Y149" s="2"/>
      <c r="Z149" s="14">
        <f>IFERROR(Z127+Z129+Z130+Z131+Z132+Z133+Z134+Z135+Z136+Z137+Z138+Z139+Z140+Z143+Z144+Z145+Z146+Z147, "NA")</f>
        <v>239288.68999999997</v>
      </c>
      <c r="AA149" s="15">
        <f>IFERROR(Z149/Z444, "NA")</f>
        <v>0.25068871152577965</v>
      </c>
      <c r="AB149" s="2"/>
      <c r="AC149" s="14">
        <f t="shared" si="35"/>
        <v>-24732.03</v>
      </c>
      <c r="AD149" s="15">
        <f>IFERROR(AC149/AC444, "NA")</f>
        <v>-0.42807805785866321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2340.23</v>
      </c>
      <c r="F153" s="8">
        <f>IFERROR(E153/E444, "NA")</f>
        <v>1.5000010896372802E-2</v>
      </c>
      <c r="G153" s="9"/>
      <c r="H153" s="10">
        <f t="shared" ref="H153:H158" si="36">IFERROR(-(B153-E153), "NA")</f>
        <v>2340.23</v>
      </c>
      <c r="I153" s="8">
        <f>IFERROR(H153/H444, "NA")</f>
        <v>-6.9258843396285616E-2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17420.689999999999</v>
      </c>
      <c r="U153" s="8">
        <f>IFERROR(T153/T444, "NA")</f>
        <v>1.5934998829665516E-2</v>
      </c>
      <c r="V153" s="9"/>
      <c r="W153" s="10">
        <f t="shared" ref="W153:W158" si="38">IFERROR(-(Q153-T153), "NA")</f>
        <v>17420.689999999999</v>
      </c>
      <c r="X153" s="8">
        <f>IFERROR(W153/W444, "NA")</f>
        <v>-0.21524377059530719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4496.95</v>
      </c>
      <c r="C154" s="8">
        <f>IFERROR(B154/B444, "NA")</f>
        <v>3.6792210469819737E-2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-4496.95</v>
      </c>
      <c r="I154" s="8">
        <f>IFERROR(H154/H444, "NA")</f>
        <v>0.13308672900139157</v>
      </c>
      <c r="J154" s="9"/>
      <c r="K154" s="7">
        <v>4970.6899999999996</v>
      </c>
      <c r="L154" s="8">
        <f>IFERROR(K154/K444, "NA")</f>
        <v>3.5046319938637258E-2</v>
      </c>
      <c r="M154" s="9"/>
      <c r="N154" s="10">
        <f t="shared" si="37"/>
        <v>473.73999999999978</v>
      </c>
      <c r="O154" s="8">
        <f>IFERROR(N154/N444, "NA")</f>
        <v>-2.416250603756627E-2</v>
      </c>
      <c r="P154" s="9"/>
      <c r="Q154" s="7">
        <v>35830.47</v>
      </c>
      <c r="R154" s="8">
        <f>IFERROR(Q154/Q444, "NA")</f>
        <v>3.5395118187174932E-2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-35830.47</v>
      </c>
      <c r="X154" s="8">
        <f>IFERROR(W154/W444, "NA")</f>
        <v>0.44270838095402865</v>
      </c>
      <c r="Y154" s="9"/>
      <c r="Z154" s="7">
        <v>31794.18</v>
      </c>
      <c r="AA154" s="8">
        <f>IFERROR(Z154/Z444, "NA")</f>
        <v>3.3308895703422978E-2</v>
      </c>
      <c r="AB154" s="9"/>
      <c r="AC154" s="10">
        <f t="shared" si="39"/>
        <v>-4036.2900000000009</v>
      </c>
      <c r="AD154" s="8">
        <f>IFERROR(AC154/AC444, "NA")</f>
        <v>-6.9862732018129703E-2</v>
      </c>
    </row>
    <row r="155" spans="1:30" ht="16.5" customHeight="1" x14ac:dyDescent="0.45">
      <c r="A155" s="12" t="s">
        <v>144</v>
      </c>
      <c r="B155" s="7">
        <v>1479.01</v>
      </c>
      <c r="C155" s="8">
        <f>IFERROR(B155/B444, "NA")</f>
        <v>1.2100656490947886E-2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-1479.01</v>
      </c>
      <c r="I155" s="8">
        <f>IFERROR(H155/H444, "NA")</f>
        <v>4.3771134448981674E-2</v>
      </c>
      <c r="J155" s="9"/>
      <c r="K155" s="7">
        <v>1235.19</v>
      </c>
      <c r="L155" s="8">
        <f>IFERROR(K155/K444, "NA")</f>
        <v>8.7088239107659827E-3</v>
      </c>
      <c r="M155" s="9"/>
      <c r="N155" s="10">
        <f t="shared" si="37"/>
        <v>-243.81999999999994</v>
      </c>
      <c r="O155" s="8">
        <f>IFERROR(N155/N444, "NA")</f>
        <v>1.24357289274273E-2</v>
      </c>
      <c r="P155" s="9"/>
      <c r="Q155" s="7">
        <v>9770.2199999999993</v>
      </c>
      <c r="R155" s="8">
        <f>IFERROR(Q155/Q444, "NA")</f>
        <v>9.6515086632885435E-3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-9770.2199999999993</v>
      </c>
      <c r="X155" s="8">
        <f>IFERROR(W155/W444, "NA")</f>
        <v>0.1207173190238551</v>
      </c>
      <c r="Y155" s="9"/>
      <c r="Z155" s="7">
        <v>10636.65</v>
      </c>
      <c r="AA155" s="8">
        <f>IFERROR(Z155/Z444, "NA")</f>
        <v>1.1143393711799267E-2</v>
      </c>
      <c r="AB155" s="9"/>
      <c r="AC155" s="10">
        <f t="shared" si="39"/>
        <v>866.43000000000029</v>
      </c>
      <c r="AD155" s="8">
        <f>IFERROR(AC155/AC444, "NA")</f>
        <v>1.4996733857693109E-2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54.77</v>
      </c>
      <c r="AA156" s="8">
        <f>IFERROR(Z156/Z444, "NA")</f>
        <v>5.7379313373594686E-5</v>
      </c>
      <c r="AB156" s="9"/>
      <c r="AC156" s="10">
        <f t="shared" si="39"/>
        <v>54.77</v>
      </c>
      <c r="AD156" s="8">
        <f>IFERROR(AC156/AC444, "NA")</f>
        <v>9.4799477555699988E-4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5975.96</v>
      </c>
      <c r="C158" s="15">
        <f>IFERROR(B158/B444, "NA")</f>
        <v>4.8892866960767625E-2</v>
      </c>
      <c r="D158" s="2"/>
      <c r="E158" s="14">
        <f>IFERROR(E153+E154+E155+E156+E157, "NA")</f>
        <v>2340.23</v>
      </c>
      <c r="F158" s="15">
        <f>IFERROR(E158/E444, "NA")</f>
        <v>1.5000010896372802E-2</v>
      </c>
      <c r="G158" s="2"/>
      <c r="H158" s="14">
        <f t="shared" si="36"/>
        <v>-3635.73</v>
      </c>
      <c r="I158" s="15">
        <f>IFERROR(H158/H444, "NA")</f>
        <v>0.10759902005408763</v>
      </c>
      <c r="J158" s="2"/>
      <c r="K158" s="14">
        <f>IFERROR(K153+K154+K155+K156+K157, "NA")</f>
        <v>6205.8799999999992</v>
      </c>
      <c r="L158" s="15">
        <f>IFERROR(K158/K444, "NA")</f>
        <v>4.3755143849403239E-2</v>
      </c>
      <c r="M158" s="2"/>
      <c r="N158" s="14">
        <f t="shared" si="37"/>
        <v>229.91999999999916</v>
      </c>
      <c r="O158" s="15">
        <f>IFERROR(N158/N444, "NA")</f>
        <v>-1.1726777110138935E-2</v>
      </c>
      <c r="P158" s="2"/>
      <c r="Q158" s="14">
        <f>IFERROR(Q153+Q154+Q155+Q156+Q157, "NA")</f>
        <v>45600.69</v>
      </c>
      <c r="R158" s="15">
        <f>IFERROR(Q158/Q444, "NA")</f>
        <v>4.5046626850463477E-2</v>
      </c>
      <c r="S158" s="2"/>
      <c r="T158" s="14">
        <f>IFERROR(T153+T154+T155+T156+T157, "NA")</f>
        <v>17420.689999999999</v>
      </c>
      <c r="U158" s="15">
        <f>IFERROR(T158/T444, "NA")</f>
        <v>1.5934998829665516E-2</v>
      </c>
      <c r="V158" s="2"/>
      <c r="W158" s="14">
        <f t="shared" si="38"/>
        <v>-28180.000000000004</v>
      </c>
      <c r="X158" s="15">
        <f>IFERROR(W158/W444, "NA")</f>
        <v>0.34818192938257658</v>
      </c>
      <c r="Y158" s="2"/>
      <c r="Z158" s="14">
        <f>IFERROR(Z153+Z154+Z155+Z156+Z157, "NA")</f>
        <v>42485.599999999999</v>
      </c>
      <c r="AA158" s="15">
        <f>IFERROR(Z158/Z444, "NA")</f>
        <v>4.4509668728595839E-2</v>
      </c>
      <c r="AB158" s="2"/>
      <c r="AC158" s="14">
        <f t="shared" si="39"/>
        <v>-3115.0900000000038</v>
      </c>
      <c r="AD158" s="15">
        <f>IFERROR(AC158/AC444, "NA")</f>
        <v>-5.3918003384879641E-2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376.26</v>
      </c>
      <c r="C161" s="8">
        <f>IFERROR(B161/B444, "NA")</f>
        <v>3.0784058331478838E-3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-376.26</v>
      </c>
      <c r="I161" s="8">
        <f>IFERROR(H161/H444, "NA")</f>
        <v>1.1135372342157149E-2</v>
      </c>
      <c r="J161" s="9"/>
      <c r="K161" s="7">
        <v>547.53</v>
      </c>
      <c r="L161" s="8">
        <f>IFERROR(K161/K444, "NA")</f>
        <v>3.8604120466176847E-3</v>
      </c>
      <c r="M161" s="9"/>
      <c r="N161" s="10">
        <f t="shared" si="41"/>
        <v>171.26999999999998</v>
      </c>
      <c r="O161" s="8">
        <f>IFERROR(N161/N444, "NA")</f>
        <v>-8.7354084710051429E-3</v>
      </c>
      <c r="P161" s="9"/>
      <c r="Q161" s="7">
        <v>2673.84</v>
      </c>
      <c r="R161" s="8">
        <f>IFERROR(Q161/Q444, "NA")</f>
        <v>2.6413519781793493E-3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-2673.84</v>
      </c>
      <c r="X161" s="8">
        <f>IFERROR(W161/W444, "NA")</f>
        <v>3.3037003905617757E-2</v>
      </c>
      <c r="Y161" s="9"/>
      <c r="Z161" s="7">
        <v>3719.99</v>
      </c>
      <c r="AA161" s="8">
        <f>IFERROR(Z161/Z444, "NA")</f>
        <v>3.8972151169734976E-3</v>
      </c>
      <c r="AB161" s="9"/>
      <c r="AC161" s="10">
        <f t="shared" si="43"/>
        <v>1046.1499999999996</v>
      </c>
      <c r="AD161" s="8">
        <f>IFERROR(AC161/AC444, "NA")</f>
        <v>1.8107444485100512E-2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376.26</v>
      </c>
      <c r="C166" s="15">
        <f>IFERROR(B166/B444, "NA")</f>
        <v>3.0784058331478838E-3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-376.26</v>
      </c>
      <c r="I166" s="15">
        <f>IFERROR(H166/H444, "NA")</f>
        <v>1.1135372342157149E-2</v>
      </c>
      <c r="J166" s="2"/>
      <c r="K166" s="14">
        <f>IFERROR(K160+K161+K162+K163+K164+K165, "NA")</f>
        <v>547.53</v>
      </c>
      <c r="L166" s="15">
        <f>IFERROR(K166/K444, "NA")</f>
        <v>3.8604120466176847E-3</v>
      </c>
      <c r="M166" s="2"/>
      <c r="N166" s="14">
        <f t="shared" si="41"/>
        <v>171.26999999999998</v>
      </c>
      <c r="O166" s="15">
        <f>IFERROR(N166/N444, "NA")</f>
        <v>-8.7354084710051429E-3</v>
      </c>
      <c r="P166" s="2"/>
      <c r="Q166" s="14">
        <f>IFERROR(Q160+Q161+Q162+Q163+Q164+Q165, "NA")</f>
        <v>2673.84</v>
      </c>
      <c r="R166" s="15">
        <f>IFERROR(Q166/Q444, "NA")</f>
        <v>2.6413519781793493E-3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-2673.84</v>
      </c>
      <c r="X166" s="15">
        <f>IFERROR(W166/W444, "NA")</f>
        <v>3.3037003905617757E-2</v>
      </c>
      <c r="Y166" s="2"/>
      <c r="Z166" s="14">
        <f>IFERROR(Z160+Z161+Z162+Z163+Z164+Z165, "NA")</f>
        <v>3719.99</v>
      </c>
      <c r="AA166" s="15">
        <f>IFERROR(Z166/Z444, "NA")</f>
        <v>3.8972151169734976E-3</v>
      </c>
      <c r="AB166" s="2"/>
      <c r="AC166" s="14">
        <f t="shared" si="43"/>
        <v>1046.1499999999996</v>
      </c>
      <c r="AD166" s="15">
        <f>IFERROR(AC166/AC444, "NA")</f>
        <v>1.8107444485100512E-2</v>
      </c>
    </row>
    <row r="167" spans="1:30" ht="16.5" customHeight="1" x14ac:dyDescent="0.45">
      <c r="A167" s="6" t="s">
        <v>155</v>
      </c>
      <c r="B167" s="7">
        <v>142.96</v>
      </c>
      <c r="C167" s="8">
        <f>IFERROR(B167/B444, "NA")</f>
        <v>1.1696404026652354E-3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-142.96</v>
      </c>
      <c r="I167" s="8">
        <f>IFERROR(H167/H444, "NA")</f>
        <v>4.2308851061361452E-3</v>
      </c>
      <c r="J167" s="9"/>
      <c r="K167" s="7">
        <v>137.96</v>
      </c>
      <c r="L167" s="8">
        <f>IFERROR(K167/K444, "NA")</f>
        <v>9.7270002730695277E-4</v>
      </c>
      <c r="M167" s="9"/>
      <c r="N167" s="10">
        <f t="shared" si="41"/>
        <v>-5</v>
      </c>
      <c r="O167" s="8">
        <f>IFERROR(N167/N444, "NA")</f>
        <v>2.5501863931234729E-4</v>
      </c>
      <c r="P167" s="9"/>
      <c r="Q167" s="7">
        <v>1162.3499999999999</v>
      </c>
      <c r="R167" s="8">
        <f>IFERROR(Q167/Q444, "NA")</f>
        <v>1.1482270711174812E-3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-1162.3499999999999</v>
      </c>
      <c r="X167" s="8">
        <f>IFERROR(W167/W444, "NA")</f>
        <v>1.4361577914046764E-2</v>
      </c>
      <c r="Y167" s="9"/>
      <c r="Z167" s="7">
        <v>1248.43</v>
      </c>
      <c r="AA167" s="8">
        <f>IFERROR(Z167/Z444, "NA")</f>
        <v>1.3079068138578931E-3</v>
      </c>
      <c r="AB167" s="9"/>
      <c r="AC167" s="10">
        <f t="shared" si="43"/>
        <v>86.080000000000155</v>
      </c>
      <c r="AD167" s="8">
        <f>IFERROR(AC167/AC444, "NA")</f>
        <v>1.4899286156645369E-3</v>
      </c>
    </row>
    <row r="168" spans="1:30" ht="16.5" customHeight="1" x14ac:dyDescent="0.45">
      <c r="A168" s="6" t="s">
        <v>156</v>
      </c>
      <c r="B168" s="7">
        <v>180.43</v>
      </c>
      <c r="C168" s="8">
        <f>IFERROR(B168/B444, "NA")</f>
        <v>1.476204657616735E-3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-180.43</v>
      </c>
      <c r="I168" s="8">
        <f>IFERROR(H168/H444, "NA")</f>
        <v>5.3398055379137149E-3</v>
      </c>
      <c r="J168" s="9"/>
      <c r="K168" s="7">
        <v>71.599999999999994</v>
      </c>
      <c r="L168" s="8">
        <f>IFERROR(K168/K444, "NA")</f>
        <v>5.0482257143503778E-4</v>
      </c>
      <c r="M168" s="9"/>
      <c r="N168" s="10">
        <f t="shared" si="41"/>
        <v>-108.83000000000001</v>
      </c>
      <c r="O168" s="8">
        <f>IFERROR(N168/N444, "NA")</f>
        <v>5.5507357032725515E-3</v>
      </c>
      <c r="P168" s="9"/>
      <c r="Q168" s="7">
        <v>536.66999999999996</v>
      </c>
      <c r="R168" s="8">
        <f>IFERROR(Q168/Q444, "NA")</f>
        <v>5.3014928571997995E-4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-536.66999999999996</v>
      </c>
      <c r="X168" s="8">
        <f>IFERROR(W168/W444, "NA")</f>
        <v>6.6309012080109061E-3</v>
      </c>
      <c r="Y168" s="9"/>
      <c r="Z168" s="7">
        <v>468.1</v>
      </c>
      <c r="AA168" s="8">
        <f>IFERROR(Z168/Z444, "NA")</f>
        <v>4.904008871677866E-4</v>
      </c>
      <c r="AB168" s="9"/>
      <c r="AC168" s="10">
        <f t="shared" si="43"/>
        <v>-68.569999999999936</v>
      </c>
      <c r="AD168" s="8">
        <f>IFERROR(AC168/AC444, "NA")</f>
        <v>-1.1868541493508019E-3</v>
      </c>
    </row>
    <row r="169" spans="1:30" ht="16.5" customHeight="1" x14ac:dyDescent="0.45">
      <c r="A169" s="6" t="s">
        <v>157</v>
      </c>
      <c r="B169" s="7">
        <v>-2024.75</v>
      </c>
      <c r="C169" s="8">
        <f>IFERROR(B169/B444, "NA")</f>
        <v>-1.6565678548520112E-2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2024.75</v>
      </c>
      <c r="I169" s="8">
        <f>IFERROR(H169/H444, "NA")</f>
        <v>-5.9922248311759657E-2</v>
      </c>
      <c r="J169" s="9"/>
      <c r="K169" s="7">
        <v>-2918.35</v>
      </c>
      <c r="L169" s="8">
        <f>IFERROR(K169/K444, "NA")</f>
        <v>-2.0576102672450313E-2</v>
      </c>
      <c r="M169" s="9"/>
      <c r="N169" s="10">
        <f t="shared" si="41"/>
        <v>-893.59999999999991</v>
      </c>
      <c r="O169" s="8">
        <f>IFERROR(N169/N444, "NA")</f>
        <v>4.5576931217902704E-2</v>
      </c>
      <c r="P169" s="9"/>
      <c r="Q169" s="7">
        <v>-18792.419999999998</v>
      </c>
      <c r="R169" s="8">
        <f>IFERROR(Q169/Q444, "NA")</f>
        <v>-1.8564086011794705E-2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18792.419999999998</v>
      </c>
      <c r="X169" s="8">
        <f>IFERROR(W169/W444, "NA")</f>
        <v>-0.23219237236932996</v>
      </c>
      <c r="Y169" s="9"/>
      <c r="Z169" s="7">
        <v>-23546.73</v>
      </c>
      <c r="AA169" s="8">
        <f>IFERROR(Z169/Z444, "NA")</f>
        <v>-2.4668526558214773E-2</v>
      </c>
      <c r="AB169" s="9"/>
      <c r="AC169" s="10">
        <f t="shared" si="43"/>
        <v>-4754.3100000000013</v>
      </c>
      <c r="AD169" s="8">
        <f>IFERROR(AC169/AC444, "NA")</f>
        <v>-8.2290689088522925E-2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4650.8600000000006</v>
      </c>
      <c r="C170" s="15">
        <f>IFERROR(B170/B444, "NA")</f>
        <v>3.8051439305677372E-2</v>
      </c>
      <c r="D170" s="2"/>
      <c r="E170" s="14">
        <f>IFERROR(E151+E153+E154+E155+E156+E157+E160+E161+E162+E163+E164+E165+E167+E168+E169, "NA")</f>
        <v>2340.23</v>
      </c>
      <c r="F170" s="15">
        <f>IFERROR(E170/E444, "NA")</f>
        <v>1.5000010896372802E-2</v>
      </c>
      <c r="G170" s="2"/>
      <c r="H170" s="14">
        <f t="shared" si="40"/>
        <v>-2310.6300000000006</v>
      </c>
      <c r="I170" s="15">
        <f>IFERROR(H170/H444, "NA")</f>
        <v>6.8382834728535E-2</v>
      </c>
      <c r="J170" s="2"/>
      <c r="K170" s="14">
        <f>IFERROR(K151+K153+K154+K155+K156+K157+K160+K161+K162+K163+K164+K165+K167+K168+K169, "NA")</f>
        <v>4044.6199999999994</v>
      </c>
      <c r="L170" s="15">
        <f>IFERROR(K170/K444, "NA")</f>
        <v>2.8516975822312603E-2</v>
      </c>
      <c r="M170" s="2"/>
      <c r="N170" s="14">
        <f t="shared" si="41"/>
        <v>-606.24000000000115</v>
      </c>
      <c r="O170" s="15">
        <f>IFERROR(N170/N444, "NA")</f>
        <v>3.0920499979343544E-2</v>
      </c>
      <c r="P170" s="2"/>
      <c r="Q170" s="14">
        <f>IFERROR(Q151+Q153+Q154+Q155+Q156+Q157+Q160+Q161+Q162+Q163+Q164+Q165+Q167+Q168+Q169, "NA")</f>
        <v>31181.129999999997</v>
      </c>
      <c r="R170" s="15">
        <f>IFERROR(Q170/Q444, "NA")</f>
        <v>3.0802269173685573E-2</v>
      </c>
      <c r="S170" s="2"/>
      <c r="T170" s="14">
        <f>IFERROR(T151+T153+T154+T155+T156+T157+T160+T161+T162+T163+T164+T165+T167+T168+T169, "NA")</f>
        <v>17420.689999999999</v>
      </c>
      <c r="U170" s="15">
        <f>IFERROR(T170/T444, "NA")</f>
        <v>1.5934998829665516E-2</v>
      </c>
      <c r="V170" s="2"/>
      <c r="W170" s="14">
        <f t="shared" si="42"/>
        <v>-13760.439999999999</v>
      </c>
      <c r="X170" s="15">
        <f>IFERROR(W170/W444, "NA")</f>
        <v>0.17001904004092197</v>
      </c>
      <c r="Y170" s="2"/>
      <c r="Z170" s="14">
        <f>IFERROR(Z151+Z153+Z154+Z155+Z156+Z157+Z160+Z161+Z162+Z163+Z164+Z165+Z167+Z168+Z169, "NA")</f>
        <v>24375.389999999996</v>
      </c>
      <c r="AA170" s="15">
        <f>IFERROR(Z170/Z444, "NA")</f>
        <v>2.5536664988380239E-2</v>
      </c>
      <c r="AB170" s="2"/>
      <c r="AC170" s="14">
        <f t="shared" si="43"/>
        <v>-6805.7400000000016</v>
      </c>
      <c r="AD170" s="15">
        <f>IFERROR(AC170/AC444, "NA")</f>
        <v>-0.11779817352198826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35900.130000000005</v>
      </c>
      <c r="C171" s="15">
        <f>IFERROR(B171/B444, "NA")</f>
        <v>0.29372021900485662</v>
      </c>
      <c r="D171" s="2"/>
      <c r="E171" s="14">
        <f>IFERROR(E127+E129+E130+E131+E132+E133+E134+E135+E136+E137+E138+E139+E140+E143+E144+E145+E146+E147+E151+E153+E154+E155+E156+E157+E160+E161+E162+E163+E164+E165+E167+E168+E169, "NA")</f>
        <v>37287.640000000007</v>
      </c>
      <c r="F171" s="15">
        <f>IFERROR(E171/E444, "NA")</f>
        <v>0.2390000155113072</v>
      </c>
      <c r="G171" s="2"/>
      <c r="H171" s="14">
        <f t="shared" si="40"/>
        <v>1387.510000000002</v>
      </c>
      <c r="I171" s="15">
        <f>IFERROR(H171/H444, "NA")</f>
        <v>-4.106320224968503E-2</v>
      </c>
      <c r="J171" s="2"/>
      <c r="K171" s="14">
        <f>IFERROR(K127+K129+K130+K131+K132+K133+K134+K135+K136+K137+K138+K139+K140+K143+K144+K145+K146+K147+K151+K153+K154+K155+K156+K157+K160+K161+K162+K163+K164+K165+K167+K168+K169, "NA")</f>
        <v>37634.720000000001</v>
      </c>
      <c r="L171" s="15">
        <f>IFERROR(K171/K444, "NA")</f>
        <v>0.26534715259270458</v>
      </c>
      <c r="M171" s="2"/>
      <c r="N171" s="14">
        <f t="shared" si="41"/>
        <v>1734.5899999999965</v>
      </c>
      <c r="O171" s="15">
        <f>IFERROR(N171/N444, "NA")</f>
        <v>-8.8470556312960719E-2</v>
      </c>
      <c r="P171" s="2"/>
      <c r="Q171" s="14">
        <f>IFERROR(Q127+Q129+Q130+Q131+Q132+Q133+Q134+Q135+Q136+Q137+Q138+Q139+Q140+Q143+Q144+Q145+Q146+Q147+Q151+Q153+Q154+Q155+Q156+Q157+Q160+Q161+Q162+Q163+Q164+Q165+Q167+Q168+Q169, "NA")</f>
        <v>295201.84999999992</v>
      </c>
      <c r="R171" s="15">
        <f>IFERROR(Q171/Q444, "NA")</f>
        <v>0.29161505193268977</v>
      </c>
      <c r="S171" s="2"/>
      <c r="T171" s="14">
        <f>IFERROR(T127+T129+T130+T131+T132+T133+T134+T135+T136+T137+T138+T139+T140+T143+T144+T145+T146+T147+T151+T153+T154+T155+T156+T157+T160+T161+T162+T163+T164+T165+T167+T168+T169, "NA")</f>
        <v>271615.12</v>
      </c>
      <c r="U171" s="15">
        <f>IFERROR(T171/T444, "NA")</f>
        <v>0.24845092928692597</v>
      </c>
      <c r="V171" s="2"/>
      <c r="W171" s="14">
        <f t="shared" si="42"/>
        <v>-23586.729999999923</v>
      </c>
      <c r="X171" s="15">
        <f>IFERROR(W171/W444, "NA")</f>
        <v>0.29142913978800117</v>
      </c>
      <c r="Y171" s="2"/>
      <c r="Z171" s="14">
        <f>IFERROR(Z127+Z129+Z130+Z131+Z132+Z133+Z134+Z135+Z136+Z137+Z138+Z139+Z140+Z143+Z144+Z145+Z146+Z147+Z151+Z153+Z154+Z155+Z156+Z157+Z160+Z161+Z162+Z163+Z164+Z165+Z167+Z168+Z169, "NA")</f>
        <v>263664.08</v>
      </c>
      <c r="AA171" s="15">
        <f>IFERROR(Z171/Z444, "NA")</f>
        <v>0.2762253765141599</v>
      </c>
      <c r="AB171" s="2"/>
      <c r="AC171" s="14">
        <f t="shared" si="43"/>
        <v>-31537.769999999902</v>
      </c>
      <c r="AD171" s="15">
        <f>IFERROR(AC171/AC444, "NA")</f>
        <v>-0.54587623138064978</v>
      </c>
    </row>
    <row r="172" spans="1:30" ht="16.5" customHeight="1" x14ac:dyDescent="0.45">
      <c r="A172" s="22" t="s">
        <v>160</v>
      </c>
      <c r="B172" s="23">
        <f>IFERROR(B124-B171, "NA")</f>
        <v>86325.47</v>
      </c>
      <c r="C172" s="24">
        <f>IFERROR(B172/B444, "NA")</f>
        <v>0.70627978099514344</v>
      </c>
      <c r="D172" s="25"/>
      <c r="E172" s="23">
        <f>IFERROR(E124-E171, "NA")</f>
        <v>118727.57999999999</v>
      </c>
      <c r="F172" s="24">
        <f>IFERROR(E172/E444, "NA")</f>
        <v>0.76099998448869277</v>
      </c>
      <c r="G172" s="25"/>
      <c r="H172" s="23">
        <f>IFERROR(B172-E172, "NA")</f>
        <v>-32402.109999999986</v>
      </c>
      <c r="I172" s="24">
        <f>IFERROR(H172/H444, "NA")</f>
        <v>0.95893679775031471</v>
      </c>
      <c r="J172" s="25"/>
      <c r="K172" s="23">
        <f>IFERROR(K124-K171, "NA")</f>
        <v>104197.28999999995</v>
      </c>
      <c r="L172" s="24">
        <f>IFERROR(K172/K444, "NA")</f>
        <v>0.73465284740729508</v>
      </c>
      <c r="M172" s="25"/>
      <c r="N172" s="23">
        <f>IFERROR(B172-K172, "NA")</f>
        <v>-17871.819999999949</v>
      </c>
      <c r="O172" s="24">
        <f>IFERROR(N172/N444, "NA")</f>
        <v>0.91152944368703626</v>
      </c>
      <c r="P172" s="25"/>
      <c r="Q172" s="23">
        <f>IFERROR(Q124-Q171, "NA")</f>
        <v>717097.92000000016</v>
      </c>
      <c r="R172" s="24">
        <f>IFERROR(Q172/Q444, "NA")</f>
        <v>0.70838494806731034</v>
      </c>
      <c r="S172" s="25"/>
      <c r="T172" s="23">
        <f>IFERROR(T124-T171, "NA")</f>
        <v>821619.35</v>
      </c>
      <c r="U172" s="24">
        <f>IFERROR(T172/T444, "NA")</f>
        <v>0.75154907071307397</v>
      </c>
      <c r="V172" s="25"/>
      <c r="W172" s="23">
        <f>IFERROR(Q172-T172, "NA")</f>
        <v>-104521.42999999982</v>
      </c>
      <c r="X172" s="24">
        <f>IFERROR(W172/W444, "NA")</f>
        <v>1.2914291397880004</v>
      </c>
      <c r="Y172" s="25"/>
      <c r="Z172" s="23">
        <f>IFERROR(Z124-Z171, "NA")</f>
        <v>690861.10999999964</v>
      </c>
      <c r="AA172" s="24">
        <f>IFERROR(Z172/Z444, "NA")</f>
        <v>0.72377462348583976</v>
      </c>
      <c r="AB172" s="25"/>
      <c r="AC172" s="23">
        <f>IFERROR(Q172-Z172, "NA")</f>
        <v>26236.810000000522</v>
      </c>
      <c r="AD172" s="24">
        <f>IFERROR(AC172/AC444, "NA")</f>
        <v>0.45412376861935627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7307.7</v>
      </c>
      <c r="C178" s="8">
        <f>IFERROR(B178/B444, "NA")</f>
        <v>5.9788620387218383E-2</v>
      </c>
      <c r="D178" s="9"/>
      <c r="E178" s="7">
        <v>7115.38</v>
      </c>
      <c r="F178" s="8">
        <f>IFERROR(E178/E444, "NA")</f>
        <v>4.5606960654223351E-2</v>
      </c>
      <c r="G178" s="9"/>
      <c r="H178" s="10">
        <f t="shared" si="44"/>
        <v>-192.31999999999971</v>
      </c>
      <c r="I178" s="8">
        <f>IFERROR(H178/H444, "NA")</f>
        <v>5.6916887493851584E-3</v>
      </c>
      <c r="J178" s="9"/>
      <c r="K178" s="7">
        <v>7019.25</v>
      </c>
      <c r="L178" s="8">
        <f>IFERROR(K178/K444, "NA")</f>
        <v>4.9489885957337838E-2</v>
      </c>
      <c r="M178" s="9"/>
      <c r="N178" s="10">
        <f t="shared" si="45"/>
        <v>-288.44999999999982</v>
      </c>
      <c r="O178" s="8">
        <f>IFERROR(N178/N444, "NA")</f>
        <v>1.4712025301929306E-2</v>
      </c>
      <c r="P178" s="9"/>
      <c r="Q178" s="7">
        <v>56725.06</v>
      </c>
      <c r="R178" s="8">
        <f>IFERROR(Q178/Q444, "NA")</f>
        <v>5.6035832152762415E-2</v>
      </c>
      <c r="S178" s="9"/>
      <c r="T178" s="7">
        <v>55500</v>
      </c>
      <c r="U178" s="8">
        <f>IFERROR(T178/T444, "NA")</f>
        <v>5.0766785646632603E-2</v>
      </c>
      <c r="V178" s="9"/>
      <c r="W178" s="10">
        <f t="shared" si="46"/>
        <v>-1225.0599999999977</v>
      </c>
      <c r="X178" s="8">
        <f>IFERROR(W178/W444, "NA")</f>
        <v>1.5136400085501007E-2</v>
      </c>
      <c r="Y178" s="9"/>
      <c r="Z178" s="7">
        <v>54750.15</v>
      </c>
      <c r="AA178" s="8">
        <f>IFERROR(Z178/Z444, "NA")</f>
        <v>5.7358517694017071E-2</v>
      </c>
      <c r="AB178" s="9"/>
      <c r="AC178" s="10">
        <f t="shared" si="47"/>
        <v>-1974.9099999999962</v>
      </c>
      <c r="AD178" s="8">
        <f>IFERROR(AC178/AC444, "NA")</f>
        <v>-3.4183026514428901E-2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23366.45</v>
      </c>
      <c r="C180" s="8">
        <f>IFERROR(B180/B444, "NA")</f>
        <v>0.19117476207930253</v>
      </c>
      <c r="D180" s="9"/>
      <c r="E180" s="7">
        <v>29486.87</v>
      </c>
      <c r="F180" s="8">
        <f>IFERROR(E180/E444, "NA")</f>
        <v>0.18899995782462761</v>
      </c>
      <c r="G180" s="9"/>
      <c r="H180" s="10">
        <f t="shared" si="44"/>
        <v>6120.4199999999983</v>
      </c>
      <c r="I180" s="8">
        <f>IFERROR(H180/H444, "NA")</f>
        <v>-0.18113314088764534</v>
      </c>
      <c r="J180" s="9"/>
      <c r="K180" s="7">
        <v>26198.39</v>
      </c>
      <c r="L180" s="8">
        <f>IFERROR(K180/K444, "NA")</f>
        <v>0.18471422635835166</v>
      </c>
      <c r="M180" s="9"/>
      <c r="N180" s="10">
        <f t="shared" si="45"/>
        <v>2831.9399999999987</v>
      </c>
      <c r="O180" s="8">
        <f>IFERROR(N180/N444, "NA")</f>
        <v>-0.14443949708284171</v>
      </c>
      <c r="P180" s="9"/>
      <c r="Q180" s="7">
        <v>188692.75</v>
      </c>
      <c r="R180" s="8">
        <f>IFERROR(Q180/Q444, "NA")</f>
        <v>0.18640007198658159</v>
      </c>
      <c r="S180" s="9"/>
      <c r="T180" s="7">
        <v>212295.2</v>
      </c>
      <c r="U180" s="8">
        <f>IFERROR(T180/T444, "NA")</f>
        <v>0.19418999841818016</v>
      </c>
      <c r="V180" s="9"/>
      <c r="W180" s="10">
        <f t="shared" si="46"/>
        <v>23602.450000000012</v>
      </c>
      <c r="X180" s="8">
        <f>IFERROR(W180/W444, "NA")</f>
        <v>-0.29162337044555703</v>
      </c>
      <c r="Y180" s="9"/>
      <c r="Z180" s="7">
        <v>193547.5</v>
      </c>
      <c r="AA180" s="8">
        <f>IFERROR(Z180/Z444, "NA")</f>
        <v>0.20276835229461049</v>
      </c>
      <c r="AB180" s="9"/>
      <c r="AC180" s="10">
        <f t="shared" si="47"/>
        <v>4854.75</v>
      </c>
      <c r="AD180" s="8">
        <f>IFERROR(AC180/AC444, "NA")</f>
        <v>8.4029169922135202E-2</v>
      </c>
    </row>
    <row r="181" spans="1:30" ht="16.5" customHeight="1" x14ac:dyDescent="0.45">
      <c r="A181" s="12" t="s">
        <v>166</v>
      </c>
      <c r="B181" s="7">
        <v>181.71</v>
      </c>
      <c r="C181" s="8">
        <f>IFERROR(B181/B444, "NA")</f>
        <v>1.4866770954693616E-3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-181.71</v>
      </c>
      <c r="I181" s="8">
        <f>IFERROR(H181/H444, "NA")</f>
        <v>5.3776869938164454E-3</v>
      </c>
      <c r="J181" s="9"/>
      <c r="K181" s="7">
        <v>15.39</v>
      </c>
      <c r="L181" s="8">
        <f>IFERROR(K181/K444, "NA")</f>
        <v>1.0850865048024067E-4</v>
      </c>
      <c r="M181" s="9"/>
      <c r="N181" s="10">
        <f t="shared" si="45"/>
        <v>-166.32</v>
      </c>
      <c r="O181" s="8">
        <f>IFERROR(N181/N444, "NA")</f>
        <v>8.4829400180859195E-3</v>
      </c>
      <c r="P181" s="9"/>
      <c r="Q181" s="7">
        <v>4632.59</v>
      </c>
      <c r="R181" s="8">
        <f>IFERROR(Q181/Q444, "NA")</f>
        <v>4.5763025314131999E-3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-4632.59</v>
      </c>
      <c r="X181" s="8">
        <f>IFERROR(W181/W444, "NA")</f>
        <v>5.7238613351257281E-2</v>
      </c>
      <c r="Y181" s="9"/>
      <c r="Z181" s="7">
        <v>1485.05</v>
      </c>
      <c r="AA181" s="8">
        <f>IFERROR(Z181/Z444, "NA")</f>
        <v>1.5557996955533463E-3</v>
      </c>
      <c r="AB181" s="9"/>
      <c r="AC181" s="10">
        <f t="shared" si="47"/>
        <v>-3147.54</v>
      </c>
      <c r="AD181" s="8">
        <f>IFERROR(AC181/AC444, "NA")</f>
        <v>-5.447966908630051E-2</v>
      </c>
    </row>
    <row r="182" spans="1:30" ht="16.5" customHeight="1" x14ac:dyDescent="0.45">
      <c r="A182" s="13" t="s">
        <v>167</v>
      </c>
      <c r="B182" s="14">
        <f>IFERROR(B177+B178+B179+B180+B181, "NA")</f>
        <v>30855.86</v>
      </c>
      <c r="C182" s="15">
        <f>IFERROR(B182/B444, "NA")</f>
        <v>0.25245005956199029</v>
      </c>
      <c r="D182" s="2"/>
      <c r="E182" s="14">
        <f>IFERROR(E177+E178+E179+E180+E181, "NA")</f>
        <v>36602.25</v>
      </c>
      <c r="F182" s="15">
        <f>IFERROR(E182/E444, "NA")</f>
        <v>0.23460691847885098</v>
      </c>
      <c r="G182" s="2"/>
      <c r="H182" s="14">
        <f t="shared" si="44"/>
        <v>5746.3899999999994</v>
      </c>
      <c r="I182" s="15">
        <f>IFERROR(H182/H444, "NA")</f>
        <v>-0.17006376514444377</v>
      </c>
      <c r="J182" s="2"/>
      <c r="K182" s="14">
        <f>IFERROR(K177+K178+K179+K180+K181, "NA")</f>
        <v>33233.03</v>
      </c>
      <c r="L182" s="15">
        <f>IFERROR(K182/K444, "NA")</f>
        <v>0.23431262096616975</v>
      </c>
      <c r="M182" s="2"/>
      <c r="N182" s="14">
        <f t="shared" si="45"/>
        <v>2377.1699999999983</v>
      </c>
      <c r="O182" s="15">
        <f>IFERROR(N182/N444, "NA")</f>
        <v>-0.12124453176282643</v>
      </c>
      <c r="P182" s="2"/>
      <c r="Q182" s="14">
        <f>IFERROR(Q177+Q178+Q179+Q180+Q181, "NA")</f>
        <v>250050.4</v>
      </c>
      <c r="R182" s="15">
        <f>IFERROR(Q182/Q444, "NA")</f>
        <v>0.24701220667075721</v>
      </c>
      <c r="S182" s="2"/>
      <c r="T182" s="14">
        <f>IFERROR(T177+T178+T179+T180+T181, "NA")</f>
        <v>267795.20000000001</v>
      </c>
      <c r="U182" s="15">
        <f>IFERROR(T182/T444, "NA")</f>
        <v>0.24495678406481275</v>
      </c>
      <c r="V182" s="2"/>
      <c r="W182" s="14">
        <f t="shared" si="46"/>
        <v>17744.800000000017</v>
      </c>
      <c r="X182" s="15">
        <f>IFERROR(W182/W444, "NA")</f>
        <v>-0.2192483570087988</v>
      </c>
      <c r="Y182" s="2"/>
      <c r="Z182" s="14">
        <f>IFERROR(Z177+Z178+Z179+Z180+Z181, "NA")</f>
        <v>249782.69999999998</v>
      </c>
      <c r="AA182" s="15">
        <f>IFERROR(Z182/Z444, "NA")</f>
        <v>0.26168266968418086</v>
      </c>
      <c r="AB182" s="2"/>
      <c r="AC182" s="14">
        <f t="shared" si="47"/>
        <v>-267.70000000001164</v>
      </c>
      <c r="AD182" s="15">
        <f>IFERROR(AC182/AC444, "NA")</f>
        <v>-4.6335256785944839E-3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4.0907960361822723E-3</v>
      </c>
      <c r="D184" s="9"/>
      <c r="E184" s="7">
        <v>500</v>
      </c>
      <c r="F184" s="8">
        <f>IFERROR(E184/E444, "NA")</f>
        <v>3.2048155301771198E-3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2.1151783719345158E-3</v>
      </c>
      <c r="M184" s="9"/>
      <c r="N184" s="10">
        <f t="shared" si="45"/>
        <v>-200</v>
      </c>
      <c r="O184" s="8">
        <f>IFERROR(N184/N444, "NA")</f>
        <v>1.0200745572493891E-2</v>
      </c>
      <c r="P184" s="9"/>
      <c r="Q184" s="7">
        <v>2550</v>
      </c>
      <c r="R184" s="8">
        <f>IFERROR(Q184/Q444, "NA")</f>
        <v>2.5190166742801888E-3</v>
      </c>
      <c r="S184" s="9"/>
      <c r="T184" s="7">
        <v>4500</v>
      </c>
      <c r="U184" s="8">
        <f>IFERROR(T184/T444, "NA")</f>
        <v>4.1162258632404811E-3</v>
      </c>
      <c r="V184" s="9"/>
      <c r="W184" s="10">
        <f t="shared" si="46"/>
        <v>1950</v>
      </c>
      <c r="X184" s="8">
        <f>IFERROR(W184/W444, "NA")</f>
        <v>-2.4093497597445855E-2</v>
      </c>
      <c r="Y184" s="9"/>
      <c r="Z184" s="7">
        <v>2900</v>
      </c>
      <c r="AA184" s="8">
        <f>IFERROR(Z184/Z444, "NA")</f>
        <v>3.0381597367797075E-3</v>
      </c>
      <c r="AB184" s="9"/>
      <c r="AC184" s="10">
        <f t="shared" si="47"/>
        <v>350</v>
      </c>
      <c r="AD184" s="8">
        <f>IFERROR(AC184/AC444, "NA")</f>
        <v>6.0580275962196445E-3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2754.51</v>
      </c>
      <c r="C186" s="8">
        <f>IFERROR(B186/B444, "NA")</f>
        <v>2.2536277179248866E-2</v>
      </c>
      <c r="D186" s="9"/>
      <c r="E186" s="7">
        <v>3527.99</v>
      </c>
      <c r="F186" s="8">
        <f>IFERROR(E186/E444, "NA")</f>
        <v>2.2613114284619151E-2</v>
      </c>
      <c r="G186" s="9"/>
      <c r="H186" s="10">
        <f t="shared" ref="H186:H197" si="48">IFERROR(-(B186-E186), "NA")</f>
        <v>773.47999999999956</v>
      </c>
      <c r="I186" s="8">
        <f>IFERROR(H186/H444, "NA")</f>
        <v>-2.2891053524721486E-2</v>
      </c>
      <c r="J186" s="9"/>
      <c r="K186" s="7">
        <v>2971.41</v>
      </c>
      <c r="L186" s="8">
        <f>IFERROR(K186/K444, "NA")</f>
        <v>2.0950207220499797E-2</v>
      </c>
      <c r="M186" s="9"/>
      <c r="N186" s="10">
        <f t="shared" ref="N186:N197" si="49">IFERROR(-(B186-K186), "NA")</f>
        <v>216.89999999999964</v>
      </c>
      <c r="O186" s="8">
        <f>IFERROR(N186/N444, "NA")</f>
        <v>-1.1062708573369606E-2</v>
      </c>
      <c r="P186" s="9"/>
      <c r="Q186" s="7">
        <v>24910.73</v>
      </c>
      <c r="R186" s="8">
        <f>IFERROR(Q186/Q444, "NA")</f>
        <v>2.4608056564114401E-2</v>
      </c>
      <c r="S186" s="9"/>
      <c r="T186" s="7">
        <v>29348.12</v>
      </c>
      <c r="U186" s="8">
        <f>IFERROR(T186/T444, "NA")</f>
        <v>2.6845220129218941E-2</v>
      </c>
      <c r="V186" s="9"/>
      <c r="W186" s="10">
        <f t="shared" ref="W186:W197" si="50">IFERROR(-(Q186-T186), "NA")</f>
        <v>4437.3899999999994</v>
      </c>
      <c r="X186" s="8">
        <f>IFERROR(W186/W444, "NA")</f>
        <v>-5.4826792463553979E-2</v>
      </c>
      <c r="Y186" s="9"/>
      <c r="Z186" s="7">
        <v>25642.71</v>
      </c>
      <c r="AA186" s="8">
        <f>IFERROR(Z186/Z444, "NA")</f>
        <v>2.6864361746178747E-2</v>
      </c>
      <c r="AB186" s="9"/>
      <c r="AC186" s="10">
        <f t="shared" ref="AC186:AC197" si="51">IFERROR(-(Q186-Z186), "NA")</f>
        <v>731.97999999999956</v>
      </c>
      <c r="AD186" s="8">
        <f>IFERROR(AC186/AC444, "NA")</f>
        <v>1.2669585828231009E-2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-6.2858477312683605E-8</v>
      </c>
      <c r="AB187" s="9"/>
      <c r="AC187" s="10">
        <f t="shared" si="51"/>
        <v>-0.06</v>
      </c>
      <c r="AD187" s="8">
        <f>IFERROR(AC187/AC444, "NA")</f>
        <v>-1.0385190164947962E-6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2754.51</v>
      </c>
      <c r="C193" s="15">
        <f>IFERROR(B193/B444, "NA")</f>
        <v>2.2536277179248866E-2</v>
      </c>
      <c r="D193" s="2"/>
      <c r="E193" s="14">
        <f>IFERROR(E186+E187+E188+E189+E190+E191+E192, "NA")</f>
        <v>3527.99</v>
      </c>
      <c r="F193" s="15">
        <f>IFERROR(E193/E444, "NA")</f>
        <v>2.2613114284619151E-2</v>
      </c>
      <c r="G193" s="2"/>
      <c r="H193" s="14">
        <f t="shared" si="48"/>
        <v>773.47999999999956</v>
      </c>
      <c r="I193" s="15">
        <f>IFERROR(H193/H444, "NA")</f>
        <v>-2.2891053524721486E-2</v>
      </c>
      <c r="J193" s="2"/>
      <c r="K193" s="14">
        <f>IFERROR(K186+K187+K188+K189+K190+K191+K192, "NA")</f>
        <v>2971.41</v>
      </c>
      <c r="L193" s="15">
        <f>IFERROR(K193/K444, "NA")</f>
        <v>2.0950207220499797E-2</v>
      </c>
      <c r="M193" s="2"/>
      <c r="N193" s="14">
        <f t="shared" si="49"/>
        <v>216.89999999999964</v>
      </c>
      <c r="O193" s="15">
        <f>IFERROR(N193/N444, "NA")</f>
        <v>-1.1062708573369606E-2</v>
      </c>
      <c r="P193" s="2"/>
      <c r="Q193" s="14">
        <f>IFERROR(Q186+Q187+Q188+Q189+Q190+Q191+Q192, "NA")</f>
        <v>24910.73</v>
      </c>
      <c r="R193" s="15">
        <f>IFERROR(Q193/Q444, "NA")</f>
        <v>2.4608056564114401E-2</v>
      </c>
      <c r="S193" s="2"/>
      <c r="T193" s="14">
        <f>IFERROR(T186+T187+T188+T189+T190+T191+T192, "NA")</f>
        <v>29348.12</v>
      </c>
      <c r="U193" s="15">
        <f>IFERROR(T193/T444, "NA")</f>
        <v>2.6845220129218941E-2</v>
      </c>
      <c r="V193" s="2"/>
      <c r="W193" s="14">
        <f t="shared" si="50"/>
        <v>4437.3899999999994</v>
      </c>
      <c r="X193" s="15">
        <f>IFERROR(W193/W444, "NA")</f>
        <v>-5.4826792463553979E-2</v>
      </c>
      <c r="Y193" s="2"/>
      <c r="Z193" s="14">
        <f>IFERROR(Z186+Z187+Z188+Z189+Z190+Z191+Z192, "NA")</f>
        <v>25642.649999999998</v>
      </c>
      <c r="AA193" s="15">
        <f>IFERROR(Z193/Z444, "NA")</f>
        <v>2.6864298887701435E-2</v>
      </c>
      <c r="AB193" s="2"/>
      <c r="AC193" s="14">
        <f t="shared" si="51"/>
        <v>731.91999999999825</v>
      </c>
      <c r="AD193" s="15">
        <f>IFERROR(AC193/AC444, "NA")</f>
        <v>1.266854730921449E-2</v>
      </c>
    </row>
    <row r="194" spans="1:30" ht="16.5" customHeight="1" x14ac:dyDescent="0.45">
      <c r="A194" s="6" t="s">
        <v>178</v>
      </c>
      <c r="B194" s="7">
        <v>236</v>
      </c>
      <c r="C194" s="8">
        <f>IFERROR(B194/B444, "NA")</f>
        <v>1.9308557290780327E-3</v>
      </c>
      <c r="D194" s="9"/>
      <c r="E194" s="7">
        <v>296.82</v>
      </c>
      <c r="F194" s="8">
        <f>IFERROR(E194/E444, "NA")</f>
        <v>1.9025066913343454E-3</v>
      </c>
      <c r="G194" s="9"/>
      <c r="H194" s="10">
        <f t="shared" si="48"/>
        <v>60.819999999999993</v>
      </c>
      <c r="I194" s="8">
        <f>IFERROR(H194/H444, "NA")</f>
        <v>-1.79996105312815E-3</v>
      </c>
      <c r="J194" s="9"/>
      <c r="K194" s="7">
        <v>248</v>
      </c>
      <c r="L194" s="8">
        <f>IFERROR(K194/K444, "NA")</f>
        <v>1.748547454132533E-3</v>
      </c>
      <c r="M194" s="9"/>
      <c r="N194" s="10">
        <f t="shared" si="49"/>
        <v>12</v>
      </c>
      <c r="O194" s="8">
        <f>IFERROR(N194/N444, "NA")</f>
        <v>-6.1204473434963347E-4</v>
      </c>
      <c r="P194" s="9"/>
      <c r="Q194" s="7">
        <v>2144</v>
      </c>
      <c r="R194" s="8">
        <f>IFERROR(Q194/Q444, "NA")</f>
        <v>2.117949705747735E-3</v>
      </c>
      <c r="S194" s="9"/>
      <c r="T194" s="7">
        <v>2178.37</v>
      </c>
      <c r="U194" s="8">
        <f>IFERROR(T194/T444, "NA")</f>
        <v>1.9925917630460371E-3</v>
      </c>
      <c r="V194" s="9"/>
      <c r="W194" s="10">
        <f t="shared" si="50"/>
        <v>34.369999999999891</v>
      </c>
      <c r="X194" s="8">
        <f>IFERROR(W194/W444, "NA")</f>
        <v>-4.2466333970472381E-4</v>
      </c>
      <c r="Y194" s="9"/>
      <c r="Z194" s="7">
        <v>1942</v>
      </c>
      <c r="AA194" s="8">
        <f>IFERROR(Z194/Z444, "NA")</f>
        <v>2.0345193823538593E-3</v>
      </c>
      <c r="AB194" s="9"/>
      <c r="AC194" s="10">
        <f t="shared" si="51"/>
        <v>-202</v>
      </c>
      <c r="AD194" s="8">
        <f>IFERROR(AC194/AC444, "NA")</f>
        <v>-3.4963473555324805E-3</v>
      </c>
    </row>
    <row r="195" spans="1:30" ht="16.5" customHeight="1" x14ac:dyDescent="0.45">
      <c r="A195" s="6" t="s">
        <v>179</v>
      </c>
      <c r="B195" s="7">
        <v>140.63</v>
      </c>
      <c r="C195" s="8">
        <f>IFERROR(B195/B444, "NA")</f>
        <v>1.1505772931366259E-3</v>
      </c>
      <c r="D195" s="9"/>
      <c r="E195" s="7">
        <v>259.72000000000003</v>
      </c>
      <c r="F195" s="8">
        <f>IFERROR(E195/E444, "NA")</f>
        <v>1.6647093789952034E-3</v>
      </c>
      <c r="G195" s="9"/>
      <c r="H195" s="10">
        <f t="shared" si="48"/>
        <v>119.09000000000003</v>
      </c>
      <c r="I195" s="8">
        <f>IFERROR(H195/H444, "NA")</f>
        <v>-3.5244551433250815E-3</v>
      </c>
      <c r="J195" s="9"/>
      <c r="K195" s="7">
        <v>175.95</v>
      </c>
      <c r="L195" s="8">
        <f>IFERROR(K195/K444, "NA")</f>
        <v>1.2405521151395934E-3</v>
      </c>
      <c r="M195" s="9"/>
      <c r="N195" s="10">
        <f t="shared" si="49"/>
        <v>35.319999999999993</v>
      </c>
      <c r="O195" s="8">
        <f>IFERROR(N195/N444, "NA")</f>
        <v>-1.801451668102421E-3</v>
      </c>
      <c r="P195" s="9"/>
      <c r="Q195" s="7">
        <v>2249.08</v>
      </c>
      <c r="R195" s="8">
        <f>IFERROR(Q195/Q444, "NA")</f>
        <v>2.2217529497216026E-3</v>
      </c>
      <c r="S195" s="9"/>
      <c r="T195" s="7">
        <v>1906.08</v>
      </c>
      <c r="U195" s="8">
        <f>IFERROR(T195/T444, "NA")</f>
        <v>1.743523509645648E-3</v>
      </c>
      <c r="V195" s="9"/>
      <c r="W195" s="10">
        <f t="shared" si="50"/>
        <v>-343</v>
      </c>
      <c r="X195" s="8">
        <f>IFERROR(W195/W444, "NA")</f>
        <v>4.2379844491917586E-3</v>
      </c>
      <c r="Y195" s="9"/>
      <c r="Z195" s="7">
        <v>1978.45</v>
      </c>
      <c r="AA195" s="8">
        <f>IFERROR(Z195/Z444, "NA")</f>
        <v>2.0727059073213146E-3</v>
      </c>
      <c r="AB195" s="9"/>
      <c r="AC195" s="10">
        <f t="shared" si="51"/>
        <v>-270.62999999999988</v>
      </c>
      <c r="AD195" s="8">
        <f>IFERROR(AC195/AC444, "NA")</f>
        <v>-4.6842400238997764E-3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34487</v>
      </c>
      <c r="C196" s="15">
        <f>IFERROR(B196/B444, "NA")</f>
        <v>0.28215856579963605</v>
      </c>
      <c r="D196" s="2"/>
      <c r="E196" s="14">
        <f>IFERROR(E175+E177+E178+E179+E180+E181+E183+E184+E186+E187+E188+E189+E190+E191+E192+E194+E195, "NA")</f>
        <v>41186.78</v>
      </c>
      <c r="F196" s="15">
        <f>IFERROR(E196/E444, "NA")</f>
        <v>0.26399206436397676</v>
      </c>
      <c r="G196" s="2"/>
      <c r="H196" s="14">
        <f t="shared" si="48"/>
        <v>6699.7799999999988</v>
      </c>
      <c r="I196" s="15">
        <f>IFERROR(H196/H444, "NA")</f>
        <v>-0.19827923486561849</v>
      </c>
      <c r="J196" s="2"/>
      <c r="K196" s="14">
        <f>IFERROR(K175+K177+K178+K179+K180+K181+K183+K184+K186+K187+K188+K189+K190+K191+K192+K194+K195, "NA")</f>
        <v>36928.39</v>
      </c>
      <c r="L196" s="15">
        <f>IFERROR(K196/K444, "NA")</f>
        <v>0.26036710612787617</v>
      </c>
      <c r="M196" s="2"/>
      <c r="N196" s="14">
        <f t="shared" si="49"/>
        <v>2441.3899999999994</v>
      </c>
      <c r="O196" s="15">
        <f>IFERROR(N196/N444, "NA")</f>
        <v>-0.12451999116615428</v>
      </c>
      <c r="P196" s="2"/>
      <c r="Q196" s="14">
        <f>IFERROR(Q175+Q177+Q178+Q179+Q180+Q181+Q183+Q184+Q186+Q187+Q188+Q189+Q190+Q191+Q192+Q194+Q195, "NA")</f>
        <v>281904.21000000002</v>
      </c>
      <c r="R196" s="15">
        <f>IFERROR(Q196/Q444, "NA")</f>
        <v>0.27847898256462117</v>
      </c>
      <c r="S196" s="2"/>
      <c r="T196" s="14">
        <f>IFERROR(T175+T177+T178+T179+T180+T181+T183+T184+T186+T187+T188+T189+T190+T191+T192+T194+T195, "NA")</f>
        <v>305727.77</v>
      </c>
      <c r="U196" s="15">
        <f>IFERROR(T196/T444, "NA")</f>
        <v>0.27965434532996386</v>
      </c>
      <c r="V196" s="2"/>
      <c r="W196" s="14">
        <f t="shared" si="50"/>
        <v>23823.559999999998</v>
      </c>
      <c r="X196" s="15">
        <f>IFERROR(W196/W444, "NA")</f>
        <v>-0.29435532596031133</v>
      </c>
      <c r="Y196" s="2"/>
      <c r="Z196" s="14">
        <f>IFERROR(Z175+Z177+Z178+Z179+Z180+Z181+Z183+Z184+Z186+Z187+Z188+Z189+Z190+Z191+Z192+Z194+Z195, "NA")</f>
        <v>282245.8</v>
      </c>
      <c r="AA196" s="15">
        <f>IFERROR(Z196/Z444, "NA")</f>
        <v>0.29569235359833723</v>
      </c>
      <c r="AB196" s="2"/>
      <c r="AC196" s="14">
        <f t="shared" si="51"/>
        <v>341.5899999999674</v>
      </c>
      <c r="AD196" s="15">
        <f>IFERROR(AC196/AC444, "NA")</f>
        <v>5.9124618474070594E-3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34487</v>
      </c>
      <c r="C197" s="15">
        <f>IFERROR(B197/B444, "NA")</f>
        <v>0.28215856579963605</v>
      </c>
      <c r="D197" s="2"/>
      <c r="E197" s="14">
        <f>IFERROR(E175+E177+E178+E179+E180+E181+E183+E184+E186+E187+E188+E189+E190+E191+E192+E194+E195, "NA")</f>
        <v>41186.78</v>
      </c>
      <c r="F197" s="15">
        <f>IFERROR(E197/E444, "NA")</f>
        <v>0.26399206436397676</v>
      </c>
      <c r="G197" s="2"/>
      <c r="H197" s="14">
        <f t="shared" si="48"/>
        <v>6699.7799999999988</v>
      </c>
      <c r="I197" s="15">
        <f>IFERROR(H197/H444, "NA")</f>
        <v>-0.19827923486561849</v>
      </c>
      <c r="J197" s="2"/>
      <c r="K197" s="14">
        <f>IFERROR(K175+K177+K178+K179+K180+K181+K183+K184+K186+K187+K188+K189+K190+K191+K192+K194+K195, "NA")</f>
        <v>36928.39</v>
      </c>
      <c r="L197" s="15">
        <f>IFERROR(K197/K444, "NA")</f>
        <v>0.26036710612787617</v>
      </c>
      <c r="M197" s="2"/>
      <c r="N197" s="14">
        <f t="shared" si="49"/>
        <v>2441.3899999999994</v>
      </c>
      <c r="O197" s="15">
        <f>IFERROR(N197/N444, "NA")</f>
        <v>-0.12451999116615428</v>
      </c>
      <c r="P197" s="2"/>
      <c r="Q197" s="14">
        <f>IFERROR(Q175+Q177+Q178+Q179+Q180+Q181+Q183+Q184+Q186+Q187+Q188+Q189+Q190+Q191+Q192+Q194+Q195, "NA")</f>
        <v>281904.21000000002</v>
      </c>
      <c r="R197" s="15">
        <f>IFERROR(Q197/Q444, "NA")</f>
        <v>0.27847898256462117</v>
      </c>
      <c r="S197" s="2"/>
      <c r="T197" s="14">
        <f>IFERROR(T175+T177+T178+T179+T180+T181+T183+T184+T186+T187+T188+T189+T190+T191+T192+T194+T195, "NA")</f>
        <v>305727.77</v>
      </c>
      <c r="U197" s="15">
        <f>IFERROR(T197/T444, "NA")</f>
        <v>0.27965434532996386</v>
      </c>
      <c r="V197" s="2"/>
      <c r="W197" s="14">
        <f t="shared" si="50"/>
        <v>23823.559999999998</v>
      </c>
      <c r="X197" s="15">
        <f>IFERROR(W197/W444, "NA")</f>
        <v>-0.29435532596031133</v>
      </c>
      <c r="Y197" s="2"/>
      <c r="Z197" s="14">
        <f>IFERROR(Z175+Z177+Z178+Z179+Z180+Z181+Z183+Z184+Z186+Z187+Z188+Z189+Z190+Z191+Z192+Z194+Z195, "NA")</f>
        <v>282245.8</v>
      </c>
      <c r="AA197" s="15">
        <f>IFERROR(Z197/Z444, "NA")</f>
        <v>0.29569235359833723</v>
      </c>
      <c r="AB197" s="2"/>
      <c r="AC197" s="14">
        <f t="shared" si="51"/>
        <v>341.5899999999674</v>
      </c>
      <c r="AD197" s="15">
        <f>IFERROR(AC197/AC444, "NA")</f>
        <v>5.9124618474070594E-3</v>
      </c>
    </row>
    <row r="198" spans="1:30" ht="16.5" customHeight="1" x14ac:dyDescent="0.45">
      <c r="A198" s="22" t="s">
        <v>181</v>
      </c>
      <c r="B198" s="23">
        <f>IFERROR(B172-B197, "NA")</f>
        <v>51838.47</v>
      </c>
      <c r="C198" s="24">
        <f>IFERROR(B198/B444, "NA")</f>
        <v>0.42412121519550733</v>
      </c>
      <c r="D198" s="25"/>
      <c r="E198" s="23">
        <f>IFERROR(E172-E197, "NA")</f>
        <v>77540.799999999988</v>
      </c>
      <c r="F198" s="24">
        <f>IFERROR(E198/E444, "NA")</f>
        <v>0.49700792012471595</v>
      </c>
      <c r="G198" s="25"/>
      <c r="H198" s="23">
        <f>IFERROR(B198-E198, "NA")</f>
        <v>-25702.329999999987</v>
      </c>
      <c r="I198" s="24">
        <f>IFERROR(H198/H444, "NA")</f>
        <v>0.76065756288469621</v>
      </c>
      <c r="J198" s="25"/>
      <c r="K198" s="23">
        <f>IFERROR(K172-K197, "NA")</f>
        <v>67268.899999999951</v>
      </c>
      <c r="L198" s="24">
        <f>IFERROR(K198/K444, "NA")</f>
        <v>0.47428574127941886</v>
      </c>
      <c r="M198" s="25"/>
      <c r="N198" s="23">
        <f>IFERROR(B198-K198, "NA")</f>
        <v>-15430.429999999949</v>
      </c>
      <c r="O198" s="24">
        <f>IFERROR(N198/N444, "NA")</f>
        <v>0.78700945252088206</v>
      </c>
      <c r="P198" s="25"/>
      <c r="Q198" s="23">
        <f>IFERROR(Q172-Q197, "NA")</f>
        <v>435193.71000000014</v>
      </c>
      <c r="R198" s="24">
        <f>IFERROR(Q198/Q444, "NA")</f>
        <v>0.42990596550268911</v>
      </c>
      <c r="S198" s="25"/>
      <c r="T198" s="23">
        <f>IFERROR(T172-T197, "NA")</f>
        <v>515891.57999999996</v>
      </c>
      <c r="U198" s="24">
        <f>IFERROR(T198/T444, "NA")</f>
        <v>0.47189472538311017</v>
      </c>
      <c r="V198" s="25"/>
      <c r="W198" s="23">
        <f>IFERROR(Q198-T198, "NA")</f>
        <v>-80697.869999999821</v>
      </c>
      <c r="X198" s="24">
        <f>IFERROR(W198/W444, "NA")</f>
        <v>0.99707381382768911</v>
      </c>
      <c r="Y198" s="25"/>
      <c r="Z198" s="23">
        <f>IFERROR(Z172-Z197, "NA")</f>
        <v>408615.30999999965</v>
      </c>
      <c r="AA198" s="24">
        <f>IFERROR(Z198/Z444, "NA")</f>
        <v>0.42808226988750259</v>
      </c>
      <c r="AB198" s="25"/>
      <c r="AC198" s="23">
        <f>IFERROR(Q198-Z198, "NA")</f>
        <v>26578.400000000489</v>
      </c>
      <c r="AD198" s="24">
        <f>IFERROR(AC198/AC444, "NA")</f>
        <v>0.46003623046676334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3276.32</v>
      </c>
      <c r="F201" s="8">
        <f>IFERROR(E201/E444, "NA")</f>
        <v>2.1000002435659804E-2</v>
      </c>
      <c r="G201" s="9"/>
      <c r="H201" s="10">
        <f t="shared" ref="H201:H209" si="52">IFERROR(-(B201-E201), "NA")</f>
        <v>3276.32</v>
      </c>
      <c r="I201" s="8">
        <f>IFERROR(H201/H444, "NA")</f>
        <v>-9.6962321565025017E-2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23298.639999999999</v>
      </c>
      <c r="U201" s="8">
        <f>IFERROR(T201/T444, "NA")</f>
        <v>2.1311658788073156E-2</v>
      </c>
      <c r="V201" s="9"/>
      <c r="W201" s="10">
        <f t="shared" ref="W201:W209" si="54">IFERROR(-(Q201-T201), "NA")</f>
        <v>23298.639999999999</v>
      </c>
      <c r="X201" s="8">
        <f>IFERROR(W201/W444, "NA")</f>
        <v>-0.28786960351987484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2248.7800000000002</v>
      </c>
      <c r="C202" s="8">
        <f>IFERROR(B202/B444, "NA")</f>
        <v>1.8398600620491944E-2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-2248.7800000000002</v>
      </c>
      <c r="I202" s="8">
        <f>IFERROR(H202/H444, "NA")</f>
        <v>6.6552390941360118E-2</v>
      </c>
      <c r="J202" s="9"/>
      <c r="K202" s="7">
        <v>1579.86</v>
      </c>
      <c r="L202" s="8">
        <f>IFERROR(K202/K444, "NA")</f>
        <v>1.1138952342281547E-2</v>
      </c>
      <c r="M202" s="9"/>
      <c r="N202" s="10">
        <f t="shared" si="53"/>
        <v>-668.9200000000003</v>
      </c>
      <c r="O202" s="8">
        <f>IFERROR(N202/N444, "NA")</f>
        <v>3.4117413641763086E-2</v>
      </c>
      <c r="P202" s="9"/>
      <c r="Q202" s="7">
        <v>15434.76</v>
      </c>
      <c r="R202" s="8">
        <f>IFERROR(Q202/Q444, "NA")</f>
        <v>1.5247222668044269E-2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-15434.76</v>
      </c>
      <c r="X202" s="8">
        <f>IFERROR(W202/W444, "NA")</f>
        <v>0.19070633486007868</v>
      </c>
      <c r="Y202" s="9"/>
      <c r="Z202" s="7">
        <v>11465.54</v>
      </c>
      <c r="AA202" s="8">
        <f>IFERROR(Z202/Z444, "NA")</f>
        <v>1.2011773099461106E-2</v>
      </c>
      <c r="AB202" s="9"/>
      <c r="AC202" s="10">
        <f t="shared" si="55"/>
        <v>-3969.2199999999993</v>
      </c>
      <c r="AD202" s="8">
        <f>IFERROR(AC202/AC444, "NA")</f>
        <v>-6.8701840844191245E-2</v>
      </c>
    </row>
    <row r="203" spans="1:30" ht="16.5" customHeight="1" x14ac:dyDescent="0.45">
      <c r="A203" s="6" t="s">
        <v>185</v>
      </c>
      <c r="B203" s="7">
        <v>1540.99</v>
      </c>
      <c r="C203" s="8">
        <f>IFERROR(B203/B444, "NA")</f>
        <v>1.2607751567593041E-2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-1540.99</v>
      </c>
      <c r="I203" s="8">
        <f>IFERROR(H203/H444, "NA")</f>
        <v>4.5605425571521675E-2</v>
      </c>
      <c r="J203" s="9"/>
      <c r="K203" s="7">
        <v>840.04</v>
      </c>
      <c r="L203" s="8">
        <f>IFERROR(K203/K444, "NA")</f>
        <v>5.9227814651995692E-3</v>
      </c>
      <c r="M203" s="9"/>
      <c r="N203" s="10">
        <f t="shared" si="53"/>
        <v>-700.95</v>
      </c>
      <c r="O203" s="8">
        <f>IFERROR(N203/N444, "NA")</f>
        <v>3.575106304519797E-2</v>
      </c>
      <c r="P203" s="9"/>
      <c r="Q203" s="7">
        <v>8812.7800000000007</v>
      </c>
      <c r="R203" s="8">
        <f>IFERROR(Q203/Q444, "NA")</f>
        <v>8.7057018693188094E-3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-8812.7800000000007</v>
      </c>
      <c r="X203" s="8">
        <f>IFERROR(W203/W444, "NA")</f>
        <v>0.10888753525990713</v>
      </c>
      <c r="Y203" s="9"/>
      <c r="Z203" s="7">
        <v>4927.62</v>
      </c>
      <c r="AA203" s="8">
        <f>IFERROR(Z203/Z444, "NA")</f>
        <v>5.1623781662587659E-3</v>
      </c>
      <c r="AB203" s="9"/>
      <c r="AC203" s="10">
        <f t="shared" si="55"/>
        <v>-3885.1600000000008</v>
      </c>
      <c r="AD203" s="8">
        <f>IFERROR(AC203/AC444, "NA")</f>
        <v>-6.7246875702082057E-2</v>
      </c>
    </row>
    <row r="204" spans="1:30" ht="16.5" customHeight="1" x14ac:dyDescent="0.45">
      <c r="A204" s="6" t="s">
        <v>186</v>
      </c>
      <c r="B204" s="7">
        <v>333.32</v>
      </c>
      <c r="C204" s="8">
        <f>IFERROR(B204/B444, "NA")</f>
        <v>2.72708826956055E-3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-333.32</v>
      </c>
      <c r="I204" s="8">
        <f>IFERROR(H204/H444, "NA")</f>
        <v>9.8645678761702573E-3</v>
      </c>
      <c r="J204" s="9"/>
      <c r="K204" s="7">
        <v>238.96</v>
      </c>
      <c r="L204" s="8">
        <f>IFERROR(K204/K444, "NA")</f>
        <v>1.6848100791915731E-3</v>
      </c>
      <c r="M204" s="9"/>
      <c r="N204" s="10">
        <f t="shared" si="53"/>
        <v>-94.359999999999985</v>
      </c>
      <c r="O204" s="8">
        <f>IFERROR(N204/N444, "NA")</f>
        <v>4.8127117611026175E-3</v>
      </c>
      <c r="P204" s="9"/>
      <c r="Q204" s="7">
        <v>2517.69</v>
      </c>
      <c r="R204" s="8">
        <f>IFERROR(Q204/Q444, "NA")</f>
        <v>2.4870992512425446E-3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-2517.69</v>
      </c>
      <c r="X204" s="8">
        <f>IFERROR(W204/W444, "NA")</f>
        <v>3.1107670751853056E-2</v>
      </c>
      <c r="Y204" s="9"/>
      <c r="Z204" s="7">
        <v>1141.0899999999999</v>
      </c>
      <c r="AA204" s="8">
        <f>IFERROR(Z204/Z444, "NA")</f>
        <v>1.1954529979455021E-3</v>
      </c>
      <c r="AB204" s="9"/>
      <c r="AC204" s="10">
        <f t="shared" si="55"/>
        <v>-1376.6000000000001</v>
      </c>
      <c r="AD204" s="8">
        <f>IFERROR(AC204/AC444, "NA")</f>
        <v>-2.3827087968445609E-2</v>
      </c>
    </row>
    <row r="205" spans="1:30" ht="16.5" customHeight="1" x14ac:dyDescent="0.45">
      <c r="A205" s="6" t="s">
        <v>187</v>
      </c>
      <c r="B205" s="7">
        <v>324.47000000000003</v>
      </c>
      <c r="C205" s="8">
        <f>IFERROR(B205/B444, "NA")</f>
        <v>2.6546811797201241E-3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-324.47000000000003</v>
      </c>
      <c r="I205" s="8">
        <f>IFERROR(H205/H444, "NA")</f>
        <v>9.6026531224677903E-3</v>
      </c>
      <c r="J205" s="9"/>
      <c r="K205" s="7">
        <v>259.85000000000002</v>
      </c>
      <c r="L205" s="8">
        <f>IFERROR(K205/K444, "NA")</f>
        <v>1.8320969998239468E-3</v>
      </c>
      <c r="M205" s="9"/>
      <c r="N205" s="10">
        <f t="shared" si="53"/>
        <v>-64.62</v>
      </c>
      <c r="O205" s="8">
        <f>IFERROR(N205/N444, "NA")</f>
        <v>3.2958608944727765E-3</v>
      </c>
      <c r="P205" s="9"/>
      <c r="Q205" s="7">
        <v>2232.84</v>
      </c>
      <c r="R205" s="8">
        <f>IFERROR(Q205/Q444, "NA")</f>
        <v>2.2057102709803047E-3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-2232.84</v>
      </c>
      <c r="X205" s="8">
        <f>IFERROR(W205/W444, "NA")</f>
        <v>2.7588166756656929E-2</v>
      </c>
      <c r="Y205" s="9"/>
      <c r="Z205" s="7">
        <v>2136.63</v>
      </c>
      <c r="AA205" s="8">
        <f>IFERROR(Z205/Z444, "NA")</f>
        <v>2.2384218063433194E-3</v>
      </c>
      <c r="AB205" s="9"/>
      <c r="AC205" s="10">
        <f t="shared" si="55"/>
        <v>-96.210000000000036</v>
      </c>
      <c r="AD205" s="8">
        <f>IFERROR(AC205/AC444, "NA")</f>
        <v>-1.6652652429494064E-3</v>
      </c>
    </row>
    <row r="206" spans="1:30" ht="16.5" customHeight="1" x14ac:dyDescent="0.45">
      <c r="A206" s="6" t="s">
        <v>188</v>
      </c>
      <c r="B206" s="7">
        <v>-297.66000000000003</v>
      </c>
      <c r="C206" s="8">
        <f>IFERROR(B206/B444, "NA")</f>
        <v>-2.4353326962600307E-3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297.66000000000003</v>
      </c>
      <c r="I206" s="8">
        <f>IFERROR(H206/H444, "NA")</f>
        <v>-8.8092141906301429E-3</v>
      </c>
      <c r="J206" s="9"/>
      <c r="K206" s="7">
        <v>229.16</v>
      </c>
      <c r="L206" s="8">
        <f>IFERROR(K206/K444, "NA")</f>
        <v>1.6157142523750454E-3</v>
      </c>
      <c r="M206" s="9"/>
      <c r="N206" s="10">
        <f t="shared" si="53"/>
        <v>526.82000000000005</v>
      </c>
      <c r="O206" s="8">
        <f>IFERROR(N206/N444, "NA")</f>
        <v>-2.6869783912506162E-2</v>
      </c>
      <c r="P206" s="9"/>
      <c r="Q206" s="7">
        <v>1103.31</v>
      </c>
      <c r="R206" s="8">
        <f>IFERROR(Q206/Q444, "NA")</f>
        <v>1.0899044262353236E-3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-1103.31</v>
      </c>
      <c r="X206" s="8">
        <f>IFERROR(W206/W444, "NA")</f>
        <v>1.3632100940634865E-2</v>
      </c>
      <c r="Y206" s="9"/>
      <c r="Z206" s="7">
        <v>239</v>
      </c>
      <c r="AA206" s="8">
        <f>IFERROR(Z206/Z444, "NA")</f>
        <v>2.5038626796218967E-4</v>
      </c>
      <c r="AB206" s="9"/>
      <c r="AC206" s="10">
        <f t="shared" si="55"/>
        <v>-864.31</v>
      </c>
      <c r="AD206" s="8">
        <f>IFERROR(AC206/AC444, "NA")</f>
        <v>-1.4960039519110287E-2</v>
      </c>
    </row>
    <row r="207" spans="1:30" ht="16.5" customHeight="1" x14ac:dyDescent="0.45">
      <c r="A207" s="6" t="s">
        <v>189</v>
      </c>
      <c r="B207" s="7">
        <v>84.69</v>
      </c>
      <c r="C207" s="8">
        <f>IFERROR(B207/B444, "NA")</f>
        <v>6.928990326085533E-4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-84.69</v>
      </c>
      <c r="I207" s="8">
        <f>IFERROR(H207/H444, "NA")</f>
        <v>2.5063910159392145E-3</v>
      </c>
      <c r="J207" s="9"/>
      <c r="K207" s="7">
        <v>254.99</v>
      </c>
      <c r="L207" s="8">
        <f>IFERROR(K207/K444, "NA")</f>
        <v>1.7978311101986074E-3</v>
      </c>
      <c r="M207" s="9"/>
      <c r="N207" s="10">
        <f t="shared" si="53"/>
        <v>170.3</v>
      </c>
      <c r="O207" s="8">
        <f>IFERROR(N207/N444, "NA")</f>
        <v>-8.6859348549785491E-3</v>
      </c>
      <c r="P207" s="9"/>
      <c r="Q207" s="7">
        <v>847.67</v>
      </c>
      <c r="R207" s="8">
        <f>IFERROR(Q207/Q444, "NA")</f>
        <v>8.373705350145441E-4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1.0473505183808681E-2</v>
      </c>
      <c r="Y207" s="9"/>
      <c r="Z207" s="7">
        <v>563.29</v>
      </c>
      <c r="AA207" s="8">
        <f>IFERROR(Z207/Z444, "NA")</f>
        <v>5.9012586142435908E-4</v>
      </c>
      <c r="AB207" s="9"/>
      <c r="AC207" s="10">
        <f t="shared" si="55"/>
        <v>-284.38</v>
      </c>
      <c r="AD207" s="8">
        <f>IFERROR(AC207/AC444, "NA")</f>
        <v>-4.922233965179836E-3</v>
      </c>
    </row>
    <row r="208" spans="1:30" ht="16.5" customHeight="1" x14ac:dyDescent="0.45">
      <c r="A208" s="6" t="s">
        <v>190</v>
      </c>
      <c r="B208" s="7">
        <v>52.98</v>
      </c>
      <c r="C208" s="8">
        <f>IFERROR(B208/B444, "NA")</f>
        <v>4.3346074799387359E-4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-52.98</v>
      </c>
      <c r="I208" s="8">
        <f>IFERROR(H208/H444, "NA")</f>
        <v>1.5679371357239296E-3</v>
      </c>
      <c r="J208" s="9"/>
      <c r="K208" s="7">
        <v>142.85</v>
      </c>
      <c r="L208" s="8">
        <f>IFERROR(K208/K444, "NA")</f>
        <v>1.0071774347694853E-3</v>
      </c>
      <c r="M208" s="9"/>
      <c r="N208" s="10">
        <f t="shared" si="53"/>
        <v>89.87</v>
      </c>
      <c r="O208" s="8">
        <f>IFERROR(N208/N444, "NA")</f>
        <v>-4.5837050230001309E-3</v>
      </c>
      <c r="P208" s="9"/>
      <c r="Q208" s="7">
        <v>1173.44</v>
      </c>
      <c r="R208" s="8">
        <f>IFERROR(Q208/Q444, "NA")</f>
        <v>1.1591823240264098E-3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-1173.44</v>
      </c>
      <c r="X208" s="8">
        <f>IFERROR(W208/W444, "NA")</f>
        <v>1.4498601959357368E-2</v>
      </c>
      <c r="Y208" s="9"/>
      <c r="Z208" s="7">
        <v>1760.84</v>
      </c>
      <c r="AA208" s="8">
        <f>IFERROR(Z208/Z444, "NA")</f>
        <v>1.8447286865210964E-3</v>
      </c>
      <c r="AB208" s="9"/>
      <c r="AC208" s="10">
        <f t="shared" si="55"/>
        <v>587.39999999999986</v>
      </c>
      <c r="AD208" s="8">
        <f>IFERROR(AC208/AC444, "NA")</f>
        <v>1.0167101171484052E-2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4287.57</v>
      </c>
      <c r="C209" s="15">
        <f>IFERROR(B209/B444, "NA")</f>
        <v>3.5079148721708052E-2</v>
      </c>
      <c r="D209" s="2"/>
      <c r="E209" s="14">
        <f>IFERROR(E201+E202+E203+E204+E205+E206+E207+E208, "NA")</f>
        <v>3276.32</v>
      </c>
      <c r="F209" s="15">
        <f>IFERROR(E209/E444, "NA")</f>
        <v>2.1000002435659804E-2</v>
      </c>
      <c r="G209" s="2"/>
      <c r="H209" s="14">
        <f t="shared" si="52"/>
        <v>-1011.2499999999995</v>
      </c>
      <c r="I209" s="15">
        <f>IFERROR(H209/H444, "NA")</f>
        <v>2.9927829907527806E-2</v>
      </c>
      <c r="J209" s="2"/>
      <c r="K209" s="14">
        <f>IFERROR(K201+K202+K203+K204+K205+K206+K207+K208, "NA")</f>
        <v>3545.7099999999996</v>
      </c>
      <c r="L209" s="15">
        <f>IFERROR(K209/K444, "NA")</f>
        <v>2.4999363683839773E-2</v>
      </c>
      <c r="M209" s="2"/>
      <c r="N209" s="14">
        <f t="shared" si="53"/>
        <v>-741.86000000000013</v>
      </c>
      <c r="O209" s="15">
        <f>IFERROR(N209/N444, "NA")</f>
        <v>3.7837625552051599E-2</v>
      </c>
      <c r="P209" s="2"/>
      <c r="Q209" s="14">
        <f>IFERROR(Q201+Q202+Q203+Q204+Q205+Q206+Q207+Q208, "NA")</f>
        <v>32122.489999999998</v>
      </c>
      <c r="R209" s="15">
        <f>IFERROR(Q209/Q444, "NA")</f>
        <v>3.1732191344862201E-2</v>
      </c>
      <c r="S209" s="2"/>
      <c r="T209" s="14">
        <f>IFERROR(T201+T202+T203+T204+T205+T206+T207+T208, "NA")</f>
        <v>23298.639999999999</v>
      </c>
      <c r="U209" s="15">
        <f>IFERROR(T209/T444, "NA")</f>
        <v>2.1311658788073156E-2</v>
      </c>
      <c r="V209" s="2"/>
      <c r="W209" s="14">
        <f t="shared" si="54"/>
        <v>-8823.8499999999985</v>
      </c>
      <c r="X209" s="15">
        <f>IFERROR(W209/W444, "NA")</f>
        <v>0.10902431219242184</v>
      </c>
      <c r="Y209" s="2"/>
      <c r="Z209" s="14">
        <f>IFERROR(Z201+Z202+Z203+Z204+Z205+Z206+Z207+Z208, "NA")</f>
        <v>22234.010000000002</v>
      </c>
      <c r="AA209" s="15">
        <f>IFERROR(Z209/Z444, "NA")</f>
        <v>2.329326688591634E-2</v>
      </c>
      <c r="AB209" s="2"/>
      <c r="AC209" s="14">
        <f t="shared" si="55"/>
        <v>-9888.4799999999959</v>
      </c>
      <c r="AD209" s="15">
        <f>IFERROR(AC209/AC444, "NA")</f>
        <v>-0.17115624207047431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3809.64</v>
      </c>
      <c r="F213" s="8">
        <f>IFERROR(E213/E444, "NA")</f>
        <v>2.4418386872767924E-2</v>
      </c>
      <c r="G213" s="9"/>
      <c r="H213" s="10">
        <f t="shared" ref="H213:H227" si="56">IFERROR(-(B213-E213), "NA")</f>
        <v>3809.64</v>
      </c>
      <c r="I213" s="8">
        <f>IFERROR(H213/H444, "NA")</f>
        <v>-0.11274586692599681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25638.76</v>
      </c>
      <c r="U213" s="8">
        <f>IFERROR(T213/T444, "NA")</f>
        <v>2.3452206002981226E-2</v>
      </c>
      <c r="V213" s="9"/>
      <c r="W213" s="10">
        <f t="shared" ref="W213:W227" si="58">IFERROR(-(Q213-T213), "NA")</f>
        <v>25638.76</v>
      </c>
      <c r="X213" s="8">
        <f>IFERROR(W213/W444, "NA")</f>
        <v>-0.31678328331358507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1303.45</v>
      </c>
      <c r="C214" s="8">
        <f>IFERROR(B214/B444, "NA")</f>
        <v>1.0664296186723567E-2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-1303.45</v>
      </c>
      <c r="I214" s="8">
        <f>IFERROR(H214/H444, "NA")</f>
        <v>3.8575456012822883E-2</v>
      </c>
      <c r="J214" s="9"/>
      <c r="K214" s="7">
        <v>3714.94</v>
      </c>
      <c r="L214" s="8">
        <f>IFERROR(K214/K444, "NA")</f>
        <v>2.6192535803448037E-2</v>
      </c>
      <c r="M214" s="9"/>
      <c r="N214" s="10">
        <f t="shared" si="57"/>
        <v>2411.4899999999998</v>
      </c>
      <c r="O214" s="8">
        <f>IFERROR(N214/N444, "NA")</f>
        <v>-0.12299497970306647</v>
      </c>
      <c r="P214" s="9"/>
      <c r="Q214" s="7">
        <v>17116.93</v>
      </c>
      <c r="R214" s="8">
        <f>IFERROR(Q214/Q444, "NA")</f>
        <v>1.6908953757837956E-2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-17116.93</v>
      </c>
      <c r="X214" s="8">
        <f>IFERROR(W214/W444, "NA")</f>
        <v>0.21149062145161482</v>
      </c>
      <c r="Y214" s="9"/>
      <c r="Z214" s="7">
        <v>7995.4</v>
      </c>
      <c r="AA214" s="8">
        <f>IFERROR(Z214/Z444, "NA")</f>
        <v>8.3763111584305074E-3</v>
      </c>
      <c r="AB214" s="9"/>
      <c r="AC214" s="10">
        <f t="shared" si="59"/>
        <v>-9121.5300000000007</v>
      </c>
      <c r="AD214" s="8">
        <f>IFERROR(AC214/AC444, "NA")</f>
        <v>-0.15788137274212966</v>
      </c>
    </row>
    <row r="215" spans="1:30" ht="16.5" customHeight="1" x14ac:dyDescent="0.45">
      <c r="A215" s="12" t="s">
        <v>195</v>
      </c>
      <c r="B215" s="7">
        <v>254.26</v>
      </c>
      <c r="C215" s="8">
        <f>IFERROR(B215/B444, "NA")</f>
        <v>2.0802516003194092E-3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-254.26</v>
      </c>
      <c r="I215" s="8">
        <f>IFERROR(H215/H444, "NA")</f>
        <v>7.524796076428206E-3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-254.26</v>
      </c>
      <c r="O215" s="8">
        <f>IFERROR(N215/N444, "NA")</f>
        <v>1.2968207846311483E-2</v>
      </c>
      <c r="P215" s="9"/>
      <c r="Q215" s="7">
        <v>580.92999999999995</v>
      </c>
      <c r="R215" s="8">
        <f>IFERROR(Q215/Q444, "NA")</f>
        <v>5.7387151238807446E-4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-580.92999999999995</v>
      </c>
      <c r="X215" s="8">
        <f>IFERROR(W215/W444, "NA")</f>
        <v>7.1777618252739589E-3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-580.92999999999995</v>
      </c>
      <c r="AD215" s="8">
        <f>IFERROR(AC215/AC444, "NA")</f>
        <v>-1.0055114204205365E-2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584.08000000000004</v>
      </c>
      <c r="L216" s="8">
        <f>IFERROR(K216/K444, "NA")</f>
        <v>4.1181112782650402E-3</v>
      </c>
      <c r="M216" s="9"/>
      <c r="N216" s="10">
        <f t="shared" si="57"/>
        <v>584.08000000000004</v>
      </c>
      <c r="O216" s="8">
        <f>IFERROR(N216/N444, "NA")</f>
        <v>-2.9790257369911165E-2</v>
      </c>
      <c r="P216" s="9"/>
      <c r="Q216" s="7">
        <v>2.41</v>
      </c>
      <c r="R216" s="8">
        <f>IFERROR(Q216/Q444, "NA")</f>
        <v>2.3807177196138256E-6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2.9777091902484368E-5</v>
      </c>
      <c r="Y216" s="9"/>
      <c r="Z216" s="7">
        <v>584.08000000000004</v>
      </c>
      <c r="AA216" s="8">
        <f>IFERROR(Z216/Z444, "NA")</f>
        <v>6.1190632381320396E-4</v>
      </c>
      <c r="AB216" s="9"/>
      <c r="AC216" s="10">
        <f t="shared" si="59"/>
        <v>581.67000000000007</v>
      </c>
      <c r="AD216" s="8">
        <f>IFERROR(AC216/AC444, "NA")</f>
        <v>1.0067922605408803E-2</v>
      </c>
    </row>
    <row r="217" spans="1:30" ht="16.5" customHeight="1" x14ac:dyDescent="0.45">
      <c r="A217" s="12" t="s">
        <v>197</v>
      </c>
      <c r="B217" s="7">
        <v>585.75</v>
      </c>
      <c r="C217" s="8">
        <f>IFERROR(B217/B444, "NA")</f>
        <v>4.792367556387532E-3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-585.75</v>
      </c>
      <c r="I217" s="8">
        <f>IFERROR(H217/H444, "NA")</f>
        <v>1.7335205308612527E-2</v>
      </c>
      <c r="J217" s="9"/>
      <c r="K217" s="7">
        <v>12331.87</v>
      </c>
      <c r="L217" s="8">
        <f>IFERROR(K217/K444, "NA")</f>
        <v>8.694701569836033E-2</v>
      </c>
      <c r="M217" s="9"/>
      <c r="N217" s="10">
        <f t="shared" si="57"/>
        <v>11746.12</v>
      </c>
      <c r="O217" s="8">
        <f>IFERROR(N217/N444, "NA")</f>
        <v>-0.59909590791990985</v>
      </c>
      <c r="P217" s="9"/>
      <c r="Q217" s="7">
        <v>13145.47</v>
      </c>
      <c r="R217" s="8">
        <f>IFERROR(Q217/Q444, "NA")</f>
        <v>1.2985748282843134E-2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-13145.47</v>
      </c>
      <c r="X217" s="8">
        <f>IFERROR(W217/W444, "NA")</f>
        <v>0.16242069223707517</v>
      </c>
      <c r="Y217" s="9"/>
      <c r="Z217" s="7">
        <v>16677.11</v>
      </c>
      <c r="AA217" s="8">
        <f>IFERROR(Z217/Z444, "NA")</f>
        <v>1.7471629009602148E-2</v>
      </c>
      <c r="AB217" s="9"/>
      <c r="AC217" s="10">
        <f t="shared" si="59"/>
        <v>3531.6400000000012</v>
      </c>
      <c r="AD217" s="8">
        <f>IFERROR(AC217/AC444, "NA")</f>
        <v>6.1127921656894721E-2</v>
      </c>
    </row>
    <row r="218" spans="1:30" ht="16.5" customHeight="1" x14ac:dyDescent="0.45">
      <c r="A218" s="13" t="s">
        <v>198</v>
      </c>
      <c r="B218" s="14">
        <f>IFERROR(B213+B214+B215+B216+B217, "NA")</f>
        <v>2143.46</v>
      </c>
      <c r="C218" s="15">
        <f>IFERROR(B218/B444, "NA")</f>
        <v>1.753691534343051E-2</v>
      </c>
      <c r="D218" s="2"/>
      <c r="E218" s="14">
        <f>IFERROR(E213+E214+E215+E216+E217, "NA")</f>
        <v>3809.64</v>
      </c>
      <c r="F218" s="15">
        <f>IFERROR(E218/E444, "NA")</f>
        <v>2.4418386872767924E-2</v>
      </c>
      <c r="G218" s="2"/>
      <c r="H218" s="14">
        <f t="shared" si="56"/>
        <v>1666.1799999999998</v>
      </c>
      <c r="I218" s="15">
        <f>IFERROR(H218/H444, "NA")</f>
        <v>-4.9310409528133196E-2</v>
      </c>
      <c r="J218" s="2"/>
      <c r="K218" s="14">
        <f>IFERROR(K213+K214+K215+K216+K217, "NA")</f>
        <v>16630.89</v>
      </c>
      <c r="L218" s="15">
        <f>IFERROR(K218/K444, "NA")</f>
        <v>0.11725766278007341</v>
      </c>
      <c r="M218" s="2"/>
      <c r="N218" s="14">
        <f t="shared" si="57"/>
        <v>14487.43</v>
      </c>
      <c r="O218" s="15">
        <f>IFERROR(N218/N444, "NA")</f>
        <v>-0.73891293714657591</v>
      </c>
      <c r="P218" s="2"/>
      <c r="Q218" s="14">
        <f>IFERROR(Q213+Q214+Q215+Q216+Q217, "NA")</f>
        <v>30845.739999999998</v>
      </c>
      <c r="R218" s="15">
        <f>IFERROR(Q218/Q444, "NA")</f>
        <v>3.0470954270788778E-2</v>
      </c>
      <c r="S218" s="2"/>
      <c r="T218" s="14">
        <f>IFERROR(T213+T214+T215+T216+T217, "NA")</f>
        <v>25638.76</v>
      </c>
      <c r="U218" s="15">
        <f>IFERROR(T218/T444, "NA")</f>
        <v>2.3452206002981226E-2</v>
      </c>
      <c r="V218" s="2"/>
      <c r="W218" s="14">
        <f t="shared" si="58"/>
        <v>-5206.9799999999996</v>
      </c>
      <c r="X218" s="15">
        <f>IFERROR(W218/W444, "NA")</f>
        <v>6.4335569292281333E-2</v>
      </c>
      <c r="Y218" s="2"/>
      <c r="Z218" s="14">
        <f>IFERROR(Z213+Z214+Z215+Z216+Z217, "NA")</f>
        <v>25256.59</v>
      </c>
      <c r="AA218" s="15">
        <f>IFERROR(Z218/Z444, "NA")</f>
        <v>2.6459846491845858E-2</v>
      </c>
      <c r="AB218" s="2"/>
      <c r="AC218" s="14">
        <f t="shared" si="59"/>
        <v>-5589.1499999999978</v>
      </c>
      <c r="AD218" s="15">
        <f>IFERROR(AC218/AC444, "NA")</f>
        <v>-9.6740642684031472E-2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246.67</v>
      </c>
      <c r="C222" s="8">
        <f>IFERROR(B222/B444, "NA")</f>
        <v>2.0181533164901622E-3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-246.67</v>
      </c>
      <c r="I222" s="8">
        <f>IFERROR(H222/H444, "NA")</f>
        <v>7.3001708808799869E-3</v>
      </c>
      <c r="J222" s="9"/>
      <c r="K222" s="7">
        <v>150</v>
      </c>
      <c r="L222" s="8">
        <f>IFERROR(K222/K444, "NA")</f>
        <v>1.0575891859672579E-3</v>
      </c>
      <c r="M222" s="9"/>
      <c r="N222" s="10">
        <f t="shared" si="57"/>
        <v>-96.669999999999987</v>
      </c>
      <c r="O222" s="8">
        <f>IFERROR(N222/N444, "NA")</f>
        <v>4.9305303724649216E-3</v>
      </c>
      <c r="P222" s="9"/>
      <c r="Q222" s="7">
        <v>2526.94</v>
      </c>
      <c r="R222" s="8">
        <f>IFERROR(Q222/Q444, "NA")</f>
        <v>2.4962368607472861E-3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-2526.94</v>
      </c>
      <c r="X222" s="8">
        <f>IFERROR(W222/W444, "NA")</f>
        <v>3.1221960419943504E-2</v>
      </c>
      <c r="Y222" s="9"/>
      <c r="Z222" s="7">
        <v>1350</v>
      </c>
      <c r="AA222" s="8">
        <f>IFERROR(Z222/Z444, "NA")</f>
        <v>1.414315739535381E-3</v>
      </c>
      <c r="AB222" s="9"/>
      <c r="AC222" s="10">
        <f t="shared" si="59"/>
        <v>-1176.94</v>
      </c>
      <c r="AD222" s="8">
        <f>IFERROR(AC222/AC444, "NA")</f>
        <v>-2.0371242854556423E-2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156.02000000000001</v>
      </c>
      <c r="F226" s="8">
        <f>IFERROR(E226/E444, "NA")</f>
        <v>1.0000306380364686E-3</v>
      </c>
      <c r="G226" s="9"/>
      <c r="H226" s="10">
        <f t="shared" si="56"/>
        <v>156.02000000000001</v>
      </c>
      <c r="I226" s="8">
        <f>IFERROR(H226/H444, "NA")</f>
        <v>-4.6173943358936865E-3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1093.23</v>
      </c>
      <c r="U226" s="8">
        <f>IFERROR(T226/T444, "NA")</f>
        <v>9.9999591121564249E-4</v>
      </c>
      <c r="V226" s="9"/>
      <c r="W226" s="10">
        <f t="shared" si="58"/>
        <v>1093.23</v>
      </c>
      <c r="X226" s="8">
        <f>IFERROR(W226/W444, "NA")</f>
        <v>-1.3507556091515761E-2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2390.13</v>
      </c>
      <c r="C227" s="15">
        <f>IFERROR(B227/B444, "NA")</f>
        <v>1.9555068659920672E-2</v>
      </c>
      <c r="D227" s="2"/>
      <c r="E227" s="14">
        <f>IFERROR(E211+E213+E214+E215+E216+E217+E219+E220+E221+E222+E223+E224+E225+E226, "NA")</f>
        <v>3965.66</v>
      </c>
      <c r="F227" s="15">
        <f>IFERROR(E227/E444, "NA")</f>
        <v>2.5418417510804394E-2</v>
      </c>
      <c r="G227" s="2"/>
      <c r="H227" s="14">
        <f t="shared" si="56"/>
        <v>1575.5299999999997</v>
      </c>
      <c r="I227" s="15">
        <f>IFERROR(H227/H444, "NA")</f>
        <v>-4.6627632983146892E-2</v>
      </c>
      <c r="J227" s="2"/>
      <c r="K227" s="14">
        <f>IFERROR(K211+K213+K214+K215+K216+K217+K219+K220+K221+K222+K223+K224+K225+K226, "NA")</f>
        <v>16780.89</v>
      </c>
      <c r="L227" s="15">
        <f>IFERROR(K227/K444, "NA")</f>
        <v>0.11831525196604066</v>
      </c>
      <c r="M227" s="2"/>
      <c r="N227" s="14">
        <f t="shared" si="57"/>
        <v>14390.759999999998</v>
      </c>
      <c r="O227" s="15">
        <f>IFERROR(N227/N444, "NA")</f>
        <v>-0.73398240677411086</v>
      </c>
      <c r="P227" s="2"/>
      <c r="Q227" s="14">
        <f>IFERROR(Q211+Q213+Q214+Q215+Q216+Q217+Q219+Q220+Q221+Q222+Q223+Q224+Q225+Q226, "NA")</f>
        <v>33372.68</v>
      </c>
      <c r="R227" s="15">
        <f>IFERROR(Q227/Q444, "NA")</f>
        <v>3.2967191131536067E-2</v>
      </c>
      <c r="S227" s="2"/>
      <c r="T227" s="14">
        <f>IFERROR(T211+T213+T214+T215+T216+T217+T219+T220+T221+T222+T223+T224+T225+T226, "NA")</f>
        <v>26731.989999999998</v>
      </c>
      <c r="U227" s="15">
        <f>IFERROR(T227/T444, "NA")</f>
        <v>2.4452201914196867E-2</v>
      </c>
      <c r="V227" s="2"/>
      <c r="W227" s="14">
        <f t="shared" si="58"/>
        <v>-6640.6900000000023</v>
      </c>
      <c r="X227" s="15">
        <f>IFERROR(W227/W444, "NA")</f>
        <v>8.2049973620709121E-2</v>
      </c>
      <c r="Y227" s="2"/>
      <c r="Z227" s="14">
        <f>IFERROR(Z211+Z213+Z214+Z215+Z216+Z217+Z219+Z220+Z221+Z222+Z223+Z224+Z225+Z226, "NA")</f>
        <v>26606.59</v>
      </c>
      <c r="AA227" s="15">
        <f>IFERROR(Z227/Z444, "NA")</f>
        <v>2.7874162231381238E-2</v>
      </c>
      <c r="AB227" s="2"/>
      <c r="AC227" s="14">
        <f t="shared" si="59"/>
        <v>-6766.09</v>
      </c>
      <c r="AD227" s="15">
        <f>IFERROR(AC227/AC444, "NA")</f>
        <v>-0.11711188553858792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1872.18</v>
      </c>
      <c r="F229" s="8">
        <f>IFERROR(E229/E444, "NA")</f>
        <v>1.1999983078574E-2</v>
      </c>
      <c r="G229" s="9"/>
      <c r="H229" s="10">
        <f t="shared" ref="H229:H236" si="60">IFERROR(-(B229-E229), "NA")</f>
        <v>1872.18</v>
      </c>
      <c r="I229" s="8">
        <f>IFERROR(H229/H444, "NA")</f>
        <v>-5.5406956337478795E-2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13118.8</v>
      </c>
      <c r="U229" s="8">
        <f>IFERROR(T229/T444, "NA")</f>
        <v>1.199998752326205E-2</v>
      </c>
      <c r="V229" s="9"/>
      <c r="W229" s="10">
        <f t="shared" ref="W229:W236" si="62">IFERROR(-(Q229-T229), "NA")</f>
        <v>13118.8</v>
      </c>
      <c r="X229" s="8">
        <f>IFERROR(W229/W444, "NA")</f>
        <v>-0.16209116732378087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2.3571928992256351E-4</v>
      </c>
      <c r="AB230" s="9"/>
      <c r="AC230" s="10">
        <f t="shared" si="63"/>
        <v>225</v>
      </c>
      <c r="AD230" s="8">
        <f>IFERROR(AC230/AC444, "NA")</f>
        <v>3.8944463118554856E-3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144</v>
      </c>
      <c r="L231" s="8">
        <f>IFERROR(K231/K444, "NA")</f>
        <v>1.0152856185285677E-3</v>
      </c>
      <c r="M231" s="9"/>
      <c r="N231" s="10">
        <f t="shared" si="61"/>
        <v>144</v>
      </c>
      <c r="O231" s="8">
        <f>IFERROR(N231/N444, "NA")</f>
        <v>-7.344536812195602E-3</v>
      </c>
      <c r="P231" s="9"/>
      <c r="Q231" s="7">
        <v>1130.26</v>
      </c>
      <c r="R231" s="8">
        <f>IFERROR(Q231/Q444, "NA")</f>
        <v>1.1165269750085984E-3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-1130.26</v>
      </c>
      <c r="X231" s="8">
        <f>IFERROR(W231/W444, "NA")</f>
        <v>1.396508543307136E-2</v>
      </c>
      <c r="Y231" s="9"/>
      <c r="Z231" s="7">
        <v>1749.76</v>
      </c>
      <c r="AA231" s="8">
        <f>IFERROR(Z231/Z444, "NA")</f>
        <v>1.8331208210440209E-3</v>
      </c>
      <c r="AB231" s="9"/>
      <c r="AC231" s="10">
        <f t="shared" si="63"/>
        <v>619.5</v>
      </c>
      <c r="AD231" s="8">
        <f>IFERROR(AC231/AC444, "NA")</f>
        <v>1.072270884530877E-2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1190.48</v>
      </c>
      <c r="C234" s="8">
        <f>IFERROR(B234/B444, "NA")</f>
        <v>9.7400217303085443E-3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-1190.48</v>
      </c>
      <c r="I234" s="8">
        <f>IFERROR(H234/H444, "NA")</f>
        <v>3.5232121580532724E-2</v>
      </c>
      <c r="J234" s="9"/>
      <c r="K234" s="7">
        <v>1169.3499999999999</v>
      </c>
      <c r="L234" s="8">
        <f>IFERROR(K234/K444, "NA")</f>
        <v>8.244612764072087E-3</v>
      </c>
      <c r="M234" s="9"/>
      <c r="N234" s="10">
        <f t="shared" si="61"/>
        <v>-21.130000000000109</v>
      </c>
      <c r="O234" s="8">
        <f>IFERROR(N234/N444, "NA")</f>
        <v>1.0777087697339852E-3</v>
      </c>
      <c r="P234" s="9"/>
      <c r="Q234" s="7">
        <v>11815.42</v>
      </c>
      <c r="R234" s="8">
        <f>IFERROR(Q234/Q444, "NA")</f>
        <v>1.1671858821028874E-2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-11815.42</v>
      </c>
      <c r="X234" s="8">
        <f>IFERROR(W234/W444, "NA")</f>
        <v>0.14598707352964807</v>
      </c>
      <c r="Y234" s="9"/>
      <c r="Z234" s="7">
        <v>11615.84</v>
      </c>
      <c r="AA234" s="8">
        <f>IFERROR(Z234/Z444, "NA")</f>
        <v>1.2169233585129379E-2</v>
      </c>
      <c r="AB234" s="9"/>
      <c r="AC234" s="10">
        <f t="shared" si="63"/>
        <v>-199.57999999999993</v>
      </c>
      <c r="AD234" s="8">
        <f>IFERROR(AC234/AC444, "NA")</f>
        <v>-3.4544604218671891E-3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1190.48</v>
      </c>
      <c r="C236" s="15">
        <f>IFERROR(B236/B444, "NA")</f>
        <v>9.7400217303085443E-3</v>
      </c>
      <c r="D236" s="2"/>
      <c r="E236" s="14">
        <f>IFERROR(E229+E230+E231+E232+E233+E234+E235, "NA")</f>
        <v>1872.18</v>
      </c>
      <c r="F236" s="15">
        <f>IFERROR(E236/E444, "NA")</f>
        <v>1.1999983078574E-2</v>
      </c>
      <c r="G236" s="2"/>
      <c r="H236" s="14">
        <f t="shared" si="60"/>
        <v>681.7</v>
      </c>
      <c r="I236" s="15">
        <f>IFERROR(H236/H444, "NA")</f>
        <v>-2.0174834756946071E-2</v>
      </c>
      <c r="J236" s="2"/>
      <c r="K236" s="14">
        <f>IFERROR(K229+K230+K231+K232+K233+K234+K235, "NA")</f>
        <v>1313.35</v>
      </c>
      <c r="L236" s="15">
        <f>IFERROR(K236/K444, "NA")</f>
        <v>9.2598983826006551E-3</v>
      </c>
      <c r="M236" s="2"/>
      <c r="N236" s="14">
        <f t="shared" si="61"/>
        <v>122.86999999999989</v>
      </c>
      <c r="O236" s="15">
        <f>IFERROR(N236/N444, "NA")</f>
        <v>-6.266828042461617E-3</v>
      </c>
      <c r="P236" s="2"/>
      <c r="Q236" s="14">
        <f>IFERROR(Q229+Q230+Q231+Q232+Q233+Q234+Q235, "NA")</f>
        <v>12945.68</v>
      </c>
      <c r="R236" s="15">
        <f>IFERROR(Q236/Q444, "NA")</f>
        <v>1.2788385796037471E-2</v>
      </c>
      <c r="S236" s="2"/>
      <c r="T236" s="14">
        <f>IFERROR(T229+T230+T231+T232+T233+T234+T235, "NA")</f>
        <v>13118.8</v>
      </c>
      <c r="U236" s="15">
        <f>IFERROR(T236/T444, "NA")</f>
        <v>1.199998752326205E-2</v>
      </c>
      <c r="V236" s="2"/>
      <c r="W236" s="14">
        <f t="shared" si="62"/>
        <v>173.11999999999898</v>
      </c>
      <c r="X236" s="15">
        <f>IFERROR(W236/W444, "NA")</f>
        <v>-2.1390083610614368E-3</v>
      </c>
      <c r="Y236" s="2"/>
      <c r="Z236" s="14">
        <f>IFERROR(Z229+Z230+Z231+Z232+Z233+Z234+Z235, "NA")</f>
        <v>13590.6</v>
      </c>
      <c r="AA236" s="15">
        <f>IFERROR(Z236/Z444, "NA")</f>
        <v>1.4238073696095963E-2</v>
      </c>
      <c r="AB236" s="2"/>
      <c r="AC236" s="14">
        <f t="shared" si="63"/>
        <v>644.92000000000007</v>
      </c>
      <c r="AD236" s="15">
        <f>IFERROR(AC236/AC444, "NA")</f>
        <v>1.1162694735297067E-2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7354.56</v>
      </c>
      <c r="F240" s="8">
        <f>IFERROR(E240/E444, "NA")</f>
        <v>4.714001621123888E-2</v>
      </c>
      <c r="G240" s="9"/>
      <c r="H240" s="10">
        <f t="shared" ref="H240:H263" si="64">IFERROR(-(B240-E240), "NA")</f>
        <v>7354.56</v>
      </c>
      <c r="I240" s="8">
        <f>IFERROR(H240/H444, "NA")</f>
        <v>-0.21765737525311032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51899.45</v>
      </c>
      <c r="U240" s="8">
        <f>IFERROR(T240/T444, "NA")</f>
        <v>4.7473301861768041E-2</v>
      </c>
      <c r="V240" s="9"/>
      <c r="W240" s="10">
        <f t="shared" ref="W240:W263" si="66">IFERROR(-(Q240-T240), "NA")</f>
        <v>51899.45</v>
      </c>
      <c r="X240" s="8">
        <f>IFERROR(W240/W444, "NA")</f>
        <v>-0.64125090968398013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1157.52</v>
      </c>
      <c r="C242" s="8">
        <f>IFERROR(B242/B444, "NA")</f>
        <v>9.4703564556034084E-3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-1157.52</v>
      </c>
      <c r="I242" s="8">
        <f>IFERROR(H242/H444, "NA")</f>
        <v>3.4256674091037428E-2</v>
      </c>
      <c r="J242" s="9"/>
      <c r="K242" s="7">
        <v>1544.19</v>
      </c>
      <c r="L242" s="8">
        <f>IFERROR(K242/K444, "NA")</f>
        <v>1.0887457633858535E-2</v>
      </c>
      <c r="M242" s="9"/>
      <c r="N242" s="10">
        <f t="shared" si="65"/>
        <v>386.67000000000007</v>
      </c>
      <c r="O242" s="8">
        <f>IFERROR(N242/N444, "NA")</f>
        <v>-1.972161145258107E-2</v>
      </c>
      <c r="P242" s="9"/>
      <c r="Q242" s="7">
        <v>10917.41</v>
      </c>
      <c r="R242" s="8">
        <f>IFERROR(Q242/Q444, "NA")</f>
        <v>1.078475993331501E-2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-10917.41</v>
      </c>
      <c r="X242" s="8">
        <f>IFERROR(W242/W444, "NA")</f>
        <v>0.13489158543863147</v>
      </c>
      <c r="Y242" s="9"/>
      <c r="Z242" s="7">
        <v>8555.43</v>
      </c>
      <c r="AA242" s="8">
        <f>IFERROR(Z242/Z444, "NA")</f>
        <v>8.9630217092542108E-3</v>
      </c>
      <c r="AB242" s="9"/>
      <c r="AC242" s="10">
        <f t="shared" si="67"/>
        <v>-2361.9799999999996</v>
      </c>
      <c r="AD242" s="8">
        <f>IFERROR(AC242/AC444, "NA")</f>
        <v>-4.088268577633964E-2</v>
      </c>
    </row>
    <row r="243" spans="1:30" ht="16.5" customHeight="1" x14ac:dyDescent="0.45">
      <c r="A243" s="12" t="s">
        <v>220</v>
      </c>
      <c r="B243" s="7">
        <v>2787.49</v>
      </c>
      <c r="C243" s="8">
        <f>IFERROR(B243/B444, "NA")</f>
        <v>2.2806106085795443E-2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-2787.49</v>
      </c>
      <c r="I243" s="8">
        <f>IFERROR(H243/H444, "NA")</f>
        <v>8.2495452745547301E-2</v>
      </c>
      <c r="J243" s="9"/>
      <c r="K243" s="7">
        <v>1796.37</v>
      </c>
      <c r="L243" s="8">
        <f>IFERROR(K243/K444, "NA")</f>
        <v>1.2665476573306687E-2</v>
      </c>
      <c r="M243" s="9"/>
      <c r="N243" s="10">
        <f t="shared" si="65"/>
        <v>-991.11999999999989</v>
      </c>
      <c r="O243" s="8">
        <f>IFERROR(N243/N444, "NA")</f>
        <v>5.0550814759050725E-2</v>
      </c>
      <c r="P243" s="9"/>
      <c r="Q243" s="7">
        <v>20449.66</v>
      </c>
      <c r="R243" s="8">
        <f>IFERROR(Q243/Q444, "NA")</f>
        <v>2.020119000916102E-2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-20449.66</v>
      </c>
      <c r="X243" s="8">
        <f>IFERROR(W243/W444, "NA")</f>
        <v>0.25266863286081265</v>
      </c>
      <c r="Y243" s="9"/>
      <c r="Z243" s="7">
        <v>22872.42</v>
      </c>
      <c r="AA243" s="8">
        <f>IFERROR(Z243/Z444, "NA")</f>
        <v>2.3962091560936177E-2</v>
      </c>
      <c r="AB243" s="9"/>
      <c r="AC243" s="10">
        <f t="shared" si="67"/>
        <v>2422.7599999999984</v>
      </c>
      <c r="AD243" s="8">
        <f>IFERROR(AC243/AC444, "NA")</f>
        <v>4.1934705540048849E-2</v>
      </c>
    </row>
    <row r="244" spans="1:30" ht="16.5" customHeight="1" x14ac:dyDescent="0.45">
      <c r="A244" s="12" t="s">
        <v>221</v>
      </c>
      <c r="B244" s="7">
        <v>1310.3800000000001</v>
      </c>
      <c r="C244" s="8">
        <f>IFERROR(B244/B444, "NA")</f>
        <v>1.0720994619785054E-2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-1310.3800000000001</v>
      </c>
      <c r="I244" s="8">
        <f>IFERROR(H244/H444, "NA")</f>
        <v>3.8780548582671256E-2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-1310.3800000000001</v>
      </c>
      <c r="O244" s="8">
        <f>IFERROR(N244/N444, "NA")</f>
        <v>6.6834264916422734E-2</v>
      </c>
      <c r="P244" s="9"/>
      <c r="Q244" s="7">
        <v>2542.9499999999998</v>
      </c>
      <c r="R244" s="8">
        <f>IFERROR(Q244/Q444, "NA")</f>
        <v>2.5120523340630609E-3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-2542.9499999999998</v>
      </c>
      <c r="X244" s="8">
        <f>IFERROR(W244/W444, "NA")</f>
        <v>3.1419774213038432E-2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-2542.9499999999998</v>
      </c>
      <c r="AD244" s="8">
        <f>IFERROR(AC244/AC444, "NA")</f>
        <v>-4.4015032216590699E-2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185.85</v>
      </c>
      <c r="C246" s="8">
        <f>IFERROR(B246/B444, "NA")</f>
        <v>1.5205488866489507E-3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-185.85</v>
      </c>
      <c r="I246" s="8">
        <f>IFERROR(H246/H444, "NA")</f>
        <v>5.5002098277518365E-3</v>
      </c>
      <c r="J246" s="9"/>
      <c r="K246" s="7">
        <v>703.74</v>
      </c>
      <c r="L246" s="8">
        <f>IFERROR(K246/K444, "NA")</f>
        <v>4.9617854248839872E-3</v>
      </c>
      <c r="M246" s="9"/>
      <c r="N246" s="10">
        <f t="shared" si="65"/>
        <v>517.89</v>
      </c>
      <c r="O246" s="8">
        <f>IFERROR(N246/N444, "NA")</f>
        <v>-2.6414320622694307E-2</v>
      </c>
      <c r="P246" s="9"/>
      <c r="Q246" s="7">
        <v>2496.25</v>
      </c>
      <c r="R246" s="8">
        <f>IFERROR(Q246/Q444, "NA")</f>
        <v>2.4659197541850673E-3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-2496.25</v>
      </c>
      <c r="X246" s="8">
        <f>IFERROR(W246/W444, "NA")</f>
        <v>3.0842765834679087E-2</v>
      </c>
      <c r="Y246" s="9"/>
      <c r="Z246" s="7">
        <v>986.25</v>
      </c>
      <c r="AA246" s="8">
        <f>IFERROR(Z246/Z444, "NA")</f>
        <v>1.0332362208272366E-3</v>
      </c>
      <c r="AB246" s="9"/>
      <c r="AC246" s="10">
        <f t="shared" si="67"/>
        <v>-1510</v>
      </c>
      <c r="AD246" s="8">
        <f>IFERROR(AC246/AC444, "NA")</f>
        <v>-2.6136061915119038E-2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257.76</v>
      </c>
      <c r="C248" s="8">
        <f>IFERROR(B248/B444, "NA")</f>
        <v>2.1088871725726851E-3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-257.76</v>
      </c>
      <c r="I248" s="8">
        <f>IFERROR(H248/H444, "NA")</f>
        <v>7.6283781824122328E-3</v>
      </c>
      <c r="J248" s="9"/>
      <c r="K248" s="7">
        <v>272.08</v>
      </c>
      <c r="L248" s="8">
        <f>IFERROR(K248/K444, "NA")</f>
        <v>1.9183257714531436E-3</v>
      </c>
      <c r="M248" s="9"/>
      <c r="N248" s="10">
        <f t="shared" si="65"/>
        <v>14.319999999999993</v>
      </c>
      <c r="O248" s="8">
        <f>IFERROR(N248/N444, "NA")</f>
        <v>-7.3037338299056231E-4</v>
      </c>
      <c r="P248" s="9"/>
      <c r="Q248" s="7">
        <v>2455.81</v>
      </c>
      <c r="R248" s="8">
        <f>IFERROR(Q248/Q444, "NA")</f>
        <v>2.425971113280012E-3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-2455.81</v>
      </c>
      <c r="X248" s="8">
        <f>IFERROR(W248/W444, "NA")</f>
        <v>3.0343103761427438E-2</v>
      </c>
      <c r="Y248" s="9"/>
      <c r="Z248" s="7">
        <v>2337.27</v>
      </c>
      <c r="AA248" s="8">
        <f>IFERROR(Z248/Z444, "NA")</f>
        <v>2.4486205544769334E-3</v>
      </c>
      <c r="AB248" s="9"/>
      <c r="AC248" s="10">
        <f t="shared" si="67"/>
        <v>-118.53999999999996</v>
      </c>
      <c r="AD248" s="8">
        <f>IFERROR(AC248/AC444, "NA")</f>
        <v>-2.0517674035882183E-3</v>
      </c>
    </row>
    <row r="249" spans="1:30" ht="16.5" customHeight="1" x14ac:dyDescent="0.45">
      <c r="A249" s="12" t="s">
        <v>226</v>
      </c>
      <c r="B249" s="7">
        <v>897.6</v>
      </c>
      <c r="C249" s="8">
        <f>IFERROR(B249/B444, "NA")</f>
        <v>7.3437970441544162E-3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-897.6</v>
      </c>
      <c r="I249" s="8">
        <f>IFERROR(H249/H444, "NA")</f>
        <v>2.6564370951789342E-2</v>
      </c>
      <c r="J249" s="9"/>
      <c r="K249" s="7">
        <v>2227.73</v>
      </c>
      <c r="L249" s="8">
        <f>IFERROR(K249/K444, "NA")</f>
        <v>1.5706821048365596E-2</v>
      </c>
      <c r="M249" s="9"/>
      <c r="N249" s="10">
        <f t="shared" si="65"/>
        <v>1330.13</v>
      </c>
      <c r="O249" s="8">
        <f>IFERROR(N249/N444, "NA")</f>
        <v>-6.7841588541706507E-2</v>
      </c>
      <c r="P249" s="9"/>
      <c r="Q249" s="7">
        <v>8589.65</v>
      </c>
      <c r="R249" s="8">
        <f>IFERROR(Q249/Q444, "NA")</f>
        <v>8.4852829710709114E-3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-8589.65</v>
      </c>
      <c r="X249" s="8">
        <f>IFERROR(W249/W444, "NA")</f>
        <v>0.10613062135276964</v>
      </c>
      <c r="Y249" s="9"/>
      <c r="Z249" s="7">
        <v>8171.63</v>
      </c>
      <c r="AA249" s="8">
        <f>IFERROR(Z249/Z444, "NA")</f>
        <v>8.5609369827107443E-3</v>
      </c>
      <c r="AB249" s="9"/>
      <c r="AC249" s="10">
        <f t="shared" si="67"/>
        <v>-418.01999999999953</v>
      </c>
      <c r="AD249" s="8">
        <f>IFERROR(AC249/AC444, "NA")</f>
        <v>-7.2353619879192369E-3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2.5818910027927081E-3</v>
      </c>
      <c r="AB254" s="9"/>
      <c r="AC254" s="10">
        <f t="shared" si="67"/>
        <v>2464.48</v>
      </c>
      <c r="AD254" s="8">
        <f>IFERROR(AC254/AC444, "NA")</f>
        <v>4.2656822429518258E-2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4961.25</v>
      </c>
      <c r="R257" s="8">
        <f>IFERROR(Q257/Q444, "NA")</f>
        <v>4.9009692059892498E-3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6.1299417925809362E-2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-8.5872541176413464E-2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6596.6</v>
      </c>
      <c r="C262" s="15">
        <f>IFERROR(B262/B444, "NA")</f>
        <v>5.3970690264559959E-2</v>
      </c>
      <c r="D262" s="2"/>
      <c r="E262" s="14">
        <f>IFERROR(E240+E241+E242+E243+E244+E245+E246+E247+E248+E249+E250+E251+E252+E253+E254+E255+E256+E257+E258+E259+E260+E261, "NA")</f>
        <v>7354.56</v>
      </c>
      <c r="F262" s="15">
        <f>IFERROR(E262/E444, "NA")</f>
        <v>4.714001621123888E-2</v>
      </c>
      <c r="G262" s="2"/>
      <c r="H262" s="14">
        <f t="shared" si="64"/>
        <v>757.96</v>
      </c>
      <c r="I262" s="15">
        <f>IFERROR(H262/H444, "NA")</f>
        <v>-2.2431740871900901E-2</v>
      </c>
      <c r="J262" s="2"/>
      <c r="K262" s="14">
        <f>IFERROR(K240+K241+K242+K243+K244+K245+K246+K247+K248+K249+K250+K251+K252+K253+K254+K255+K256+K257+K258+K259+K260+K261, "NA")</f>
        <v>6544.1100000000006</v>
      </c>
      <c r="L262" s="15">
        <f>IFERROR(K262/K444, "NA")</f>
        <v>4.6139866451867954E-2</v>
      </c>
      <c r="M262" s="2"/>
      <c r="N262" s="14">
        <f t="shared" si="65"/>
        <v>-52.489999999999782</v>
      </c>
      <c r="O262" s="15">
        <f>IFERROR(N262/N444, "NA")</f>
        <v>2.6771856755010109E-3</v>
      </c>
      <c r="P262" s="2"/>
      <c r="Q262" s="14">
        <f>IFERROR(Q240+Q241+Q242+Q243+Q244+Q245+Q246+Q247+Q248+Q249+Q250+Q251+Q252+Q253+Q254+Q255+Q256+Q257+Q258+Q259+Q260+Q261, "NA")</f>
        <v>52412.979999999996</v>
      </c>
      <c r="R262" s="15">
        <f>IFERROR(Q262/Q444, "NA")</f>
        <v>5.177614532106433E-2</v>
      </c>
      <c r="S262" s="2"/>
      <c r="T262" s="14">
        <f>IFERROR(T240+T241+T242+T243+T244+T245+T246+T247+T248+T249+T250+T251+T252+T253+T254+T255+T256+T257+T258+T259+T260+T261, "NA")</f>
        <v>51899.45</v>
      </c>
      <c r="U262" s="15">
        <f>IFERROR(T262/T444, "NA")</f>
        <v>4.7473301861768041E-2</v>
      </c>
      <c r="V262" s="2"/>
      <c r="W262" s="14">
        <f t="shared" si="66"/>
        <v>-513.52999999999884</v>
      </c>
      <c r="X262" s="15">
        <f>IFERROR(W262/W444, "NA")</f>
        <v>6.3449917031878677E-3</v>
      </c>
      <c r="Y262" s="2"/>
      <c r="Z262" s="14">
        <f>IFERROR(Z240+Z241+Z242+Z243+Z244+Z245+Z246+Z247+Z248+Z249+Z250+Z251+Z252+Z253+Z254+Z255+Z256+Z257+Z258+Z259+Z260+Z261, "NA")</f>
        <v>45387.479999999996</v>
      </c>
      <c r="AA262" s="15">
        <f>IFERROR(Z262/Z444, "NA")</f>
        <v>4.7549798030998007E-2</v>
      </c>
      <c r="AB262" s="2"/>
      <c r="AC262" s="14">
        <f t="shared" si="67"/>
        <v>-7025.5</v>
      </c>
      <c r="AD262" s="15">
        <f>IFERROR(AC262/AC444, "NA")</f>
        <v>-0.12160192250640318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6596.6</v>
      </c>
      <c r="C263" s="15">
        <f>IFERROR(B263/B444, "NA")</f>
        <v>5.3970690264559959E-2</v>
      </c>
      <c r="D263" s="2"/>
      <c r="E263" s="14">
        <f>IFERROR(E238+E240+E241+E242+E243+E244+E245+E246+E247+E248+E249+E250+E251+E252+E253+E254+E255+E256+E257+E258+E259+E260+E261, "NA")</f>
        <v>7354.56</v>
      </c>
      <c r="F263" s="15">
        <f>IFERROR(E263/E444, "NA")</f>
        <v>4.714001621123888E-2</v>
      </c>
      <c r="G263" s="2"/>
      <c r="H263" s="14">
        <f t="shared" si="64"/>
        <v>757.96</v>
      </c>
      <c r="I263" s="15">
        <f>IFERROR(H263/H444, "NA")</f>
        <v>-2.2431740871900901E-2</v>
      </c>
      <c r="J263" s="2"/>
      <c r="K263" s="14">
        <f>IFERROR(K238+K240+K241+K242+K243+K244+K245+K246+K247+K248+K249+K250+K251+K252+K253+K254+K255+K256+K257+K258+K259+K260+K261, "NA")</f>
        <v>6544.1100000000006</v>
      </c>
      <c r="L263" s="15">
        <f>IFERROR(K263/K444, "NA")</f>
        <v>4.6139866451867954E-2</v>
      </c>
      <c r="M263" s="2"/>
      <c r="N263" s="14">
        <f t="shared" si="65"/>
        <v>-52.489999999999782</v>
      </c>
      <c r="O263" s="15">
        <f>IFERROR(N263/N444, "NA")</f>
        <v>2.6771856755010109E-3</v>
      </c>
      <c r="P263" s="2"/>
      <c r="Q263" s="14">
        <f>IFERROR(Q238+Q240+Q241+Q242+Q243+Q244+Q245+Q246+Q247+Q248+Q249+Q250+Q251+Q252+Q253+Q254+Q255+Q256+Q257+Q258+Q259+Q260+Q261, "NA")</f>
        <v>52412.979999999996</v>
      </c>
      <c r="R263" s="15">
        <f>IFERROR(Q263/Q444, "NA")</f>
        <v>5.177614532106433E-2</v>
      </c>
      <c r="S263" s="2"/>
      <c r="T263" s="14">
        <f>IFERROR(T238+T240+T241+T242+T243+T244+T245+T246+T247+T248+T249+T250+T251+T252+T253+T254+T255+T256+T257+T258+T259+T260+T261, "NA")</f>
        <v>51899.45</v>
      </c>
      <c r="U263" s="15">
        <f>IFERROR(T263/T444, "NA")</f>
        <v>4.7473301861768041E-2</v>
      </c>
      <c r="V263" s="2"/>
      <c r="W263" s="14">
        <f t="shared" si="66"/>
        <v>-513.52999999999884</v>
      </c>
      <c r="X263" s="15">
        <f>IFERROR(W263/W444, "NA")</f>
        <v>6.3449917031878677E-3</v>
      </c>
      <c r="Y263" s="2"/>
      <c r="Z263" s="14">
        <f>IFERROR(Z238+Z240+Z241+Z242+Z243+Z244+Z245+Z246+Z247+Z248+Z249+Z250+Z251+Z252+Z253+Z254+Z255+Z256+Z257+Z258+Z259+Z260+Z261, "NA")</f>
        <v>45387.479999999996</v>
      </c>
      <c r="AA263" s="15">
        <f>IFERROR(Z263/Z444, "NA")</f>
        <v>4.7549798030998007E-2</v>
      </c>
      <c r="AB263" s="2"/>
      <c r="AC263" s="14">
        <f t="shared" si="67"/>
        <v>-7025.5</v>
      </c>
      <c r="AD263" s="15">
        <f>IFERROR(AC263/AC444, "NA")</f>
        <v>-0.12160192250640318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3735.31</v>
      </c>
      <c r="C265" s="8">
        <f>IFERROR(B265/B444, "NA")</f>
        <v>3.0560782683824009E-2</v>
      </c>
      <c r="D265" s="9"/>
      <c r="E265" s="7">
        <v>4368.43</v>
      </c>
      <c r="F265" s="8">
        <f>IFERROR(E265/E444, "NA")</f>
        <v>2.8000024612983274E-2</v>
      </c>
      <c r="G265" s="9"/>
      <c r="H265" s="10">
        <f>IFERROR(-(B265-E265), "NA")</f>
        <v>633.12000000000035</v>
      </c>
      <c r="I265" s="8">
        <f>IFERROR(H265/H444, "NA")</f>
        <v>-1.8737115125887785E-2</v>
      </c>
      <c r="J265" s="9"/>
      <c r="K265" s="7">
        <v>3421.08</v>
      </c>
      <c r="L265" s="8">
        <f>IFERROR(K265/K444, "NA")</f>
        <v>2.4120648082192445E-2</v>
      </c>
      <c r="M265" s="9"/>
      <c r="N265" s="10">
        <f>IFERROR(-(B265-K265), "NA")</f>
        <v>-314.23</v>
      </c>
      <c r="O265" s="8">
        <f>IFERROR(N265/N444, "NA")</f>
        <v>1.602690140622378E-2</v>
      </c>
      <c r="P265" s="9"/>
      <c r="Q265" s="7">
        <v>28512.98</v>
      </c>
      <c r="R265" s="8">
        <f>IFERROR(Q265/Q444, "NA")</f>
        <v>2.816653806016374E-2</v>
      </c>
      <c r="S265" s="9"/>
      <c r="T265" s="7">
        <v>30780.92</v>
      </c>
      <c r="U265" s="8">
        <f>IFERROR(T265/T444, "NA")</f>
        <v>2.8155826444074709E-2</v>
      </c>
      <c r="V265" s="9"/>
      <c r="W265" s="10">
        <f>IFERROR(-(Q265-T265), "NA")</f>
        <v>2267.9399999999987</v>
      </c>
      <c r="X265" s="8">
        <f>IFERROR(W265/W444, "NA")</f>
        <v>-2.8021849713410936E-2</v>
      </c>
      <c r="Y265" s="9"/>
      <c r="Z265" s="7">
        <v>27909</v>
      </c>
      <c r="AA265" s="8">
        <f>IFERROR(Z265/Z444, "NA")</f>
        <v>2.9238620721994776E-2</v>
      </c>
      <c r="AB265" s="9"/>
      <c r="AC265" s="10">
        <f>IFERROR(-(Q265-Z265), "NA")</f>
        <v>-603.97999999999956</v>
      </c>
      <c r="AD265" s="8">
        <f>IFERROR(AC265/AC444, "NA")</f>
        <v>-1.0454078593042109E-2</v>
      </c>
    </row>
    <row r="266" spans="1:30" ht="16.5" customHeight="1" x14ac:dyDescent="0.45">
      <c r="A266" s="6" t="s">
        <v>242</v>
      </c>
      <c r="B266" s="7">
        <v>955.89</v>
      </c>
      <c r="C266" s="8">
        <f>IFERROR(B266/B444, "NA")</f>
        <v>7.8207020460525443E-3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-955.89</v>
      </c>
      <c r="I266" s="8">
        <f>IFERROR(H266/H444, "NA")</f>
        <v>2.8289456939734749E-2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-955.89</v>
      </c>
      <c r="O266" s="8">
        <f>IFERROR(N266/N444, "NA")</f>
        <v>4.8753953426455929E-2</v>
      </c>
      <c r="P266" s="9"/>
      <c r="Q266" s="7">
        <v>1131.24</v>
      </c>
      <c r="R266" s="8">
        <f>IFERROR(Q266/Q444, "NA")</f>
        <v>1.117495067691263E-3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-1131.24</v>
      </c>
      <c r="X266" s="8">
        <f>IFERROR(W266/W444, "NA")</f>
        <v>1.3977193960069051E-2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-1131.24</v>
      </c>
      <c r="AD266" s="8">
        <f>IFERROR(AC266/AC444, "NA")</f>
        <v>-1.9580237536992888E-2</v>
      </c>
    </row>
    <row r="267" spans="1:30" ht="16.5" customHeight="1" x14ac:dyDescent="0.45">
      <c r="A267" s="19" t="s">
        <v>243</v>
      </c>
      <c r="B267" s="14">
        <f>IFERROR(B265+B266, "NA")</f>
        <v>4691.2</v>
      </c>
      <c r="C267" s="15">
        <f>IFERROR(B267/B444, "NA")</f>
        <v>3.8381484729876555E-2</v>
      </c>
      <c r="D267" s="2"/>
      <c r="E267" s="14">
        <f>IFERROR(E265+E266, "NA")</f>
        <v>4368.43</v>
      </c>
      <c r="F267" s="15">
        <f>IFERROR(E267/E444, "NA")</f>
        <v>2.8000024612983274E-2</v>
      </c>
      <c r="G267" s="2"/>
      <c r="H267" s="14">
        <f>IFERROR(-(B267-E267), "NA")</f>
        <v>-322.76999999999953</v>
      </c>
      <c r="I267" s="15">
        <f>IFERROR(H267/H444, "NA")</f>
        <v>9.552341813846961E-3</v>
      </c>
      <c r="J267" s="2"/>
      <c r="K267" s="14">
        <f>IFERROR(K265+K266, "NA")</f>
        <v>3421.08</v>
      </c>
      <c r="L267" s="15">
        <f>IFERROR(K267/K444, "NA")</f>
        <v>2.4120648082192445E-2</v>
      </c>
      <c r="M267" s="2"/>
      <c r="N267" s="14">
        <f>IFERROR(-(B267-K267), "NA")</f>
        <v>-1270.1199999999999</v>
      </c>
      <c r="O267" s="15">
        <f>IFERROR(N267/N444, "NA")</f>
        <v>6.4780854832679702E-2</v>
      </c>
      <c r="P267" s="2"/>
      <c r="Q267" s="14">
        <f>IFERROR(Q265+Q266, "NA")</f>
        <v>29644.22</v>
      </c>
      <c r="R267" s="15">
        <f>IFERROR(Q267/Q444, "NA")</f>
        <v>2.9284033127855002E-2</v>
      </c>
      <c r="S267" s="2"/>
      <c r="T267" s="14">
        <f>IFERROR(T265+T266, "NA")</f>
        <v>30780.92</v>
      </c>
      <c r="U267" s="15">
        <f>IFERROR(T267/T444, "NA")</f>
        <v>2.8155826444074709E-2</v>
      </c>
      <c r="V267" s="2"/>
      <c r="W267" s="14">
        <f>IFERROR(-(Q267-T267), "NA")</f>
        <v>1136.6999999999971</v>
      </c>
      <c r="X267" s="15">
        <f>IFERROR(W267/W444, "NA")</f>
        <v>-1.4044655753341864E-2</v>
      </c>
      <c r="Y267" s="2"/>
      <c r="Z267" s="14">
        <f>IFERROR(Z265+Z266, "NA")</f>
        <v>27909</v>
      </c>
      <c r="AA267" s="15">
        <f>IFERROR(Z267/Z444, "NA")</f>
        <v>2.9238620721994776E-2</v>
      </c>
      <c r="AB267" s="2"/>
      <c r="AC267" s="14">
        <f>IFERROR(-(Q267-Z267), "NA")</f>
        <v>-1735.2200000000012</v>
      </c>
      <c r="AD267" s="15">
        <f>IFERROR(AC267/AC444, "NA")</f>
        <v>-3.0034316130035023E-2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1.6189734392794961E-3</v>
      </c>
      <c r="D270" s="9"/>
      <c r="E270" s="7">
        <v>222.61</v>
      </c>
      <c r="F270" s="8">
        <f>IFERROR(E270/E444, "NA")</f>
        <v>1.4268479703454574E-3</v>
      </c>
      <c r="G270" s="9"/>
      <c r="H270" s="10">
        <f>IFERROR(-(B270-E270), "NA")</f>
        <v>24.730000000000018</v>
      </c>
      <c r="I270" s="8">
        <f>IFERROR(H270/H444, "NA")</f>
        <v>-7.3188156599571176E-4</v>
      </c>
      <c r="J270" s="9"/>
      <c r="K270" s="7">
        <v>175.13</v>
      </c>
      <c r="L270" s="8">
        <f>IFERROR(K270/K444, "NA")</f>
        <v>1.2347706275896392E-3</v>
      </c>
      <c r="M270" s="9"/>
      <c r="N270" s="10">
        <f>IFERROR(-(B270-K270), "NA")</f>
        <v>-22.75</v>
      </c>
      <c r="O270" s="8">
        <f>IFERROR(N270/N444, "NA")</f>
        <v>1.1603348088711802E-3</v>
      </c>
      <c r="P270" s="9"/>
      <c r="Q270" s="7">
        <v>1808.59</v>
      </c>
      <c r="R270" s="8">
        <f>IFERROR(Q270/Q444, "NA")</f>
        <v>1.7866150458574143E-3</v>
      </c>
      <c r="S270" s="9"/>
      <c r="T270" s="7">
        <v>1794.35</v>
      </c>
      <c r="U270" s="8">
        <f>IFERROR(T270/T444, "NA")</f>
        <v>1.6413221950456794E-3</v>
      </c>
      <c r="V270" s="9"/>
      <c r="W270" s="10">
        <f>IFERROR(-(Q270-T270), "NA")</f>
        <v>-14.240000000000009</v>
      </c>
      <c r="X270" s="8">
        <f>IFERROR(W270/W444, "NA")</f>
        <v>1.7594431066032267E-4</v>
      </c>
      <c r="Y270" s="9"/>
      <c r="Z270" s="7">
        <v>1124.6400000000001</v>
      </c>
      <c r="AA270" s="8">
        <f>IFERROR(Z270/Z444, "NA")</f>
        <v>1.1782192987489415E-3</v>
      </c>
      <c r="AB270" s="9"/>
      <c r="AC270" s="10">
        <f>IFERROR(-(Q270-Z270), "NA")</f>
        <v>-683.94999999999982</v>
      </c>
      <c r="AD270" s="8">
        <f>IFERROR(AC270/AC444, "NA")</f>
        <v>-1.1838251355526928E-2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7.3178613972850201E-3</v>
      </c>
      <c r="D271" s="9"/>
      <c r="E271" s="7">
        <v>936.09</v>
      </c>
      <c r="F271" s="8">
        <f>IFERROR(E271/E444, "NA")</f>
        <v>5.9999915392870001E-3</v>
      </c>
      <c r="G271" s="9"/>
      <c r="H271" s="10">
        <f>IFERROR(-(B271-E271), "NA")</f>
        <v>41.660000000000082</v>
      </c>
      <c r="I271" s="8">
        <f>IFERROR(H271/H444, "NA")</f>
        <v>-1.2329230100841645E-3</v>
      </c>
      <c r="J271" s="9"/>
      <c r="K271" s="7">
        <v>778.58</v>
      </c>
      <c r="L271" s="8">
        <f>IFERROR(K271/K444, "NA")</f>
        <v>5.4894519227359183E-3</v>
      </c>
      <c r="M271" s="9"/>
      <c r="N271" s="10">
        <f>IFERROR(-(B271-K271), "NA")</f>
        <v>-115.84999999999991</v>
      </c>
      <c r="O271" s="8">
        <f>IFERROR(N271/N444, "NA")</f>
        <v>5.9087818728670825E-3</v>
      </c>
      <c r="P271" s="9"/>
      <c r="Q271" s="7">
        <v>7405.48</v>
      </c>
      <c r="R271" s="8">
        <f>IFERROR(Q271/Q444, "NA")</f>
        <v>7.3155010200190006E-3</v>
      </c>
      <c r="S271" s="9"/>
      <c r="T271" s="7">
        <v>6559.42</v>
      </c>
      <c r="U271" s="8">
        <f>IFERROR(T271/T444, "NA")</f>
        <v>6.0000120559681952E-3</v>
      </c>
      <c r="V271" s="9"/>
      <c r="W271" s="10">
        <f>IFERROR(-(Q271-T271), "NA")</f>
        <v>-846.05999999999949</v>
      </c>
      <c r="X271" s="8">
        <f>IFERROR(W271/W444, "NA")</f>
        <v>1.0453612603741041E-2</v>
      </c>
      <c r="Y271" s="9"/>
      <c r="Z271" s="7">
        <v>5784.35</v>
      </c>
      <c r="AA271" s="8">
        <f>IFERROR(Z271/Z444, "NA")</f>
        <v>6.0599238873936898E-3</v>
      </c>
      <c r="AB271" s="9"/>
      <c r="AC271" s="10">
        <f>IFERROR(-(Q271-Z271), "NA")</f>
        <v>-1621.1299999999992</v>
      </c>
      <c r="AD271" s="8">
        <f>IFERROR(AC271/AC444, "NA")</f>
        <v>-2.8059572220170137E-2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8.9368348365645167E-3</v>
      </c>
      <c r="D273" s="2"/>
      <c r="E273" s="14">
        <f>IFERROR(E269+E270+E271+E272, "NA")</f>
        <v>1158.7</v>
      </c>
      <c r="F273" s="15">
        <f>IFERROR(E273/E444, "NA")</f>
        <v>7.4268395096324579E-3</v>
      </c>
      <c r="G273" s="2"/>
      <c r="H273" s="14">
        <f>IFERROR(-(B273-E273), "NA")</f>
        <v>66.3900000000001</v>
      </c>
      <c r="I273" s="15">
        <f>IFERROR(H273/H444, "NA")</f>
        <v>-1.9648045760798762E-3</v>
      </c>
      <c r="J273" s="2"/>
      <c r="K273" s="14">
        <f>IFERROR(K269+K270+K271+K272, "NA")</f>
        <v>953.71</v>
      </c>
      <c r="L273" s="15">
        <f>IFERROR(K273/K444, "NA")</f>
        <v>6.7242225503255579E-3</v>
      </c>
      <c r="M273" s="2"/>
      <c r="N273" s="14">
        <f>IFERROR(-(B273-K273), "NA")</f>
        <v>-138.59999999999991</v>
      </c>
      <c r="O273" s="15">
        <f>IFERROR(N273/N444, "NA")</f>
        <v>7.0691166817382625E-3</v>
      </c>
      <c r="P273" s="2"/>
      <c r="Q273" s="14">
        <f>IFERROR(Q269+Q270+Q271+Q272, "NA")</f>
        <v>9214.07</v>
      </c>
      <c r="R273" s="15">
        <f>IFERROR(Q273/Q444, "NA")</f>
        <v>9.1021160658764141E-3</v>
      </c>
      <c r="S273" s="2"/>
      <c r="T273" s="14">
        <f>IFERROR(T269+T270+T271+T272, "NA")</f>
        <v>8353.77</v>
      </c>
      <c r="U273" s="15">
        <f>IFERROR(T273/T444, "NA")</f>
        <v>7.6413342510138751E-3</v>
      </c>
      <c r="V273" s="2"/>
      <c r="W273" s="14">
        <f>IFERROR(-(Q273-T273), "NA")</f>
        <v>-860.29999999999927</v>
      </c>
      <c r="X273" s="15">
        <f>IFERROR(W273/W444, "NA")</f>
        <v>1.062955691440136E-2</v>
      </c>
      <c r="Y273" s="2"/>
      <c r="Z273" s="14">
        <f>IFERROR(Z269+Z270+Z271+Z272, "NA")</f>
        <v>6908.9900000000007</v>
      </c>
      <c r="AA273" s="15">
        <f>IFERROR(Z273/Z444, "NA")</f>
        <v>7.2381431861426315E-3</v>
      </c>
      <c r="AB273" s="2"/>
      <c r="AC273" s="14">
        <f>IFERROR(-(Q273-Z273), "NA")</f>
        <v>-2305.079999999999</v>
      </c>
      <c r="AD273" s="15">
        <f>IFERROR(AC273/AC444, "NA")</f>
        <v>-3.9897823575697065E-2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1.9228893181062719E-3</v>
      </c>
      <c r="G287" s="9"/>
      <c r="H287" s="10">
        <f t="shared" si="72"/>
        <v>300</v>
      </c>
      <c r="I287" s="8">
        <f>IFERROR(H287/H444, "NA")</f>
        <v>-8.8784662272023192E-3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2700</v>
      </c>
      <c r="U287" s="8">
        <f>IFERROR(T287/T444, "NA")</f>
        <v>2.4697355179442888E-3</v>
      </c>
      <c r="V287" s="9"/>
      <c r="W287" s="10">
        <f t="shared" si="74"/>
        <v>2700</v>
      </c>
      <c r="X287" s="8">
        <f>IFERROR(W287/W444, "NA")</f>
        <v>-3.3360227442617338E-2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1.1249689099501249E-3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4.0692970208010635E-3</v>
      </c>
      <c r="J288" s="9"/>
      <c r="K288" s="7">
        <v>137.5</v>
      </c>
      <c r="L288" s="8">
        <f>IFERROR(K288/K444, "NA")</f>
        <v>9.6945675380331984E-4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1237.5</v>
      </c>
      <c r="R288" s="8">
        <f>IFERROR(Q288/Q444, "NA")</f>
        <v>1.2224639742830327E-3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-1237.5</v>
      </c>
      <c r="X288" s="8">
        <f>IFERROR(W288/W444, "NA")</f>
        <v>1.5290104244532947E-2</v>
      </c>
      <c r="Y288" s="9"/>
      <c r="Z288" s="7">
        <v>1237.5</v>
      </c>
      <c r="AA288" s="8">
        <f>IFERROR(Z288/Z444, "NA")</f>
        <v>1.2964560945740993E-3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206.28</v>
      </c>
      <c r="C289" s="8">
        <f>IFERROR(B289/B444, "NA")</f>
        <v>1.6876988126873584E-3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-206.28</v>
      </c>
      <c r="I289" s="8">
        <f>IFERROR(H289/H444, "NA")</f>
        <v>6.1048333778243149E-3</v>
      </c>
      <c r="J289" s="9"/>
      <c r="K289" s="7">
        <v>189.85</v>
      </c>
      <c r="L289" s="8">
        <f>IFERROR(K289/K444, "NA")</f>
        <v>1.3385553797058928E-3</v>
      </c>
      <c r="M289" s="9"/>
      <c r="N289" s="10">
        <f t="shared" si="73"/>
        <v>-16.430000000000007</v>
      </c>
      <c r="O289" s="8">
        <f>IFERROR(N289/N444, "NA")</f>
        <v>8.3799124878037353E-4</v>
      </c>
      <c r="P289" s="9"/>
      <c r="Q289" s="7">
        <v>1656.03</v>
      </c>
      <c r="R289" s="8">
        <f>IFERROR(Q289/Q444, "NA")</f>
        <v>1.6359086992581257E-3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-1656.03</v>
      </c>
      <c r="X289" s="8">
        <f>IFERROR(W289/W444, "NA")</f>
        <v>2.0461310167332439E-2</v>
      </c>
      <c r="Y289" s="9"/>
      <c r="Z289" s="7">
        <v>1360.04</v>
      </c>
      <c r="AA289" s="8">
        <f>IFERROR(Z289/Z444, "NA")</f>
        <v>1.4248340580723701E-3</v>
      </c>
      <c r="AB289" s="9"/>
      <c r="AC289" s="10">
        <f t="shared" si="75"/>
        <v>-295.99</v>
      </c>
      <c r="AD289" s="8">
        <f>IFERROR(AC289/AC444, "NA")</f>
        <v>-5.1231873948715785E-3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6186.81</v>
      </c>
      <c r="R290" s="8">
        <f>IFERROR(Q290/Q444, "NA")</f>
        <v>6.1116382551385942E-3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-6186.81</v>
      </c>
      <c r="X290" s="8">
        <f>IFERROR(W290/W444, "NA")</f>
        <v>7.6441995831207185E-2</v>
      </c>
      <c r="Y290" s="9"/>
      <c r="Z290" s="7">
        <v>360.75</v>
      </c>
      <c r="AA290" s="8">
        <f>IFERROR(Z290/Z444, "NA")</f>
        <v>3.7793659484251015E-4</v>
      </c>
      <c r="AB290" s="9"/>
      <c r="AC290" s="10">
        <f t="shared" si="75"/>
        <v>-5826.06</v>
      </c>
      <c r="AD290" s="8">
        <f>IFERROR(AC290/AC444, "NA")</f>
        <v>-0.10084123502066121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1872.18</v>
      </c>
      <c r="F291" s="8">
        <f>IFERROR(E291/E444, "NA")</f>
        <v>1.1999983078574E-2</v>
      </c>
      <c r="G291" s="9"/>
      <c r="H291" s="10">
        <f t="shared" si="72"/>
        <v>1872.18</v>
      </c>
      <c r="I291" s="8">
        <f>IFERROR(H291/H444, "NA")</f>
        <v>-5.5406956337478795E-2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2854.03</v>
      </c>
      <c r="R291" s="8">
        <f>IFERROR(Q291/Q444, "NA")</f>
        <v>2.8193526113317207E-3</v>
      </c>
      <c r="S291" s="9"/>
      <c r="T291" s="7">
        <v>13118.8</v>
      </c>
      <c r="U291" s="8">
        <f>IFERROR(T291/T444, "NA")</f>
        <v>1.199998752326205E-2</v>
      </c>
      <c r="V291" s="9"/>
      <c r="W291" s="10">
        <f t="shared" si="74"/>
        <v>10264.769999999999</v>
      </c>
      <c r="X291" s="8">
        <f>IFERROR(W291/W444, "NA")</f>
        <v>-0.12682780068376115</v>
      </c>
      <c r="Y291" s="9"/>
      <c r="Z291" s="7">
        <v>1092.1500000000001</v>
      </c>
      <c r="AA291" s="8">
        <f>IFERROR(Z291/Z444, "NA")</f>
        <v>1.1441814332841234E-3</v>
      </c>
      <c r="AB291" s="9"/>
      <c r="AC291" s="10">
        <f t="shared" si="75"/>
        <v>-1761.88</v>
      </c>
      <c r="AD291" s="8">
        <f>IFERROR(AC291/AC444, "NA")</f>
        <v>-3.0495764746364194E-2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4.9477438881567661E-4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6.188445747003452E-3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-8.6692105766930615E-3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424.92</v>
      </c>
      <c r="L293" s="8">
        <f>IFERROR(K293/K444, "NA")</f>
        <v>2.9959386460080483E-3</v>
      </c>
      <c r="M293" s="9"/>
      <c r="N293" s="10">
        <f t="shared" si="73"/>
        <v>424.92</v>
      </c>
      <c r="O293" s="8">
        <f>IFERROR(N293/N444, "NA")</f>
        <v>-2.1672504043320523E-2</v>
      </c>
      <c r="P293" s="9"/>
      <c r="Q293" s="7">
        <v>369.93</v>
      </c>
      <c r="R293" s="8">
        <f>IFERROR(Q293/Q444, "NA")</f>
        <v>3.6543523071234127E-4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4.5707218288323827E-3</v>
      </c>
      <c r="Y293" s="9"/>
      <c r="Z293" s="7">
        <v>424.92</v>
      </c>
      <c r="AA293" s="8">
        <f>IFERROR(Z293/Z444, "NA")</f>
        <v>4.4516373632842525E-4</v>
      </c>
      <c r="AB293" s="9"/>
      <c r="AC293" s="10">
        <f t="shared" si="75"/>
        <v>54.990000000000009</v>
      </c>
      <c r="AD293" s="8">
        <f>IFERROR(AC293/AC444, "NA")</f>
        <v>9.5180267861748086E-4</v>
      </c>
    </row>
    <row r="294" spans="1:30" ht="16.5" customHeight="1" x14ac:dyDescent="0.45">
      <c r="A294" s="6" t="s">
        <v>267</v>
      </c>
      <c r="B294" s="7">
        <v>508.98</v>
      </c>
      <c r="C294" s="8">
        <f>IFERROR(B294/B444, "NA")</f>
        <v>4.164266732992106E-3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-508.98</v>
      </c>
      <c r="I294" s="8">
        <f>IFERROR(H294/H444, "NA")</f>
        <v>1.5063205801071455E-2</v>
      </c>
      <c r="J294" s="9"/>
      <c r="K294" s="7">
        <v>498.98</v>
      </c>
      <c r="L294" s="8">
        <f>IFERROR(K294/K444, "NA")</f>
        <v>3.5181056800929495E-3</v>
      </c>
      <c r="M294" s="9"/>
      <c r="N294" s="10">
        <f t="shared" si="73"/>
        <v>-10</v>
      </c>
      <c r="O294" s="8">
        <f>IFERROR(N294/N444, "NA")</f>
        <v>5.1003727862469457E-4</v>
      </c>
      <c r="P294" s="9"/>
      <c r="Q294" s="7">
        <v>3217.92</v>
      </c>
      <c r="R294" s="8">
        <f>IFERROR(Q294/Q444, "NA")</f>
        <v>3.1788212299998842E-3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-3217.92</v>
      </c>
      <c r="X294" s="8">
        <f>IFERROR(W294/W444, "NA")</f>
        <v>3.9759460404498959E-2</v>
      </c>
      <c r="Y294" s="9"/>
      <c r="Z294" s="7">
        <v>1092.73</v>
      </c>
      <c r="AA294" s="8">
        <f>IFERROR(Z294/Z444, "NA")</f>
        <v>1.1447890652314793E-3</v>
      </c>
      <c r="AB294" s="9"/>
      <c r="AC294" s="10">
        <f t="shared" si="75"/>
        <v>-2125.19</v>
      </c>
      <c r="AD294" s="8">
        <f>IFERROR(AC294/AC444, "NA")</f>
        <v>-3.6784170477742933E-2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852.76</v>
      </c>
      <c r="C295" s="15">
        <f>IFERROR(B295/B444, "NA")</f>
        <v>6.9769344556295894E-3</v>
      </c>
      <c r="D295" s="2"/>
      <c r="E295" s="14">
        <f>IFERROR(E286+E287+E288+E289+E290+E291+E292+E293+E294, "NA")</f>
        <v>2172.1800000000003</v>
      </c>
      <c r="F295" s="15">
        <f>IFERROR(E295/E444, "NA")</f>
        <v>1.3922872396680275E-2</v>
      </c>
      <c r="G295" s="2"/>
      <c r="H295" s="14">
        <f t="shared" si="72"/>
        <v>1319.4200000000003</v>
      </c>
      <c r="I295" s="15">
        <f>IFERROR(H295/H444, "NA")</f>
        <v>-3.9048086364984289E-2</v>
      </c>
      <c r="J295" s="2"/>
      <c r="K295" s="14">
        <f>IFERROR(K286+K287+K288+K289+K290+K291+K292+K293+K294, "NA")</f>
        <v>1251.25</v>
      </c>
      <c r="L295" s="15">
        <f>IFERROR(K295/K444, "NA")</f>
        <v>8.8220564596102093E-3</v>
      </c>
      <c r="M295" s="2"/>
      <c r="N295" s="14">
        <f t="shared" si="73"/>
        <v>398.49</v>
      </c>
      <c r="O295" s="15">
        <f>IFERROR(N295/N444, "NA")</f>
        <v>-2.0324475515915454E-2</v>
      </c>
      <c r="P295" s="2"/>
      <c r="Q295" s="14">
        <f>IFERROR(Q286+Q287+Q288+Q289+Q290+Q291+Q292+Q293+Q294, "NA")</f>
        <v>16023.080000000002</v>
      </c>
      <c r="R295" s="15">
        <f>IFERROR(Q295/Q444, "NA")</f>
        <v>1.5828394389539376E-2</v>
      </c>
      <c r="S295" s="2"/>
      <c r="T295" s="14">
        <f>IFERROR(T286+T287+T288+T289+T290+T291+T292+T293+T294, "NA")</f>
        <v>15818.8</v>
      </c>
      <c r="U295" s="15">
        <f>IFERROR(T295/T444, "NA")</f>
        <v>1.4469723041206339E-2</v>
      </c>
      <c r="V295" s="2"/>
      <c r="W295" s="14">
        <f t="shared" si="74"/>
        <v>-204.28000000000247</v>
      </c>
      <c r="X295" s="15">
        <f>IFERROR(W295/W444, "NA")</f>
        <v>2.5240100970288712E-3</v>
      </c>
      <c r="Y295" s="2"/>
      <c r="Z295" s="14">
        <f>IFERROR(Z286+Z287+Z288+Z289+Z290+Z291+Z292+Z293+Z294, "NA")</f>
        <v>5568.09</v>
      </c>
      <c r="AA295" s="15">
        <f>IFERROR(Z295/Z444, "NA")</f>
        <v>5.8333609823330076E-3</v>
      </c>
      <c r="AB295" s="2"/>
      <c r="AC295" s="14">
        <f t="shared" si="75"/>
        <v>-10454.990000000002</v>
      </c>
      <c r="AD295" s="15">
        <f>IFERROR(AC295/AC444, "NA")</f>
        <v>-0.18096176553771551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2028.2</v>
      </c>
      <c r="F297" s="8">
        <f>IFERROR(E297/E444, "NA")</f>
        <v>1.300001371661047E-2</v>
      </c>
      <c r="G297" s="9"/>
      <c r="H297" s="10">
        <f t="shared" ref="H297:H325" si="76">IFERROR(-(B297-E297), "NA")</f>
        <v>2028.2</v>
      </c>
      <c r="I297" s="8">
        <f>IFERROR(H297/H444, "NA")</f>
        <v>-6.002435067337248E-2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14212.05</v>
      </c>
      <c r="U297" s="8">
        <f>IFERROR(T297/T444, "NA")</f>
        <v>1.3000001728814862E-2</v>
      </c>
      <c r="V297" s="9"/>
      <c r="W297" s="10">
        <f t="shared" ref="W297:W325" si="78">IFERROR(-(Q297-T297), "NA")</f>
        <v>14212.05</v>
      </c>
      <c r="X297" s="8">
        <f>IFERROR(W297/W444, "NA")</f>
        <v>-0.17559897052809248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475.18</v>
      </c>
      <c r="C299" s="8">
        <f>IFERROR(B299/B444, "NA")</f>
        <v>3.8877289209461848E-3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-475.18</v>
      </c>
      <c r="I299" s="8">
        <f>IFERROR(H299/H444, "NA")</f>
        <v>1.4062898606139995E-2</v>
      </c>
      <c r="J299" s="9"/>
      <c r="K299" s="7">
        <v>180.48</v>
      </c>
      <c r="L299" s="8">
        <f>IFERROR(K299/K444, "NA")</f>
        <v>1.2724913085558048E-3</v>
      </c>
      <c r="M299" s="9"/>
      <c r="N299" s="10">
        <f t="shared" si="77"/>
        <v>-294.70000000000005</v>
      </c>
      <c r="O299" s="8">
        <f>IFERROR(N299/N444, "NA")</f>
        <v>1.5030798601069751E-2</v>
      </c>
      <c r="P299" s="9"/>
      <c r="Q299" s="7">
        <v>2775.9</v>
      </c>
      <c r="R299" s="8">
        <f>IFERROR(Q299/Q444, "NA")</f>
        <v>2.7421719161311278E-3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-2775.9</v>
      </c>
      <c r="X299" s="8">
        <f>IFERROR(W299/W444, "NA")</f>
        <v>3.4298020502948695E-2</v>
      </c>
      <c r="Y299" s="9"/>
      <c r="Z299" s="7">
        <v>1915.98</v>
      </c>
      <c r="AA299" s="8">
        <f>IFERROR(Z299/Z444, "NA")</f>
        <v>2.0072597560259254E-3</v>
      </c>
      <c r="AB299" s="9"/>
      <c r="AC299" s="10">
        <f t="shared" si="79"/>
        <v>-859.92000000000007</v>
      </c>
      <c r="AD299" s="8">
        <f>IFERROR(AC299/AC444, "NA")</f>
        <v>-1.4884054544403421E-2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348.44</v>
      </c>
      <c r="R304" s="8">
        <f>IFERROR(Q304/Q444, "NA")</f>
        <v>3.4420634117105447E-4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-348.44</v>
      </c>
      <c r="X304" s="8">
        <f>IFERROR(W304/W444, "NA")</f>
        <v>4.3051991296687358E-3</v>
      </c>
      <c r="Y304" s="9"/>
      <c r="Z304" s="7">
        <v>402.55</v>
      </c>
      <c r="AA304" s="8">
        <f>IFERROR(Z304/Z444, "NA")</f>
        <v>4.2172800070367975E-4</v>
      </c>
      <c r="AB304" s="9"/>
      <c r="AC304" s="10">
        <f t="shared" si="79"/>
        <v>54.110000000000014</v>
      </c>
      <c r="AD304" s="8">
        <f>IFERROR(AC304/AC444, "NA")</f>
        <v>9.3657106637555726E-4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61.94</v>
      </c>
      <c r="L310" s="8">
        <f>IFERROR(K310/K444, "NA")</f>
        <v>4.3671382785874638E-4</v>
      </c>
      <c r="M310" s="9"/>
      <c r="N310" s="10">
        <f t="shared" si="77"/>
        <v>61.94</v>
      </c>
      <c r="O310" s="8">
        <f>IFERROR(N310/N444, "NA")</f>
        <v>-3.1591709038013582E-3</v>
      </c>
      <c r="P310" s="9"/>
      <c r="Q310" s="7">
        <v>411.02</v>
      </c>
      <c r="R310" s="8">
        <f>IFERROR(Q310/Q444, "NA")</f>
        <v>4.0602597390691889E-4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-411.02</v>
      </c>
      <c r="X310" s="8">
        <f>IFERROR(W310/W444, "NA")</f>
        <v>5.0784150679498439E-3</v>
      </c>
      <c r="Y310" s="9"/>
      <c r="Z310" s="7">
        <v>311.86</v>
      </c>
      <c r="AA310" s="8">
        <f>IFERROR(Z310/Z444, "NA")</f>
        <v>3.2671741224555846E-4</v>
      </c>
      <c r="AB310" s="9"/>
      <c r="AC310" s="10">
        <f t="shared" si="79"/>
        <v>-99.159999999999968</v>
      </c>
      <c r="AD310" s="8">
        <f>IFERROR(AC310/AC444, "NA")</f>
        <v>-1.7163257612603992E-3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2.6375586354227858E-5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3.2989558248810481E-4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-4.6214096234018431E-4</v>
      </c>
    </row>
    <row r="312" spans="1:30" ht="16.5" customHeight="1" x14ac:dyDescent="0.45">
      <c r="A312" s="6" t="s">
        <v>284</v>
      </c>
      <c r="B312" s="7">
        <v>30.31</v>
      </c>
      <c r="C312" s="8">
        <f>IFERROR(B312/B444, "NA")</f>
        <v>2.4798405571336933E-4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-30.31</v>
      </c>
      <c r="I312" s="8">
        <f>IFERROR(H312/H444, "NA")</f>
        <v>8.970210378216743E-4</v>
      </c>
      <c r="J312" s="9"/>
      <c r="K312" s="7">
        <v>322.52999999999997</v>
      </c>
      <c r="L312" s="8">
        <f>IFERROR(K312/K444, "NA")</f>
        <v>2.274028267666798E-3</v>
      </c>
      <c r="M312" s="9"/>
      <c r="N312" s="10">
        <f t="shared" si="77"/>
        <v>292.21999999999997</v>
      </c>
      <c r="O312" s="8">
        <f>IFERROR(N312/N444, "NA")</f>
        <v>-1.4904309355970823E-2</v>
      </c>
      <c r="P312" s="9"/>
      <c r="Q312" s="7">
        <v>1497.43</v>
      </c>
      <c r="R312" s="8">
        <f>IFERROR(Q312/Q444, "NA")</f>
        <v>1.4792357406146601E-3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-1497.43</v>
      </c>
      <c r="X312" s="8">
        <f>IFERROR(W312/W444, "NA")</f>
        <v>1.8501705696073512E-2</v>
      </c>
      <c r="Y312" s="9"/>
      <c r="Z312" s="7">
        <v>561.25</v>
      </c>
      <c r="AA312" s="8">
        <f>IFERROR(Z312/Z444, "NA")</f>
        <v>5.879886731957278E-4</v>
      </c>
      <c r="AB312" s="9"/>
      <c r="AC312" s="10">
        <f t="shared" si="79"/>
        <v>-936.18000000000006</v>
      </c>
      <c r="AD312" s="8">
        <f>IFERROR(AC312/AC444, "NA")</f>
        <v>-1.6204012214368305E-2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5.3096920095121622E-5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6.6411563890395628E-4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-9.3033995227658828E-4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794.07</v>
      </c>
      <c r="C315" s="8">
        <f>IFERROR(B315/B444, "NA")</f>
        <v>6.4967568169025146E-3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-794.07</v>
      </c>
      <c r="I315" s="8">
        <f>IFERROR(H315/H444, "NA")</f>
        <v>2.350041225678182E-2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-794.07</v>
      </c>
      <c r="O315" s="8">
        <f>IFERROR(N315/N444, "NA")</f>
        <v>4.0500530183751125E-2</v>
      </c>
      <c r="P315" s="9"/>
      <c r="Q315" s="7">
        <v>7146.95</v>
      </c>
      <c r="R315" s="8">
        <f>IFERROR(Q315/Q444, "NA")</f>
        <v>7.0601122432340365E-3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-7146.95</v>
      </c>
      <c r="X315" s="8">
        <f>IFERROR(W315/W444, "NA")</f>
        <v>8.8305139822597772E-2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-7146.95</v>
      </c>
      <c r="AD315" s="8">
        <f>IFERROR(AC315/AC444, "NA")</f>
        <v>-0.12370405808229139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742.23</v>
      </c>
      <c r="C318" s="8">
        <f>IFERROR(B318/B444, "NA")</f>
        <v>6.0726230838711367E-3</v>
      </c>
      <c r="D318" s="9"/>
      <c r="E318" s="7">
        <v>718</v>
      </c>
      <c r="F318" s="8">
        <f>IFERROR(E318/E444, "NA")</f>
        <v>4.6021151013343441E-3</v>
      </c>
      <c r="G318" s="9"/>
      <c r="H318" s="10">
        <f t="shared" si="76"/>
        <v>-24.230000000000018</v>
      </c>
      <c r="I318" s="8">
        <f>IFERROR(H318/H444, "NA")</f>
        <v>7.1708412228370789E-4</v>
      </c>
      <c r="J318" s="9"/>
      <c r="K318" s="7">
        <v>490.6</v>
      </c>
      <c r="L318" s="8">
        <f>IFERROR(K318/K444, "NA")</f>
        <v>3.4590216975702451E-3</v>
      </c>
      <c r="M318" s="9"/>
      <c r="N318" s="10">
        <f t="shared" si="77"/>
        <v>-251.63</v>
      </c>
      <c r="O318" s="8">
        <f>IFERROR(N318/N444, "NA")</f>
        <v>1.283406804203319E-2</v>
      </c>
      <c r="P318" s="9"/>
      <c r="Q318" s="7">
        <v>4667.03</v>
      </c>
      <c r="R318" s="8">
        <f>IFERROR(Q318/Q444, "NA")</f>
        <v>4.6103240742611249E-3</v>
      </c>
      <c r="S318" s="9"/>
      <c r="T318" s="7">
        <v>6462</v>
      </c>
      <c r="U318" s="8">
        <f>IFERROR(T318/T444, "NA")</f>
        <v>5.9109003396133316E-3</v>
      </c>
      <c r="V318" s="9"/>
      <c r="W318" s="10">
        <f t="shared" si="78"/>
        <v>1794.9700000000003</v>
      </c>
      <c r="X318" s="8">
        <f>IFERROR(W318/W444, "NA")</f>
        <v>-2.2178002760249945E-2</v>
      </c>
      <c r="Y318" s="9"/>
      <c r="Z318" s="7">
        <v>4415.3999999999996</v>
      </c>
      <c r="AA318" s="8">
        <f>IFERROR(Z318/Z444, "NA")</f>
        <v>4.625755345440386E-3</v>
      </c>
      <c r="AB318" s="9"/>
      <c r="AC318" s="10">
        <f t="shared" si="79"/>
        <v>-251.63000000000011</v>
      </c>
      <c r="AD318" s="8">
        <f>IFERROR(AC318/AC444, "NA")</f>
        <v>-4.3553756686764283E-3</v>
      </c>
    </row>
    <row r="319" spans="1:30" ht="16.5" customHeight="1" x14ac:dyDescent="0.45">
      <c r="A319" s="6" t="s">
        <v>291</v>
      </c>
      <c r="B319" s="7">
        <v>160.1</v>
      </c>
      <c r="C319" s="8">
        <f>IFERROR(B319/B444, "NA")</f>
        <v>1.3098728907855637E-3</v>
      </c>
      <c r="D319" s="9"/>
      <c r="E319" s="7">
        <v>160</v>
      </c>
      <c r="F319" s="8">
        <f>IFERROR(E319/E444, "NA")</f>
        <v>1.0255409696566784E-3</v>
      </c>
      <c r="G319" s="9"/>
      <c r="H319" s="10">
        <f t="shared" si="76"/>
        <v>-9.9999999999994316E-2</v>
      </c>
      <c r="I319" s="8">
        <f>IFERROR(H319/H444, "NA")</f>
        <v>2.9594887424006049E-6</v>
      </c>
      <c r="J319" s="9"/>
      <c r="K319" s="7">
        <v>159.81</v>
      </c>
      <c r="L319" s="8">
        <f>IFERROR(K319/K444, "NA")</f>
        <v>1.1267555187295167E-3</v>
      </c>
      <c r="M319" s="9"/>
      <c r="N319" s="10">
        <f t="shared" si="77"/>
        <v>-0.28999999999999204</v>
      </c>
      <c r="O319" s="8">
        <f>IFERROR(N319/N444, "NA")</f>
        <v>1.4791081080115737E-5</v>
      </c>
      <c r="P319" s="9"/>
      <c r="Q319" s="7">
        <v>1571.41</v>
      </c>
      <c r="R319" s="8">
        <f>IFERROR(Q319/Q444, "NA")</f>
        <v>1.5523168596590711E-3</v>
      </c>
      <c r="S319" s="9"/>
      <c r="T319" s="7">
        <v>1440</v>
      </c>
      <c r="U319" s="8">
        <f>IFERROR(T319/T444, "NA")</f>
        <v>1.3171922762369541E-3</v>
      </c>
      <c r="V319" s="9"/>
      <c r="W319" s="10">
        <f t="shared" si="78"/>
        <v>-131.41000000000008</v>
      </c>
      <c r="X319" s="8">
        <f>IFERROR(W319/W444, "NA")</f>
        <v>1.6236546252719804E-3</v>
      </c>
      <c r="Y319" s="9"/>
      <c r="Z319" s="7">
        <v>1437.57</v>
      </c>
      <c r="AA319" s="8">
        <f>IFERROR(Z319/Z444, "NA")</f>
        <v>1.5060576871732427E-3</v>
      </c>
      <c r="AB319" s="9"/>
      <c r="AC319" s="10">
        <f t="shared" si="79"/>
        <v>-133.84000000000015</v>
      </c>
      <c r="AD319" s="8">
        <f>IFERROR(AC319/AC444, "NA")</f>
        <v>-2.3165897527943945E-3</v>
      </c>
    </row>
    <row r="320" spans="1:30" ht="16.5" customHeight="1" x14ac:dyDescent="0.45">
      <c r="A320" s="6" t="s">
        <v>292</v>
      </c>
      <c r="B320" s="7">
        <v>1248.27</v>
      </c>
      <c r="C320" s="8">
        <f>IFERROR(B320/B444, "NA")</f>
        <v>1.021283593617049E-2</v>
      </c>
      <c r="D320" s="9"/>
      <c r="E320" s="7">
        <v>827</v>
      </c>
      <c r="F320" s="8">
        <f>IFERROR(E320/E444, "NA")</f>
        <v>5.3007648869129566E-3</v>
      </c>
      <c r="G320" s="9"/>
      <c r="H320" s="10">
        <f t="shared" si="76"/>
        <v>-421.27</v>
      </c>
      <c r="I320" s="8">
        <f>IFERROR(H320/H444, "NA")</f>
        <v>1.2467438225111737E-2</v>
      </c>
      <c r="J320" s="9"/>
      <c r="K320" s="7">
        <v>653.91999999999996</v>
      </c>
      <c r="L320" s="8">
        <f>IFERROR(K320/K444, "NA")</f>
        <v>4.6105248032513955E-3</v>
      </c>
      <c r="M320" s="9"/>
      <c r="N320" s="10">
        <f t="shared" si="77"/>
        <v>-594.35</v>
      </c>
      <c r="O320" s="8">
        <f>IFERROR(N320/N444, "NA")</f>
        <v>3.0314065655058724E-2</v>
      </c>
      <c r="P320" s="9"/>
      <c r="Q320" s="7">
        <v>10534.58</v>
      </c>
      <c r="R320" s="8">
        <f>IFERROR(Q320/Q444, "NA")</f>
        <v>1.040658144177984E-2</v>
      </c>
      <c r="S320" s="9"/>
      <c r="T320" s="7">
        <v>7443</v>
      </c>
      <c r="U320" s="8">
        <f>IFERROR(T320/T444, "NA")</f>
        <v>6.8082375777997559E-3</v>
      </c>
      <c r="V320" s="9"/>
      <c r="W320" s="10">
        <f t="shared" si="78"/>
        <v>-3091.58</v>
      </c>
      <c r="X320" s="8">
        <f>IFERROR(W320/W444, "NA")</f>
        <v>3.8198448872980337E-2</v>
      </c>
      <c r="Y320" s="9"/>
      <c r="Z320" s="7">
        <v>7121.62</v>
      </c>
      <c r="AA320" s="8">
        <f>IFERROR(Z320/Z444, "NA")</f>
        <v>7.4609031533258959E-3</v>
      </c>
      <c r="AB320" s="9"/>
      <c r="AC320" s="10">
        <f t="shared" si="79"/>
        <v>-3412.96</v>
      </c>
      <c r="AD320" s="8">
        <f>IFERROR(AC320/AC444, "NA")</f>
        <v>-5.9073731042267992E-2</v>
      </c>
    </row>
    <row r="321" spans="1:30" ht="16.5" customHeight="1" x14ac:dyDescent="0.45">
      <c r="A321" s="6" t="s">
        <v>293</v>
      </c>
      <c r="B321" s="7">
        <v>2024.75</v>
      </c>
      <c r="C321" s="8">
        <f>IFERROR(B321/B444, "NA")</f>
        <v>1.6565678548520112E-2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-2024.75</v>
      </c>
      <c r="I321" s="8">
        <f>IFERROR(H321/H444, "NA")</f>
        <v>5.9922248311759657E-2</v>
      </c>
      <c r="J321" s="9"/>
      <c r="K321" s="7">
        <v>2918.35</v>
      </c>
      <c r="L321" s="8">
        <f>IFERROR(K321/K444, "NA")</f>
        <v>2.0576102672450313E-2</v>
      </c>
      <c r="M321" s="9"/>
      <c r="N321" s="10">
        <f t="shared" si="77"/>
        <v>893.59999999999991</v>
      </c>
      <c r="O321" s="8">
        <f>IFERROR(N321/N444, "NA")</f>
        <v>-4.5576931217902704E-2</v>
      </c>
      <c r="P321" s="9"/>
      <c r="Q321" s="7">
        <v>18792.419999999998</v>
      </c>
      <c r="R321" s="8">
        <f>IFERROR(Q321/Q444, "NA")</f>
        <v>1.8564086011794705E-2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-18792.419999999998</v>
      </c>
      <c r="X321" s="8">
        <f>IFERROR(W321/W444, "NA")</f>
        <v>0.23219237236932996</v>
      </c>
      <c r="Y321" s="9"/>
      <c r="Z321" s="7">
        <v>23546.73</v>
      </c>
      <c r="AA321" s="8">
        <f>IFERROR(Z321/Z444, "NA")</f>
        <v>2.4668526558214773E-2</v>
      </c>
      <c r="AB321" s="9"/>
      <c r="AC321" s="10">
        <f t="shared" si="79"/>
        <v>4754.3100000000013</v>
      </c>
      <c r="AD321" s="8">
        <f>IFERROR(AC321/AC444, "NA")</f>
        <v>8.2290689088522925E-2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2.7733960806901338E-3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1.0032074938990141E-2</v>
      </c>
      <c r="J322" s="9"/>
      <c r="K322" s="7">
        <v>155.97</v>
      </c>
      <c r="L322" s="8">
        <f>IFERROR(K322/K444, "NA")</f>
        <v>1.0996812355687547E-3</v>
      </c>
      <c r="M322" s="9"/>
      <c r="N322" s="10">
        <f t="shared" si="77"/>
        <v>-183.01000000000002</v>
      </c>
      <c r="O322" s="8">
        <f>IFERROR(N322/N444, "NA")</f>
        <v>9.3341922361105372E-3</v>
      </c>
      <c r="P322" s="9"/>
      <c r="Q322" s="7">
        <v>3131.11</v>
      </c>
      <c r="R322" s="8">
        <f>IFERROR(Q322/Q444, "NA")</f>
        <v>3.0930659996099771E-3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-3131.11</v>
      </c>
      <c r="X322" s="8">
        <f>IFERROR(W322/W444, "NA")</f>
        <v>3.8686867314019845E-2</v>
      </c>
      <c r="Y322" s="9"/>
      <c r="Z322" s="7">
        <v>1753.73</v>
      </c>
      <c r="AA322" s="8">
        <f>IFERROR(Z322/Z444, "NA")</f>
        <v>1.8372799569595435E-3</v>
      </c>
      <c r="AB322" s="9"/>
      <c r="AC322" s="10">
        <f t="shared" si="79"/>
        <v>-1377.38</v>
      </c>
      <c r="AD322" s="8">
        <f>IFERROR(AC322/AC444, "NA")</f>
        <v>-2.3840588715660041E-2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5813.8899999999994</v>
      </c>
      <c r="C324" s="15">
        <f>IFERROR(B324/B444, "NA")</f>
        <v>4.7566876333599503E-2</v>
      </c>
      <c r="D324" s="2"/>
      <c r="E324" s="14">
        <f>IFERROR(E297+E298+E299+E300+E301+E302+E303+E304+E305+E306+E307+E308+E309+E310+E311+E312+E313+E314+E315+E316+E317+E318+E319+E320+E321+E322+E323, "NA")</f>
        <v>3733.2</v>
      </c>
      <c r="F324" s="15">
        <f>IFERROR(E324/E444, "NA")</f>
        <v>2.3928434674514446E-2</v>
      </c>
      <c r="G324" s="2"/>
      <c r="H324" s="14">
        <f t="shared" si="76"/>
        <v>-2080.6899999999996</v>
      </c>
      <c r="I324" s="15">
        <f>IFERROR(H324/H444, "NA")</f>
        <v>6.1577786314258635E-2</v>
      </c>
      <c r="J324" s="2"/>
      <c r="K324" s="14">
        <f>IFERROR(K297+K298+K299+K300+K301+K302+K303+K304+K305+K306+K307+K308+K309+K310+K311+K312+K313+K314+K315+K316+K317+K318+K319+K320+K321+K322+K323, "NA")</f>
        <v>4943.5999999999995</v>
      </c>
      <c r="L324" s="15">
        <f>IFERROR(K324/K444, "NA")</f>
        <v>3.485531933165157E-2</v>
      </c>
      <c r="M324" s="2"/>
      <c r="N324" s="14">
        <f t="shared" si="77"/>
        <v>-870.29</v>
      </c>
      <c r="O324" s="15">
        <f>IFERROR(N324/N444, "NA")</f>
        <v>4.4388034321428543E-2</v>
      </c>
      <c r="P324" s="2"/>
      <c r="Q324" s="14">
        <f>IFERROR(Q297+Q298+Q299+Q300+Q301+Q302+Q303+Q304+Q305+Q306+Q307+Q308+Q309+Q310+Q311+Q312+Q313+Q314+Q315+Q316+Q317+Q318+Q319+Q320+Q321+Q322+Q323, "NA")</f>
        <v>50956.74</v>
      </c>
      <c r="R324" s="15">
        <f>IFERROR(Q324/Q444, "NA")</f>
        <v>5.0337599108611866E-2</v>
      </c>
      <c r="S324" s="2"/>
      <c r="T324" s="14">
        <f>IFERROR(T297+T298+T299+T300+T301+T302+T303+T304+T305+T306+T307+T308+T309+T310+T311+T312+T313+T314+T315+T316+T317+T318+T319+T320+T321+T322+T323, "NA")</f>
        <v>29557.05</v>
      </c>
      <c r="U324" s="15">
        <f>IFERROR(T324/T444, "NA")</f>
        <v>2.7036331922464903E-2</v>
      </c>
      <c r="V324" s="2"/>
      <c r="W324" s="14">
        <f t="shared" si="78"/>
        <v>-21399.69</v>
      </c>
      <c r="X324" s="15">
        <f>IFERROR(W324/W444, "NA")</f>
        <v>0.2644068613338903</v>
      </c>
      <c r="Y324" s="2"/>
      <c r="Z324" s="14">
        <f>IFERROR(Z297+Z298+Z299+Z300+Z301+Z302+Z303+Z304+Z305+Z306+Z307+Z308+Z309+Z310+Z311+Z312+Z313+Z314+Z315+Z316+Z317+Z318+Z319+Z320+Z321+Z322+Z323, "NA")</f>
        <v>41466.69</v>
      </c>
      <c r="AA324" s="15">
        <f>IFERROR(Z324/Z444, "NA")</f>
        <v>4.3442216543284735E-2</v>
      </c>
      <c r="AB324" s="2"/>
      <c r="AC324" s="14">
        <f t="shared" si="79"/>
        <v>-9490.0499999999956</v>
      </c>
      <c r="AD324" s="15">
        <f>IFERROR(AC324/AC444, "NA")</f>
        <v>-0.1642599565414406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26914.94</v>
      </c>
      <c r="C325" s="15">
        <f>IFERROR(B325/B444, "NA")</f>
        <v>0.22020705973216739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27901.230000000003</v>
      </c>
      <c r="F325" s="15">
        <f>IFERROR(E325/E444, "NA")</f>
        <v>0.17883659043008754</v>
      </c>
      <c r="G325" s="2"/>
      <c r="H325" s="14">
        <f t="shared" si="76"/>
        <v>986.29000000000451</v>
      </c>
      <c r="I325" s="15">
        <f>IFERROR(H325/H444, "NA")</f>
        <v>-2.9189141517424719E-2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38753.700000000004</v>
      </c>
      <c r="L325" s="15">
        <f>IFERROR(K325/K444, "NA")</f>
        <v>0.27323662690812889</v>
      </c>
      <c r="M325" s="2"/>
      <c r="N325" s="14">
        <f t="shared" si="77"/>
        <v>11838.760000000006</v>
      </c>
      <c r="O325" s="15">
        <f>IFERROR(N325/N444, "NA")</f>
        <v>-0.60382089326908917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236691.93999999994</v>
      </c>
      <c r="R325" s="15">
        <f>IFERROR(Q325/Q444, "NA")</f>
        <v>0.23381605628538268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199559.41999999998</v>
      </c>
      <c r="U325" s="15">
        <f>IFERROR(T325/T444, "NA")</f>
        <v>0.18254036574605995</v>
      </c>
      <c r="V325" s="2"/>
      <c r="W325" s="14">
        <f t="shared" si="78"/>
        <v>-37132.51999999996</v>
      </c>
      <c r="X325" s="15">
        <f>IFERROR(W325/W444, "NA")</f>
        <v>0.45879604174723548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189671.45000000004</v>
      </c>
      <c r="AA325" s="15">
        <f>IFERROR(Z325/Z444, "NA")</f>
        <v>0.19870764227814675</v>
      </c>
      <c r="AB325" s="2"/>
      <c r="AC325" s="14">
        <f t="shared" si="79"/>
        <v>-47020.489999999903</v>
      </c>
      <c r="AD325" s="15">
        <f>IFERROR(AC325/AC444, "NA")</f>
        <v>-0.813861217165055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0.11066814153499757</v>
      </c>
      <c r="D329" s="9"/>
      <c r="E329" s="7">
        <v>15609</v>
      </c>
      <c r="F329" s="8">
        <f>IFERROR(E329/E444, "NA")</f>
        <v>0.10004793122106932</v>
      </c>
      <c r="G329" s="9"/>
      <c r="H329" s="10">
        <f t="shared" si="80"/>
        <v>2082.5200000000004</v>
      </c>
      <c r="I329" s="8">
        <f>IFERROR(H329/H444, "NA")</f>
        <v>-6.1631944958244596E-2</v>
      </c>
      <c r="J329" s="9"/>
      <c r="K329" s="7">
        <v>13132.5</v>
      </c>
      <c r="L329" s="8">
        <f>IFERROR(K329/K444, "NA")</f>
        <v>9.2591933231433429E-2</v>
      </c>
      <c r="M329" s="9"/>
      <c r="N329" s="10">
        <f t="shared" si="81"/>
        <v>-393.97999999999956</v>
      </c>
      <c r="O329" s="8">
        <f>IFERROR(N329/N444, "NA")</f>
        <v>2.0094448703255694E-2</v>
      </c>
      <c r="P329" s="9"/>
      <c r="Q329" s="7">
        <v>119374.44</v>
      </c>
      <c r="R329" s="8">
        <f>IFERROR(Q329/Q444, "NA")</f>
        <v>0.11792400189916076</v>
      </c>
      <c r="S329" s="9"/>
      <c r="T329" s="7">
        <v>119369</v>
      </c>
      <c r="U329" s="8">
        <f>IFERROR(T329/T444, "NA")</f>
        <v>0.10918883668203401</v>
      </c>
      <c r="V329" s="9"/>
      <c r="W329" s="10">
        <f t="shared" si="82"/>
        <v>-5.4400000000023283</v>
      </c>
      <c r="X329" s="8">
        <f>IFERROR(W329/W444, "NA")</f>
        <v>6.7214680477005931E-5</v>
      </c>
      <c r="Y329" s="9"/>
      <c r="Z329" s="7">
        <v>115897.5</v>
      </c>
      <c r="AA329" s="8">
        <f>IFERROR(Z329/Z444, "NA")</f>
        <v>0.12141900623911246</v>
      </c>
      <c r="AB329" s="9"/>
      <c r="AC329" s="10">
        <f t="shared" si="83"/>
        <v>-3476.9400000000023</v>
      </c>
      <c r="AD329" s="8">
        <f>IFERROR(AC329/AC444, "NA")</f>
        <v>-6.0181138486856987E-2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1.7394064745847024E-2</v>
      </c>
      <c r="D330" s="9"/>
      <c r="E330" s="7">
        <v>1875</v>
      </c>
      <c r="F330" s="8">
        <f>IFERROR(E330/E444, "NA")</f>
        <v>1.20180582381642E-2</v>
      </c>
      <c r="G330" s="9"/>
      <c r="H330" s="10">
        <f t="shared" si="80"/>
        <v>-251</v>
      </c>
      <c r="I330" s="8">
        <f>IFERROR(H330/H444, "NA")</f>
        <v>7.4283167434259405E-3</v>
      </c>
      <c r="J330" s="9"/>
      <c r="K330" s="7">
        <v>2239.62</v>
      </c>
      <c r="L330" s="8">
        <f>IFERROR(K330/K444, "NA")</f>
        <v>1.5790652617839934E-2</v>
      </c>
      <c r="M330" s="9"/>
      <c r="N330" s="10">
        <f t="shared" si="81"/>
        <v>113.61999999999989</v>
      </c>
      <c r="O330" s="8">
        <f>IFERROR(N330/N444, "NA")</f>
        <v>-5.7950435597337747E-3</v>
      </c>
      <c r="P330" s="9"/>
      <c r="Q330" s="7">
        <v>19225.78</v>
      </c>
      <c r="R330" s="8">
        <f>IFERROR(Q330/Q444, "NA")</f>
        <v>1.8992180547467673E-2</v>
      </c>
      <c r="S330" s="9"/>
      <c r="T330" s="7">
        <v>16875</v>
      </c>
      <c r="U330" s="8">
        <f>IFERROR(T330/T444, "NA")</f>
        <v>1.5435846987151804E-2</v>
      </c>
      <c r="V330" s="9"/>
      <c r="W330" s="10">
        <f t="shared" si="82"/>
        <v>-2350.7799999999988</v>
      </c>
      <c r="X330" s="8">
        <f>IFERROR(W330/W444, "NA")</f>
        <v>2.9045390913909612E-2</v>
      </c>
      <c r="Y330" s="9"/>
      <c r="Z330" s="7">
        <v>18698.099999999999</v>
      </c>
      <c r="AA330" s="8">
        <f>IFERROR(Z330/Z444, "NA")</f>
        <v>1.9588901577338152E-2</v>
      </c>
      <c r="AB330" s="9"/>
      <c r="AC330" s="10">
        <f t="shared" si="83"/>
        <v>-527.68000000000029</v>
      </c>
      <c r="AD330" s="8">
        <f>IFERROR(AC330/AC444, "NA")</f>
        <v>-9.1334285770662393E-3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1.4726865730256182E-3</v>
      </c>
      <c r="D332" s="9"/>
      <c r="E332" s="7">
        <v>180</v>
      </c>
      <c r="F332" s="8">
        <f>IFERROR(E332/E444, "NA")</f>
        <v>1.1537335908637632E-3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1.2691070231607095E-3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1620</v>
      </c>
      <c r="R332" s="8">
        <f>IFERROR(Q332/Q444, "NA")</f>
        <v>1.6003164754250611E-3</v>
      </c>
      <c r="S332" s="9"/>
      <c r="T332" s="7">
        <v>1620</v>
      </c>
      <c r="U332" s="8">
        <f>IFERROR(T332/T444, "NA")</f>
        <v>1.4818413107665733E-3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1620</v>
      </c>
      <c r="AA332" s="8">
        <f>IFERROR(Z332/Z444, "NA")</f>
        <v>1.6971788874424571E-3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1024.7</v>
      </c>
      <c r="C333" s="8">
        <f>IFERROR(B333/B444, "NA")</f>
        <v>8.3836773965519501E-3</v>
      </c>
      <c r="D333" s="9"/>
      <c r="E333" s="7">
        <v>1254</v>
      </c>
      <c r="F333" s="8">
        <f>IFERROR(E333/E444, "NA")</f>
        <v>8.0376773496842174E-3</v>
      </c>
      <c r="G333" s="9"/>
      <c r="H333" s="10">
        <f t="shared" si="80"/>
        <v>229.29999999999995</v>
      </c>
      <c r="I333" s="8">
        <f>IFERROR(H333/H444, "NA")</f>
        <v>-6.7861076863249712E-3</v>
      </c>
      <c r="J333" s="9"/>
      <c r="K333" s="7">
        <v>1254</v>
      </c>
      <c r="L333" s="8">
        <f>IFERROR(K333/K444, "NA")</f>
        <v>8.8414455946862758E-3</v>
      </c>
      <c r="M333" s="9"/>
      <c r="N333" s="10">
        <f t="shared" si="81"/>
        <v>229.29999999999995</v>
      </c>
      <c r="O333" s="8">
        <f>IFERROR(N333/N444, "NA")</f>
        <v>-1.1695154798864245E-2</v>
      </c>
      <c r="P333" s="9"/>
      <c r="Q333" s="7">
        <v>9222.24</v>
      </c>
      <c r="R333" s="8">
        <f>IFERROR(Q333/Q444, "NA")</f>
        <v>9.1101867977308737E-3</v>
      </c>
      <c r="S333" s="9"/>
      <c r="T333" s="7">
        <v>11286</v>
      </c>
      <c r="U333" s="8">
        <f>IFERROR(T333/T444, "NA")</f>
        <v>1.0323494465007127E-2</v>
      </c>
      <c r="V333" s="9"/>
      <c r="W333" s="10">
        <f t="shared" si="82"/>
        <v>2063.7600000000002</v>
      </c>
      <c r="X333" s="8">
        <f>IFERROR(W333/W444, "NA")</f>
        <v>-2.5499075180361468E-2</v>
      </c>
      <c r="Y333" s="9"/>
      <c r="Z333" s="7">
        <v>7779.41</v>
      </c>
      <c r="AA333" s="8">
        <f>IFERROR(Z333/Z444, "NA")</f>
        <v>8.1500311165177315E-3</v>
      </c>
      <c r="AB333" s="9"/>
      <c r="AC333" s="10">
        <f t="shared" si="83"/>
        <v>-1442.83</v>
      </c>
      <c r="AD333" s="8">
        <f>IFERROR(AC333/AC444, "NA")</f>
        <v>-2.4973439876153112E-2</v>
      </c>
    </row>
    <row r="334" spans="1:30" ht="16.5" customHeight="1" x14ac:dyDescent="0.45">
      <c r="A334" s="6" t="s">
        <v>305</v>
      </c>
      <c r="B334" s="7">
        <v>2083.08</v>
      </c>
      <c r="C334" s="8">
        <f>IFERROR(B334/B444, "NA")</f>
        <v>1.7042910814101135E-2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-2083.08</v>
      </c>
      <c r="I334" s="8">
        <f>IFERROR(H334/H444, "NA")</f>
        <v>6.1648518095202026E-2</v>
      </c>
      <c r="J334" s="9"/>
      <c r="K334" s="7">
        <v>2022.4</v>
      </c>
      <c r="L334" s="8">
        <f>IFERROR(K334/K444, "NA")</f>
        <v>1.4259122464667883E-2</v>
      </c>
      <c r="M334" s="9"/>
      <c r="N334" s="10">
        <f t="shared" si="81"/>
        <v>-60.679999999999836</v>
      </c>
      <c r="O334" s="8">
        <f>IFERROR(N334/N444, "NA")</f>
        <v>3.0949062066946385E-3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1186.96</v>
      </c>
      <c r="F337" s="8">
        <f>IFERROR(E337/E444, "NA")</f>
        <v>7.6079756833980685E-3</v>
      </c>
      <c r="G337" s="9"/>
      <c r="H337" s="10">
        <f t="shared" ref="H337:H344" si="84">IFERROR(-(B337-E337), "NA")</f>
        <v>1186.96</v>
      </c>
      <c r="I337" s="8">
        <f>IFERROR(H337/H444, "NA")</f>
        <v>-3.5127947576800218E-2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12692.64</v>
      </c>
      <c r="U337" s="8">
        <f>IFERROR(T337/T444, "NA")</f>
        <v>1.1610171786844592E-2</v>
      </c>
      <c r="V337" s="9"/>
      <c r="W337" s="10">
        <f t="shared" ref="W337:W344" si="86">IFERROR(-(Q337-T337), "NA")</f>
        <v>12692.64</v>
      </c>
      <c r="X337" s="8">
        <f>IFERROR(W337/W444, "NA")</f>
        <v>-0.15682568786935649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-235.91</v>
      </c>
      <c r="C338" s="8">
        <f>IFERROR(B338/B444, "NA")</f>
        <v>-1.9301193857915199E-3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235.91</v>
      </c>
      <c r="I338" s="8">
        <f>IFERROR(H338/H444, "NA")</f>
        <v>-6.9817298921976637E-3</v>
      </c>
      <c r="J338" s="9"/>
      <c r="K338" s="7">
        <v>400</v>
      </c>
      <c r="L338" s="8">
        <f>IFERROR(K338/K444, "NA")</f>
        <v>2.8202378292460214E-3</v>
      </c>
      <c r="M338" s="9"/>
      <c r="N338" s="10">
        <f t="shared" si="85"/>
        <v>635.91</v>
      </c>
      <c r="O338" s="8">
        <f>IFERROR(N338/N444, "NA")</f>
        <v>-3.2433780585022949E-2</v>
      </c>
      <c r="P338" s="9"/>
      <c r="Q338" s="7">
        <v>3025.23</v>
      </c>
      <c r="R338" s="8">
        <f>IFERROR(Q338/Q444, "NA")</f>
        <v>2.988472475895159E-3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-3025.23</v>
      </c>
      <c r="X338" s="8">
        <f>IFERROR(W338/W444, "NA")</f>
        <v>3.7378652172677503E-2</v>
      </c>
      <c r="Y338" s="9"/>
      <c r="Z338" s="7">
        <v>3474.69</v>
      </c>
      <c r="AA338" s="8">
        <f>IFERROR(Z338/Z444, "NA")</f>
        <v>3.6402287088934766E-3</v>
      </c>
      <c r="AB338" s="9"/>
      <c r="AC338" s="10">
        <f t="shared" si="87"/>
        <v>449.46000000000004</v>
      </c>
      <c r="AD338" s="8">
        <f>IFERROR(AC338/AC444, "NA")</f>
        <v>7.779545952562519E-3</v>
      </c>
    </row>
    <row r="339" spans="1:30" ht="16.5" customHeight="1" x14ac:dyDescent="0.45">
      <c r="A339" s="12" t="s">
        <v>309</v>
      </c>
      <c r="B339" s="7">
        <v>320.55</v>
      </c>
      <c r="C339" s="8">
        <f>IFERROR(B339/B444, "NA")</f>
        <v>2.622609338796455E-3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-320.55</v>
      </c>
      <c r="I339" s="8">
        <f>IFERROR(H339/H444, "NA")</f>
        <v>9.4866411637656786E-3</v>
      </c>
      <c r="J339" s="9"/>
      <c r="K339" s="7">
        <v>327.14</v>
      </c>
      <c r="L339" s="8">
        <f>IFERROR(K339/K444, "NA")</f>
        <v>2.3065315086488584E-3</v>
      </c>
      <c r="M339" s="9"/>
      <c r="N339" s="10">
        <f t="shared" si="85"/>
        <v>6.589999999999975</v>
      </c>
      <c r="O339" s="8">
        <f>IFERROR(N339/N444, "NA")</f>
        <v>-3.3611456661367247E-4</v>
      </c>
      <c r="P339" s="9"/>
      <c r="Q339" s="7">
        <v>3072.86</v>
      </c>
      <c r="R339" s="8">
        <f>IFERROR(Q339/Q444, "NA")</f>
        <v>3.0355237559720081E-3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-3072.86</v>
      </c>
      <c r="X339" s="8">
        <f>IFERROR(W339/W444, "NA")</f>
        <v>3.796715129604486E-2</v>
      </c>
      <c r="Y339" s="9"/>
      <c r="Z339" s="7">
        <v>2977.35</v>
      </c>
      <c r="AA339" s="8">
        <f>IFERROR(Z339/Z444, "NA")</f>
        <v>3.1191947904486419E-3</v>
      </c>
      <c r="AB339" s="9"/>
      <c r="AC339" s="10">
        <f t="shared" si="87"/>
        <v>-95.510000000000218</v>
      </c>
      <c r="AD339" s="8">
        <f>IFERROR(AC339/AC444, "NA")</f>
        <v>-1.6531491877569702E-3</v>
      </c>
    </row>
    <row r="340" spans="1:30" ht="16.5" customHeight="1" x14ac:dyDescent="0.45">
      <c r="A340" s="12" t="s">
        <v>310</v>
      </c>
      <c r="B340" s="7">
        <v>616.38</v>
      </c>
      <c r="C340" s="8">
        <f>IFERROR(B340/B444, "NA")</f>
        <v>5.0429697215640581E-3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-616.38</v>
      </c>
      <c r="I340" s="8">
        <f>IFERROR(H340/H444, "NA")</f>
        <v>1.8241696710409885E-2</v>
      </c>
      <c r="J340" s="9"/>
      <c r="K340" s="7">
        <v>375</v>
      </c>
      <c r="L340" s="8">
        <f>IFERROR(K340/K444, "NA")</f>
        <v>2.643972964918145E-3</v>
      </c>
      <c r="M340" s="9"/>
      <c r="N340" s="10">
        <f t="shared" si="85"/>
        <v>-241.38</v>
      </c>
      <c r="O340" s="8">
        <f>IFERROR(N340/N444, "NA")</f>
        <v>1.2311279831442878E-2</v>
      </c>
      <c r="P340" s="9"/>
      <c r="Q340" s="7">
        <v>5370.71</v>
      </c>
      <c r="R340" s="8">
        <f>IFERROR(Q340/Q444, "NA")</f>
        <v>5.305454134401315E-3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-5370.71</v>
      </c>
      <c r="X340" s="8">
        <f>IFERROR(W340/W444, "NA")</f>
        <v>6.6358558195681247E-2</v>
      </c>
      <c r="Y340" s="9"/>
      <c r="Z340" s="7">
        <v>3446.05</v>
      </c>
      <c r="AA340" s="8">
        <f>IFERROR(Z340/Z444, "NA")</f>
        <v>3.6102242623895554E-3</v>
      </c>
      <c r="AB340" s="9"/>
      <c r="AC340" s="10">
        <f t="shared" si="87"/>
        <v>-1924.6599999999999</v>
      </c>
      <c r="AD340" s="8">
        <f>IFERROR(AC340/AC444, "NA")</f>
        <v>-3.3313266838114572E-2</v>
      </c>
    </row>
    <row r="341" spans="1:30" ht="16.5" customHeight="1" x14ac:dyDescent="0.45">
      <c r="A341" s="12" t="s">
        <v>311</v>
      </c>
      <c r="B341" s="7">
        <v>471.16</v>
      </c>
      <c r="C341" s="8">
        <f>IFERROR(B341/B444, "NA")</f>
        <v>3.8548389208152792E-3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-471.16</v>
      </c>
      <c r="I341" s="8">
        <f>IFERROR(H341/H444, "NA")</f>
        <v>1.3943927158695484E-2</v>
      </c>
      <c r="J341" s="9"/>
      <c r="K341" s="7">
        <v>439.9</v>
      </c>
      <c r="L341" s="8">
        <f>IFERROR(K341/K444, "NA")</f>
        <v>3.1015565527133119E-3</v>
      </c>
      <c r="M341" s="9"/>
      <c r="N341" s="10">
        <f t="shared" si="85"/>
        <v>-31.260000000000048</v>
      </c>
      <c r="O341" s="8">
        <f>IFERROR(N341/N444, "NA")</f>
        <v>1.5943765329807977E-3</v>
      </c>
      <c r="P341" s="9"/>
      <c r="Q341" s="7">
        <v>4243.04</v>
      </c>
      <c r="R341" s="8">
        <f>IFERROR(Q341/Q444, "NA")</f>
        <v>4.1914856900540443E-3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-4243.04</v>
      </c>
      <c r="X341" s="8">
        <f>IFERROR(W341/W444, "NA")</f>
        <v>5.2425473869675214E-2</v>
      </c>
      <c r="Y341" s="9"/>
      <c r="Z341" s="7">
        <v>3964.53</v>
      </c>
      <c r="AA341" s="8">
        <f>IFERROR(Z341/Z444, "NA")</f>
        <v>4.1534053176742252E-3</v>
      </c>
      <c r="AB341" s="9"/>
      <c r="AC341" s="10">
        <f t="shared" si="87"/>
        <v>-278.50999999999976</v>
      </c>
      <c r="AD341" s="8">
        <f>IFERROR(AC341/AC444, "NA")</f>
        <v>-4.8206321880660905E-3</v>
      </c>
    </row>
    <row r="342" spans="1:30" ht="16.5" customHeight="1" x14ac:dyDescent="0.45">
      <c r="A342" s="13" t="s">
        <v>312</v>
      </c>
      <c r="B342" s="14">
        <f>IFERROR(B337+B338+B339+B340+B341, "NA")</f>
        <v>1172.18</v>
      </c>
      <c r="C342" s="15">
        <f>IFERROR(B342/B444, "NA")</f>
        <v>9.5902985953842737E-3</v>
      </c>
      <c r="D342" s="2"/>
      <c r="E342" s="14">
        <f>IFERROR(E337+E338+E339+E340+E341, "NA")</f>
        <v>1186.96</v>
      </c>
      <c r="F342" s="15">
        <f>IFERROR(E342/E444, "NA")</f>
        <v>7.6079756833980685E-3</v>
      </c>
      <c r="G342" s="2"/>
      <c r="H342" s="14">
        <f t="shared" si="84"/>
        <v>14.779999999999973</v>
      </c>
      <c r="I342" s="15">
        <f>IFERROR(H342/H444, "NA")</f>
        <v>-4.3741243612683347E-4</v>
      </c>
      <c r="J342" s="2"/>
      <c r="K342" s="14">
        <f>IFERROR(K337+K338+K339+K340+K341, "NA")</f>
        <v>1542.04</v>
      </c>
      <c r="L342" s="15">
        <f>IFERROR(K342/K444, "NA")</f>
        <v>1.0872298855526336E-2</v>
      </c>
      <c r="M342" s="2"/>
      <c r="N342" s="14">
        <f t="shared" si="85"/>
        <v>369.8599999999999</v>
      </c>
      <c r="O342" s="15">
        <f>IFERROR(N342/N444, "NA")</f>
        <v>-1.886423878721295E-2</v>
      </c>
      <c r="P342" s="2"/>
      <c r="Q342" s="14">
        <f>IFERROR(Q337+Q338+Q339+Q340+Q341, "NA")</f>
        <v>15711.84</v>
      </c>
      <c r="R342" s="15">
        <f>IFERROR(Q342/Q444, "NA")</f>
        <v>1.5520936056322526E-2</v>
      </c>
      <c r="S342" s="2"/>
      <c r="T342" s="14">
        <f>IFERROR(T337+T338+T339+T340+T341, "NA")</f>
        <v>12692.64</v>
      </c>
      <c r="U342" s="15">
        <f>IFERROR(T342/T444, "NA")</f>
        <v>1.1610171786844592E-2</v>
      </c>
      <c r="V342" s="2"/>
      <c r="W342" s="14">
        <f t="shared" si="86"/>
        <v>-3019.2000000000007</v>
      </c>
      <c r="X342" s="15">
        <f>IFERROR(W342/W444, "NA")</f>
        <v>3.7304147664722329E-2</v>
      </c>
      <c r="Y342" s="2"/>
      <c r="Z342" s="14">
        <f>IFERROR(Z337+Z338+Z339+Z340+Z341, "NA")</f>
        <v>13862.62</v>
      </c>
      <c r="AA342" s="15">
        <f>IFERROR(Z342/Z444, "NA")</f>
        <v>1.45230530794059E-2</v>
      </c>
      <c r="AB342" s="2"/>
      <c r="AC342" s="14">
        <f t="shared" si="87"/>
        <v>-1849.2199999999993</v>
      </c>
      <c r="AD342" s="15">
        <f>IFERROR(AC342/AC444, "NA")</f>
        <v>-3.2007502261375109E-2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20112.440000000002</v>
      </c>
      <c r="C343" s="15">
        <f>IFERROR(B343/B444, "NA")</f>
        <v>0.16455177965990758</v>
      </c>
      <c r="D343" s="2"/>
      <c r="E343" s="14">
        <f>IFERROR(E328+E329+E330+E331+E332+E333+E334+E335+E337+E338+E339+E340+E341, "NA")</f>
        <v>20104.96</v>
      </c>
      <c r="F343" s="15">
        <f>IFERROR(E343/E444, "NA")</f>
        <v>0.12886537608317958</v>
      </c>
      <c r="G343" s="2"/>
      <c r="H343" s="14">
        <f t="shared" si="84"/>
        <v>-7.4800000000032014</v>
      </c>
      <c r="I343" s="15">
        <f>IFERROR(H343/H444, "NA")</f>
        <v>2.2136975793167257E-4</v>
      </c>
      <c r="J343" s="2"/>
      <c r="K343" s="14">
        <f>IFERROR(K328+K329+K330+K331+K332+K333+K334+K335+K337+K338+K339+K340+K341, "NA")</f>
        <v>20370.560000000001</v>
      </c>
      <c r="L343" s="15">
        <f>IFERROR(K343/K444, "NA")</f>
        <v>0.14362455978731459</v>
      </c>
      <c r="M343" s="2"/>
      <c r="N343" s="14">
        <f t="shared" si="85"/>
        <v>258.11999999999898</v>
      </c>
      <c r="O343" s="15">
        <f>IFERROR(N343/N444, "NA")</f>
        <v>-1.3165082235860565E-2</v>
      </c>
      <c r="P343" s="2"/>
      <c r="Q343" s="14">
        <f>IFERROR(Q328+Q329+Q330+Q331+Q332+Q333+Q334+Q335+Q337+Q338+Q339+Q340+Q341, "NA")</f>
        <v>165154.29999999999</v>
      </c>
      <c r="R343" s="15">
        <f>IFERROR(Q343/Q444, "NA")</f>
        <v>0.16314762177610687</v>
      </c>
      <c r="S343" s="2"/>
      <c r="T343" s="14">
        <f>IFERROR(T328+T329+T330+T331+T332+T333+T334+T335+T337+T338+T339+T340+T341, "NA")</f>
        <v>161842.64000000001</v>
      </c>
      <c r="U343" s="15">
        <f>IFERROR(T343/T444, "NA")</f>
        <v>0.14804019123180412</v>
      </c>
      <c r="V343" s="2"/>
      <c r="W343" s="14">
        <f t="shared" si="86"/>
        <v>-3311.6599999999744</v>
      </c>
      <c r="X343" s="15">
        <f>IFERROR(W343/W444, "NA")</f>
        <v>4.091767807874714E-2</v>
      </c>
      <c r="Y343" s="2"/>
      <c r="Z343" s="14">
        <f>IFERROR(Z328+Z329+Z330+Z331+Z332+Z333+Z334+Z335+Z337+Z338+Z339+Z340+Z341, "NA")</f>
        <v>157857.63</v>
      </c>
      <c r="AA343" s="15">
        <f>IFERROR(Z343/Z444, "NA")</f>
        <v>0.16537817089981671</v>
      </c>
      <c r="AB343" s="2"/>
      <c r="AC343" s="14">
        <f t="shared" si="87"/>
        <v>-7296.6699999999837</v>
      </c>
      <c r="AD343" s="15">
        <f>IFERROR(AC343/AC444, "NA")</f>
        <v>-0.12629550920145113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20112.440000000002</v>
      </c>
      <c r="C344" s="15">
        <f>IFERROR(B344/B444, "NA")</f>
        <v>0.16455177965990758</v>
      </c>
      <c r="D344" s="2"/>
      <c r="E344" s="14">
        <f>IFERROR(E328+E329+E330+E331+E332+E333+E334+E335+E337+E338+E339+E340+E341, "NA")</f>
        <v>20104.96</v>
      </c>
      <c r="F344" s="15">
        <f>IFERROR(E344/E444, "NA")</f>
        <v>0.12886537608317958</v>
      </c>
      <c r="G344" s="2"/>
      <c r="H344" s="14">
        <f t="shared" si="84"/>
        <v>-7.4800000000032014</v>
      </c>
      <c r="I344" s="15">
        <f>IFERROR(H344/H444, "NA")</f>
        <v>2.2136975793167257E-4</v>
      </c>
      <c r="J344" s="2"/>
      <c r="K344" s="14">
        <f>IFERROR(K328+K329+K330+K331+K332+K333+K334+K335+K337+K338+K339+K340+K341, "NA")</f>
        <v>20370.560000000001</v>
      </c>
      <c r="L344" s="15">
        <f>IFERROR(K344/K444, "NA")</f>
        <v>0.14362455978731459</v>
      </c>
      <c r="M344" s="2"/>
      <c r="N344" s="14">
        <f t="shared" si="85"/>
        <v>258.11999999999898</v>
      </c>
      <c r="O344" s="15">
        <f>IFERROR(N344/N444, "NA")</f>
        <v>-1.3165082235860565E-2</v>
      </c>
      <c r="P344" s="2"/>
      <c r="Q344" s="14">
        <f>IFERROR(Q328+Q329+Q330+Q331+Q332+Q333+Q334+Q335+Q337+Q338+Q339+Q340+Q341, "NA")</f>
        <v>165154.29999999999</v>
      </c>
      <c r="R344" s="15">
        <f>IFERROR(Q344/Q444, "NA")</f>
        <v>0.16314762177610687</v>
      </c>
      <c r="S344" s="2"/>
      <c r="T344" s="14">
        <f>IFERROR(T328+T329+T330+T331+T332+T333+T334+T335+T337+T338+T339+T340+T341, "NA")</f>
        <v>161842.64000000001</v>
      </c>
      <c r="U344" s="15">
        <f>IFERROR(T344/T444, "NA")</f>
        <v>0.14804019123180412</v>
      </c>
      <c r="V344" s="2"/>
      <c r="W344" s="14">
        <f t="shared" si="86"/>
        <v>-3311.6599999999744</v>
      </c>
      <c r="X344" s="15">
        <f>IFERROR(W344/W444, "NA")</f>
        <v>4.091767807874714E-2</v>
      </c>
      <c r="Y344" s="2"/>
      <c r="Z344" s="14">
        <f>IFERROR(Z328+Z329+Z330+Z331+Z332+Z333+Z334+Z335+Z337+Z338+Z339+Z340+Z341, "NA")</f>
        <v>157857.63</v>
      </c>
      <c r="AA344" s="15">
        <f>IFERROR(Z344/Z444, "NA")</f>
        <v>0.16537817089981671</v>
      </c>
      <c r="AB344" s="2"/>
      <c r="AC344" s="14">
        <f t="shared" si="87"/>
        <v>-7296.6699999999837</v>
      </c>
      <c r="AD344" s="15">
        <f>IFERROR(AC344/AC444, "NA")</f>
        <v>-0.12629550920145113</v>
      </c>
    </row>
    <row r="345" spans="1:30" ht="16.5" customHeight="1" x14ac:dyDescent="0.45">
      <c r="A345" s="22" t="s">
        <v>315</v>
      </c>
      <c r="B345" s="23">
        <f>IFERROR(B198-B325-B344, "NA")</f>
        <v>4811.09</v>
      </c>
      <c r="C345" s="24">
        <f>IFERROR(B345/B444, "NA")</f>
        <v>3.936237580343234E-2</v>
      </c>
      <c r="D345" s="25"/>
      <c r="E345" s="23">
        <f>IFERROR(E198-E325-E344, "NA")</f>
        <v>29534.609999999986</v>
      </c>
      <c r="F345" s="24">
        <f>IFERROR(E345/E444, "NA")</f>
        <v>0.18930595361144884</v>
      </c>
      <c r="G345" s="25"/>
      <c r="H345" s="23">
        <f>IFERROR(B345-E345, "NA")</f>
        <v>-24723.519999999986</v>
      </c>
      <c r="I345" s="24">
        <f>IFERROR(H345/H444, "NA")</f>
        <v>0.73168979112520327</v>
      </c>
      <c r="J345" s="25"/>
      <c r="K345" s="23">
        <f>IFERROR(K198-K325-K344, "NA")</f>
        <v>8144.6399999999448</v>
      </c>
      <c r="L345" s="24">
        <f>IFERROR(K345/K444, "NA")</f>
        <v>5.7424554583975398E-2</v>
      </c>
      <c r="M345" s="25"/>
      <c r="N345" s="23">
        <f>IFERROR(B345-K345, "NA")</f>
        <v>-3333.5499999999447</v>
      </c>
      <c r="O345" s="24">
        <f>IFERROR(N345/N444, "NA")</f>
        <v>0.17002347701593223</v>
      </c>
      <c r="P345" s="25"/>
      <c r="Q345" s="23">
        <f>IFERROR(Q198-Q325-Q344, "NA")</f>
        <v>33347.470000000205</v>
      </c>
      <c r="R345" s="24">
        <f>IFERROR(Q345/Q444, "NA")</f>
        <v>3.2942287441199564E-2</v>
      </c>
      <c r="S345" s="25"/>
      <c r="T345" s="23">
        <f>IFERROR(T198-T325-T344, "NA")</f>
        <v>154489.51999999996</v>
      </c>
      <c r="U345" s="24">
        <f>IFERROR(T345/T444, "NA")</f>
        <v>0.1413141684052461</v>
      </c>
      <c r="V345" s="25"/>
      <c r="W345" s="23">
        <f>IFERROR(Q345-T345, "NA")</f>
        <v>-121142.04999999976</v>
      </c>
      <c r="X345" s="24">
        <f>IFERROR(W345/W444, "NA")</f>
        <v>1.4967875336536718</v>
      </c>
      <c r="Y345" s="25"/>
      <c r="Z345" s="23">
        <f>IFERROR(Z198-Z325-Z344, "NA")</f>
        <v>61086.229999999603</v>
      </c>
      <c r="AA345" s="24">
        <f>IFERROR(Z345/Z444, "NA")</f>
        <v>6.3996456709539129E-2</v>
      </c>
      <c r="AB345" s="25"/>
      <c r="AC345" s="23">
        <f>IFERROR(Q345-Z345, "NA")</f>
        <v>-27738.759999999398</v>
      </c>
      <c r="AD345" s="24">
        <f>IFERROR(AC345/AC444, "NA")</f>
        <v>-0.48012049589974282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4811.09</v>
      </c>
      <c r="C404" s="24">
        <f>IFERROR(B404/B444, "NA")</f>
        <v>3.936237580343234E-2</v>
      </c>
      <c r="D404" s="25"/>
      <c r="E404" s="23">
        <f>IFERROR(E345-E403, "NA")</f>
        <v>29534.609999999986</v>
      </c>
      <c r="F404" s="24">
        <f>IFERROR(E404/E444, "NA")</f>
        <v>0.18930595361144884</v>
      </c>
      <c r="G404" s="25"/>
      <c r="H404" s="23">
        <f>IFERROR(B404-E404, "NA")</f>
        <v>-24723.519999999986</v>
      </c>
      <c r="I404" s="24">
        <f>IFERROR(H404/H444, "NA")</f>
        <v>0.73168979112520327</v>
      </c>
      <c r="J404" s="25"/>
      <c r="K404" s="23">
        <f>IFERROR(K345-K403, "NA")</f>
        <v>8144.6399999999448</v>
      </c>
      <c r="L404" s="24">
        <f>IFERROR(K404/K444, "NA")</f>
        <v>5.7424554583975398E-2</v>
      </c>
      <c r="M404" s="25"/>
      <c r="N404" s="23">
        <f>IFERROR(B404-K404, "NA")</f>
        <v>-3333.5499999999447</v>
      </c>
      <c r="O404" s="24">
        <f>IFERROR(N404/N444, "NA")</f>
        <v>0.17002347701593223</v>
      </c>
      <c r="P404" s="25"/>
      <c r="Q404" s="23">
        <f>IFERROR(Q345-Q403, "NA")</f>
        <v>33347.470000000205</v>
      </c>
      <c r="R404" s="24">
        <f>IFERROR(Q404/Q444, "NA")</f>
        <v>3.2942287441199564E-2</v>
      </c>
      <c r="S404" s="25"/>
      <c r="T404" s="23">
        <f>IFERROR(T345-T403, "NA")</f>
        <v>154489.51999999996</v>
      </c>
      <c r="U404" s="24">
        <f>IFERROR(T404/T444, "NA")</f>
        <v>0.1413141684052461</v>
      </c>
      <c r="V404" s="25"/>
      <c r="W404" s="23">
        <f>IFERROR(Q404-T404, "NA")</f>
        <v>-121142.04999999976</v>
      </c>
      <c r="X404" s="24">
        <f>IFERROR(W404/W444, "NA")</f>
        <v>1.4967875336536718</v>
      </c>
      <c r="Y404" s="25"/>
      <c r="Z404" s="23">
        <f>IFERROR(Z345-Z403, "NA")</f>
        <v>61086.229999999603</v>
      </c>
      <c r="AA404" s="24">
        <f>IFERROR(Z404/Z444, "NA")</f>
        <v>6.3996456709539129E-2</v>
      </c>
      <c r="AB404" s="25"/>
      <c r="AC404" s="23">
        <f>IFERROR(Q404-Z404, "NA")</f>
        <v>-27738.759999999398</v>
      </c>
      <c r="AD404" s="24">
        <f>IFERROR(AC404/AC444, "NA")</f>
        <v>-0.48012049589974282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3636.44</v>
      </c>
      <c r="L408" s="8">
        <f>IFERROR(K408/K444, "NA")</f>
        <v>2.5639064129458503E-2</v>
      </c>
      <c r="M408" s="9"/>
      <c r="N408" s="10">
        <f t="shared" si="101"/>
        <v>3636.44</v>
      </c>
      <c r="O408" s="8">
        <f>IFERROR(N408/N444, "NA")</f>
        <v>-0.18547199614819845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5201.4399999999996</v>
      </c>
      <c r="AA408" s="8">
        <f>IFERROR(Z408/Z444, "NA")</f>
        <v>5.4492433038880825E-3</v>
      </c>
      <c r="AB408" s="9"/>
      <c r="AC408" s="10">
        <f t="shared" si="103"/>
        <v>5201.4399999999996</v>
      </c>
      <c r="AD408" s="8">
        <f>IFERROR(AC408/AC444, "NA")</f>
        <v>9.0029905885944866E-2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8507.99</v>
      </c>
      <c r="C410" s="8">
        <f>IFERROR(B410/B444, "NA")</f>
        <v>6.9608903535756828E-2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-8507.99</v>
      </c>
      <c r="I410" s="8">
        <f>IFERROR(H410/H444, "NA")</f>
        <v>0.25179300625458356</v>
      </c>
      <c r="J410" s="9"/>
      <c r="K410" s="7">
        <v>8357.0499999999993</v>
      </c>
      <c r="L410" s="8">
        <f>IFERROR(K410/K444, "NA")</f>
        <v>5.8922171377251149E-2</v>
      </c>
      <c r="M410" s="9"/>
      <c r="N410" s="10">
        <f t="shared" si="101"/>
        <v>-150.94000000000051</v>
      </c>
      <c r="O410" s="8">
        <f>IFERROR(N410/N444, "NA")</f>
        <v>7.6985026835611663E-3</v>
      </c>
      <c r="P410" s="9"/>
      <c r="Q410" s="7">
        <v>73799.11</v>
      </c>
      <c r="R410" s="8">
        <f>IFERROR(Q410/Q444, "NA")</f>
        <v>7.2902426916485422E-2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-73799.11</v>
      </c>
      <c r="X410" s="8">
        <f>IFERROR(W410/W444, "NA")</f>
        <v>0.91183522024545771</v>
      </c>
      <c r="Y410" s="9"/>
      <c r="Z410" s="7">
        <v>75213.87</v>
      </c>
      <c r="AA410" s="8">
        <f>IFERROR(Z410/Z444, "NA")</f>
        <v>7.8797155683235559E-2</v>
      </c>
      <c r="AB410" s="9"/>
      <c r="AC410" s="10">
        <f t="shared" si="103"/>
        <v>1414.7599999999948</v>
      </c>
      <c r="AD410" s="8">
        <f>IFERROR(AC410/AC444, "NA")</f>
        <v>2.4487586062936207E-2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-33.31</v>
      </c>
      <c r="C416" s="8">
        <f>IFERROR(B416/B444, "NA")</f>
        <v>-2.7252883193046301E-4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33.31</v>
      </c>
      <c r="I416" s="8">
        <f>IFERROR(H416/H444, "NA")</f>
        <v>-9.8580570009369761E-4</v>
      </c>
      <c r="J416" s="9"/>
      <c r="K416" s="7">
        <v>-40.82</v>
      </c>
      <c r="L416" s="8">
        <f>IFERROR(K416/K444, "NA")</f>
        <v>-2.8780527047455646E-4</v>
      </c>
      <c r="M416" s="9"/>
      <c r="N416" s="10">
        <f t="shared" si="101"/>
        <v>-7.509999999999998</v>
      </c>
      <c r="O416" s="8">
        <f>IFERROR(N416/N444, "NA")</f>
        <v>3.8303799624714551E-4</v>
      </c>
      <c r="P416" s="9"/>
      <c r="Q416" s="7">
        <v>-267.29000000000002</v>
      </c>
      <c r="R416" s="8">
        <f>IFERROR(Q416/Q444, "NA")</f>
        <v>-2.6404233994837319E-4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267.29000000000002</v>
      </c>
      <c r="X416" s="8">
        <f>IFERROR(W416/W444, "NA")</f>
        <v>-3.3025389604211812E-3</v>
      </c>
      <c r="Y416" s="9"/>
      <c r="Z416" s="7">
        <v>-333.11</v>
      </c>
      <c r="AA416" s="8">
        <f>IFERROR(Z416/Z444, "NA")</f>
        <v>-3.4897978962713394E-4</v>
      </c>
      <c r="AB416" s="9"/>
      <c r="AC416" s="10">
        <f t="shared" si="103"/>
        <v>-65.819999999999993</v>
      </c>
      <c r="AD416" s="8">
        <f>IFERROR(AC416/AC444, "NA")</f>
        <v>-1.1392553610947913E-3</v>
      </c>
    </row>
    <row r="417" spans="1:30" ht="16.5" customHeight="1" x14ac:dyDescent="0.45">
      <c r="A417" s="6" t="s">
        <v>382</v>
      </c>
      <c r="B417" s="7">
        <v>-190.97</v>
      </c>
      <c r="C417" s="8">
        <f>IFERROR(B417/B444, "NA")</f>
        <v>-1.5624386380594572E-3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190.97</v>
      </c>
      <c r="I417" s="8">
        <f>IFERROR(H417/H444, "NA")</f>
        <v>-5.6517356513627569E-3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190.97</v>
      </c>
      <c r="O417" s="8">
        <f>IFERROR(N417/N444, "NA")</f>
        <v>-9.7401819098957929E-3</v>
      </c>
      <c r="P417" s="9"/>
      <c r="Q417" s="7">
        <v>-823.29</v>
      </c>
      <c r="R417" s="8">
        <f>IFERROR(Q417/Q444, "NA")</f>
        <v>-8.1328675990907315E-4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823.29</v>
      </c>
      <c r="X417" s="8">
        <f>IFERROR(W417/W444, "NA")</f>
        <v>-1.0172274685641639E-2</v>
      </c>
      <c r="Y417" s="9"/>
      <c r="Z417" s="7">
        <v>-3.84</v>
      </c>
      <c r="AA417" s="8">
        <f>IFERROR(Z417/Z444, "NA")</f>
        <v>-4.0229425480117507E-6</v>
      </c>
      <c r="AB417" s="9"/>
      <c r="AC417" s="10">
        <f t="shared" si="103"/>
        <v>819.44999999999993</v>
      </c>
      <c r="AD417" s="8">
        <f>IFERROR(AC417/AC444, "NA")</f>
        <v>1.4183573467777677E-2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8283.7100000000009</v>
      </c>
      <c r="C428" s="15">
        <f>IFERROR(B428/B444, "NA")</f>
        <v>6.7773936065766913E-2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-8283.7100000000009</v>
      </c>
      <c r="I428" s="15">
        <f>IFERROR(H428/H444, "NA")</f>
        <v>0.24515546490312712</v>
      </c>
      <c r="J428" s="2"/>
      <c r="K428" s="14">
        <f>IFERROR(K407+K408+K409+K410+K411+K412+K413+K414+K415+K416+K417+K418+K419+K420+K421+K422+K423+K424+K425+K426+K427, "NA")</f>
        <v>11952.67</v>
      </c>
      <c r="L428" s="15">
        <f>IFERROR(K428/K444, "NA")</f>
        <v>8.4273430236235097E-2</v>
      </c>
      <c r="M428" s="2"/>
      <c r="N428" s="14">
        <f t="shared" si="101"/>
        <v>3668.9599999999991</v>
      </c>
      <c r="O428" s="15">
        <f>IFERROR(N428/N444, "NA")</f>
        <v>-0.18713063737828589</v>
      </c>
      <c r="P428" s="2"/>
      <c r="Q428" s="14">
        <f>IFERROR(Q407+Q408+Q409+Q410+Q411+Q412+Q413+Q414+Q415+Q416+Q417+Q418+Q419+Q420+Q421+Q422+Q423+Q424+Q425+Q426+Q427, "NA")</f>
        <v>72708.530000000013</v>
      </c>
      <c r="R428" s="15">
        <f>IFERROR(Q428/Q444, "NA")</f>
        <v>7.1825097816627992E-2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-72708.530000000013</v>
      </c>
      <c r="X428" s="15">
        <f>IFERROR(W428/W444, "NA")</f>
        <v>0.89836040659939498</v>
      </c>
      <c r="Y428" s="2"/>
      <c r="Z428" s="14">
        <f>IFERROR(Z407+Z408+Z409+Z410+Z411+Z412+Z413+Z414+Z415+Z416+Z417+Z418+Z419+Z420+Z421+Z422+Z423+Z424+Z425+Z426+Z427, "NA")</f>
        <v>80078.36</v>
      </c>
      <c r="AA428" s="15">
        <f>IFERROR(Z428/Z444, "NA")</f>
        <v>8.3893396254948502E-2</v>
      </c>
      <c r="AB428" s="2"/>
      <c r="AC428" s="14">
        <f t="shared" si="103"/>
        <v>7369.8299999999872</v>
      </c>
      <c r="AD428" s="15">
        <f>IFERROR(AC428/AC444, "NA")</f>
        <v>0.12756181005556386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8283.7100000000009</v>
      </c>
      <c r="C429" s="15">
        <f>IFERROR(B429/B444, "NA")</f>
        <v>6.7773936065766913E-2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-8283.7100000000009</v>
      </c>
      <c r="I429" s="15">
        <f>IFERROR(H429/H444, "NA")</f>
        <v>0.24515546490312712</v>
      </c>
      <c r="J429" s="2"/>
      <c r="K429" s="14">
        <f>IFERROR(K407+K408+K409+K410+K411+K412+K413+K414+K415+K416+K417+K418+K419+K420+K421+K422+K423+K424+K425+K426+K427, "NA")</f>
        <v>11952.67</v>
      </c>
      <c r="L429" s="15">
        <f>IFERROR(K429/K444, "NA")</f>
        <v>8.4273430236235097E-2</v>
      </c>
      <c r="M429" s="2"/>
      <c r="N429" s="14">
        <f t="shared" si="101"/>
        <v>3668.9599999999991</v>
      </c>
      <c r="O429" s="15">
        <f>IFERROR(N429/N444, "NA")</f>
        <v>-0.18713063737828589</v>
      </c>
      <c r="P429" s="2"/>
      <c r="Q429" s="14">
        <f>IFERROR(Q407+Q408+Q409+Q410+Q411+Q412+Q413+Q414+Q415+Q416+Q417+Q418+Q419+Q420+Q421+Q422+Q423+Q424+Q425+Q426+Q427, "NA")</f>
        <v>72708.530000000013</v>
      </c>
      <c r="R429" s="15">
        <f>IFERROR(Q429/Q444, "NA")</f>
        <v>7.1825097816627992E-2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-72708.530000000013</v>
      </c>
      <c r="X429" s="15">
        <f>IFERROR(W429/W444, "NA")</f>
        <v>0.89836040659939498</v>
      </c>
      <c r="Y429" s="2"/>
      <c r="Z429" s="14">
        <f>IFERROR(Z407+Z408+Z409+Z410+Z411+Z412+Z413+Z414+Z415+Z416+Z417+Z418+Z419+Z420+Z421+Z422+Z423+Z424+Z425+Z426+Z427, "NA")</f>
        <v>80078.36</v>
      </c>
      <c r="AA429" s="15">
        <f>IFERROR(Z429/Z444, "NA")</f>
        <v>8.3893396254948502E-2</v>
      </c>
      <c r="AB429" s="2"/>
      <c r="AC429" s="14">
        <f t="shared" si="103"/>
        <v>7369.8299999999872</v>
      </c>
      <c r="AD429" s="15">
        <f>IFERROR(AC429/AC444, "NA")</f>
        <v>0.12756181005556386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-3472.6200000000008</v>
      </c>
      <c r="C443" s="24">
        <f>IFERROR(B443/B444, "NA")</f>
        <v>-2.8411560262334573E-2</v>
      </c>
      <c r="D443" s="25"/>
      <c r="E443" s="23">
        <f>IFERROR(E404-E429-E442, "NA")</f>
        <v>29534.609999999986</v>
      </c>
      <c r="F443" s="24">
        <f>IFERROR(E443/E444, "NA")</f>
        <v>0.18930595361144884</v>
      </c>
      <c r="G443" s="25"/>
      <c r="H443" s="23">
        <f>IFERROR(B443-E443, "NA")</f>
        <v>-33007.229999999989</v>
      </c>
      <c r="I443" s="24">
        <f>IFERROR(H443/H444, "NA")</f>
        <v>0.97684525602833039</v>
      </c>
      <c r="J443" s="25"/>
      <c r="K443" s="23">
        <f>IFERROR(K404-K429-K442, "NA")</f>
        <v>-3808.0300000000552</v>
      </c>
      <c r="L443" s="24">
        <f>IFERROR(K443/K444, "NA")</f>
        <v>-2.6848875652259706E-2</v>
      </c>
      <c r="M443" s="25"/>
      <c r="N443" s="23">
        <f>IFERROR(B443-K443, "NA")</f>
        <v>335.41000000005442</v>
      </c>
      <c r="O443" s="24">
        <f>IFERROR(N443/N444, "NA")</f>
        <v>-1.7107160362353657E-2</v>
      </c>
      <c r="P443" s="25"/>
      <c r="Q443" s="23">
        <f>IFERROR(Q404-Q429-Q442, "NA")</f>
        <v>-39361.059999999808</v>
      </c>
      <c r="R443" s="24">
        <f>IFERROR(Q443/Q444, "NA")</f>
        <v>-3.8882810375428421E-2</v>
      </c>
      <c r="S443" s="25"/>
      <c r="T443" s="23">
        <f>IFERROR(T404-T429-T442, "NA")</f>
        <v>154489.51999999996</v>
      </c>
      <c r="U443" s="24">
        <f>IFERROR(T443/T444, "NA")</f>
        <v>0.1413141684052461</v>
      </c>
      <c r="V443" s="25"/>
      <c r="W443" s="23">
        <f>IFERROR(Q443-T443, "NA")</f>
        <v>-193850.57999999978</v>
      </c>
      <c r="X443" s="24">
        <f>IFERROR(W443/W444, "NA")</f>
        <v>2.3951479402530671</v>
      </c>
      <c r="Y443" s="25"/>
      <c r="Z443" s="23">
        <f>IFERROR(Z404-Z429-Z442, "NA")</f>
        <v>-18992.130000000398</v>
      </c>
      <c r="AA443" s="24">
        <f>IFERROR(Z443/Z444, "NA")</f>
        <v>-1.9896939545409376E-2</v>
      </c>
      <c r="AB443" s="25"/>
      <c r="AC443" s="23">
        <f>IFERROR(Q443-Z443, "NA")</f>
        <v>-20368.929999999411</v>
      </c>
      <c r="AD443" s="24">
        <f>IFERROR(AC443/AC444, "NA")</f>
        <v>-0.35255868584417893</v>
      </c>
    </row>
    <row r="444" spans="1:30" ht="15.75" hidden="1" x14ac:dyDescent="0.45">
      <c r="A444" s="26" t="s">
        <v>117</v>
      </c>
      <c r="B444" s="7">
        <v>122225.60000000001</v>
      </c>
      <c r="C444" s="27"/>
      <c r="D444" s="9"/>
      <c r="E444" s="7">
        <v>156015.22</v>
      </c>
      <c r="F444" s="27"/>
      <c r="G444" s="9"/>
      <c r="H444" s="10">
        <f>IFERROR(B444-E444, "NA")</f>
        <v>-33789.619999999995</v>
      </c>
      <c r="I444" s="27"/>
      <c r="J444" s="9"/>
      <c r="K444" s="7">
        <v>141832.01</v>
      </c>
      <c r="L444" s="27"/>
      <c r="M444" s="9"/>
      <c r="N444" s="10">
        <f>IFERROR(B444-K444, "NA")</f>
        <v>-19606.410000000003</v>
      </c>
      <c r="O444" s="27"/>
      <c r="P444" s="9"/>
      <c r="Q444" s="7">
        <v>1012299.77</v>
      </c>
      <c r="R444" s="27"/>
      <c r="S444" s="9"/>
      <c r="T444" s="7">
        <v>1093234.47</v>
      </c>
      <c r="U444" s="27"/>
      <c r="V444" s="9"/>
      <c r="W444" s="10">
        <f>IFERROR(Q444-T444, "NA")</f>
        <v>-80934.699999999953</v>
      </c>
      <c r="X444" s="27"/>
      <c r="Y444" s="9"/>
      <c r="Z444" s="7">
        <v>954525.19</v>
      </c>
      <c r="AA444" s="27"/>
      <c r="AB444" s="9"/>
      <c r="AC444" s="10">
        <f>IFERROR(Q444-Z444, "NA")</f>
        <v>57774.580000000075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84304.19</v>
      </c>
      <c r="F10" s="8">
        <f>IFERROR(E10/E444, "NA")</f>
        <v>0.53399998302433194</v>
      </c>
      <c r="G10" s="9"/>
      <c r="H10" s="10">
        <f t="shared" ref="H10:H19" si="0">IFERROR(B10-E10, "NA")</f>
        <v>-84304.19</v>
      </c>
      <c r="I10" s="8">
        <f>IFERROR(H10/H444, "NA")</f>
        <v>3.3267757410784315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608060.78</v>
      </c>
      <c r="U10" s="8">
        <f>IFERROR(T10/T444, "NA")</f>
        <v>0.53400000902791345</v>
      </c>
      <c r="V10" s="9"/>
      <c r="W10" s="10">
        <f t="shared" ref="W10:W19" si="2">IFERROR(Q10-T10, "NA")</f>
        <v>-608060.78</v>
      </c>
      <c r="X10" s="8">
        <f>IFERROR(W10/W444, "NA")</f>
        <v>5.6312195835721868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63424</v>
      </c>
      <c r="C11" s="8">
        <f>IFERROR(B11/B444, "NA")</f>
        <v>0.47855644727371693</v>
      </c>
      <c r="D11" s="9"/>
      <c r="E11" s="7">
        <v>0</v>
      </c>
      <c r="F11" s="8">
        <f>IFERROR(E11/E444, "NA")</f>
        <v>0</v>
      </c>
      <c r="G11" s="9"/>
      <c r="H11" s="10">
        <f t="shared" si="0"/>
        <v>63424</v>
      </c>
      <c r="I11" s="8">
        <f>IFERROR(H11/H444, "NA")</f>
        <v>-2.5028106503621994</v>
      </c>
      <c r="J11" s="9"/>
      <c r="K11" s="7">
        <v>61519.69</v>
      </c>
      <c r="L11" s="8">
        <f>IFERROR(K11/K444, "NA")</f>
        <v>0.42864615137639861</v>
      </c>
      <c r="M11" s="9"/>
      <c r="N11" s="10">
        <f t="shared" si="1"/>
        <v>1904.3099999999977</v>
      </c>
      <c r="O11" s="8">
        <f>IFERROR(N11/N444, "NA")</f>
        <v>-0.17329222559629995</v>
      </c>
      <c r="P11" s="9"/>
      <c r="Q11" s="7">
        <v>472038.2</v>
      </c>
      <c r="R11" s="8">
        <f>IFERROR(Q11/Q444, "NA")</f>
        <v>0.45797369945703847</v>
      </c>
      <c r="S11" s="9"/>
      <c r="T11" s="7">
        <v>0</v>
      </c>
      <c r="U11" s="8">
        <f>IFERROR(T11/T444, "NA")</f>
        <v>0</v>
      </c>
      <c r="V11" s="9"/>
      <c r="W11" s="10">
        <f t="shared" si="2"/>
        <v>472038.2</v>
      </c>
      <c r="X11" s="8">
        <f>IFERROR(W11/W444, "NA")</f>
        <v>-4.3715214719722004</v>
      </c>
      <c r="Y11" s="9"/>
      <c r="Z11" s="7">
        <v>518495.12</v>
      </c>
      <c r="AA11" s="8">
        <f>IFERROR(Z11/Z444, "NA")</f>
        <v>0.52541103185475968</v>
      </c>
      <c r="AB11" s="9"/>
      <c r="AC11" s="10">
        <f t="shared" si="3"/>
        <v>-46456.919999999984</v>
      </c>
      <c r="AD11" s="8">
        <f>IFERROR(AC11/AC444, "NA")</f>
        <v>-1.0588920692706283</v>
      </c>
    </row>
    <row r="12" spans="1:30" ht="16.5" customHeight="1" x14ac:dyDescent="0.45">
      <c r="A12" s="12" t="s">
        <v>14</v>
      </c>
      <c r="B12" s="7">
        <v>7171.35</v>
      </c>
      <c r="C12" s="8">
        <f>IFERROR(B12/B444, "NA")</f>
        <v>5.4110364817046702E-2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7171.35</v>
      </c>
      <c r="I12" s="8">
        <f>IFERROR(H12/H444, "NA")</f>
        <v>-0.28299273394101537</v>
      </c>
      <c r="J12" s="9"/>
      <c r="K12" s="7">
        <v>6320.9</v>
      </c>
      <c r="L12" s="8">
        <f>IFERROR(K12/K444, "NA")</f>
        <v>4.4041663055114186E-2</v>
      </c>
      <c r="M12" s="9"/>
      <c r="N12" s="10">
        <f t="shared" si="1"/>
        <v>850.45000000000073</v>
      </c>
      <c r="O12" s="8">
        <f>IFERROR(N12/N444, "NA")</f>
        <v>-7.7390956965186122E-2</v>
      </c>
      <c r="P12" s="9"/>
      <c r="Q12" s="7">
        <v>55499.65</v>
      </c>
      <c r="R12" s="8">
        <f>IFERROR(Q12/Q444, "NA")</f>
        <v>5.3846023540194049E-2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55499.65</v>
      </c>
      <c r="X12" s="8">
        <f>IFERROR(W12/W444, "NA")</f>
        <v>-0.51397940179829082</v>
      </c>
      <c r="Y12" s="9"/>
      <c r="Z12" s="7">
        <v>54186.85</v>
      </c>
      <c r="AA12" s="8">
        <f>IFERROR(Z12/Z444, "NA")</f>
        <v>5.490961760924401E-2</v>
      </c>
      <c r="AB12" s="9"/>
      <c r="AC12" s="10">
        <f t="shared" si="3"/>
        <v>1312.8000000000029</v>
      </c>
      <c r="AD12" s="8">
        <f>IFERROR(AC12/AC444, "NA")</f>
        <v>2.9922636036536308E-2</v>
      </c>
    </row>
    <row r="13" spans="1:30" ht="16.5" customHeight="1" x14ac:dyDescent="0.45">
      <c r="A13" s="12" t="s">
        <v>15</v>
      </c>
      <c r="B13" s="7">
        <v>324.5</v>
      </c>
      <c r="C13" s="8">
        <f>IFERROR(B13/B444, "NA")</f>
        <v>2.448466939018686E-3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324.5</v>
      </c>
      <c r="I13" s="8">
        <f>IFERROR(H13/H444, "NA")</f>
        <v>-1.2805279642446609E-2</v>
      </c>
      <c r="J13" s="9"/>
      <c r="K13" s="7">
        <v>337.5</v>
      </c>
      <c r="L13" s="8">
        <f>IFERROR(K13/K444, "NA")</f>
        <v>2.3515735545730893E-3</v>
      </c>
      <c r="M13" s="9"/>
      <c r="N13" s="10">
        <f t="shared" si="1"/>
        <v>-13</v>
      </c>
      <c r="O13" s="8">
        <f>IFERROR(N13/N444, "NA")</f>
        <v>1.1830001064700086E-3</v>
      </c>
      <c r="P13" s="9"/>
      <c r="Q13" s="7">
        <v>1679.5</v>
      </c>
      <c r="R13" s="8">
        <f>IFERROR(Q13/Q444, "NA")</f>
        <v>1.629458862096534E-3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1679.5</v>
      </c>
      <c r="X13" s="8">
        <f>IFERROR(W13/W444, "NA")</f>
        <v>-1.5553763047518846E-2</v>
      </c>
      <c r="Y13" s="9"/>
      <c r="Z13" s="7">
        <v>2547</v>
      </c>
      <c r="AA13" s="8">
        <f>IFERROR(Z13/Z444, "NA")</f>
        <v>2.580972986079547E-3</v>
      </c>
      <c r="AB13" s="9"/>
      <c r="AC13" s="10">
        <f t="shared" si="3"/>
        <v>-867.5</v>
      </c>
      <c r="AD13" s="8">
        <f>IFERROR(AC13/AC444, "NA")</f>
        <v>-1.9772918008603892E-2</v>
      </c>
    </row>
    <row r="14" spans="1:30" ht="16.5" customHeight="1" x14ac:dyDescent="0.45">
      <c r="A14" s="12" t="s">
        <v>16</v>
      </c>
      <c r="B14" s="7">
        <v>65</v>
      </c>
      <c r="C14" s="8">
        <f>IFERROR(B14/B444, "NA")</f>
        <v>4.9044792306999878E-4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65</v>
      </c>
      <c r="I14" s="8">
        <f>IFERROR(H14/H444, "NA")</f>
        <v>-2.5650020855440049E-3</v>
      </c>
      <c r="J14" s="9"/>
      <c r="K14" s="7">
        <v>525</v>
      </c>
      <c r="L14" s="8">
        <f>IFERROR(K14/K444, "NA")</f>
        <v>3.6580033071136942E-3</v>
      </c>
      <c r="M14" s="9"/>
      <c r="N14" s="10">
        <f t="shared" si="1"/>
        <v>-460</v>
      </c>
      <c r="O14" s="8">
        <f>IFERROR(N14/N444, "NA")</f>
        <v>4.1860003767400303E-2</v>
      </c>
      <c r="P14" s="9"/>
      <c r="Q14" s="7">
        <v>2535</v>
      </c>
      <c r="R14" s="8">
        <f>IFERROR(Q14/Q444, "NA")</f>
        <v>2.4594690178116785E-3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2535</v>
      </c>
      <c r="X14" s="8">
        <f>IFERROR(W14/W444, "NA")</f>
        <v>-2.347650451054497E-2</v>
      </c>
      <c r="Y14" s="9"/>
      <c r="Z14" s="7">
        <v>6375</v>
      </c>
      <c r="AA14" s="8">
        <f>IFERROR(Z14/Z444, "NA")</f>
        <v>6.4600325034382062E-3</v>
      </c>
      <c r="AB14" s="9"/>
      <c r="AC14" s="10">
        <f t="shared" si="3"/>
        <v>-3840</v>
      </c>
      <c r="AD14" s="8">
        <f>IFERROR(AC14/AC444, "NA")</f>
        <v>-8.7525077986212035E-2</v>
      </c>
    </row>
    <row r="15" spans="1:30" ht="16.5" customHeight="1" x14ac:dyDescent="0.45">
      <c r="A15" s="12" t="s">
        <v>17</v>
      </c>
      <c r="B15" s="7">
        <v>50</v>
      </c>
      <c r="C15" s="8">
        <f>IFERROR(B15/B444, "NA")</f>
        <v>3.7726763313076828E-4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50</v>
      </c>
      <c r="I15" s="8">
        <f>IFERROR(H15/H444, "NA")</f>
        <v>-1.973078527341542E-3</v>
      </c>
      <c r="J15" s="9"/>
      <c r="K15" s="7">
        <v>60</v>
      </c>
      <c r="L15" s="8">
        <f>IFERROR(K15/K444, "NA")</f>
        <v>4.1805752081299364E-4</v>
      </c>
      <c r="M15" s="9"/>
      <c r="N15" s="10">
        <f t="shared" si="1"/>
        <v>-10</v>
      </c>
      <c r="O15" s="8">
        <f>IFERROR(N15/N444, "NA")</f>
        <v>9.1000008190000663E-4</v>
      </c>
      <c r="P15" s="9"/>
      <c r="Q15" s="7">
        <v>417</v>
      </c>
      <c r="R15" s="8">
        <f>IFERROR(Q15/Q444, "NA")</f>
        <v>4.0457537689446541E-4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417</v>
      </c>
      <c r="X15" s="8">
        <f>IFERROR(W15/W444, "NA")</f>
        <v>-3.8618155348707109E-3</v>
      </c>
      <c r="Y15" s="9"/>
      <c r="Z15" s="7">
        <v>958</v>
      </c>
      <c r="AA15" s="8">
        <f>IFERROR(Z15/Z444, "NA")</f>
        <v>9.7077821777157675E-4</v>
      </c>
      <c r="AB15" s="9"/>
      <c r="AC15" s="10">
        <f t="shared" si="3"/>
        <v>-541</v>
      </c>
      <c r="AD15" s="8">
        <f>IFERROR(AC15/AC444, "NA")</f>
        <v>-1.2331007080869977E-2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71034.850000000006</v>
      </c>
      <c r="C18" s="15">
        <f>IFERROR(B18/B444, "NA")</f>
        <v>0.53598299458598309</v>
      </c>
      <c r="D18" s="2"/>
      <c r="E18" s="14">
        <f>IFERROR(E10+E11+E12+E13+E14+E15+E16+E17, "NA")</f>
        <v>84304.19</v>
      </c>
      <c r="F18" s="15">
        <f>IFERROR(E18/E444, "NA")</f>
        <v>0.53399998302433194</v>
      </c>
      <c r="G18" s="2"/>
      <c r="H18" s="14">
        <f t="shared" si="0"/>
        <v>-13269.339999999997</v>
      </c>
      <c r="I18" s="15">
        <f>IFERROR(H18/H444, "NA")</f>
        <v>0.52362899651988426</v>
      </c>
      <c r="J18" s="2"/>
      <c r="K18" s="14">
        <f>IFERROR(K10+K11+K12+K13+K14+K15+K16+K17, "NA")</f>
        <v>68763.09</v>
      </c>
      <c r="L18" s="15">
        <f>IFERROR(K18/K444, "NA")</f>
        <v>0.47911544881401258</v>
      </c>
      <c r="M18" s="2"/>
      <c r="N18" s="14">
        <f t="shared" si="1"/>
        <v>2271.7600000000093</v>
      </c>
      <c r="O18" s="15">
        <f>IFERROR(N18/N444, "NA")</f>
        <v>-0.20673017860571674</v>
      </c>
      <c r="P18" s="2"/>
      <c r="Q18" s="14">
        <f>IFERROR(Q10+Q11+Q12+Q13+Q14+Q15+Q16+Q17, "NA")</f>
        <v>532169.35</v>
      </c>
      <c r="R18" s="15">
        <f>IFERROR(Q18/Q444, "NA")</f>
        <v>0.5163132262540352</v>
      </c>
      <c r="S18" s="2"/>
      <c r="T18" s="14">
        <f>IFERROR(T10+T11+T12+T13+T14+T15+T16+T17, "NA")</f>
        <v>608060.78</v>
      </c>
      <c r="U18" s="15">
        <f>IFERROR(T18/T444, "NA")</f>
        <v>0.53400000902791345</v>
      </c>
      <c r="V18" s="2"/>
      <c r="W18" s="14">
        <f t="shared" si="2"/>
        <v>-75891.430000000051</v>
      </c>
      <c r="X18" s="15">
        <f>IFERROR(W18/W444, "NA")</f>
        <v>0.70282662670876095</v>
      </c>
      <c r="Y18" s="2"/>
      <c r="Z18" s="14">
        <f>IFERROR(Z10+Z11+Z12+Z13+Z14+Z15+Z16+Z17, "NA")</f>
        <v>582561.97</v>
      </c>
      <c r="AA18" s="15">
        <f>IFERROR(Z18/Z444, "NA")</f>
        <v>0.59033243317129303</v>
      </c>
      <c r="AB18" s="2"/>
      <c r="AC18" s="14">
        <f t="shared" si="3"/>
        <v>-50392.619999999995</v>
      </c>
      <c r="AD18" s="15">
        <f>IFERROR(AC18/AC444, "NA")</f>
        <v>-1.1485984363097781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16734.54</v>
      </c>
      <c r="F21" s="8">
        <f>IFERROR(E21/E444, "NA")</f>
        <v>0.10599999923989546</v>
      </c>
      <c r="G21" s="9"/>
      <c r="H21" s="10">
        <f t="shared" ref="H21:H29" si="4">IFERROR(B21-E21, "NA")</f>
        <v>-16734.54</v>
      </c>
      <c r="I21" s="8">
        <f>IFERROR(H21/H444, "NA")</f>
        <v>0.6603712307787627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120701.2</v>
      </c>
      <c r="U21" s="8">
        <f>IFERROR(T21/T444, "NA")</f>
        <v>0.10599999870026147</v>
      </c>
      <c r="V21" s="9"/>
      <c r="W21" s="10">
        <f t="shared" ref="W21:W29" si="6">IFERROR(Q21-T21, "NA")</f>
        <v>-120701.2</v>
      </c>
      <c r="X21" s="8">
        <f>IFERROR(W21/W444, "NA")</f>
        <v>1.1178076000900159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9141.4</v>
      </c>
      <c r="C22" s="8">
        <f>IFERROR(B22/B444, "NA")</f>
        <v>6.8975086830032104E-2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9141.4</v>
      </c>
      <c r="I22" s="8">
        <f>IFERROR(H22/H444, "NA")</f>
        <v>-0.36073400099679948</v>
      </c>
      <c r="J22" s="9"/>
      <c r="K22" s="7">
        <v>12760.88</v>
      </c>
      <c r="L22" s="8">
        <f>IFERROR(K22/K444, "NA")</f>
        <v>8.8913030936535228E-2</v>
      </c>
      <c r="M22" s="9"/>
      <c r="N22" s="10">
        <f t="shared" si="5"/>
        <v>-3619.4799999999996</v>
      </c>
      <c r="O22" s="8">
        <f>IFERROR(N22/N444, "NA")</f>
        <v>0.32937270964354354</v>
      </c>
      <c r="P22" s="9"/>
      <c r="Q22" s="7">
        <v>87123.6</v>
      </c>
      <c r="R22" s="8">
        <f>IFERROR(Q22/Q444, "NA")</f>
        <v>8.4527729751565112E-2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87123.6</v>
      </c>
      <c r="X22" s="8">
        <f>IFERROR(W22/W444, "NA")</f>
        <v>-0.8068471749013475</v>
      </c>
      <c r="Y22" s="9"/>
      <c r="Z22" s="7">
        <v>92252.49</v>
      </c>
      <c r="AA22" s="8">
        <f>IFERROR(Z22/Z444, "NA")</f>
        <v>9.3482993556565988E-2</v>
      </c>
      <c r="AB22" s="9"/>
      <c r="AC22" s="10">
        <f t="shared" si="7"/>
        <v>-5128.8899999999994</v>
      </c>
      <c r="AD22" s="8">
        <f>IFERROR(AC22/AC444, "NA")</f>
        <v>-0.11690273365434974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1097.8</v>
      </c>
      <c r="C24" s="8">
        <f>IFERROR(B24/B444, "NA")</f>
        <v>8.2832881530191475E-3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1097.8</v>
      </c>
      <c r="I24" s="8">
        <f>IFERROR(H24/H444, "NA")</f>
        <v>-4.3320912146310897E-2</v>
      </c>
      <c r="J24" s="9"/>
      <c r="K24" s="7">
        <v>974.82</v>
      </c>
      <c r="L24" s="8">
        <f>IFERROR(K24/K444, "NA")</f>
        <v>6.7921805406487082E-3</v>
      </c>
      <c r="M24" s="9"/>
      <c r="N24" s="10">
        <f t="shared" si="5"/>
        <v>122.9799999999999</v>
      </c>
      <c r="O24" s="8">
        <f>IFERROR(N24/N444, "NA")</f>
        <v>-1.1191181007206272E-2</v>
      </c>
      <c r="P24" s="9"/>
      <c r="Q24" s="7">
        <v>9205.27</v>
      </c>
      <c r="R24" s="8">
        <f>IFERROR(Q24/Q444, "NA")</f>
        <v>8.9309965939216203E-3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9205.27</v>
      </c>
      <c r="X24" s="8">
        <f>IFERROR(W24/W444, "NA")</f>
        <v>-8.5249531627528324E-2</v>
      </c>
      <c r="Y24" s="9"/>
      <c r="Z24" s="7">
        <v>4229.0600000000004</v>
      </c>
      <c r="AA24" s="8">
        <f>IFERROR(Z24/Z444, "NA")</f>
        <v>4.2854690288612364E-3</v>
      </c>
      <c r="AB24" s="9"/>
      <c r="AC24" s="10">
        <f t="shared" si="7"/>
        <v>4976.21</v>
      </c>
      <c r="AD24" s="8">
        <f>IFERROR(AC24/AC444, "NA")</f>
        <v>0.11342270008483547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6.5535160551145749E-3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-3.4274347098449925E-2</v>
      </c>
      <c r="J28" s="9"/>
      <c r="K28" s="7">
        <v>820.71</v>
      </c>
      <c r="L28" s="8">
        <f>IFERROR(K28/K444, "NA")</f>
        <v>5.7183997984405341E-3</v>
      </c>
      <c r="M28" s="9"/>
      <c r="N28" s="10">
        <f t="shared" si="5"/>
        <v>47.839999999999918</v>
      </c>
      <c r="O28" s="8">
        <f>IFERROR(N28/N444, "NA")</f>
        <v>-4.3534403918096239E-3</v>
      </c>
      <c r="P28" s="9"/>
      <c r="Q28" s="7">
        <v>7894.82</v>
      </c>
      <c r="R28" s="8">
        <f>IFERROR(Q28/Q444, "NA")</f>
        <v>7.6595917914003917E-3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7894.82</v>
      </c>
      <c r="X28" s="8">
        <f>IFERROR(W28/W444, "NA")</f>
        <v>-7.3113521633112674E-2</v>
      </c>
      <c r="Y28" s="9"/>
      <c r="Z28" s="7">
        <v>7345.3</v>
      </c>
      <c r="AA28" s="8">
        <f>IFERROR(Z28/Z444, "NA")</f>
        <v>7.4432747839222992E-3</v>
      </c>
      <c r="AB28" s="9"/>
      <c r="AC28" s="10">
        <f t="shared" si="7"/>
        <v>549.51999999999953</v>
      </c>
      <c r="AD28" s="8">
        <f>IFERROR(AC28/AC444, "NA")</f>
        <v>1.2525203347651875E-2</v>
      </c>
    </row>
    <row r="29" spans="1:30" ht="16.5" customHeight="1" x14ac:dyDescent="0.45">
      <c r="A29" s="13" t="s">
        <v>30</v>
      </c>
      <c r="B29" s="14">
        <f>IFERROR(B21+B22+B23+B24+B25+B26+B27+B28, "NA")</f>
        <v>11107.749999999998</v>
      </c>
      <c r="C29" s="15">
        <f>IFERROR(B29/B444, "NA")</f>
        <v>8.3811891038165817E-2</v>
      </c>
      <c r="D29" s="2"/>
      <c r="E29" s="14">
        <f>IFERROR(E21+E22+E23+E24+E25+E26+E27+E28, "NA")</f>
        <v>16734.54</v>
      </c>
      <c r="F29" s="15">
        <f>IFERROR(E29/E444, "NA")</f>
        <v>0.10599999923989546</v>
      </c>
      <c r="G29" s="2"/>
      <c r="H29" s="14">
        <f t="shared" si="4"/>
        <v>-5626.7900000000027</v>
      </c>
      <c r="I29" s="15">
        <f>IFERROR(H29/H444, "NA")</f>
        <v>0.22204197053720243</v>
      </c>
      <c r="J29" s="2"/>
      <c r="K29" s="14">
        <f>IFERROR(K21+K22+K23+K24+K25+K26+K27+K28, "NA")</f>
        <v>14556.41</v>
      </c>
      <c r="L29" s="15">
        <f>IFERROR(K29/K444, "NA")</f>
        <v>0.10142361127562448</v>
      </c>
      <c r="M29" s="2"/>
      <c r="N29" s="14">
        <f t="shared" si="5"/>
        <v>-3448.6600000000017</v>
      </c>
      <c r="O29" s="15">
        <f>IFERROR(N29/N444, "NA")</f>
        <v>0.31382808824452785</v>
      </c>
      <c r="P29" s="2"/>
      <c r="Q29" s="14">
        <f>IFERROR(Q21+Q22+Q23+Q24+Q25+Q26+Q27+Q28, "NA")</f>
        <v>104223.69</v>
      </c>
      <c r="R29" s="15">
        <f>IFERROR(Q29/Q444, "NA")</f>
        <v>0.10111831813688711</v>
      </c>
      <c r="S29" s="2"/>
      <c r="T29" s="14">
        <f>IFERROR(T21+T22+T23+T24+T25+T26+T27+T28, "NA")</f>
        <v>120701.2</v>
      </c>
      <c r="U29" s="15">
        <f>IFERROR(T29/T444, "NA")</f>
        <v>0.10599999870026147</v>
      </c>
      <c r="V29" s="2"/>
      <c r="W29" s="14">
        <f t="shared" si="6"/>
        <v>-16477.509999999995</v>
      </c>
      <c r="X29" s="15">
        <f>IFERROR(W29/W444, "NA")</f>
        <v>0.1525973719280275</v>
      </c>
      <c r="Y29" s="2"/>
      <c r="Z29" s="14">
        <f>IFERROR(Z21+Z22+Z23+Z24+Z25+Z26+Z27+Z28, "NA")</f>
        <v>103826.85</v>
      </c>
      <c r="AA29" s="15">
        <f>IFERROR(Z29/Z444, "NA")</f>
        <v>0.10521173736934952</v>
      </c>
      <c r="AB29" s="2"/>
      <c r="AC29" s="14">
        <f t="shared" si="7"/>
        <v>396.83999999999651</v>
      </c>
      <c r="AD29" s="15">
        <f>IFERROR(AC29/AC444, "NA")</f>
        <v>9.0451697781375202E-3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30153.75</v>
      </c>
      <c r="F31" s="8">
        <f>IFERROR(E31/E444, "NA")</f>
        <v>0.19100002014277045</v>
      </c>
      <c r="G31" s="9"/>
      <c r="H31" s="10">
        <f t="shared" ref="H31:H40" si="8">IFERROR(B31-E31, "NA")</f>
        <v>-30153.75</v>
      </c>
      <c r="I31" s="8">
        <f>IFERROR(H31/H444, "NA")</f>
        <v>1.1899143328765005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217489.89</v>
      </c>
      <c r="U31" s="8">
        <f>IFERROR(T31/T444, "NA")</f>
        <v>0.19099999053298569</v>
      </c>
      <c r="V31" s="9"/>
      <c r="W31" s="10">
        <f t="shared" ref="W31:W40" si="10">IFERROR(Q31-T31, "NA")</f>
        <v>-217489.89</v>
      </c>
      <c r="X31" s="8">
        <f>IFERROR(W31/W444, "NA")</f>
        <v>2.0141626759695974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9988.66</v>
      </c>
      <c r="C33" s="8">
        <f>IFERROR(B33/B444, "NA")</f>
        <v>7.5367962326959595E-2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9988.66</v>
      </c>
      <c r="I33" s="8">
        <f>IFERROR(H33/H444, "NA")</f>
        <v>-0.39416821125830737</v>
      </c>
      <c r="J33" s="9"/>
      <c r="K33" s="7">
        <v>10692.95</v>
      </c>
      <c r="L33" s="8">
        <f>IFERROR(K33/K444, "NA")</f>
        <v>7.4504469452955011E-2</v>
      </c>
      <c r="M33" s="9"/>
      <c r="N33" s="10">
        <f t="shared" si="9"/>
        <v>-704.29000000000087</v>
      </c>
      <c r="O33" s="8">
        <f>IFERROR(N33/N444, "NA")</f>
        <v>6.4090395768135647E-2</v>
      </c>
      <c r="P33" s="9"/>
      <c r="Q33" s="7">
        <v>73787.44</v>
      </c>
      <c r="R33" s="8">
        <f>IFERROR(Q33/Q444, "NA")</f>
        <v>7.158892409610973E-2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73787.44</v>
      </c>
      <c r="X33" s="8">
        <f>IFERROR(W33/W444, "NA")</f>
        <v>-0.6833416836219196</v>
      </c>
      <c r="Y33" s="9"/>
      <c r="Z33" s="7">
        <v>55787.88</v>
      </c>
      <c r="AA33" s="8">
        <f>IFERROR(Z33/Z444, "NA")</f>
        <v>5.6532002838887881E-2</v>
      </c>
      <c r="AB33" s="9"/>
      <c r="AC33" s="10">
        <f t="shared" si="11"/>
        <v>17999.560000000005</v>
      </c>
      <c r="AD33" s="8">
        <f>IFERROR(AC33/AC444, "NA")</f>
        <v>0.41026377414518311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721.95</v>
      </c>
      <c r="C35" s="8">
        <f>IFERROR(B35/B444, "NA")</f>
        <v>5.4473673547751631E-3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721.95</v>
      </c>
      <c r="I35" s="8">
        <f>IFERROR(H35/H444, "NA")</f>
        <v>-2.8489280856284528E-2</v>
      </c>
      <c r="J35" s="9"/>
      <c r="K35" s="7">
        <v>1691.98</v>
      </c>
      <c r="L35" s="8">
        <f>IFERROR(K35/K444, "NA")</f>
        <v>1.1789082734419483E-2</v>
      </c>
      <c r="M35" s="9"/>
      <c r="N35" s="10">
        <f t="shared" si="9"/>
        <v>-970.03</v>
      </c>
      <c r="O35" s="8">
        <f>IFERROR(N35/N444, "NA")</f>
        <v>8.8272737944546334E-2</v>
      </c>
      <c r="P35" s="9"/>
      <c r="Q35" s="7">
        <v>10973.09</v>
      </c>
      <c r="R35" s="8">
        <f>IFERROR(Q35/Q444, "NA")</f>
        <v>1.0646143938721557E-2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10973.09</v>
      </c>
      <c r="X35" s="8">
        <f>IFERROR(W35/W444, "NA")</f>
        <v>-0.10162122164876367</v>
      </c>
      <c r="Y35" s="9"/>
      <c r="Z35" s="7">
        <v>3669.87</v>
      </c>
      <c r="AA35" s="8">
        <f>IFERROR(Z35/Z444, "NA")</f>
        <v>3.7188203111204344E-3</v>
      </c>
      <c r="AB35" s="9"/>
      <c r="AC35" s="10">
        <f t="shared" si="11"/>
        <v>7303.22</v>
      </c>
      <c r="AD35" s="8">
        <f>IFERROR(AC35/AC444, "NA")</f>
        <v>0.1664622135548082</v>
      </c>
    </row>
    <row r="36" spans="1:30" ht="16.5" customHeight="1" x14ac:dyDescent="0.45">
      <c r="A36" s="12" t="s">
        <v>36</v>
      </c>
      <c r="B36" s="7">
        <v>8675.8799999999992</v>
      </c>
      <c r="C36" s="8">
        <f>IFERROR(B36/B444, "NA")</f>
        <v>6.5462574258531386E-2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8675.8799999999992</v>
      </c>
      <c r="I36" s="8">
        <f>IFERROR(H36/H444, "NA")</f>
        <v>-0.34236385067583874</v>
      </c>
      <c r="J36" s="9"/>
      <c r="K36" s="7">
        <v>26337.95</v>
      </c>
      <c r="L36" s="8">
        <f>IFERROR(K36/K444, "NA")</f>
        <v>0.1835129680049431</v>
      </c>
      <c r="M36" s="9"/>
      <c r="N36" s="10">
        <f t="shared" si="9"/>
        <v>-17662.07</v>
      </c>
      <c r="O36" s="8">
        <f>IFERROR(N36/N444, "NA")</f>
        <v>1.607248514652365</v>
      </c>
      <c r="P36" s="9"/>
      <c r="Q36" s="7">
        <v>85543.55</v>
      </c>
      <c r="R36" s="8">
        <f>IFERROR(Q36/Q444, "NA")</f>
        <v>8.2994757750936565E-2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85543.55</v>
      </c>
      <c r="X36" s="8">
        <f>IFERROR(W36/W444, "NA")</f>
        <v>-0.79221441318462693</v>
      </c>
      <c r="Y36" s="9"/>
      <c r="Z36" s="7">
        <v>83382.38</v>
      </c>
      <c r="AA36" s="8">
        <f>IFERROR(Z36/Z444, "NA")</f>
        <v>8.4494570198280133E-2</v>
      </c>
      <c r="AB36" s="9"/>
      <c r="AC36" s="10">
        <f t="shared" si="11"/>
        <v>2161.1699999999983</v>
      </c>
      <c r="AD36" s="8">
        <f>IFERROR(AC36/AC444, "NA")</f>
        <v>4.9259524164443153E-2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1009.65</v>
      </c>
      <c r="C39" s="8">
        <f>IFERROR(B39/B444, "NA")</f>
        <v>7.6181653158096038E-3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1009.65</v>
      </c>
      <c r="I39" s="8">
        <f>IFERROR(H39/H444, "NA")</f>
        <v>-3.9842374702607763E-2</v>
      </c>
      <c r="J39" s="9"/>
      <c r="K39" s="7">
        <v>864.48</v>
      </c>
      <c r="L39" s="8">
        <f>IFERROR(K39/K444, "NA")</f>
        <v>6.0233727598736127E-3</v>
      </c>
      <c r="M39" s="9"/>
      <c r="N39" s="10">
        <f t="shared" si="9"/>
        <v>145.16999999999996</v>
      </c>
      <c r="O39" s="8">
        <f>IFERROR(N39/N444, "NA")</f>
        <v>-1.3210471188942393E-2</v>
      </c>
      <c r="P39" s="9"/>
      <c r="Q39" s="7">
        <v>8221.01</v>
      </c>
      <c r="R39" s="8">
        <f>IFERROR(Q39/Q444, "NA")</f>
        <v>7.9760628757869767E-3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8221.01</v>
      </c>
      <c r="X39" s="8">
        <f>IFERROR(W39/W444, "NA")</f>
        <v>-7.6134350432439962E-2</v>
      </c>
      <c r="Y39" s="9"/>
      <c r="Z39" s="7">
        <v>8167.79</v>
      </c>
      <c r="AA39" s="8">
        <f>IFERROR(Z39/Z444, "NA")</f>
        <v>8.2767355107854976E-3</v>
      </c>
      <c r="AB39" s="9"/>
      <c r="AC39" s="10">
        <f t="shared" si="11"/>
        <v>53.220000000000255</v>
      </c>
      <c r="AD39" s="8">
        <f>IFERROR(AC39/AC444, "NA")</f>
        <v>1.2130428777151633E-3</v>
      </c>
    </row>
    <row r="40" spans="1:30" ht="16.5" customHeight="1" x14ac:dyDescent="0.45">
      <c r="A40" s="13" t="s">
        <v>40</v>
      </c>
      <c r="B40" s="14">
        <f>IFERROR(B31+B32+B33+B34+B35+B36+B37+B38+B39, "NA")</f>
        <v>20396.14</v>
      </c>
      <c r="C40" s="15">
        <f>IFERROR(B40/B444, "NA")</f>
        <v>0.15389606925607577</v>
      </c>
      <c r="D40" s="2"/>
      <c r="E40" s="14">
        <f>IFERROR(E31+E32+E33+E34+E35+E36+E37+E38+E39, "NA")</f>
        <v>30153.75</v>
      </c>
      <c r="F40" s="15">
        <f>IFERROR(E40/E444, "NA")</f>
        <v>0.19100002014277045</v>
      </c>
      <c r="G40" s="2"/>
      <c r="H40" s="14">
        <f t="shared" si="8"/>
        <v>-9757.61</v>
      </c>
      <c r="I40" s="15">
        <f>IFERROR(H40/H444, "NA")</f>
        <v>0.38505061538346214</v>
      </c>
      <c r="J40" s="2"/>
      <c r="K40" s="14">
        <f>IFERROR(K31+K32+K33+K34+K35+K36+K37+K38+K39, "NA")</f>
        <v>39587.360000000008</v>
      </c>
      <c r="L40" s="15">
        <f>IFERROR(K40/K444, "NA")</f>
        <v>0.27582989295219124</v>
      </c>
      <c r="M40" s="2"/>
      <c r="N40" s="14">
        <f t="shared" si="9"/>
        <v>-19191.220000000008</v>
      </c>
      <c r="O40" s="15">
        <f>IFERROR(N40/N444, "NA")</f>
        <v>1.7464011771761052</v>
      </c>
      <c r="P40" s="2"/>
      <c r="Q40" s="14">
        <f>IFERROR(Q31+Q32+Q33+Q34+Q35+Q36+Q37+Q38+Q39, "NA")</f>
        <v>178525.09000000003</v>
      </c>
      <c r="R40" s="15">
        <f>IFERROR(Q40/Q444, "NA")</f>
        <v>0.17320588866155484</v>
      </c>
      <c r="S40" s="2"/>
      <c r="T40" s="14">
        <f>IFERROR(T31+T32+T33+T34+T35+T36+T37+T38+T39, "NA")</f>
        <v>217489.89</v>
      </c>
      <c r="U40" s="15">
        <f>IFERROR(T40/T444, "NA")</f>
        <v>0.19099999053298569</v>
      </c>
      <c r="V40" s="2"/>
      <c r="W40" s="14">
        <f t="shared" si="10"/>
        <v>-38964.799999999988</v>
      </c>
      <c r="X40" s="15">
        <f>IFERROR(W40/W444, "NA")</f>
        <v>0.36085100708184709</v>
      </c>
      <c r="Y40" s="2"/>
      <c r="Z40" s="14">
        <f>IFERROR(Z31+Z32+Z33+Z34+Z35+Z36+Z37+Z38+Z39, "NA")</f>
        <v>151007.92000000001</v>
      </c>
      <c r="AA40" s="15">
        <f>IFERROR(Z40/Z444, "NA")</f>
        <v>0.15302212885907396</v>
      </c>
      <c r="AB40" s="2"/>
      <c r="AC40" s="14">
        <f t="shared" si="11"/>
        <v>27517.170000000013</v>
      </c>
      <c r="AD40" s="15">
        <f>IFERROR(AC40/AC444, "NA")</f>
        <v>0.62719855474214981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3711.82</v>
      </c>
      <c r="C43" s="8">
        <f>IFERROR(B43/B444, "NA")</f>
        <v>2.8006990920148966E-2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3711.82</v>
      </c>
      <c r="I43" s="8">
        <f>IFERROR(H43/H444, "NA")</f>
        <v>-0.14647424678713766</v>
      </c>
      <c r="J43" s="9"/>
      <c r="K43" s="7">
        <v>831.2</v>
      </c>
      <c r="L43" s="8">
        <f>IFERROR(K43/K444, "NA")</f>
        <v>5.7914901883293389E-3</v>
      </c>
      <c r="M43" s="9"/>
      <c r="N43" s="10">
        <f>IFERROR(B43-K43, "NA")</f>
        <v>2880.62</v>
      </c>
      <c r="O43" s="8">
        <f>IFERROR(N43/N444, "NA")</f>
        <v>-0.26213644359227967</v>
      </c>
      <c r="P43" s="9"/>
      <c r="Q43" s="7">
        <v>48457.65</v>
      </c>
      <c r="R43" s="8">
        <f>IFERROR(Q43/Q444, "NA")</f>
        <v>4.701384175580358E-2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48457.65</v>
      </c>
      <c r="X43" s="8">
        <f>IFERROR(W43/W444, "NA")</f>
        <v>-0.44876380228615759</v>
      </c>
      <c r="Y43" s="9"/>
      <c r="Z43" s="7">
        <v>831.2</v>
      </c>
      <c r="AA43" s="8">
        <f>IFERROR(Z43/Z444, "NA")</f>
        <v>8.4228690460515102E-4</v>
      </c>
      <c r="AB43" s="9"/>
      <c r="AC43" s="10">
        <f>IFERROR(Q43-Z43, "NA")</f>
        <v>47626.450000000004</v>
      </c>
      <c r="AD43" s="8">
        <f>IFERROR(AC43/AC444, "NA")</f>
        <v>1.0855491537646951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31100.98</v>
      </c>
      <c r="F46" s="8">
        <f>IFERROR(E46/E444, "NA")</f>
        <v>0.19699996870902958</v>
      </c>
      <c r="G46" s="9"/>
      <c r="H46" s="10">
        <f t="shared" ref="H46:H62" si="12">IFERROR(B46-E46, "NA")</f>
        <v>-31100.98</v>
      </c>
      <c r="I46" s="8">
        <f>IFERROR(H46/H444, "NA")</f>
        <v>1.2272935163455752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224322.05</v>
      </c>
      <c r="U46" s="8">
        <f>IFERROR(T46/T444, "NA")</f>
        <v>0.19700000504087772</v>
      </c>
      <c r="V46" s="9"/>
      <c r="W46" s="10">
        <f t="shared" ref="W46:W62" si="14">IFERROR(Q46-T46, "NA")</f>
        <v>-224322.05</v>
      </c>
      <c r="X46" s="8">
        <f>IFERROR(W46/W444, "NA")</f>
        <v>2.0774349580432716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16260.81</v>
      </c>
      <c r="C48" s="8">
        <f>IFERROR(B48/B444, "NA")</f>
        <v>0.12269354602978255</v>
      </c>
      <c r="D48" s="9"/>
      <c r="E48" s="7">
        <v>0</v>
      </c>
      <c r="F48" s="8">
        <f>IFERROR(E48/E444, "NA")</f>
        <v>0</v>
      </c>
      <c r="G48" s="9"/>
      <c r="H48" s="10">
        <f t="shared" si="12"/>
        <v>16260.81</v>
      </c>
      <c r="I48" s="8">
        <f>IFERROR(H48/H444, "NA")</f>
        <v>-0.64167710096361241</v>
      </c>
      <c r="J48" s="9"/>
      <c r="K48" s="7">
        <v>23906.12</v>
      </c>
      <c r="L48" s="8">
        <f>IFERROR(K48/K444, "NA")</f>
        <v>0.16656888765763206</v>
      </c>
      <c r="M48" s="9"/>
      <c r="N48" s="10">
        <f t="shared" si="13"/>
        <v>-7645.3099999999995</v>
      </c>
      <c r="O48" s="8">
        <f>IFERROR(N48/N444, "NA")</f>
        <v>0.69572327261509392</v>
      </c>
      <c r="P48" s="9"/>
      <c r="Q48" s="7">
        <v>122991.66</v>
      </c>
      <c r="R48" s="8">
        <f>IFERROR(Q48/Q444, "NA")</f>
        <v>0.11932709160521811</v>
      </c>
      <c r="S48" s="9"/>
      <c r="T48" s="7">
        <v>0</v>
      </c>
      <c r="U48" s="8">
        <f>IFERROR(T48/T444, "NA")</f>
        <v>0</v>
      </c>
      <c r="V48" s="9"/>
      <c r="W48" s="10">
        <f t="shared" si="14"/>
        <v>122991.66</v>
      </c>
      <c r="X48" s="8">
        <f>IFERROR(W48/W444, "NA")</f>
        <v>-1.1390194322482892</v>
      </c>
      <c r="Y48" s="9"/>
      <c r="Z48" s="7">
        <v>187538.16</v>
      </c>
      <c r="AA48" s="8">
        <f>IFERROR(Z48/Z444, "NA")</f>
        <v>0.19003962497803842</v>
      </c>
      <c r="AB48" s="9"/>
      <c r="AC48" s="10">
        <f t="shared" si="15"/>
        <v>-64546.5</v>
      </c>
      <c r="AD48" s="8">
        <f>IFERROR(AC48/AC444, "NA")</f>
        <v>-1.4712076682908946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1.2467130918690361E-5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-1.1900318854457706E-4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2.928899094069856E-4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2000</v>
      </c>
      <c r="R53" s="8">
        <f>IFERROR(Q53/Q444, "NA")</f>
        <v>1.9404094815082275E-3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-1.8521897049739621E-2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4.5585978117818768E-2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2.2605770459570852E-5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-2.1578010062946659E-4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5.3107664507258867E-4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3.4684819481959567E-5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-3.3107890976409571E-4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8.1484935885601053E-4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5.4525506430381196E-5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-5.2046530709768334E-4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1.2809659851107074E-3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4.9922117848138548E-4</v>
      </c>
      <c r="AB59" s="9"/>
      <c r="AC59" s="10">
        <f t="shared" si="15"/>
        <v>-492.65</v>
      </c>
      <c r="AD59" s="8">
        <f>IFERROR(AC59/AC444, "NA")</f>
        <v>-1.1228966059871708E-2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16260.81</v>
      </c>
      <c r="C61" s="15">
        <f>IFERROR(B61/B444, "NA")</f>
        <v>0.12269354602978255</v>
      </c>
      <c r="D61" s="2"/>
      <c r="E61" s="14">
        <f>IFERROR(E46+E47+E48+E49+E50+E51+E52+E53+E54+E55+E56+E57+E58+E59+E60, "NA")</f>
        <v>31100.98</v>
      </c>
      <c r="F61" s="15">
        <f>IFERROR(E61/E444, "NA")</f>
        <v>0.19699996870902958</v>
      </c>
      <c r="G61" s="2"/>
      <c r="H61" s="14">
        <f t="shared" si="12"/>
        <v>-14840.17</v>
      </c>
      <c r="I61" s="15">
        <f>IFERROR(H61/H444, "NA")</f>
        <v>0.58561641538196263</v>
      </c>
      <c r="J61" s="2"/>
      <c r="K61" s="14">
        <f>IFERROR(K46+K47+K48+K49+K50+K51+K52+K53+K54+K55+K56+K57+K58+K59+K60, "NA")</f>
        <v>23906.12</v>
      </c>
      <c r="L61" s="15">
        <f>IFERROR(K61/K444, "NA")</f>
        <v>0.16656888765763206</v>
      </c>
      <c r="M61" s="2"/>
      <c r="N61" s="14">
        <f t="shared" si="13"/>
        <v>-7645.3099999999995</v>
      </c>
      <c r="O61" s="15">
        <f>IFERROR(N61/N444, "NA")</f>
        <v>0.69572327261509392</v>
      </c>
      <c r="P61" s="2"/>
      <c r="Q61" s="14">
        <f>IFERROR(Q46+Q47+Q48+Q49+Q50+Q51+Q52+Q53+Q54+Q55+Q56+Q57+Q58+Q59+Q60, "NA")</f>
        <v>125119.76000000001</v>
      </c>
      <c r="R61" s="15">
        <f>IFERROR(Q61/Q444, "NA")</f>
        <v>0.12139178431401694</v>
      </c>
      <c r="S61" s="2"/>
      <c r="T61" s="14">
        <f>IFERROR(T46+T47+T48+T49+T50+T51+T52+T53+T54+T55+T56+T57+T58+T59+T60, "NA")</f>
        <v>224322.05</v>
      </c>
      <c r="U61" s="15">
        <f>IFERROR(T61/T444, "NA")</f>
        <v>0.19700000504087772</v>
      </c>
      <c r="V61" s="2"/>
      <c r="W61" s="14">
        <f t="shared" si="14"/>
        <v>-99202.289999999979</v>
      </c>
      <c r="X61" s="15">
        <f>IFERROR(W61/W444, "NA")</f>
        <v>0.91870730123920696</v>
      </c>
      <c r="Y61" s="2"/>
      <c r="Z61" s="14">
        <f>IFERROR(Z46+Z47+Z48+Z49+Z50+Z51+Z52+Z53+Z54+Z55+Z56+Z57+Z58+Z59+Z60, "NA")</f>
        <v>188030.81</v>
      </c>
      <c r="AA61" s="15">
        <f>IFERROR(Z61/Z444, "NA")</f>
        <v>0.19053884615651981</v>
      </c>
      <c r="AB61" s="2"/>
      <c r="AC61" s="14">
        <f t="shared" si="15"/>
        <v>-62911.049999999988</v>
      </c>
      <c r="AD61" s="15">
        <f>IFERROR(AC61/AC444, "NA")</f>
        <v>-1.4339308743345009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19972.63</v>
      </c>
      <c r="C62" s="15">
        <f>IFERROR(B62/B444, "NA")</f>
        <v>0.15070053694993155</v>
      </c>
      <c r="D62" s="2"/>
      <c r="E62" s="14">
        <f>IFERROR(E42+E43+E44+E46+E47+E48+E49+E50+E51+E52+E53+E54+E55+E56+E57+E58+E59+E60, "NA")</f>
        <v>31100.98</v>
      </c>
      <c r="F62" s="15">
        <f>IFERROR(E62/E444, "NA")</f>
        <v>0.19699996870902958</v>
      </c>
      <c r="G62" s="2"/>
      <c r="H62" s="14">
        <f t="shared" si="12"/>
        <v>-11128.349999999999</v>
      </c>
      <c r="I62" s="15">
        <f>IFERROR(H62/H444, "NA")</f>
        <v>0.43914216859482497</v>
      </c>
      <c r="J62" s="2"/>
      <c r="K62" s="14">
        <f>IFERROR(K42+K43+K44+K46+K47+K48+K49+K50+K51+K52+K53+K54+K55+K56+K57+K58+K59+K60, "NA")</f>
        <v>24737.32</v>
      </c>
      <c r="L62" s="15">
        <f>IFERROR(K62/K444, "NA")</f>
        <v>0.17236037784596139</v>
      </c>
      <c r="M62" s="2"/>
      <c r="N62" s="14">
        <f t="shared" si="13"/>
        <v>-4764.6899999999987</v>
      </c>
      <c r="O62" s="15">
        <f>IFERROR(N62/N444, "NA")</f>
        <v>0.43358682902281415</v>
      </c>
      <c r="P62" s="2"/>
      <c r="Q62" s="14">
        <f>IFERROR(Q42+Q43+Q44+Q46+Q47+Q48+Q49+Q50+Q51+Q52+Q53+Q54+Q55+Q56+Q57+Q58+Q59+Q60, "NA")</f>
        <v>173577.41</v>
      </c>
      <c r="R62" s="15">
        <f>IFERROR(Q62/Q444, "NA")</f>
        <v>0.16840562606982051</v>
      </c>
      <c r="S62" s="2"/>
      <c r="T62" s="14">
        <f>IFERROR(T42+T43+T44+T46+T47+T48+T49+T50+T51+T52+T53+T54+T55+T56+T57+T58+T59+T60, "NA")</f>
        <v>224322.05</v>
      </c>
      <c r="U62" s="15">
        <f>IFERROR(T62/T444, "NA")</f>
        <v>0.19700000504087772</v>
      </c>
      <c r="V62" s="2"/>
      <c r="W62" s="14">
        <f t="shared" si="14"/>
        <v>-50744.639999999985</v>
      </c>
      <c r="X62" s="15">
        <f>IFERROR(W62/W444, "NA")</f>
        <v>0.46994349895304943</v>
      </c>
      <c r="Y62" s="2"/>
      <c r="Z62" s="14">
        <f>IFERROR(Z42+Z43+Z44+Z46+Z47+Z48+Z49+Z50+Z51+Z52+Z53+Z54+Z55+Z56+Z57+Z58+Z59+Z60, "NA")</f>
        <v>188862.01</v>
      </c>
      <c r="AA62" s="15">
        <f>IFERROR(Z62/Z444, "NA")</f>
        <v>0.19138113306112498</v>
      </c>
      <c r="AB62" s="2"/>
      <c r="AC62" s="14">
        <f t="shared" si="15"/>
        <v>-15284.600000000006</v>
      </c>
      <c r="AD62" s="15">
        <f>IFERROR(AC62/AC444, "NA")</f>
        <v>-0.34838172056980654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5977.44</v>
      </c>
      <c r="C65" s="8">
        <f>IFERROR(B65/B444, "NA")</f>
        <v>4.5101892819623589E-2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5977.44</v>
      </c>
      <c r="I65" s="8">
        <f>IFERROR(H65/H444, "NA")</f>
        <v>-0.23587917024944854</v>
      </c>
      <c r="J65" s="9"/>
      <c r="K65" s="7">
        <v>0</v>
      </c>
      <c r="L65" s="8">
        <f>IFERROR(K65/K444, "NA")</f>
        <v>0</v>
      </c>
      <c r="M65" s="9"/>
      <c r="N65" s="10">
        <f t="shared" si="17"/>
        <v>5977.44</v>
      </c>
      <c r="O65" s="8">
        <f>IFERROR(N65/N444, "NA")</f>
        <v>-0.54394708895523747</v>
      </c>
      <c r="P65" s="9"/>
      <c r="Q65" s="7">
        <v>21987.88</v>
      </c>
      <c r="R65" s="8">
        <f>IFERROR(Q65/Q444, "NA")</f>
        <v>2.1332745415132564E-2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21987.88</v>
      </c>
      <c r="X65" s="8">
        <f>IFERROR(W65/W444, "NA")</f>
        <v>-0.20362862485101441</v>
      </c>
      <c r="Y65" s="9"/>
      <c r="Z65" s="7">
        <v>1212.95</v>
      </c>
      <c r="AA65" s="8">
        <f>IFERROR(Z65/Z444, "NA")</f>
        <v>1.2291288509875095E-3</v>
      </c>
      <c r="AB65" s="9"/>
      <c r="AC65" s="10">
        <f t="shared" si="19"/>
        <v>20774.93</v>
      </c>
      <c r="AD65" s="8">
        <f>IFERROR(AC65/AC444, "NA")</f>
        <v>0.47352275218960838</v>
      </c>
    </row>
    <row r="66" spans="1:30" ht="16.5" customHeight="1" x14ac:dyDescent="0.45">
      <c r="A66" s="12" t="s">
        <v>63</v>
      </c>
      <c r="B66" s="7">
        <v>5416.86</v>
      </c>
      <c r="C66" s="8">
        <f>IFERROR(B66/B444, "NA")</f>
        <v>4.0872119024014664E-2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5416.86</v>
      </c>
      <c r="I66" s="8">
        <f>IFERROR(H66/H444, "NA")</f>
        <v>-0.2137578030323061</v>
      </c>
      <c r="J66" s="9"/>
      <c r="K66" s="7">
        <v>0</v>
      </c>
      <c r="L66" s="8">
        <f>IFERROR(K66/K444, "NA")</f>
        <v>0</v>
      </c>
      <c r="M66" s="9"/>
      <c r="N66" s="10">
        <f t="shared" si="17"/>
        <v>5416.86</v>
      </c>
      <c r="O66" s="8">
        <f>IFERROR(N66/N444, "NA")</f>
        <v>-0.49293430436408697</v>
      </c>
      <c r="P66" s="9"/>
      <c r="Q66" s="7">
        <v>45279.98</v>
      </c>
      <c r="R66" s="8">
        <f>IFERROR(Q66/Q444, "NA")</f>
        <v>4.3930851257251456E-2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45279.98</v>
      </c>
      <c r="X66" s="8">
        <f>IFERROR(W66/W444, "NA")</f>
        <v>-0.41933556398713456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45279.98</v>
      </c>
      <c r="AD66" s="8">
        <f>IFERROR(AC66/AC444, "NA")</f>
        <v>1.0320660887276358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3076.85</v>
      </c>
      <c r="C68" s="8">
        <f>IFERROR(B68/B444, "NA")</f>
        <v>2.3215918339968087E-2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3076.85</v>
      </c>
      <c r="I68" s="8">
        <f>IFERROR(H68/H444, "NA")</f>
        <v>-0.12141733333701647</v>
      </c>
      <c r="J68" s="9"/>
      <c r="K68" s="7">
        <v>0</v>
      </c>
      <c r="L68" s="8">
        <f>IFERROR(K68/K444, "NA")</f>
        <v>0</v>
      </c>
      <c r="M68" s="9"/>
      <c r="N68" s="10">
        <f t="shared" si="17"/>
        <v>3076.85</v>
      </c>
      <c r="O68" s="8">
        <f>IFERROR(N68/N444, "NA")</f>
        <v>-0.27999337519940354</v>
      </c>
      <c r="P68" s="9"/>
      <c r="Q68" s="7">
        <v>9056.9699999999993</v>
      </c>
      <c r="R68" s="8">
        <f>IFERROR(Q68/Q444, "NA")</f>
        <v>8.7871152308677848E-3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9056.9699999999993</v>
      </c>
      <c r="X68" s="8">
        <f>IFERROR(W68/W444, "NA")</f>
        <v>-8.3876132961290123E-2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9056.9699999999993</v>
      </c>
      <c r="AD68" s="8">
        <f>IFERROR(AC68/AC444, "NA")</f>
        <v>0.20643541811687052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14471.15</v>
      </c>
      <c r="C73" s="15">
        <f>IFERROR(B73/B444, "NA")</f>
        <v>0.10918993018360634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14471.15</v>
      </c>
      <c r="I73" s="15">
        <f>IFERROR(H73/H444, "NA")</f>
        <v>-0.5710543066187711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14471.15</v>
      </c>
      <c r="O73" s="15">
        <f>IFERROR(N73/N444, "NA")</f>
        <v>-1.3168747685187281</v>
      </c>
      <c r="P73" s="2"/>
      <c r="Q73" s="14">
        <f>IFERROR(Q64+Q65+Q66+Q67+Q68+Q69+Q70+Q71+Q72, "NA")</f>
        <v>76324.83</v>
      </c>
      <c r="R73" s="15">
        <f>IFERROR(Q73/Q444, "NA")</f>
        <v>7.4050711903251798E-2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76324.83</v>
      </c>
      <c r="X73" s="15">
        <f>IFERROR(W73/W444, "NA")</f>
        <v>-0.70684032179943901</v>
      </c>
      <c r="Y73" s="2"/>
      <c r="Z73" s="14">
        <f>IFERROR(Z64+Z65+Z66+Z67+Z68+Z69+Z70+Z71+Z72, "NA")</f>
        <v>1212.95</v>
      </c>
      <c r="AA73" s="15">
        <f>IFERROR(Z73/Z444, "NA")</f>
        <v>1.2291288509875095E-3</v>
      </c>
      <c r="AB73" s="2"/>
      <c r="AC73" s="14">
        <f t="shared" si="19"/>
        <v>75111.88</v>
      </c>
      <c r="AD73" s="15">
        <f>IFERROR(AC73/AC444, "NA")</f>
        <v>1.7120242590341148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2368.1</v>
      </c>
      <c r="F75" s="8">
        <f>IFERROR(E75/E444, "NA")</f>
        <v>1.5000029770761338E-2</v>
      </c>
      <c r="G75" s="9"/>
      <c r="H75" s="10">
        <f t="shared" ref="H75:H92" si="20">IFERROR(B75-E75, "NA")</f>
        <v>-2368.1</v>
      </c>
      <c r="I75" s="8">
        <f>IFERROR(H75/H444, "NA")</f>
        <v>9.3448945211950116E-2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17080.36</v>
      </c>
      <c r="U75" s="8">
        <f>IFERROR(T75/T444, "NA")</f>
        <v>1.5000001141662205E-2</v>
      </c>
      <c r="V75" s="9"/>
      <c r="W75" s="10">
        <f t="shared" ref="W75:W92" si="22">IFERROR(Q75-T75, "NA")</f>
        <v>-17080.36</v>
      </c>
      <c r="X75" s="8">
        <f>IFERROR(W75/W444, "NA")</f>
        <v>0.15818033474624532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288.7</v>
      </c>
      <c r="C77" s="8">
        <f>IFERROR(B77/B444, "NA")</f>
        <v>2.1783433136970559E-3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288.7</v>
      </c>
      <c r="I77" s="8">
        <f>IFERROR(H77/H444, "NA")</f>
        <v>-1.1392555416870063E-2</v>
      </c>
      <c r="J77" s="9"/>
      <c r="K77" s="7">
        <v>140.13</v>
      </c>
      <c r="L77" s="8">
        <f>IFERROR(K77/K444, "NA")</f>
        <v>9.7637333985874661E-4</v>
      </c>
      <c r="M77" s="9"/>
      <c r="N77" s="10">
        <f t="shared" si="21"/>
        <v>148.57</v>
      </c>
      <c r="O77" s="8">
        <f>IFERROR(N77/N444, "NA")</f>
        <v>-1.3519871216788397E-2</v>
      </c>
      <c r="P77" s="9"/>
      <c r="Q77" s="7">
        <v>4253.1899999999996</v>
      </c>
      <c r="R77" s="8">
        <f>IFERROR(Q77/Q444, "NA")</f>
        <v>4.1264651013279887E-3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4253.1899999999996</v>
      </c>
      <c r="X77" s="8">
        <f>IFERROR(W77/W444, "NA")</f>
        <v>-3.9388573656491024E-2</v>
      </c>
      <c r="Y77" s="9"/>
      <c r="Z77" s="7">
        <v>726.17</v>
      </c>
      <c r="AA77" s="8">
        <f>IFERROR(Z77/Z444, "NA")</f>
        <v>7.3585596910144665E-4</v>
      </c>
      <c r="AB77" s="9"/>
      <c r="AC77" s="10">
        <f t="shared" si="23"/>
        <v>3527.0199999999995</v>
      </c>
      <c r="AD77" s="8">
        <f>IFERROR(AC77/AC444, "NA")</f>
        <v>8.0391328270554563E-2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4.5448228671247617E-5</v>
      </c>
      <c r="AB79" s="9"/>
      <c r="AC79" s="10">
        <f t="shared" si="23"/>
        <v>-44.85</v>
      </c>
      <c r="AD79" s="8">
        <f>IFERROR(AC79/AC444, "NA")</f>
        <v>-1.022265559292086E-3</v>
      </c>
    </row>
    <row r="80" spans="1:30" ht="16.5" customHeight="1" x14ac:dyDescent="0.45">
      <c r="A80" s="12" t="s">
        <v>76</v>
      </c>
      <c r="B80" s="7">
        <v>1680.29</v>
      </c>
      <c r="C80" s="8">
        <f>IFERROR(B80/B444, "NA")</f>
        <v>1.2678380625465972E-2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1680.29</v>
      </c>
      <c r="I80" s="8">
        <f>IFERROR(H80/H444, "NA")</f>
        <v>-6.6306882374134402E-2</v>
      </c>
      <c r="J80" s="9"/>
      <c r="K80" s="7">
        <v>2157.1999999999998</v>
      </c>
      <c r="L80" s="8">
        <f>IFERROR(K80/K444, "NA")</f>
        <v>1.5030561398296496E-2</v>
      </c>
      <c r="M80" s="9"/>
      <c r="N80" s="10">
        <f t="shared" si="21"/>
        <v>-476.90999999999985</v>
      </c>
      <c r="O80" s="8">
        <f>IFERROR(N80/N444, "NA")</f>
        <v>4.3398813905893202E-2</v>
      </c>
      <c r="P80" s="9"/>
      <c r="Q80" s="7">
        <v>10576.34</v>
      </c>
      <c r="R80" s="8">
        <f>IFERROR(Q80/Q444, "NA")</f>
        <v>1.0261215207827364E-2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10576.34</v>
      </c>
      <c r="X80" s="8">
        <f>IFERROR(W80/W444, "NA")</f>
        <v>-9.7946940321521569E-2</v>
      </c>
      <c r="Y80" s="9"/>
      <c r="Z80" s="7">
        <v>12882.2</v>
      </c>
      <c r="AA80" s="8">
        <f>IFERROR(Z80/Z444, "NA")</f>
        <v>1.3054028347575164E-2</v>
      </c>
      <c r="AB80" s="9"/>
      <c r="AC80" s="10">
        <f t="shared" si="23"/>
        <v>-2305.8600000000006</v>
      </c>
      <c r="AD80" s="8">
        <f>IFERROR(AC80/AC444, "NA")</f>
        <v>-5.2557441751376804E-2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1968.99</v>
      </c>
      <c r="C88" s="15">
        <f>IFERROR(B88/B444, "NA")</f>
        <v>1.4856723939163029E-2</v>
      </c>
      <c r="D88" s="2"/>
      <c r="E88" s="14">
        <f>IFERROR(E75+E76+E77+E78+E79+E80+E81+E82+E83+E84+E85+E86+E87, "NA")</f>
        <v>2368.1</v>
      </c>
      <c r="F88" s="15">
        <f>IFERROR(E88/E444, "NA")</f>
        <v>1.5000029770761338E-2</v>
      </c>
      <c r="G88" s="2"/>
      <c r="H88" s="14">
        <f t="shared" si="20"/>
        <v>-399.1099999999999</v>
      </c>
      <c r="I88" s="15">
        <f>IFERROR(H88/H444, "NA")</f>
        <v>1.5749507420945653E-2</v>
      </c>
      <c r="J88" s="2"/>
      <c r="K88" s="14">
        <f>IFERROR(K75+K76+K77+K78+K79+K80+K81+K82+K83+K84+K85+K86+K87, "NA")</f>
        <v>2297.33</v>
      </c>
      <c r="L88" s="15">
        <f>IFERROR(K88/K444, "NA")</f>
        <v>1.6006934738155246E-2</v>
      </c>
      <c r="M88" s="2"/>
      <c r="N88" s="14">
        <f t="shared" si="21"/>
        <v>-328.33999999999992</v>
      </c>
      <c r="O88" s="15">
        <f>IFERROR(N88/N444, "NA")</f>
        <v>2.987894268910481E-2</v>
      </c>
      <c r="P88" s="2"/>
      <c r="Q88" s="14">
        <f>IFERROR(Q75+Q76+Q77+Q78+Q79+Q80+Q81+Q82+Q83+Q84+Q85+Q86+Q87, "NA")</f>
        <v>14829.529999999999</v>
      </c>
      <c r="R88" s="15">
        <f>IFERROR(Q88/Q444, "NA")</f>
        <v>1.4387680309155351E-2</v>
      </c>
      <c r="S88" s="2"/>
      <c r="T88" s="14">
        <f>IFERROR(T75+T76+T77+T78+T79+T80+T81+T82+T83+T84+T85+T86+T87, "NA")</f>
        <v>17080.36</v>
      </c>
      <c r="U88" s="15">
        <f>IFERROR(T88/T444, "NA")</f>
        <v>1.5000001141662205E-2</v>
      </c>
      <c r="V88" s="2"/>
      <c r="W88" s="14">
        <f t="shared" si="22"/>
        <v>-2250.8300000000017</v>
      </c>
      <c r="X88" s="15">
        <f>IFERROR(W88/W444, "NA")</f>
        <v>2.0844820768232731E-2</v>
      </c>
      <c r="Y88" s="2"/>
      <c r="Z88" s="14">
        <f>IFERROR(Z75+Z76+Z77+Z78+Z79+Z80+Z81+Z82+Z83+Z84+Z85+Z86+Z87, "NA")</f>
        <v>13653.220000000001</v>
      </c>
      <c r="AA88" s="15">
        <f>IFERROR(Z88/Z444, "NA")</f>
        <v>1.3835332545347858E-2</v>
      </c>
      <c r="AB88" s="2"/>
      <c r="AC88" s="14">
        <f t="shared" si="23"/>
        <v>1176.3099999999977</v>
      </c>
      <c r="AD88" s="15">
        <f>IFERROR(AC88/AC444, "NA")</f>
        <v>2.6811620959885644E-2</v>
      </c>
    </row>
    <row r="89" spans="1:30" ht="16.5" customHeight="1" x14ac:dyDescent="0.45">
      <c r="A89" s="6" t="s">
        <v>85</v>
      </c>
      <c r="B89" s="7">
        <v>-5.45</v>
      </c>
      <c r="C89" s="8">
        <f>IFERROR(B89/B444, "NA")</f>
        <v>-4.1122172011253742E-5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-5.45</v>
      </c>
      <c r="I89" s="8">
        <f>IFERROR(H89/H444, "NA")</f>
        <v>2.1506555948022811E-4</v>
      </c>
      <c r="J89" s="9"/>
      <c r="K89" s="7">
        <v>-104.74</v>
      </c>
      <c r="L89" s="8">
        <f>IFERROR(K89/K444, "NA")</f>
        <v>-7.2978907883254921E-4</v>
      </c>
      <c r="M89" s="9"/>
      <c r="N89" s="10">
        <f t="shared" si="21"/>
        <v>99.289999999999992</v>
      </c>
      <c r="O89" s="8">
        <f>IFERROR(N89/N444, "NA")</f>
        <v>-9.0353908131851641E-3</v>
      </c>
      <c r="P89" s="9"/>
      <c r="Q89" s="7">
        <v>55.14</v>
      </c>
      <c r="R89" s="8">
        <f>IFERROR(Q89/Q444, "NA")</f>
        <v>5.3497089405181832E-5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55.14</v>
      </c>
      <c r="X89" s="8">
        <f>IFERROR(W89/W444, "NA")</f>
        <v>-5.1064870166132132E-4</v>
      </c>
      <c r="Y89" s="9"/>
      <c r="Z89" s="7">
        <v>196.58</v>
      </c>
      <c r="AA89" s="8">
        <f>IFERROR(Z89/Z444, "NA")</f>
        <v>1.992020689452365E-4</v>
      </c>
      <c r="AB89" s="9"/>
      <c r="AC89" s="10">
        <f t="shared" si="23"/>
        <v>-141.44</v>
      </c>
      <c r="AD89" s="8">
        <f>IFERROR(AC89/AC444, "NA")</f>
        <v>-3.2238403724921434E-3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-6788.54</v>
      </c>
      <c r="F94" s="8">
        <f>IFERROR(E94/E444, "NA")</f>
        <v>-4.3000000886788639E-2</v>
      </c>
      <c r="G94" s="9"/>
      <c r="H94" s="10">
        <f t="shared" ref="H94:H124" si="24">IFERROR(B94-E94, "NA")</f>
        <v>6788.54</v>
      </c>
      <c r="I94" s="8">
        <f>IFERROR(H94/H444, "NA")</f>
        <v>-0.26788645011998308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-48963.7</v>
      </c>
      <c r="U94" s="8">
        <f>IFERROR(T94/T444, "NA")</f>
        <v>-4.3000004443700585E-2</v>
      </c>
      <c r="V94" s="9"/>
      <c r="W94" s="10">
        <f t="shared" ref="W94:W124" si="26">IFERROR(Q94-T94, "NA")</f>
        <v>48963.7</v>
      </c>
      <c r="X94" s="8">
        <f>IFERROR(W94/W444, "NA")</f>
        <v>-0.4534503052871679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-1617.7</v>
      </c>
      <c r="C96" s="8">
        <f>IFERROR(B96/B444, "NA")</f>
        <v>-1.2206117002312876E-2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-1617.7</v>
      </c>
      <c r="I96" s="8">
        <f>IFERROR(H96/H444, "NA")</f>
        <v>6.3836982673608253E-2</v>
      </c>
      <c r="J96" s="9"/>
      <c r="K96" s="7">
        <v>-572.54</v>
      </c>
      <c r="L96" s="8">
        <f>IFERROR(K96/K444, "NA")</f>
        <v>-3.9892442161045226E-3</v>
      </c>
      <c r="M96" s="9"/>
      <c r="N96" s="10">
        <f t="shared" si="25"/>
        <v>-1045.1600000000001</v>
      </c>
      <c r="O96" s="8">
        <f>IFERROR(N96/N444, "NA")</f>
        <v>9.5109568559861093E-2</v>
      </c>
      <c r="P96" s="9"/>
      <c r="Q96" s="7">
        <v>-9882.0300000000007</v>
      </c>
      <c r="R96" s="8">
        <f>IFERROR(Q96/Q444, "NA")</f>
        <v>-9.5875923542743744E-3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-9882.0300000000007</v>
      </c>
      <c r="X96" s="8">
        <f>IFERROR(W96/W444, "NA")</f>
        <v>9.151697115121922E-2</v>
      </c>
      <c r="Y96" s="9"/>
      <c r="Z96" s="7">
        <v>-10049.32</v>
      </c>
      <c r="AA96" s="8">
        <f>IFERROR(Z96/Z444, "NA")</f>
        <v>-1.0183362170580648E-2</v>
      </c>
      <c r="AB96" s="9"/>
      <c r="AC96" s="10">
        <f t="shared" si="27"/>
        <v>167.28999999999905</v>
      </c>
      <c r="AD96" s="8">
        <f>IFERROR(AC96/AC444, "NA")</f>
        <v>3.8130391396649292E-3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-2892.31</v>
      </c>
      <c r="C98" s="8">
        <f>IFERROR(B98/B444, "NA")</f>
        <v>-2.1823498959609049E-2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-2892.31</v>
      </c>
      <c r="I98" s="8">
        <f>IFERROR(H98/H444, "NA")</f>
        <v>0.11413509510830432</v>
      </c>
      <c r="J98" s="9"/>
      <c r="K98" s="7">
        <v>-4528.3100000000004</v>
      </c>
      <c r="L98" s="8">
        <f>IFERROR(K98/K444, "NA")</f>
        <v>-3.1551567534544793E-2</v>
      </c>
      <c r="M98" s="9"/>
      <c r="N98" s="10">
        <f t="shared" si="25"/>
        <v>1636.0000000000005</v>
      </c>
      <c r="O98" s="8">
        <f>IFERROR(N98/N444, "NA")</f>
        <v>-0.14887601339884113</v>
      </c>
      <c r="P98" s="9"/>
      <c r="Q98" s="7">
        <v>-25724.02</v>
      </c>
      <c r="R98" s="8">
        <f>IFERROR(Q98/Q444, "NA")</f>
        <v>-2.4957566155253637E-2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-25724.02</v>
      </c>
      <c r="X98" s="8">
        <f>IFERROR(W98/W444, "NA")</f>
        <v>0.2382288250727215</v>
      </c>
      <c r="Y98" s="9"/>
      <c r="Z98" s="7">
        <v>-26067.439999999999</v>
      </c>
      <c r="AA98" s="8">
        <f>IFERROR(Z98/Z444, "NA")</f>
        <v>-2.64151387735569E-2</v>
      </c>
      <c r="AB98" s="9"/>
      <c r="AC98" s="10">
        <f t="shared" si="27"/>
        <v>343.41999999999825</v>
      </c>
      <c r="AD98" s="8">
        <f>IFERROR(AC98/AC444, "NA")</f>
        <v>7.8275683026106206E-3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-90.42</v>
      </c>
      <c r="C100" s="8">
        <f>IFERROR(B100/B444, "NA")</f>
        <v>-6.8225078775368132E-4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-90.42</v>
      </c>
      <c r="I100" s="8">
        <f>IFERROR(H100/H444, "NA")</f>
        <v>3.568115208844445E-3</v>
      </c>
      <c r="J100" s="9"/>
      <c r="K100" s="7">
        <v>-30.12</v>
      </c>
      <c r="L100" s="8">
        <f>IFERROR(K100/K444, "NA")</f>
        <v>-2.098648754481228E-4</v>
      </c>
      <c r="M100" s="9"/>
      <c r="N100" s="10">
        <f t="shared" si="25"/>
        <v>-60.3</v>
      </c>
      <c r="O100" s="8">
        <f>IFERROR(N100/N444, "NA")</f>
        <v>5.4873004938570391E-3</v>
      </c>
      <c r="P100" s="9"/>
      <c r="Q100" s="7">
        <v>-3356.69</v>
      </c>
      <c r="R100" s="8">
        <f>IFERROR(Q100/Q444, "NA")</f>
        <v>-3.2566765512419263E-3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-3356.69</v>
      </c>
      <c r="X100" s="8">
        <f>IFERROR(W100/W444, "NA")</f>
        <v>3.1086133303945242E-2</v>
      </c>
      <c r="Y100" s="9"/>
      <c r="Z100" s="7">
        <v>-2653.09</v>
      </c>
      <c r="AA100" s="8">
        <f>IFERROR(Z100/Z444, "NA")</f>
        <v>-2.6884780603210782E-3</v>
      </c>
      <c r="AB100" s="9"/>
      <c r="AC100" s="10">
        <f t="shared" si="27"/>
        <v>-703.59999999999991</v>
      </c>
      <c r="AD100" s="8">
        <f>IFERROR(AC100/AC444, "NA")</f>
        <v>-1.6037147101848642E-2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-359.08</v>
      </c>
      <c r="C102" s="8">
        <f>IFERROR(B102/B444, "NA")</f>
        <v>-2.7093852340919254E-3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-359.08</v>
      </c>
      <c r="I102" s="8">
        <f>IFERROR(H102/H444, "NA")</f>
        <v>1.4169860751956019E-2</v>
      </c>
      <c r="J102" s="9"/>
      <c r="K102" s="7">
        <v>-257.07</v>
      </c>
      <c r="L102" s="8">
        <f>IFERROR(K102/K444, "NA")</f>
        <v>-1.7911674479232711E-3</v>
      </c>
      <c r="M102" s="9"/>
      <c r="N102" s="10">
        <f t="shared" si="25"/>
        <v>-102.00999999999999</v>
      </c>
      <c r="O102" s="8">
        <f>IFERROR(N102/N444, "NA")</f>
        <v>9.2829108354619671E-3</v>
      </c>
      <c r="P102" s="9"/>
      <c r="Q102" s="7">
        <v>-2513.62</v>
      </c>
      <c r="R102" s="8">
        <f>IFERROR(Q102/Q444, "NA")</f>
        <v>-2.4387260404543551E-3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-2513.62</v>
      </c>
      <c r="X102" s="8">
        <f>IFERROR(W102/W444, "NA")</f>
        <v>2.327850543108325E-2</v>
      </c>
      <c r="Y102" s="9"/>
      <c r="Z102" s="7">
        <v>-2664.45</v>
      </c>
      <c r="AA102" s="8">
        <f>IFERROR(Z102/Z444, "NA")</f>
        <v>-2.6999895849075966E-3</v>
      </c>
      <c r="AB102" s="9"/>
      <c r="AC102" s="10">
        <f t="shared" si="27"/>
        <v>150.82999999999993</v>
      </c>
      <c r="AD102" s="8">
        <f>IFERROR(AC102/AC444, "NA")</f>
        <v>3.4378665397553007E-3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-1340.65</v>
      </c>
      <c r="C104" s="8">
        <f>IFERROR(B104/B444, "NA")</f>
        <v>-1.011567704713529E-2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-1340.65</v>
      </c>
      <c r="I104" s="8">
        <f>IFERROR(H104/H444, "NA")</f>
        <v>5.2904154553608772E-2</v>
      </c>
      <c r="J104" s="9"/>
      <c r="K104" s="7">
        <v>-657.06</v>
      </c>
      <c r="L104" s="8">
        <f>IFERROR(K104/K444, "NA")</f>
        <v>-4.5781479104230931E-3</v>
      </c>
      <c r="M104" s="9"/>
      <c r="N104" s="10">
        <f t="shared" si="25"/>
        <v>-683.59000000000015</v>
      </c>
      <c r="O104" s="8">
        <f>IFERROR(N104/N444, "NA")</f>
        <v>6.2206695598602563E-2</v>
      </c>
      <c r="P104" s="9"/>
      <c r="Q104" s="7">
        <v>-7259.31</v>
      </c>
      <c r="R104" s="8">
        <f>IFERROR(Q104/Q444, "NA")</f>
        <v>-7.0430169766037458E-3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-7259.31</v>
      </c>
      <c r="X104" s="8">
        <f>IFERROR(W104/W444, "NA")</f>
        <v>6.7228096236072662E-2</v>
      </c>
      <c r="Y104" s="9"/>
      <c r="Z104" s="7">
        <v>-10177.61</v>
      </c>
      <c r="AA104" s="8">
        <f>IFERROR(Z104/Z444, "NA")</f>
        <v>-1.0313363358010624E-2</v>
      </c>
      <c r="AB104" s="9"/>
      <c r="AC104" s="10">
        <f t="shared" si="27"/>
        <v>2918.3</v>
      </c>
      <c r="AD104" s="8">
        <f>IFERROR(AC104/AC444, "NA")</f>
        <v>6.6516779970615267E-2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-113.99</v>
      </c>
      <c r="C106" s="8">
        <f>IFERROR(B106/B444, "NA")</f>
        <v>-8.6009475001152548E-4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-113.99</v>
      </c>
      <c r="I106" s="8">
        <f>IFERROR(H106/H444, "NA")</f>
        <v>4.4982244266332473E-3</v>
      </c>
      <c r="J106" s="9"/>
      <c r="K106" s="7">
        <v>-270.75</v>
      </c>
      <c r="L106" s="8">
        <f>IFERROR(K106/K444, "NA")</f>
        <v>-1.8864845626686338E-3</v>
      </c>
      <c r="M106" s="9"/>
      <c r="N106" s="10">
        <f t="shared" si="25"/>
        <v>156.76</v>
      </c>
      <c r="O106" s="8">
        <f>IFERROR(N106/N444, "NA")</f>
        <v>-1.4265161283864503E-2</v>
      </c>
      <c r="P106" s="9"/>
      <c r="Q106" s="7">
        <v>-259.08999999999997</v>
      </c>
      <c r="R106" s="8">
        <f>IFERROR(Q106/Q444, "NA")</f>
        <v>-2.5137034628198329E-4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-259.08999999999997</v>
      </c>
      <c r="X106" s="8">
        <f>IFERROR(W106/W444, "NA")</f>
        <v>2.3994191533085189E-3</v>
      </c>
      <c r="Y106" s="9"/>
      <c r="Z106" s="7">
        <v>-2867.45</v>
      </c>
      <c r="AA106" s="8">
        <f>IFERROR(Z106/Z444, "NA")</f>
        <v>-2.9056972865857075E-3</v>
      </c>
      <c r="AB106" s="9"/>
      <c r="AC106" s="10">
        <f t="shared" si="27"/>
        <v>2608.3599999999997</v>
      </c>
      <c r="AD106" s="8">
        <f>IFERROR(AC106/AC444, "NA")</f>
        <v>5.9452320941696876E-2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-5.0666921595593773E-6</v>
      </c>
      <c r="AB108" s="9"/>
      <c r="AC108" s="10">
        <f t="shared" si="27"/>
        <v>5</v>
      </c>
      <c r="AD108" s="8">
        <f>IFERROR(AC108/AC444, "NA")</f>
        <v>1.1396494529454693E-4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-6414.15</v>
      </c>
      <c r="C118" s="15">
        <f>IFERROR(B118/B444, "NA")</f>
        <v>-4.8397023780914344E-2</v>
      </c>
      <c r="D118" s="2"/>
      <c r="E118" s="14">
        <f>IFERROR(E94+E95+E96+E97+E98+E99+E100+E101+E102+E103+E104+E105+E106+E107+E108+E109+E110+E111+E112+E113+E114+E115+E116+E117, "NA")</f>
        <v>-6788.54</v>
      </c>
      <c r="F118" s="15">
        <f>IFERROR(E118/E444, "NA")</f>
        <v>-4.3000000886788639E-2</v>
      </c>
      <c r="G118" s="2"/>
      <c r="H118" s="14">
        <f t="shared" si="24"/>
        <v>374.39000000000033</v>
      </c>
      <c r="I118" s="15">
        <f>IFERROR(H118/H444, "NA")</f>
        <v>-1.4774017397028012E-2</v>
      </c>
      <c r="J118" s="2"/>
      <c r="K118" s="14">
        <f>IFERROR(K94+K95+K96+K97+K98+K99+K100+K101+K102+K103+K104+K105+K106+K107+K108+K109+K110+K111+K112+K113+K114+K115+K116+K117, "NA")</f>
        <v>-6315.85</v>
      </c>
      <c r="L118" s="15">
        <f>IFERROR(K118/K444, "NA")</f>
        <v>-4.4006476547112434E-2</v>
      </c>
      <c r="M118" s="2"/>
      <c r="N118" s="14">
        <f t="shared" si="25"/>
        <v>-98.299999999999272</v>
      </c>
      <c r="O118" s="15">
        <f>IFERROR(N118/N444, "NA")</f>
        <v>8.9453008050769979E-3</v>
      </c>
      <c r="P118" s="2"/>
      <c r="Q118" s="14">
        <f>IFERROR(Q94+Q95+Q96+Q97+Q98+Q99+Q100+Q101+Q102+Q103+Q104+Q105+Q106+Q107+Q108+Q109+Q110+Q111+Q112+Q113+Q114+Q115+Q116+Q117, "NA")</f>
        <v>-48994.76</v>
      </c>
      <c r="R118" s="15">
        <f>IFERROR(Q118/Q444, "NA")</f>
        <v>-4.7534948424110025E-2</v>
      </c>
      <c r="S118" s="2"/>
      <c r="T118" s="14">
        <f>IFERROR(T94+T95+T96+T97+T98+T99+T100+T101+T102+T103+T104+T105+T106+T107+T108+T109+T110+T111+T112+T113+T114+T115+T116+T117, "NA")</f>
        <v>-48963.7</v>
      </c>
      <c r="U118" s="15">
        <f>IFERROR(T118/T444, "NA")</f>
        <v>-4.3000004443700585E-2</v>
      </c>
      <c r="V118" s="2"/>
      <c r="W118" s="14">
        <f t="shared" si="26"/>
        <v>-31.060000000004948</v>
      </c>
      <c r="X118" s="15">
        <f>IFERROR(W118/W444, "NA")</f>
        <v>2.876450611825021E-4</v>
      </c>
      <c r="Y118" s="2"/>
      <c r="Z118" s="14">
        <f>IFERROR(Z94+Z95+Z96+Z97+Z98+Z99+Z100+Z101+Z102+Z103+Z104+Z105+Z106+Z107+Z108+Z109+Z110+Z111+Z112+Z113+Z114+Z115+Z116+Z117, "NA")</f>
        <v>-54484.359999999986</v>
      </c>
      <c r="AA118" s="15">
        <f>IFERROR(Z118/Z444, "NA")</f>
        <v>-5.5211095926122097E-2</v>
      </c>
      <c r="AB118" s="2"/>
      <c r="AC118" s="14">
        <f t="shared" si="27"/>
        <v>5489.599999999984</v>
      </c>
      <c r="AD118" s="15">
        <f>IFERROR(AC118/AC444, "NA")</f>
        <v>0.12512439273778858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132531.91000000003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157873.02000000002</v>
      </c>
      <c r="F122" s="15">
        <f>IFERROR(E122/E444, "NA")</f>
        <v>1.0000000000000002</v>
      </c>
      <c r="G122" s="2"/>
      <c r="H122" s="14">
        <f t="shared" si="24"/>
        <v>-25341.109999999986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143520.92000000001</v>
      </c>
      <c r="L122" s="15">
        <f>IFERROR(K122/K444, "NA")</f>
        <v>1</v>
      </c>
      <c r="M122" s="2"/>
      <c r="N122" s="14">
        <f t="shared" si="25"/>
        <v>-10989.00999999998</v>
      </c>
      <c r="O122" s="15">
        <f>IFERROR(N122/N444, "NA")</f>
        <v>0.99999999999999734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1030710.28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1138690.58</v>
      </c>
      <c r="U122" s="15">
        <f>IFERROR(T122/T444, "NA")</f>
        <v>1</v>
      </c>
      <c r="V122" s="2"/>
      <c r="W122" s="14">
        <f t="shared" si="26"/>
        <v>-107980.30000000005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986837.14000000025</v>
      </c>
      <c r="AA122" s="15">
        <f>IFERROR(Z122/Z444, "NA")</f>
        <v>1.0000000000000002</v>
      </c>
      <c r="AB122" s="2"/>
      <c r="AC122" s="14">
        <f t="shared" si="27"/>
        <v>43873.139999999781</v>
      </c>
      <c r="AD122" s="15">
        <f>IFERROR(AC122/AC444, "NA")</f>
        <v>0.99999999999999467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132531.91000000003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157873.02000000002</v>
      </c>
      <c r="F124" s="15">
        <f>IFERROR(E124/E444, "NA")</f>
        <v>1.0000000000000002</v>
      </c>
      <c r="G124" s="2"/>
      <c r="H124" s="14">
        <f t="shared" si="24"/>
        <v>-25341.109999999986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143520.92000000001</v>
      </c>
      <c r="L124" s="15">
        <f>IFERROR(K124/K444, "NA")</f>
        <v>1</v>
      </c>
      <c r="M124" s="2"/>
      <c r="N124" s="14">
        <f t="shared" si="25"/>
        <v>-10989.00999999998</v>
      </c>
      <c r="O124" s="15">
        <f>IFERROR(N124/N444, "NA")</f>
        <v>0.99999999999999734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1030710.28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1138690.58</v>
      </c>
      <c r="U124" s="15">
        <f>IFERROR(T124/T444, "NA")</f>
        <v>1</v>
      </c>
      <c r="V124" s="2"/>
      <c r="W124" s="14">
        <f t="shared" si="26"/>
        <v>-107980.30000000005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986837.14000000025</v>
      </c>
      <c r="AA124" s="15">
        <f>IFERROR(Z124/Z444, "NA")</f>
        <v>1.0000000000000002</v>
      </c>
      <c r="AB124" s="2"/>
      <c r="AC124" s="14">
        <f t="shared" si="27"/>
        <v>43873.139999999781</v>
      </c>
      <c r="AD124" s="15">
        <f>IFERROR(AC124/AC444, "NA")</f>
        <v>0.99999999999999467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35047.81</v>
      </c>
      <c r="F129" s="8">
        <f>IFERROR(E129/E444, "NA")</f>
        <v>0.22199999721295</v>
      </c>
      <c r="G129" s="9"/>
      <c r="H129" s="10">
        <f t="shared" ref="H129:H141" si="28">IFERROR(-(B129-E129), "NA")</f>
        <v>35047.81</v>
      </c>
      <c r="I129" s="8">
        <f>IFERROR(H129/H444, "NA")</f>
        <v>-1.3830416268269234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261646.18</v>
      </c>
      <c r="U129" s="8">
        <f>IFERROR(T129/T444, "NA")</f>
        <v>0.22977811935530368</v>
      </c>
      <c r="V129" s="9"/>
      <c r="W129" s="10">
        <f t="shared" ref="W129:W141" si="30">IFERROR(-(Q129-T129), "NA")</f>
        <v>261646.18</v>
      </c>
      <c r="X129" s="8">
        <f>IFERROR(W129/W444, "NA")</f>
        <v>-2.4230918047088208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6941.04</v>
      </c>
      <c r="C130" s="8">
        <f>IFERROR(B130/B444, "NA")</f>
        <v>5.2372594645319757E-2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-6941.04</v>
      </c>
      <c r="I130" s="8">
        <f>IFERROR(H130/H444, "NA")</f>
        <v>0.27390433962837474</v>
      </c>
      <c r="J130" s="9"/>
      <c r="K130" s="7">
        <v>9522.5</v>
      </c>
      <c r="L130" s="8">
        <f>IFERROR(K130/K444, "NA")</f>
        <v>6.6349212365695534E-2</v>
      </c>
      <c r="M130" s="9"/>
      <c r="N130" s="10">
        <f t="shared" si="29"/>
        <v>2581.46</v>
      </c>
      <c r="O130" s="8">
        <f>IFERROR(N130/N444, "NA")</f>
        <v>-0.23491288114215911</v>
      </c>
      <c r="P130" s="9"/>
      <c r="Q130" s="7">
        <v>58873.17</v>
      </c>
      <c r="R130" s="8">
        <f>IFERROR(Q130/Q444, "NA")</f>
        <v>5.7119028637222867E-2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-58873.17</v>
      </c>
      <c r="X130" s="8">
        <f>IFERROR(W130/W444, "NA")</f>
        <v>0.54522139686590954</v>
      </c>
      <c r="Y130" s="9"/>
      <c r="Z130" s="7">
        <v>67076.039999999994</v>
      </c>
      <c r="AA130" s="8">
        <f>IFERROR(Z130/Z444, "NA")</f>
        <v>6.7970729192458237E-2</v>
      </c>
      <c r="AB130" s="9"/>
      <c r="AC130" s="10">
        <f t="shared" si="31"/>
        <v>8202.8699999999953</v>
      </c>
      <c r="AD130" s="8">
        <f>IFERROR(AC130/AC444, "NA")</f>
        <v>0.18696792616165592</v>
      </c>
    </row>
    <row r="131" spans="1:30" ht="16.5" customHeight="1" x14ac:dyDescent="0.45">
      <c r="A131" s="12" t="s">
        <v>123</v>
      </c>
      <c r="B131" s="7">
        <v>3204.86</v>
      </c>
      <c r="C131" s="8">
        <f>IFERROR(B131/B444, "NA")</f>
        <v>2.4181798934309481E-2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-3204.86</v>
      </c>
      <c r="I131" s="8">
        <f>IFERROR(H131/H444, "NA")</f>
        <v>0.12646880898271631</v>
      </c>
      <c r="J131" s="9"/>
      <c r="K131" s="7">
        <v>3955.93</v>
      </c>
      <c r="L131" s="8">
        <f>IFERROR(K131/K444, "NA")</f>
        <v>2.7563438138495763E-2</v>
      </c>
      <c r="M131" s="9"/>
      <c r="N131" s="10">
        <f t="shared" si="29"/>
        <v>751.06999999999971</v>
      </c>
      <c r="O131" s="8">
        <f>IFERROR(N131/N444, "NA")</f>
        <v>-6.8347376151263767E-2</v>
      </c>
      <c r="P131" s="9"/>
      <c r="Q131" s="7">
        <v>32338.86</v>
      </c>
      <c r="R131" s="8">
        <f>IFERROR(Q131/Q444, "NA")</f>
        <v>3.1375315282583575E-2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-32338.86</v>
      </c>
      <c r="X131" s="8">
        <f>IFERROR(W131/W444, "NA")</f>
        <v>0.29948851781297131</v>
      </c>
      <c r="Y131" s="9"/>
      <c r="Z131" s="7">
        <v>32418.2</v>
      </c>
      <c r="AA131" s="8">
        <f>IFERROR(Z131/Z444, "NA")</f>
        <v>3.2850607953405567E-2</v>
      </c>
      <c r="AB131" s="9"/>
      <c r="AC131" s="10">
        <f t="shared" si="31"/>
        <v>79.340000000000146</v>
      </c>
      <c r="AD131" s="8">
        <f>IFERROR(AC131/AC444, "NA")</f>
        <v>1.8083957519338739E-3</v>
      </c>
    </row>
    <row r="132" spans="1:30" ht="16.5" customHeight="1" x14ac:dyDescent="0.45">
      <c r="A132" s="12" t="s">
        <v>124</v>
      </c>
      <c r="B132" s="7">
        <v>6902.42</v>
      </c>
      <c r="C132" s="8">
        <f>IFERROR(B132/B444, "NA")</f>
        <v>5.2081193125489554E-2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-6902.42</v>
      </c>
      <c r="I132" s="8">
        <f>IFERROR(H132/H444, "NA")</f>
        <v>0.27238033377385618</v>
      </c>
      <c r="J132" s="9"/>
      <c r="K132" s="7">
        <v>5286.53</v>
      </c>
      <c r="L132" s="8">
        <f>IFERROR(K132/K444, "NA")</f>
        <v>3.6834560425058588E-2</v>
      </c>
      <c r="M132" s="9"/>
      <c r="N132" s="10">
        <f t="shared" si="29"/>
        <v>-1615.8900000000003</v>
      </c>
      <c r="O132" s="8">
        <f>IFERROR(N132/N444, "NA")</f>
        <v>0.14704600323414019</v>
      </c>
      <c r="P132" s="9"/>
      <c r="Q132" s="7">
        <v>48650.89</v>
      </c>
      <c r="R132" s="8">
        <f>IFERROR(Q132/Q444, "NA")</f>
        <v>4.7201324119906907E-2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-48650.89</v>
      </c>
      <c r="X132" s="8">
        <f>IFERROR(W132/W444, "NA")</f>
        <v>0.45055338797910338</v>
      </c>
      <c r="Y132" s="9"/>
      <c r="Z132" s="7">
        <v>34199.46</v>
      </c>
      <c r="AA132" s="8">
        <f>IFERROR(Z132/Z444, "NA")</f>
        <v>3.4655627168632908E-2</v>
      </c>
      <c r="AB132" s="9"/>
      <c r="AC132" s="10">
        <f t="shared" si="31"/>
        <v>-14451.43</v>
      </c>
      <c r="AD132" s="8">
        <f>IFERROR(AC132/AC444, "NA")</f>
        <v>-0.32939128587559485</v>
      </c>
    </row>
    <row r="133" spans="1:30" ht="16.5" customHeight="1" x14ac:dyDescent="0.45">
      <c r="A133" s="12" t="s">
        <v>125</v>
      </c>
      <c r="B133" s="7">
        <v>2922.3</v>
      </c>
      <c r="C133" s="8">
        <f>IFERROR(B133/B444, "NA")</f>
        <v>2.2049784085960884E-2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-2922.3</v>
      </c>
      <c r="I133" s="8">
        <f>IFERROR(H133/H444, "NA")</f>
        <v>0.11531854760900379</v>
      </c>
      <c r="J133" s="9"/>
      <c r="K133" s="7">
        <v>3400.31</v>
      </c>
      <c r="L133" s="8">
        <f>IFERROR(K133/K444, "NA")</f>
        <v>2.3692086143260505E-2</v>
      </c>
      <c r="M133" s="9"/>
      <c r="N133" s="10">
        <f t="shared" si="29"/>
        <v>478.00999999999976</v>
      </c>
      <c r="O133" s="8">
        <f>IFERROR(N133/N444, "NA")</f>
        <v>-4.3498913914902196E-2</v>
      </c>
      <c r="P133" s="9"/>
      <c r="Q133" s="7">
        <v>26497.81</v>
      </c>
      <c r="R133" s="8">
        <f>IFERROR(Q133/Q444, "NA")</f>
        <v>2.5708300881601764E-2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-26497.81</v>
      </c>
      <c r="X133" s="8">
        <f>IFERROR(W133/W444, "NA")</f>
        <v>0.24539485443178052</v>
      </c>
      <c r="Y133" s="9"/>
      <c r="Z133" s="7">
        <v>22700.77</v>
      </c>
      <c r="AA133" s="8">
        <f>IFERROR(Z133/Z444, "NA")</f>
        <v>2.3003562674992147E-2</v>
      </c>
      <c r="AB133" s="9"/>
      <c r="AC133" s="10">
        <f t="shared" si="31"/>
        <v>-3797.0400000000009</v>
      </c>
      <c r="AD133" s="8">
        <f>IFERROR(AC133/AC444, "NA")</f>
        <v>-8.6545891176241313E-2</v>
      </c>
    </row>
    <row r="134" spans="1:30" ht="16.5" customHeight="1" x14ac:dyDescent="0.45">
      <c r="A134" s="12" t="s">
        <v>126</v>
      </c>
      <c r="B134" s="7">
        <v>1200.43</v>
      </c>
      <c r="C134" s="8">
        <f>IFERROR(B134/B444, "NA")</f>
        <v>9.0576676967833638E-3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-1200.43</v>
      </c>
      <c r="I134" s="8">
        <f>IFERROR(H134/H444, "NA")</f>
        <v>4.7370853131532151E-2</v>
      </c>
      <c r="J134" s="9"/>
      <c r="K134" s="7">
        <v>1780.8</v>
      </c>
      <c r="L134" s="8">
        <f>IFERROR(K134/K444, "NA")</f>
        <v>1.2407947217729651E-2</v>
      </c>
      <c r="M134" s="9"/>
      <c r="N134" s="10">
        <f t="shared" si="29"/>
        <v>580.36999999999989</v>
      </c>
      <c r="O134" s="8">
        <f>IFERROR(N134/N444, "NA")</f>
        <v>-5.281367475323067E-2</v>
      </c>
      <c r="P134" s="9"/>
      <c r="Q134" s="7">
        <v>9666.83</v>
      </c>
      <c r="R134" s="8">
        <f>IFERROR(Q134/Q444, "NA")</f>
        <v>9.3788042940640883E-3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-9666.83</v>
      </c>
      <c r="X134" s="8">
        <f>IFERROR(W134/W444, "NA")</f>
        <v>8.9524015028667234E-2</v>
      </c>
      <c r="Y134" s="9"/>
      <c r="Z134" s="7">
        <v>12507.82</v>
      </c>
      <c r="AA134" s="8">
        <f>IFERROR(Z134/Z444, "NA")</f>
        <v>1.2674654705435995E-2</v>
      </c>
      <c r="AB134" s="9"/>
      <c r="AC134" s="10">
        <f t="shared" si="31"/>
        <v>2840.99</v>
      </c>
      <c r="AD134" s="8">
        <f>IFERROR(AC134/AC444, "NA")</f>
        <v>6.475465398647097E-2</v>
      </c>
    </row>
    <row r="135" spans="1:30" ht="16.5" customHeight="1" x14ac:dyDescent="0.45">
      <c r="A135" s="12" t="s">
        <v>127</v>
      </c>
      <c r="B135" s="7">
        <v>1200.47</v>
      </c>
      <c r="C135" s="8">
        <f>IFERROR(B135/B444, "NA")</f>
        <v>9.0579695108898677E-3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-1200.47</v>
      </c>
      <c r="I135" s="8">
        <f>IFERROR(H135/H444, "NA")</f>
        <v>4.7372431594354024E-2</v>
      </c>
      <c r="J135" s="9"/>
      <c r="K135" s="7">
        <v>1022.41</v>
      </c>
      <c r="L135" s="8">
        <f>IFERROR(K135/K444, "NA")</f>
        <v>7.12376983090688E-3</v>
      </c>
      <c r="M135" s="9"/>
      <c r="N135" s="10">
        <f t="shared" si="29"/>
        <v>-178.06000000000006</v>
      </c>
      <c r="O135" s="8">
        <f>IFERROR(N135/N444, "NA")</f>
        <v>1.6203461458311523E-2</v>
      </c>
      <c r="P135" s="9"/>
      <c r="Q135" s="7">
        <v>8037.72</v>
      </c>
      <c r="R135" s="8">
        <f>IFERROR(Q135/Q444, "NA")</f>
        <v>7.7982340488541553E-3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-8037.72</v>
      </c>
      <c r="X135" s="8">
        <f>IFERROR(W135/W444, "NA")</f>
        <v>7.4436911177316573E-2</v>
      </c>
      <c r="Y135" s="9"/>
      <c r="Z135" s="7">
        <v>7883.81</v>
      </c>
      <c r="AA135" s="8">
        <f>IFERROR(Z135/Z444, "NA")</f>
        <v>7.9889676628911634E-3</v>
      </c>
      <c r="AB135" s="9"/>
      <c r="AC135" s="10">
        <f t="shared" si="31"/>
        <v>-153.90999999999985</v>
      </c>
      <c r="AD135" s="8">
        <f>IFERROR(AC135/AC444, "NA")</f>
        <v>-3.5080689460567399E-3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1128.32</v>
      </c>
      <c r="L136" s="8">
        <f>IFERROR(K136/K444, "NA")</f>
        <v>7.8617110313952826E-3</v>
      </c>
      <c r="M136" s="9"/>
      <c r="N136" s="10">
        <f t="shared" si="29"/>
        <v>1128.32</v>
      </c>
      <c r="O136" s="8">
        <f>IFERROR(N136/N444, "NA")</f>
        <v>-0.10267712924094154</v>
      </c>
      <c r="P136" s="9"/>
      <c r="Q136" s="7">
        <v>5225.92</v>
      </c>
      <c r="R136" s="8">
        <f>IFERROR(Q136/Q444, "NA")</f>
        <v>5.0702123588017385E-3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4.8396976115087642E-2</v>
      </c>
      <c r="Y136" s="9"/>
      <c r="Z136" s="7">
        <v>8503.34</v>
      </c>
      <c r="AA136" s="8">
        <f>IFERROR(Z136/Z444, "NA")</f>
        <v>8.6167612216135284E-3</v>
      </c>
      <c r="AB136" s="9"/>
      <c r="AC136" s="10">
        <f t="shared" si="31"/>
        <v>3277.42</v>
      </c>
      <c r="AD136" s="8">
        <f>IFERROR(AC136/AC444, "NA")</f>
        <v>7.4702198201450798E-2</v>
      </c>
    </row>
    <row r="137" spans="1:30" ht="16.5" customHeight="1" x14ac:dyDescent="0.45">
      <c r="A137" s="12" t="s">
        <v>129</v>
      </c>
      <c r="B137" s="7">
        <v>511.16</v>
      </c>
      <c r="C137" s="8">
        <f>IFERROR(B137/B444, "NA")</f>
        <v>3.8568824670224705E-3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-511.16</v>
      </c>
      <c r="I137" s="8">
        <f>IFERROR(H137/H444, "NA")</f>
        <v>2.0171176400718055E-2</v>
      </c>
      <c r="J137" s="9"/>
      <c r="K137" s="7">
        <v>804</v>
      </c>
      <c r="L137" s="8">
        <f>IFERROR(K137/K444, "NA")</f>
        <v>5.6019707788941145E-3</v>
      </c>
      <c r="M137" s="9"/>
      <c r="N137" s="10">
        <f t="shared" si="29"/>
        <v>292.83999999999997</v>
      </c>
      <c r="O137" s="8">
        <f>IFERROR(N137/N444, "NA")</f>
        <v>-2.6648442398359791E-2</v>
      </c>
      <c r="P137" s="9"/>
      <c r="Q137" s="7">
        <v>5473.9</v>
      </c>
      <c r="R137" s="8">
        <f>IFERROR(Q137/Q444, "NA")</f>
        <v>5.3108037304139431E-3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-5473.9</v>
      </c>
      <c r="X137" s="8">
        <f>IFERROR(W137/W444, "NA")</f>
        <v>5.0693506130284852E-2</v>
      </c>
      <c r="Y137" s="9"/>
      <c r="Z137" s="7">
        <v>5337.51</v>
      </c>
      <c r="AA137" s="8">
        <f>IFERROR(Z137/Z444, "NA")</f>
        <v>5.4087040137139547E-3</v>
      </c>
      <c r="AB137" s="9"/>
      <c r="AC137" s="10">
        <f t="shared" si="31"/>
        <v>-136.38999999999942</v>
      </c>
      <c r="AD137" s="8">
        <f>IFERROR(AC137/AC444, "NA")</f>
        <v>-3.1087357777446378E-3</v>
      </c>
    </row>
    <row r="138" spans="1:30" ht="16.5" customHeight="1" x14ac:dyDescent="0.45">
      <c r="A138" s="12" t="s">
        <v>130</v>
      </c>
      <c r="B138" s="7">
        <v>7888.36</v>
      </c>
      <c r="C138" s="8">
        <f>IFERROR(B138/B444, "NA")</f>
        <v>5.9520458129668538E-2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-7888.36</v>
      </c>
      <c r="I138" s="8">
        <f>IFERROR(H138/H444, "NA")</f>
        <v>0.31128707463879851</v>
      </c>
      <c r="J138" s="9"/>
      <c r="K138" s="7">
        <v>8203.1299999999992</v>
      </c>
      <c r="L138" s="8">
        <f>IFERROR(K138/K444, "NA")</f>
        <v>5.7156336511778205E-2</v>
      </c>
      <c r="M138" s="9"/>
      <c r="N138" s="10">
        <f t="shared" si="29"/>
        <v>314.76999999999953</v>
      </c>
      <c r="O138" s="8">
        <f>IFERROR(N138/N444, "NA")</f>
        <v>-2.8644072577966466E-2</v>
      </c>
      <c r="P138" s="9"/>
      <c r="Q138" s="7">
        <v>63893.83</v>
      </c>
      <c r="R138" s="8">
        <f>IFERROR(Q138/Q444, "NA")</f>
        <v>6.199009677093742E-2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-63893.83</v>
      </c>
      <c r="X138" s="8">
        <f>IFERROR(W138/W444, "NA")</f>
        <v>0.59171747068678249</v>
      </c>
      <c r="Y138" s="9"/>
      <c r="Z138" s="7">
        <v>49762.78</v>
      </c>
      <c r="AA138" s="8">
        <f>IFERROR(Z138/Z444, "NA")</f>
        <v>5.0426537452775644E-2</v>
      </c>
      <c r="AB138" s="9"/>
      <c r="AC138" s="10">
        <f t="shared" si="31"/>
        <v>-14131.050000000003</v>
      </c>
      <c r="AD138" s="8">
        <f>IFERROR(AC138/AC444, "NA")</f>
        <v>-0.32208886804090153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1.2569449909434905E-4</v>
      </c>
      <c r="AB140" s="9"/>
      <c r="AC140" s="10">
        <f t="shared" si="31"/>
        <v>124.04</v>
      </c>
      <c r="AD140" s="8">
        <f>IFERROR(AC140/AC444, "NA")</f>
        <v>2.8272423628671202E-3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30771.040000000001</v>
      </c>
      <c r="C141" s="15">
        <f>IFERROR(B141/B444, "NA")</f>
        <v>0.23217834859544392</v>
      </c>
      <c r="D141" s="2"/>
      <c r="E141" s="14">
        <f>IFERROR(E129+E130+E131+E132+E133+E134+E135+E136+E137+E138+E139+E140, "NA")</f>
        <v>35047.81</v>
      </c>
      <c r="F141" s="15">
        <f>IFERROR(E141/E444, "NA")</f>
        <v>0.22199999721295</v>
      </c>
      <c r="G141" s="2"/>
      <c r="H141" s="14">
        <f t="shared" si="28"/>
        <v>4276.7699999999968</v>
      </c>
      <c r="I141" s="15">
        <f>IFERROR(H141/H444, "NA")</f>
        <v>-0.16876806106756961</v>
      </c>
      <c r="J141" s="2"/>
      <c r="K141" s="14">
        <f>IFERROR(K129+K130+K131+K132+K133+K134+K135+K136+K137+K138+K139+K140, "NA")</f>
        <v>35103.93</v>
      </c>
      <c r="L141" s="15">
        <f>IFERROR(K141/K444, "NA")</f>
        <v>0.24459103244321453</v>
      </c>
      <c r="M141" s="2"/>
      <c r="N141" s="14">
        <f t="shared" si="29"/>
        <v>4332.8899999999994</v>
      </c>
      <c r="O141" s="15">
        <f>IFERROR(N141/N444, "NA")</f>
        <v>-0.39429302548637191</v>
      </c>
      <c r="P141" s="2"/>
      <c r="Q141" s="14">
        <f>IFERROR(Q129+Q130+Q131+Q132+Q133+Q134+Q135+Q136+Q137+Q138+Q139+Q140, "NA")</f>
        <v>258658.93</v>
      </c>
      <c r="R141" s="15">
        <f>IFERROR(Q141/Q444, "NA")</f>
        <v>0.25095212012438645</v>
      </c>
      <c r="S141" s="2"/>
      <c r="T141" s="14">
        <f>IFERROR(T129+T130+T131+T132+T133+T134+T135+T136+T137+T138+T139+T140, "NA")</f>
        <v>261646.18</v>
      </c>
      <c r="U141" s="15">
        <f>IFERROR(T141/T444, "NA")</f>
        <v>0.22977811935530368</v>
      </c>
      <c r="V141" s="2"/>
      <c r="W141" s="14">
        <f t="shared" si="30"/>
        <v>2987.25</v>
      </c>
      <c r="X141" s="15">
        <f>IFERROR(W141/W444, "NA")</f>
        <v>-2.766476848091734E-2</v>
      </c>
      <c r="Y141" s="2"/>
      <c r="Z141" s="14">
        <f>IFERROR(Z129+Z130+Z131+Z132+Z133+Z134+Z135+Z136+Z137+Z138+Z139+Z140, "NA")</f>
        <v>240513.77</v>
      </c>
      <c r="AA141" s="15">
        <f>IFERROR(Z141/Z444, "NA")</f>
        <v>0.24372184654501347</v>
      </c>
      <c r="AB141" s="2"/>
      <c r="AC141" s="14">
        <f t="shared" si="31"/>
        <v>-18145.160000000003</v>
      </c>
      <c r="AD141" s="15">
        <f>IFERROR(AC141/AC444, "NA")</f>
        <v>-0.41358243335216027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2823.23</v>
      </c>
      <c r="C144" s="8">
        <f>IFERROR(B144/B444, "NA")</f>
        <v>2.1302265997675578E-2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-2823.23</v>
      </c>
      <c r="I144" s="8">
        <f>IFERROR(H144/H444, "NA")</f>
        <v>0.11140908981492924</v>
      </c>
      <c r="J144" s="9"/>
      <c r="K144" s="7">
        <v>1498.49</v>
      </c>
      <c r="L144" s="8">
        <f>IFERROR(K144/K444, "NA")</f>
        <v>1.0440916906051048E-2</v>
      </c>
      <c r="M144" s="9"/>
      <c r="N144" s="10">
        <f t="shared" si="33"/>
        <v>-1324.74</v>
      </c>
      <c r="O144" s="8">
        <f>IFERROR(N144/N444, "NA")</f>
        <v>0.12055135084962147</v>
      </c>
      <c r="P144" s="9"/>
      <c r="Q144" s="7">
        <v>15965.46</v>
      </c>
      <c r="R144" s="8">
        <f>IFERROR(Q144/Q444, "NA")</f>
        <v>1.5489764980320172E-2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-15965.46</v>
      </c>
      <c r="X144" s="8">
        <f>IFERROR(W144/W444, "NA")</f>
        <v>0.14785530323586796</v>
      </c>
      <c r="Y144" s="9"/>
      <c r="Z144" s="7">
        <v>11524.34</v>
      </c>
      <c r="AA144" s="8">
        <f>IFERROR(Z144/Z444, "NA")</f>
        <v>1.1678056624419304E-2</v>
      </c>
      <c r="AB144" s="9"/>
      <c r="AC144" s="10">
        <f t="shared" si="35"/>
        <v>-4441.119999999999</v>
      </c>
      <c r="AD144" s="8">
        <f>IFERROR(AC144/AC444, "NA")</f>
        <v>-0.10122639956930363</v>
      </c>
    </row>
    <row r="145" spans="1:30" ht="16.5" customHeight="1" x14ac:dyDescent="0.45">
      <c r="A145" s="12" t="s">
        <v>136</v>
      </c>
      <c r="B145" s="7">
        <v>87.69</v>
      </c>
      <c r="C145" s="8">
        <f>IFERROR(B145/B444, "NA")</f>
        <v>6.6165197498474135E-4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-87.69</v>
      </c>
      <c r="I145" s="8">
        <f>IFERROR(H145/H444, "NA")</f>
        <v>3.4603851212515967E-3</v>
      </c>
      <c r="J145" s="9"/>
      <c r="K145" s="7">
        <v>298.12</v>
      </c>
      <c r="L145" s="8">
        <f>IFERROR(K145/K444, "NA")</f>
        <v>2.0771884684128278E-3</v>
      </c>
      <c r="M145" s="9"/>
      <c r="N145" s="10">
        <f t="shared" si="33"/>
        <v>210.43</v>
      </c>
      <c r="O145" s="8">
        <f>IFERROR(N145/N444, "NA")</f>
        <v>-1.914913172342184E-2</v>
      </c>
      <c r="P145" s="9"/>
      <c r="Q145" s="7">
        <v>519.36</v>
      </c>
      <c r="R145" s="8">
        <f>IFERROR(Q145/Q444, "NA")</f>
        <v>5.0388553415805647E-4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-519.36</v>
      </c>
      <c r="X145" s="8">
        <f>IFERROR(W145/W444, "NA")</f>
        <v>4.8097662258763845E-3</v>
      </c>
      <c r="Y145" s="9"/>
      <c r="Z145" s="7">
        <v>936.71</v>
      </c>
      <c r="AA145" s="8">
        <f>IFERROR(Z145/Z444, "NA")</f>
        <v>9.49204242556173E-4</v>
      </c>
      <c r="AB145" s="9"/>
      <c r="AC145" s="10">
        <f t="shared" si="35"/>
        <v>417.35</v>
      </c>
      <c r="AD145" s="8">
        <f>IFERROR(AC145/AC444, "NA")</f>
        <v>9.5126539837358318E-3</v>
      </c>
    </row>
    <row r="146" spans="1:30" ht="16.5" customHeight="1" x14ac:dyDescent="0.45">
      <c r="A146" s="12" t="s">
        <v>137</v>
      </c>
      <c r="B146" s="7">
        <v>9.0399999999999991</v>
      </c>
      <c r="C146" s="8">
        <f>IFERROR(B146/B444, "NA")</f>
        <v>6.8209988070042896E-5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-9.0399999999999991</v>
      </c>
      <c r="I146" s="8">
        <f>IFERROR(H146/H444, "NA")</f>
        <v>3.5673259774335081E-4</v>
      </c>
      <c r="J146" s="9"/>
      <c r="K146" s="7">
        <v>170.04</v>
      </c>
      <c r="L146" s="8">
        <f>IFERROR(K146/K444, "NA")</f>
        <v>1.1847750139840239E-3</v>
      </c>
      <c r="M146" s="9"/>
      <c r="N146" s="10">
        <f t="shared" si="33"/>
        <v>161</v>
      </c>
      <c r="O146" s="8">
        <f>IFERROR(N146/N444, "NA")</f>
        <v>-1.4651001318590106E-2</v>
      </c>
      <c r="P146" s="9"/>
      <c r="Q146" s="7">
        <v>902.41</v>
      </c>
      <c r="R146" s="8">
        <f>IFERROR(Q146/Q444, "NA")</f>
        <v>8.755224601039197E-4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-902.41</v>
      </c>
      <c r="X146" s="8">
        <f>IFERROR(W146/W444, "NA")</f>
        <v>8.3571725583277655E-3</v>
      </c>
      <c r="Y146" s="9"/>
      <c r="Z146" s="7">
        <v>1960.81</v>
      </c>
      <c r="AA146" s="8">
        <f>IFERROR(Z146/Z444, "NA")</f>
        <v>1.9869641306771244E-3</v>
      </c>
      <c r="AB146" s="9"/>
      <c r="AC146" s="10">
        <f t="shared" si="35"/>
        <v>1058.4000000000001</v>
      </c>
      <c r="AD146" s="8">
        <f>IFERROR(AC146/AC444, "NA")</f>
        <v>2.4124099619949695E-2</v>
      </c>
    </row>
    <row r="147" spans="1:30" ht="16.5" customHeight="1" x14ac:dyDescent="0.45">
      <c r="A147" s="12" t="s">
        <v>138</v>
      </c>
      <c r="B147" s="7">
        <v>25.5</v>
      </c>
      <c r="C147" s="8">
        <f>IFERROR(B147/B444, "NA")</f>
        <v>1.9240649289669181E-4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-25.5</v>
      </c>
      <c r="I147" s="8">
        <f>IFERROR(H147/H444, "NA")</f>
        <v>1.0062700489441865E-3</v>
      </c>
      <c r="J147" s="9"/>
      <c r="K147" s="7">
        <v>38.53</v>
      </c>
      <c r="L147" s="8">
        <f>IFERROR(K147/K444, "NA")</f>
        <v>2.6846260461541076E-4</v>
      </c>
      <c r="M147" s="9"/>
      <c r="N147" s="10">
        <f t="shared" si="33"/>
        <v>13.030000000000001</v>
      </c>
      <c r="O147" s="8">
        <f>IFERROR(N147/N444, "NA")</f>
        <v>-1.1857301067157086E-3</v>
      </c>
      <c r="P147" s="9"/>
      <c r="Q147" s="7">
        <v>135.29</v>
      </c>
      <c r="R147" s="8">
        <f>IFERROR(Q147/Q444, "NA")</f>
        <v>1.3125899937662403E-4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-135.29</v>
      </c>
      <c r="X147" s="8">
        <f>IFERROR(W147/W444, "NA")</f>
        <v>1.2529137259296365E-3</v>
      </c>
      <c r="Y147" s="9"/>
      <c r="Z147" s="7">
        <v>297.64999999999998</v>
      </c>
      <c r="AA147" s="8">
        <f>IFERROR(Z147/Z444, "NA")</f>
        <v>3.0162018425856972E-4</v>
      </c>
      <c r="AB147" s="9"/>
      <c r="AC147" s="10">
        <f t="shared" si="35"/>
        <v>162.35999999999999</v>
      </c>
      <c r="AD147" s="8">
        <f>IFERROR(AC147/AC444, "NA")</f>
        <v>3.7006697036045273E-3</v>
      </c>
    </row>
    <row r="148" spans="1:30" ht="16.5" customHeight="1" x14ac:dyDescent="0.45">
      <c r="A148" s="13" t="s">
        <v>139</v>
      </c>
      <c r="B148" s="14">
        <f>IFERROR(B143+B144+B145+B146+B147, "NA")</f>
        <v>2945.46</v>
      </c>
      <c r="C148" s="15">
        <f>IFERROR(B148/B444, "NA")</f>
        <v>2.2224534453627053E-2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-2945.46</v>
      </c>
      <c r="I148" s="15">
        <f>IFERROR(H148/H444, "NA")</f>
        <v>0.11623247758286838</v>
      </c>
      <c r="J148" s="2"/>
      <c r="K148" s="14">
        <f>IFERROR(K143+K144+K145+K146+K147, "NA")</f>
        <v>2005.18</v>
      </c>
      <c r="L148" s="15">
        <f>IFERROR(K148/K444, "NA")</f>
        <v>1.397134299306331E-2</v>
      </c>
      <c r="M148" s="2"/>
      <c r="N148" s="14">
        <f t="shared" si="33"/>
        <v>-940.28</v>
      </c>
      <c r="O148" s="15">
        <f>IFERROR(N148/N444, "NA")</f>
        <v>8.5565487700893825E-2</v>
      </c>
      <c r="P148" s="2"/>
      <c r="Q148" s="14">
        <f>IFERROR(Q143+Q144+Q145+Q146+Q147, "NA")</f>
        <v>17522.52</v>
      </c>
      <c r="R148" s="15">
        <f>IFERROR(Q148/Q444, "NA")</f>
        <v>1.7000431973958775E-2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-17522.52</v>
      </c>
      <c r="X148" s="15">
        <f>IFERROR(W148/W444, "NA")</f>
        <v>0.16227515574600176</v>
      </c>
      <c r="Y148" s="2"/>
      <c r="Z148" s="14">
        <f>IFERROR(Z143+Z144+Z145+Z146+Z147, "NA")</f>
        <v>14719.509999999998</v>
      </c>
      <c r="AA148" s="15">
        <f>IFERROR(Z148/Z444, "NA")</f>
        <v>1.4915845181911169E-2</v>
      </c>
      <c r="AB148" s="2"/>
      <c r="AC148" s="14">
        <f t="shared" si="35"/>
        <v>-2803.010000000002</v>
      </c>
      <c r="AD148" s="15">
        <f>IFERROR(AC148/AC444, "NA")</f>
        <v>-6.3888976262013647E-2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33716.500000000007</v>
      </c>
      <c r="C149" s="15">
        <f>IFERROR(B149/B444, "NA")</f>
        <v>0.25440288304907105</v>
      </c>
      <c r="D149" s="2"/>
      <c r="E149" s="14">
        <f>IFERROR(E127+E129+E130+E131+E132+E133+E134+E135+E136+E137+E138+E139+E140+E143+E144+E145+E146+E147, "NA")</f>
        <v>35047.81</v>
      </c>
      <c r="F149" s="15">
        <f>IFERROR(E149/E444, "NA")</f>
        <v>0.22199999721295</v>
      </c>
      <c r="G149" s="2"/>
      <c r="H149" s="14">
        <f t="shared" si="32"/>
        <v>1331.3099999999904</v>
      </c>
      <c r="I149" s="15">
        <f>IFERROR(H149/H444, "NA")</f>
        <v>-5.2535583484700991E-2</v>
      </c>
      <c r="J149" s="2"/>
      <c r="K149" s="14">
        <f>IFERROR(K127+K129+K130+K131+K132+K133+K134+K135+K136+K137+K138+K139+K140+K143+K144+K145+K146+K147, "NA")</f>
        <v>37109.11</v>
      </c>
      <c r="L149" s="15">
        <f>IFERROR(K149/K444, "NA")</f>
        <v>0.25856237543627786</v>
      </c>
      <c r="M149" s="2"/>
      <c r="N149" s="14">
        <f t="shared" si="33"/>
        <v>3392.6099999999933</v>
      </c>
      <c r="O149" s="15">
        <f>IFERROR(N149/N444, "NA")</f>
        <v>-0.30872753778547751</v>
      </c>
      <c r="P149" s="2"/>
      <c r="Q149" s="14">
        <f>IFERROR(Q127+Q129+Q130+Q131+Q132+Q133+Q134+Q135+Q136+Q137+Q138+Q139+Q140+Q143+Q144+Q145+Q146+Q147, "NA")</f>
        <v>276181.44999999995</v>
      </c>
      <c r="R149" s="15">
        <f>IFERROR(Q149/Q444, "NA")</f>
        <v>0.26795255209834518</v>
      </c>
      <c r="S149" s="2"/>
      <c r="T149" s="14">
        <f>IFERROR(T127+T129+T130+T131+T132+T133+T134+T135+T136+T137+T138+T139+T140+T143+T144+T145+T146+T147, "NA")</f>
        <v>261646.18</v>
      </c>
      <c r="U149" s="15">
        <f>IFERROR(T149/T444, "NA")</f>
        <v>0.22977811935530368</v>
      </c>
      <c r="V149" s="2"/>
      <c r="W149" s="14">
        <f t="shared" si="34"/>
        <v>-14535.26999999996</v>
      </c>
      <c r="X149" s="15">
        <f>IFERROR(W149/W444, "NA")</f>
        <v>0.13461038726508404</v>
      </c>
      <c r="Y149" s="2"/>
      <c r="Z149" s="14">
        <f>IFERROR(Z127+Z129+Z130+Z131+Z132+Z133+Z134+Z135+Z136+Z137+Z138+Z139+Z140+Z143+Z144+Z145+Z146+Z147, "NA")</f>
        <v>255233.27999999997</v>
      </c>
      <c r="AA149" s="15">
        <f>IFERROR(Z149/Z444, "NA")</f>
        <v>0.25863769172692463</v>
      </c>
      <c r="AB149" s="2"/>
      <c r="AC149" s="14">
        <f t="shared" si="35"/>
        <v>-20948.169999999984</v>
      </c>
      <c r="AD149" s="15">
        <f>IFERROR(AC149/AC444, "NA")</f>
        <v>-0.47747140961417345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2683.84</v>
      </c>
      <c r="F153" s="8">
        <f>IFERROR(E153/E444, "NA")</f>
        <v>1.699999151216592E-2</v>
      </c>
      <c r="G153" s="9"/>
      <c r="H153" s="10">
        <f t="shared" ref="H153:H158" si="36">IFERROR(-(B153-E153), "NA")</f>
        <v>2683.84</v>
      </c>
      <c r="I153" s="8">
        <f>IFERROR(H153/H444, "NA")</f>
        <v>-0.10590854149640649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19886.64</v>
      </c>
      <c r="U153" s="8">
        <f>IFERROR(T153/T444, "NA")</f>
        <v>1.7464481000624418E-2</v>
      </c>
      <c r="V153" s="9"/>
      <c r="W153" s="10">
        <f t="shared" ref="W153:W158" si="38">IFERROR(-(Q153-T153), "NA")</f>
        <v>19886.64</v>
      </c>
      <c r="X153" s="8">
        <f>IFERROR(W153/W444, "NA")</f>
        <v>-0.18416914937261697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4231.79</v>
      </c>
      <c r="C154" s="8">
        <f>IFERROR(B154/B444, "NA")</f>
        <v>3.1930347944129078E-2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-4231.79</v>
      </c>
      <c r="I154" s="8">
        <f>IFERROR(H154/H444, "NA")</f>
        <v>0.16699307962437329</v>
      </c>
      <c r="J154" s="9"/>
      <c r="K154" s="7">
        <v>4374.5600000000004</v>
      </c>
      <c r="L154" s="8">
        <f>IFERROR(K154/K444, "NA")</f>
        <v>3.0480295137461495E-2</v>
      </c>
      <c r="M154" s="9"/>
      <c r="N154" s="10">
        <f t="shared" si="37"/>
        <v>142.77000000000044</v>
      </c>
      <c r="O154" s="8">
        <f>IFERROR(N154/N444, "NA")</f>
        <v>-1.2992071169286435E-2</v>
      </c>
      <c r="P154" s="9"/>
      <c r="Q154" s="7">
        <v>34337.11</v>
      </c>
      <c r="R154" s="8">
        <f>IFERROR(Q154/Q444, "NA")</f>
        <v>3.3314026905795484E-2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-34337.11</v>
      </c>
      <c r="X154" s="8">
        <f>IFERROR(W154/W444, "NA")</f>
        <v>0.31799420820279239</v>
      </c>
      <c r="Y154" s="9"/>
      <c r="Z154" s="7">
        <v>32876.559999999998</v>
      </c>
      <c r="AA154" s="8">
        <f>IFERROR(Z154/Z444, "NA")</f>
        <v>3.3315081757056692E-2</v>
      </c>
      <c r="AB154" s="9"/>
      <c r="AC154" s="10">
        <f t="shared" si="39"/>
        <v>-1460.5500000000029</v>
      </c>
      <c r="AD154" s="8">
        <f>IFERROR(AC154/AC444, "NA")</f>
        <v>-3.329030016999017E-2</v>
      </c>
    </row>
    <row r="155" spans="1:30" ht="16.5" customHeight="1" x14ac:dyDescent="0.45">
      <c r="A155" s="12" t="s">
        <v>144</v>
      </c>
      <c r="B155" s="7">
        <v>1776.14</v>
      </c>
      <c r="C155" s="8">
        <f>IFERROR(B155/B444, "NA")</f>
        <v>1.3401602678177657E-2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-1776.14</v>
      </c>
      <c r="I155" s="8">
        <f>IFERROR(H155/H444, "NA")</f>
        <v>7.0089273911048133E-2</v>
      </c>
      <c r="J155" s="9"/>
      <c r="K155" s="7">
        <v>1319.85</v>
      </c>
      <c r="L155" s="8">
        <f>IFERROR(K155/K444, "NA")</f>
        <v>9.1962203140838264E-3</v>
      </c>
      <c r="M155" s="9"/>
      <c r="N155" s="10">
        <f t="shared" si="37"/>
        <v>-456.29000000000019</v>
      </c>
      <c r="O155" s="8">
        <f>IFERROR(N155/N444, "NA")</f>
        <v>4.1522393737015419E-2</v>
      </c>
      <c r="P155" s="9"/>
      <c r="Q155" s="7">
        <v>10689.51</v>
      </c>
      <c r="R155" s="8">
        <f>IFERROR(Q155/Q444, "NA")</f>
        <v>1.0371013278338507E-2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-10689.51</v>
      </c>
      <c r="X155" s="8">
        <f>IFERROR(W155/W444, "NA")</f>
        <v>9.8995001866081081E-2</v>
      </c>
      <c r="Y155" s="9"/>
      <c r="Z155" s="7">
        <v>12040.28</v>
      </c>
      <c r="AA155" s="8">
        <f>IFERROR(Z155/Z444, "NA")</f>
        <v>1.2200878454979917E-2</v>
      </c>
      <c r="AB155" s="9"/>
      <c r="AC155" s="10">
        <f t="shared" si="39"/>
        <v>1350.7700000000004</v>
      </c>
      <c r="AD155" s="8">
        <f>IFERROR(AC155/AC444, "NA")</f>
        <v>3.078808583110304E-2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-4.0199135593944106E-5</v>
      </c>
      <c r="AB156" s="9"/>
      <c r="AC156" s="10">
        <f t="shared" si="39"/>
        <v>-39.67</v>
      </c>
      <c r="AD156" s="8">
        <f>IFERROR(AC156/AC444, "NA")</f>
        <v>-9.041978759669353E-4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6007.93</v>
      </c>
      <c r="C158" s="15">
        <f>IFERROR(B158/B444, "NA")</f>
        <v>4.5331950622306737E-2</v>
      </c>
      <c r="D158" s="2"/>
      <c r="E158" s="14">
        <f>IFERROR(E153+E154+E155+E156+E157, "NA")</f>
        <v>2683.84</v>
      </c>
      <c r="F158" s="15">
        <f>IFERROR(E158/E444, "NA")</f>
        <v>1.699999151216592E-2</v>
      </c>
      <c r="G158" s="2"/>
      <c r="H158" s="14">
        <f t="shared" si="36"/>
        <v>-3324.09</v>
      </c>
      <c r="I158" s="15">
        <f>IFERROR(H158/H444, "NA")</f>
        <v>0.13117381203901493</v>
      </c>
      <c r="J158" s="2"/>
      <c r="K158" s="14">
        <f>IFERROR(K153+K154+K155+K156+K157, "NA")</f>
        <v>5694.41</v>
      </c>
      <c r="L158" s="15">
        <f>IFERROR(K158/K444, "NA")</f>
        <v>3.9676515451545318E-2</v>
      </c>
      <c r="M158" s="2"/>
      <c r="N158" s="14">
        <f t="shared" si="37"/>
        <v>-313.52000000000044</v>
      </c>
      <c r="O158" s="15">
        <f>IFERROR(N158/N444, "NA")</f>
        <v>2.8530322567729048E-2</v>
      </c>
      <c r="P158" s="2"/>
      <c r="Q158" s="14">
        <f>IFERROR(Q153+Q154+Q155+Q156+Q157, "NA")</f>
        <v>45026.62</v>
      </c>
      <c r="R158" s="15">
        <f>IFERROR(Q158/Q444, "NA")</f>
        <v>4.3685040184133994E-2</v>
      </c>
      <c r="S158" s="2"/>
      <c r="T158" s="14">
        <f>IFERROR(T153+T154+T155+T156+T157, "NA")</f>
        <v>19886.64</v>
      </c>
      <c r="U158" s="15">
        <f>IFERROR(T158/T444, "NA")</f>
        <v>1.7464481000624418E-2</v>
      </c>
      <c r="V158" s="2"/>
      <c r="W158" s="14">
        <f t="shared" si="38"/>
        <v>-25139.980000000003</v>
      </c>
      <c r="X158" s="15">
        <f>IFERROR(W158/W444, "NA")</f>
        <v>0.23282006069625655</v>
      </c>
      <c r="Y158" s="2"/>
      <c r="Z158" s="14">
        <f>IFERROR(Z153+Z154+Z155+Z156+Z157, "NA")</f>
        <v>44877.17</v>
      </c>
      <c r="AA158" s="15">
        <f>IFERROR(Z158/Z444, "NA")</f>
        <v>4.5475761076442661E-2</v>
      </c>
      <c r="AB158" s="2"/>
      <c r="AC158" s="14">
        <f t="shared" si="39"/>
        <v>-149.45000000000437</v>
      </c>
      <c r="AD158" s="15">
        <f>IFERROR(AC158/AC444, "NA")</f>
        <v>-3.4064122148541069E-3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321.95</v>
      </c>
      <c r="C161" s="8">
        <f>IFERROR(B161/B444, "NA")</f>
        <v>2.4292262897290169E-3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-321.95</v>
      </c>
      <c r="I161" s="8">
        <f>IFERROR(H161/H444, "NA")</f>
        <v>1.270465263755219E-2</v>
      </c>
      <c r="J161" s="9"/>
      <c r="K161" s="7">
        <v>385.81</v>
      </c>
      <c r="L161" s="8">
        <f>IFERROR(K161/K444, "NA")</f>
        <v>2.6881795350810179E-3</v>
      </c>
      <c r="M161" s="9"/>
      <c r="N161" s="10">
        <f t="shared" si="41"/>
        <v>63.860000000000014</v>
      </c>
      <c r="O161" s="8">
        <f>IFERROR(N161/N444, "NA")</f>
        <v>-5.8112605230134437E-3</v>
      </c>
      <c r="P161" s="9"/>
      <c r="Q161" s="7">
        <v>3724.84</v>
      </c>
      <c r="R161" s="8">
        <f>IFERROR(Q161/Q444, "NA")</f>
        <v>3.613857426550553E-3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-3724.84</v>
      </c>
      <c r="X161" s="8">
        <f>IFERROR(W161/W444, "NA")</f>
        <v>3.4495551503376062E-2</v>
      </c>
      <c r="Y161" s="9"/>
      <c r="Z161" s="7">
        <v>3333.54</v>
      </c>
      <c r="AA161" s="8">
        <f>IFERROR(Z161/Z444, "NA")</f>
        <v>3.3780041963155137E-3</v>
      </c>
      <c r="AB161" s="9"/>
      <c r="AC161" s="10">
        <f t="shared" si="43"/>
        <v>-391.30000000000018</v>
      </c>
      <c r="AD161" s="8">
        <f>IFERROR(AC161/AC444, "NA")</f>
        <v>-8.9188966187512472E-3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321.95</v>
      </c>
      <c r="C166" s="15">
        <f>IFERROR(B166/B444, "NA")</f>
        <v>2.4292262897290169E-3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-321.95</v>
      </c>
      <c r="I166" s="15">
        <f>IFERROR(H166/H444, "NA")</f>
        <v>1.270465263755219E-2</v>
      </c>
      <c r="J166" s="2"/>
      <c r="K166" s="14">
        <f>IFERROR(K160+K161+K162+K163+K164+K165, "NA")</f>
        <v>385.81</v>
      </c>
      <c r="L166" s="15">
        <f>IFERROR(K166/K444, "NA")</f>
        <v>2.6881795350810179E-3</v>
      </c>
      <c r="M166" s="2"/>
      <c r="N166" s="14">
        <f t="shared" si="41"/>
        <v>63.860000000000014</v>
      </c>
      <c r="O166" s="15">
        <f>IFERROR(N166/N444, "NA")</f>
        <v>-5.8112605230134437E-3</v>
      </c>
      <c r="P166" s="2"/>
      <c r="Q166" s="14">
        <f>IFERROR(Q160+Q161+Q162+Q163+Q164+Q165, "NA")</f>
        <v>3724.84</v>
      </c>
      <c r="R166" s="15">
        <f>IFERROR(Q166/Q444, "NA")</f>
        <v>3.613857426550553E-3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-3724.84</v>
      </c>
      <c r="X166" s="15">
        <f>IFERROR(W166/W444, "NA")</f>
        <v>3.4495551503376062E-2</v>
      </c>
      <c r="Y166" s="2"/>
      <c r="Z166" s="14">
        <f>IFERROR(Z160+Z161+Z162+Z163+Z164+Z165, "NA")</f>
        <v>3333.54</v>
      </c>
      <c r="AA166" s="15">
        <f>IFERROR(Z166/Z444, "NA")</f>
        <v>3.3780041963155137E-3</v>
      </c>
      <c r="AB166" s="2"/>
      <c r="AC166" s="14">
        <f t="shared" si="43"/>
        <v>-391.30000000000018</v>
      </c>
      <c r="AD166" s="15">
        <f>IFERROR(AC166/AC444, "NA")</f>
        <v>-8.9188966187512472E-3</v>
      </c>
    </row>
    <row r="167" spans="1:30" ht="16.5" customHeight="1" x14ac:dyDescent="0.45">
      <c r="A167" s="6" t="s">
        <v>155</v>
      </c>
      <c r="B167" s="7">
        <v>138.97999999999999</v>
      </c>
      <c r="C167" s="8">
        <f>IFERROR(B167/B444, "NA")</f>
        <v>1.0486531130502834E-3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-138.97999999999999</v>
      </c>
      <c r="I167" s="8">
        <f>IFERROR(H167/H444, "NA")</f>
        <v>5.4843690745985498E-3</v>
      </c>
      <c r="J167" s="9"/>
      <c r="K167" s="7">
        <v>136.22999999999999</v>
      </c>
      <c r="L167" s="8">
        <f>IFERROR(K167/K444, "NA")</f>
        <v>9.4919960100590202E-4</v>
      </c>
      <c r="M167" s="9"/>
      <c r="N167" s="10">
        <f t="shared" si="41"/>
        <v>-2.75</v>
      </c>
      <c r="O167" s="8">
        <f>IFERROR(N167/N444, "NA")</f>
        <v>2.5025002252250181E-4</v>
      </c>
      <c r="P167" s="9"/>
      <c r="Q167" s="7">
        <v>1092.1099999999999</v>
      </c>
      <c r="R167" s="8">
        <f>IFERROR(Q167/Q444, "NA")</f>
        <v>1.059570299424975E-3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-1092.1099999999999</v>
      </c>
      <c r="X167" s="8">
        <f>IFERROR(W167/W444, "NA")</f>
        <v>1.0113974493495567E-2</v>
      </c>
      <c r="Y167" s="9"/>
      <c r="Z167" s="7">
        <v>1159.82</v>
      </c>
      <c r="AA167" s="8">
        <f>IFERROR(Z167/Z444, "NA")</f>
        <v>1.1752901801000315E-3</v>
      </c>
      <c r="AB167" s="9"/>
      <c r="AC167" s="10">
        <f t="shared" si="43"/>
        <v>67.710000000000036</v>
      </c>
      <c r="AD167" s="8">
        <f>IFERROR(AC167/AC444, "NA")</f>
        <v>1.5433132891787553E-3</v>
      </c>
    </row>
    <row r="168" spans="1:30" ht="16.5" customHeight="1" x14ac:dyDescent="0.45">
      <c r="A168" s="6" t="s">
        <v>156</v>
      </c>
      <c r="B168" s="7">
        <v>174.14</v>
      </c>
      <c r="C168" s="8">
        <f>IFERROR(B168/B444, "NA")</f>
        <v>1.3139477126678397E-3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-174.14</v>
      </c>
      <c r="I168" s="8">
        <f>IFERROR(H168/H444, "NA")</f>
        <v>6.8718378950251222E-3</v>
      </c>
      <c r="J168" s="9"/>
      <c r="K168" s="7">
        <v>68.599999999999994</v>
      </c>
      <c r="L168" s="8">
        <f>IFERROR(K168/K444, "NA")</f>
        <v>4.7797909879618934E-4</v>
      </c>
      <c r="M168" s="9"/>
      <c r="N168" s="10">
        <f t="shared" si="41"/>
        <v>-105.53999999999999</v>
      </c>
      <c r="O168" s="8">
        <f>IFERROR(N168/N444, "NA")</f>
        <v>9.6041408643726695E-3</v>
      </c>
      <c r="P168" s="9"/>
      <c r="Q168" s="7">
        <v>468.98</v>
      </c>
      <c r="R168" s="8">
        <f>IFERROR(Q168/Q444, "NA")</f>
        <v>4.550066193188643E-4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-468.98</v>
      </c>
      <c r="X168" s="8">
        <f>IFERROR(W168/W444, "NA")</f>
        <v>4.3431996391934437E-3</v>
      </c>
      <c r="Y168" s="9"/>
      <c r="Z168" s="7">
        <v>441.1</v>
      </c>
      <c r="AA168" s="8">
        <f>IFERROR(Z168/Z444, "NA")</f>
        <v>4.4698358231632832E-4</v>
      </c>
      <c r="AB168" s="9"/>
      <c r="AC168" s="10">
        <f t="shared" si="43"/>
        <v>-27.879999999999995</v>
      </c>
      <c r="AD168" s="8">
        <f>IFERROR(AC168/AC444, "NA")</f>
        <v>-6.3546853496239354E-4</v>
      </c>
    </row>
    <row r="169" spans="1:30" ht="16.5" customHeight="1" x14ac:dyDescent="0.45">
      <c r="A169" s="6" t="s">
        <v>157</v>
      </c>
      <c r="B169" s="7">
        <v>-1598.81</v>
      </c>
      <c r="C169" s="8">
        <f>IFERROR(B169/B444, "NA")</f>
        <v>-1.2063585290516071E-2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1598.81</v>
      </c>
      <c r="I169" s="8">
        <f>IFERROR(H169/H444, "NA")</f>
        <v>-6.3091553605978623E-2</v>
      </c>
      <c r="J169" s="9"/>
      <c r="K169" s="7">
        <v>-3108.25</v>
      </c>
      <c r="L169" s="8">
        <f>IFERROR(K169/K444, "NA")</f>
        <v>-2.1657121484449791E-2</v>
      </c>
      <c r="M169" s="9"/>
      <c r="N169" s="10">
        <f t="shared" si="41"/>
        <v>-1509.44</v>
      </c>
      <c r="O169" s="8">
        <f>IFERROR(N169/N444, "NA")</f>
        <v>0.1373590523623146</v>
      </c>
      <c r="P169" s="9"/>
      <c r="Q169" s="7">
        <v>-18548.53</v>
      </c>
      <c r="R169" s="8">
        <f>IFERROR(Q169/Q444, "NA")</f>
        <v>-1.79958717400199E-2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18548.53</v>
      </c>
      <c r="X169" s="8">
        <f>IFERROR(W169/W444, "NA")</f>
        <v>-0.17177698154200341</v>
      </c>
      <c r="Y169" s="9"/>
      <c r="Z169" s="7">
        <v>-28383.33</v>
      </c>
      <c r="AA169" s="8">
        <f>IFERROR(Z169/Z444, "NA")</f>
        <v>-2.8761919114637297E-2</v>
      </c>
      <c r="AB169" s="9"/>
      <c r="AC169" s="10">
        <f t="shared" si="43"/>
        <v>-9834.8000000000029</v>
      </c>
      <c r="AD169" s="8">
        <f>IFERROR(AC169/AC444, "NA")</f>
        <v>-0.22416448879656209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5044.1900000000005</v>
      </c>
      <c r="C170" s="15">
        <f>IFERROR(B170/B444, "NA")</f>
        <v>3.8060192447237802E-2</v>
      </c>
      <c r="D170" s="2"/>
      <c r="E170" s="14">
        <f>IFERROR(E151+E153+E154+E155+E156+E157+E160+E161+E162+E163+E164+E165+E167+E168+E169, "NA")</f>
        <v>2683.84</v>
      </c>
      <c r="F170" s="15">
        <f>IFERROR(E170/E444, "NA")</f>
        <v>1.699999151216592E-2</v>
      </c>
      <c r="G170" s="2"/>
      <c r="H170" s="14">
        <f t="shared" si="40"/>
        <v>-2360.3500000000004</v>
      </c>
      <c r="I170" s="15">
        <f>IFERROR(H170/H444, "NA")</f>
        <v>9.3143118040212192E-2</v>
      </c>
      <c r="J170" s="2"/>
      <c r="K170" s="14">
        <f>IFERROR(K151+K153+K154+K155+K156+K157+K160+K161+K162+K163+K164+K165+K167+K168+K169, "NA")</f>
        <v>3176.8</v>
      </c>
      <c r="L170" s="15">
        <f>IFERROR(K170/K444, "NA")</f>
        <v>2.2134752201978639E-2</v>
      </c>
      <c r="M170" s="2"/>
      <c r="N170" s="14">
        <f t="shared" si="41"/>
        <v>-1867.3900000000003</v>
      </c>
      <c r="O170" s="15">
        <f>IFERROR(N170/N444, "NA")</f>
        <v>0.16993250529392537</v>
      </c>
      <c r="P170" s="2"/>
      <c r="Q170" s="14">
        <f>IFERROR(Q151+Q153+Q154+Q155+Q156+Q157+Q160+Q161+Q162+Q163+Q164+Q165+Q167+Q168+Q169, "NA")</f>
        <v>31764.020000000011</v>
      </c>
      <c r="R170" s="15">
        <f>IFERROR(Q170/Q444, "NA")</f>
        <v>3.0817602789408493E-2</v>
      </c>
      <c r="S170" s="2"/>
      <c r="T170" s="14">
        <f>IFERROR(T151+T153+T154+T155+T156+T157+T160+T161+T162+T163+T164+T165+T167+T168+T169, "NA")</f>
        <v>19886.64</v>
      </c>
      <c r="U170" s="15">
        <f>IFERROR(T170/T444, "NA")</f>
        <v>1.7464481000624418E-2</v>
      </c>
      <c r="V170" s="2"/>
      <c r="W170" s="14">
        <f t="shared" si="42"/>
        <v>-11877.380000000012</v>
      </c>
      <c r="X170" s="15">
        <f>IFERROR(W170/W444, "NA")</f>
        <v>0.1099958047903183</v>
      </c>
      <c r="Y170" s="2"/>
      <c r="Z170" s="14">
        <f>IFERROR(Z151+Z153+Z154+Z155+Z156+Z157+Z160+Z161+Z162+Z163+Z164+Z165+Z167+Z168+Z169, "NA")</f>
        <v>21428.299999999996</v>
      </c>
      <c r="AA170" s="15">
        <f>IFERROR(Z170/Z444, "NA")</f>
        <v>2.1714119920537237E-2</v>
      </c>
      <c r="AB170" s="2"/>
      <c r="AC170" s="14">
        <f t="shared" si="43"/>
        <v>-10335.720000000016</v>
      </c>
      <c r="AD170" s="15">
        <f>IFERROR(AC170/AC444, "NA")</f>
        <v>-0.23558195287595127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38760.69000000001</v>
      </c>
      <c r="C171" s="15">
        <f>IFERROR(B171/B444, "NA")</f>
        <v>0.29246307549630884</v>
      </c>
      <c r="D171" s="2"/>
      <c r="E171" s="14">
        <f>IFERROR(E127+E129+E130+E131+E132+E133+E134+E135+E136+E137+E138+E139+E140+E143+E144+E145+E146+E147+E151+E153+E154+E155+E156+E157+E160+E161+E162+E163+E164+E165+E167+E168+E169, "NA")</f>
        <v>37731.649999999994</v>
      </c>
      <c r="F171" s="15">
        <f>IFERROR(E171/E444, "NA")</f>
        <v>0.23899998872511591</v>
      </c>
      <c r="G171" s="2"/>
      <c r="H171" s="14">
        <f t="shared" si="40"/>
        <v>-1029.0400000000154</v>
      </c>
      <c r="I171" s="15">
        <f>IFERROR(H171/H444, "NA")</f>
        <v>4.0607534555511422E-2</v>
      </c>
      <c r="J171" s="2"/>
      <c r="K171" s="14">
        <f>IFERROR(K127+K129+K130+K131+K132+K133+K134+K135+K136+K137+K138+K139+K140+K143+K144+K145+K146+K147+K151+K153+K154+K155+K156+K157+K160+K161+K162+K163+K164+K165+K167+K168+K169, "NA")</f>
        <v>40285.909999999996</v>
      </c>
      <c r="L171" s="15">
        <f>IFERROR(K171/K444, "NA")</f>
        <v>0.28069712763825644</v>
      </c>
      <c r="M171" s="2"/>
      <c r="N171" s="14">
        <f t="shared" si="41"/>
        <v>1525.2199999999866</v>
      </c>
      <c r="O171" s="15">
        <f>IFERROR(N171/N444, "NA")</f>
        <v>-0.13879503249155159</v>
      </c>
      <c r="P171" s="2"/>
      <c r="Q171" s="14">
        <f>IFERROR(Q127+Q129+Q130+Q131+Q132+Q133+Q134+Q135+Q136+Q137+Q138+Q139+Q140+Q143+Q144+Q145+Q146+Q147+Q151+Q153+Q154+Q155+Q156+Q157+Q160+Q161+Q162+Q163+Q164+Q165+Q167+Q168+Q169, "NA")</f>
        <v>307945.46999999997</v>
      </c>
      <c r="R171" s="15">
        <f>IFERROR(Q171/Q444, "NA")</f>
        <v>0.29877015488775366</v>
      </c>
      <c r="S171" s="2"/>
      <c r="T171" s="14">
        <f>IFERROR(T127+T129+T130+T131+T132+T133+T134+T135+T136+T137+T138+T139+T140+T143+T144+T145+T146+T147+T151+T153+T154+T155+T156+T157+T160+T161+T162+T163+T164+T165+T167+T168+T169, "NA")</f>
        <v>281532.82</v>
      </c>
      <c r="U171" s="15">
        <f>IFERROR(T171/T444, "NA")</f>
        <v>0.2472426003559281</v>
      </c>
      <c r="V171" s="2"/>
      <c r="W171" s="14">
        <f t="shared" si="42"/>
        <v>-26412.649999999965</v>
      </c>
      <c r="X171" s="15">
        <f>IFERROR(W171/W444, "NA")</f>
        <v>0.24460619205540227</v>
      </c>
      <c r="Y171" s="2"/>
      <c r="Z171" s="14">
        <f>IFERROR(Z127+Z129+Z130+Z131+Z132+Z133+Z134+Z135+Z136+Z137+Z138+Z139+Z140+Z143+Z144+Z145+Z146+Z147+Z151+Z153+Z154+Z155+Z156+Z157+Z160+Z161+Z162+Z163+Z164+Z165+Z167+Z168+Z169, "NA")</f>
        <v>276661.57999999996</v>
      </c>
      <c r="AA171" s="15">
        <f>IFERROR(Z171/Z444, "NA")</f>
        <v>0.28035181164746187</v>
      </c>
      <c r="AB171" s="2"/>
      <c r="AC171" s="14">
        <f t="shared" si="43"/>
        <v>-31283.890000000014</v>
      </c>
      <c r="AD171" s="15">
        <f>IFERROR(AC171/AC444, "NA")</f>
        <v>-0.71305336249012508</v>
      </c>
    </row>
    <row r="172" spans="1:30" ht="16.5" customHeight="1" x14ac:dyDescent="0.45">
      <c r="A172" s="22" t="s">
        <v>160</v>
      </c>
      <c r="B172" s="23">
        <f>IFERROR(B124-B171, "NA")</f>
        <v>93771.22000000003</v>
      </c>
      <c r="C172" s="24">
        <f>IFERROR(B172/B444, "NA")</f>
        <v>0.70753692450369143</v>
      </c>
      <c r="D172" s="25"/>
      <c r="E172" s="23">
        <f>IFERROR(E124-E171, "NA")</f>
        <v>120141.37000000002</v>
      </c>
      <c r="F172" s="24">
        <f>IFERROR(E172/E444, "NA")</f>
        <v>0.76100001127488426</v>
      </c>
      <c r="G172" s="25"/>
      <c r="H172" s="23">
        <f>IFERROR(B172-E172, "NA")</f>
        <v>-26370.149999999994</v>
      </c>
      <c r="I172" s="24">
        <f>IFERROR(H172/H444, "NA")</f>
        <v>1.040607534555511</v>
      </c>
      <c r="J172" s="25"/>
      <c r="K172" s="23">
        <f>IFERROR(K124-K171, "NA")</f>
        <v>103235.01000000001</v>
      </c>
      <c r="L172" s="24">
        <f>IFERROR(K172/K444, "NA")</f>
        <v>0.71930287236174351</v>
      </c>
      <c r="M172" s="25"/>
      <c r="N172" s="23">
        <f>IFERROR(B172-K172, "NA")</f>
        <v>-9463.789999999979</v>
      </c>
      <c r="O172" s="24">
        <f>IFERROR(N172/N444, "NA")</f>
        <v>0.86120496750844444</v>
      </c>
      <c r="P172" s="25"/>
      <c r="Q172" s="23">
        <f>IFERROR(Q124-Q171, "NA")</f>
        <v>722764.81</v>
      </c>
      <c r="R172" s="24">
        <f>IFERROR(Q172/Q444, "NA")</f>
        <v>0.70122984511224629</v>
      </c>
      <c r="S172" s="25"/>
      <c r="T172" s="23">
        <f>IFERROR(T124-T171, "NA")</f>
        <v>857157.76</v>
      </c>
      <c r="U172" s="24">
        <f>IFERROR(T172/T444, "NA")</f>
        <v>0.75275739964407185</v>
      </c>
      <c r="V172" s="25"/>
      <c r="W172" s="23">
        <f>IFERROR(Q172-T172, "NA")</f>
        <v>-134392.94999999995</v>
      </c>
      <c r="X172" s="24">
        <f>IFERROR(W172/W444, "NA")</f>
        <v>1.2446061920554017</v>
      </c>
      <c r="Y172" s="25"/>
      <c r="Z172" s="23">
        <f>IFERROR(Z124-Z171, "NA")</f>
        <v>710175.56000000029</v>
      </c>
      <c r="AA172" s="24">
        <f>IFERROR(Z172/Z444, "NA")</f>
        <v>0.71964818835253841</v>
      </c>
      <c r="AB172" s="25"/>
      <c r="AC172" s="23">
        <f>IFERROR(Q172-Z172, "NA")</f>
        <v>12589.249999999767</v>
      </c>
      <c r="AD172" s="24">
        <f>IFERROR(AC172/AC444, "NA")</f>
        <v>0.28694663750986965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6490.4</v>
      </c>
      <c r="C178" s="8">
        <f>IFERROR(B178/B444, "NA")</f>
        <v>4.8972356921438767E-2</v>
      </c>
      <c r="D178" s="9"/>
      <c r="E178" s="7">
        <v>6826.92</v>
      </c>
      <c r="F178" s="8">
        <f>IFERROR(E178/E444, "NA")</f>
        <v>4.3243107657027151E-2</v>
      </c>
      <c r="G178" s="9"/>
      <c r="H178" s="10">
        <f t="shared" si="44"/>
        <v>336.52000000000044</v>
      </c>
      <c r="I178" s="8">
        <f>IFERROR(H178/H444, "NA")</f>
        <v>-1.3279607720419532E-2</v>
      </c>
      <c r="J178" s="9"/>
      <c r="K178" s="7">
        <v>6490.4</v>
      </c>
      <c r="L178" s="8">
        <f>IFERROR(K178/K444, "NA")</f>
        <v>4.5222675551410893E-2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50350.12</v>
      </c>
      <c r="R178" s="8">
        <f>IFERROR(Q178/Q444, "NA")</f>
        <v>4.8849925121538518E-2</v>
      </c>
      <c r="S178" s="9"/>
      <c r="T178" s="7">
        <v>53250</v>
      </c>
      <c r="U178" s="8">
        <f>IFERROR(T178/T444, "NA")</f>
        <v>4.6764240378628578E-2</v>
      </c>
      <c r="V178" s="9"/>
      <c r="W178" s="10">
        <f t="shared" si="46"/>
        <v>2899.8799999999974</v>
      </c>
      <c r="X178" s="8">
        <f>IFERROR(W178/W444, "NA")</f>
        <v>-2.685563940829944E-2</v>
      </c>
      <c r="Y178" s="9"/>
      <c r="Z178" s="7">
        <v>50625.120000000003</v>
      </c>
      <c r="AA178" s="8">
        <f>IFERROR(Z178/Z444, "NA")</f>
        <v>5.1300379716150528E-2</v>
      </c>
      <c r="AB178" s="9"/>
      <c r="AC178" s="10">
        <f t="shared" si="47"/>
        <v>275</v>
      </c>
      <c r="AD178" s="8">
        <f>IFERROR(AC178/AC444, "NA")</f>
        <v>6.2680719912000804E-3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27792.1</v>
      </c>
      <c r="C180" s="8">
        <f>IFERROR(B180/B444, "NA")</f>
        <v>0.2097011957346725</v>
      </c>
      <c r="D180" s="9"/>
      <c r="E180" s="7">
        <v>30627.360000000001</v>
      </c>
      <c r="F180" s="8">
        <f>IFERROR(E180/E444, "NA")</f>
        <v>0.19399996275487733</v>
      </c>
      <c r="G180" s="9"/>
      <c r="H180" s="10">
        <f t="shared" si="44"/>
        <v>2835.260000000002</v>
      </c>
      <c r="I180" s="8">
        <f>IFERROR(H180/H444, "NA")</f>
        <v>-0.1118838125086077</v>
      </c>
      <c r="J180" s="9"/>
      <c r="K180" s="7">
        <v>28561.1</v>
      </c>
      <c r="L180" s="8">
        <f>IFERROR(K180/K444, "NA")</f>
        <v>0.19900304429486654</v>
      </c>
      <c r="M180" s="9"/>
      <c r="N180" s="10">
        <f t="shared" si="45"/>
        <v>769</v>
      </c>
      <c r="O180" s="8">
        <f>IFERROR(N180/N444, "NA")</f>
        <v>-6.9979006298110505E-2</v>
      </c>
      <c r="P180" s="9"/>
      <c r="Q180" s="7">
        <v>216815.8</v>
      </c>
      <c r="R180" s="8">
        <f>IFERROR(Q180/Q444, "NA")</f>
        <v>0.21035571703039577</v>
      </c>
      <c r="S180" s="9"/>
      <c r="T180" s="7">
        <v>231928.49</v>
      </c>
      <c r="U180" s="8">
        <f>IFERROR(T180/T444, "NA")</f>
        <v>0.20367999355891744</v>
      </c>
      <c r="V180" s="9"/>
      <c r="W180" s="10">
        <f t="shared" si="46"/>
        <v>15112.690000000002</v>
      </c>
      <c r="X180" s="8">
        <f>IFERROR(W180/W444, "NA")</f>
        <v>-0.13995784416231474</v>
      </c>
      <c r="Y180" s="9"/>
      <c r="Z180" s="7">
        <v>221127.52</v>
      </c>
      <c r="AA180" s="8">
        <f>IFERROR(Z180/Z444, "NA")</f>
        <v>0.22407701436936189</v>
      </c>
      <c r="AB180" s="9"/>
      <c r="AC180" s="10">
        <f t="shared" si="47"/>
        <v>4311.7200000000012</v>
      </c>
      <c r="AD180" s="8">
        <f>IFERROR(AC180/AC444, "NA")</f>
        <v>9.8276986785080803E-2</v>
      </c>
    </row>
    <row r="181" spans="1:30" ht="16.5" customHeight="1" x14ac:dyDescent="0.45">
      <c r="A181" s="12" t="s">
        <v>166</v>
      </c>
      <c r="B181" s="7">
        <v>351.24</v>
      </c>
      <c r="C181" s="8">
        <f>IFERROR(B181/B444, "NA")</f>
        <v>2.6502296692170208E-3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-351.24</v>
      </c>
      <c r="I181" s="8">
        <f>IFERROR(H181/H444, "NA")</f>
        <v>1.3860482038868865E-2</v>
      </c>
      <c r="J181" s="9"/>
      <c r="K181" s="7">
        <v>44.75</v>
      </c>
      <c r="L181" s="8">
        <f>IFERROR(K181/K444, "NA")</f>
        <v>3.1180123427302443E-4</v>
      </c>
      <c r="M181" s="9"/>
      <c r="N181" s="10">
        <f t="shared" si="45"/>
        <v>-306.49</v>
      </c>
      <c r="O181" s="8">
        <f>IFERROR(N181/N444, "NA")</f>
        <v>2.7890592510153304E-2</v>
      </c>
      <c r="P181" s="9"/>
      <c r="Q181" s="7">
        <v>1619.19</v>
      </c>
      <c r="R181" s="8">
        <f>IFERROR(Q181/Q444, "NA")</f>
        <v>1.5709458141816535E-3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-1619.19</v>
      </c>
      <c r="X181" s="8">
        <f>IFERROR(W181/W444, "NA")</f>
        <v>1.4995235241983949E-2</v>
      </c>
      <c r="Y181" s="9"/>
      <c r="Z181" s="7">
        <v>928.89</v>
      </c>
      <c r="AA181" s="8">
        <f>IFERROR(Z181/Z444, "NA")</f>
        <v>9.4127993601862204E-4</v>
      </c>
      <c r="AB181" s="9"/>
      <c r="AC181" s="10">
        <f t="shared" si="47"/>
        <v>-690.30000000000007</v>
      </c>
      <c r="AD181" s="8">
        <f>IFERROR(AC181/AC444, "NA")</f>
        <v>-1.5734000347365149E-2</v>
      </c>
    </row>
    <row r="182" spans="1:30" ht="16.5" customHeight="1" x14ac:dyDescent="0.45">
      <c r="A182" s="13" t="s">
        <v>167</v>
      </c>
      <c r="B182" s="14">
        <f>IFERROR(B177+B178+B179+B180+B181, "NA")</f>
        <v>34633.74</v>
      </c>
      <c r="C182" s="15">
        <f>IFERROR(B182/B444, "NA")</f>
        <v>0.26132378232532827</v>
      </c>
      <c r="D182" s="2"/>
      <c r="E182" s="14">
        <f>IFERROR(E177+E178+E179+E180+E181, "NA")</f>
        <v>37454.28</v>
      </c>
      <c r="F182" s="15">
        <f>IFERROR(E182/E444, "NA")</f>
        <v>0.23724307041190446</v>
      </c>
      <c r="G182" s="2"/>
      <c r="H182" s="14">
        <f t="shared" si="44"/>
        <v>2820.5400000000009</v>
      </c>
      <c r="I182" s="15">
        <f>IFERROR(H182/H444, "NA")</f>
        <v>-0.1113029381901583</v>
      </c>
      <c r="J182" s="2"/>
      <c r="K182" s="14">
        <f>IFERROR(K177+K178+K179+K180+K181, "NA")</f>
        <v>35096.25</v>
      </c>
      <c r="L182" s="15">
        <f>IFERROR(K182/K444, "NA")</f>
        <v>0.24453752108055046</v>
      </c>
      <c r="M182" s="2"/>
      <c r="N182" s="14">
        <f t="shared" si="45"/>
        <v>462.51000000000204</v>
      </c>
      <c r="O182" s="15">
        <f>IFERROR(N182/N444, "NA")</f>
        <v>-4.2088413787957392E-2</v>
      </c>
      <c r="P182" s="2"/>
      <c r="Q182" s="14">
        <f>IFERROR(Q177+Q178+Q179+Q180+Q181, "NA")</f>
        <v>268785.11</v>
      </c>
      <c r="R182" s="15">
        <f>IFERROR(Q182/Q444, "NA")</f>
        <v>0.26077658796611591</v>
      </c>
      <c r="S182" s="2"/>
      <c r="T182" s="14">
        <f>IFERROR(T177+T178+T179+T180+T181, "NA")</f>
        <v>285178.49</v>
      </c>
      <c r="U182" s="15">
        <f>IFERROR(T182/T444, "NA")</f>
        <v>0.25044423393754606</v>
      </c>
      <c r="V182" s="2"/>
      <c r="W182" s="14">
        <f t="shared" si="46"/>
        <v>16393.380000000005</v>
      </c>
      <c r="X182" s="15">
        <f>IFERROR(W182/W444, "NA")</f>
        <v>-0.15181824832863031</v>
      </c>
      <c r="Y182" s="2"/>
      <c r="Z182" s="14">
        <f>IFERROR(Z177+Z178+Z179+Z180+Z181, "NA")</f>
        <v>272681.53000000003</v>
      </c>
      <c r="AA182" s="15">
        <f>IFERROR(Z182/Z444, "NA")</f>
        <v>0.2763186740215311</v>
      </c>
      <c r="AB182" s="2"/>
      <c r="AC182" s="14">
        <f t="shared" si="47"/>
        <v>3896.4200000000419</v>
      </c>
      <c r="AD182" s="15">
        <f>IFERROR(AC182/AC444, "NA")</f>
        <v>8.8811058428916664E-2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3.7726763313076827E-3</v>
      </c>
      <c r="D184" s="9"/>
      <c r="E184" s="7">
        <v>500</v>
      </c>
      <c r="F184" s="8">
        <f>IFERROR(E184/E444, "NA")</f>
        <v>3.1671022699128709E-3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2.0902876040649683E-3</v>
      </c>
      <c r="M184" s="9"/>
      <c r="N184" s="10">
        <f t="shared" si="45"/>
        <v>-200</v>
      </c>
      <c r="O184" s="8">
        <f>IFERROR(N184/N444, "NA")</f>
        <v>1.8200001638000132E-2</v>
      </c>
      <c r="P184" s="9"/>
      <c r="Q184" s="7">
        <v>2300</v>
      </c>
      <c r="R184" s="8">
        <f>IFERROR(Q184/Q444, "NA")</f>
        <v>2.2314709037344616E-3</v>
      </c>
      <c r="S184" s="9"/>
      <c r="T184" s="7">
        <v>4500</v>
      </c>
      <c r="U184" s="8">
        <f>IFERROR(T184/T444, "NA")</f>
        <v>3.9519076376305839E-3</v>
      </c>
      <c r="V184" s="9"/>
      <c r="W184" s="10">
        <f t="shared" si="46"/>
        <v>2200</v>
      </c>
      <c r="X184" s="8">
        <f>IFERROR(W184/W444, "NA")</f>
        <v>-2.0374086754713583E-2</v>
      </c>
      <c r="Y184" s="9"/>
      <c r="Z184" s="7">
        <v>1900</v>
      </c>
      <c r="AA184" s="8">
        <f>IFERROR(Z184/Z444, "NA")</f>
        <v>1.9253430206325635E-3</v>
      </c>
      <c r="AB184" s="9"/>
      <c r="AC184" s="10">
        <f t="shared" si="47"/>
        <v>-400</v>
      </c>
      <c r="AD184" s="8">
        <f>IFERROR(AC184/AC444, "NA")</f>
        <v>-9.1171956235637543E-3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3043.41</v>
      </c>
      <c r="C186" s="8">
        <f>IFERROR(B186/B444, "NA")</f>
        <v>2.296360174693023E-2</v>
      </c>
      <c r="D186" s="9"/>
      <c r="E186" s="7">
        <v>3609.01</v>
      </c>
      <c r="F186" s="8">
        <f>IFERROR(E186/E444, "NA")</f>
        <v>2.2860207526276502E-2</v>
      </c>
      <c r="G186" s="9"/>
      <c r="H186" s="10">
        <f t="shared" ref="H186:H197" si="48">IFERROR(-(B186-E186), "NA")</f>
        <v>565.60000000000036</v>
      </c>
      <c r="I186" s="8">
        <f>IFERROR(H186/H444, "NA")</f>
        <v>-2.2319464301287541E-2</v>
      </c>
      <c r="J186" s="9"/>
      <c r="K186" s="7">
        <v>3201.95</v>
      </c>
      <c r="L186" s="8">
        <f>IFERROR(K186/K444, "NA")</f>
        <v>2.2309987979452748E-2</v>
      </c>
      <c r="M186" s="9"/>
      <c r="N186" s="10">
        <f t="shared" ref="N186:N197" si="49">IFERROR(-(B186-K186), "NA")</f>
        <v>158.53999999999996</v>
      </c>
      <c r="O186" s="8">
        <f>IFERROR(N186/N444, "NA")</f>
        <v>-1.4427141298442702E-2</v>
      </c>
      <c r="P186" s="9"/>
      <c r="Q186" s="7">
        <v>24471.47</v>
      </c>
      <c r="R186" s="8">
        <f>IFERROR(Q186/Q444, "NA")</f>
        <v>2.3742336207222072E-2</v>
      </c>
      <c r="S186" s="9"/>
      <c r="T186" s="7">
        <v>31279.65</v>
      </c>
      <c r="U186" s="8">
        <f>IFERROR(T186/T444, "NA")</f>
        <v>2.7469841719424778E-2</v>
      </c>
      <c r="V186" s="9"/>
      <c r="W186" s="10">
        <f t="shared" ref="W186:W197" si="50">IFERROR(-(Q186-T186), "NA")</f>
        <v>6808.18</v>
      </c>
      <c r="X186" s="8">
        <f>IFERROR(W186/W444, "NA")</f>
        <v>-6.3050204528048145E-2</v>
      </c>
      <c r="Y186" s="9"/>
      <c r="Z186" s="7">
        <v>27912.75</v>
      </c>
      <c r="AA186" s="8">
        <f>IFERROR(Z186/Z444, "NA")</f>
        <v>2.8285062315348206E-2</v>
      </c>
      <c r="AB186" s="9"/>
      <c r="AC186" s="10">
        <f t="shared" ref="AC186:AC197" si="51">IFERROR(-(Q186-Z186), "NA")</f>
        <v>3441.2799999999988</v>
      </c>
      <c r="AD186" s="8">
        <f>IFERROR(AC186/AC444, "NA")</f>
        <v>7.8437057388643663E-2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2.026676863823751E-8</v>
      </c>
      <c r="AB187" s="9"/>
      <c r="AC187" s="10">
        <f t="shared" si="51"/>
        <v>0.02</v>
      </c>
      <c r="AD187" s="8">
        <f>IFERROR(AC187/AC444, "NA")</f>
        <v>4.5585978117818768E-7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3043.41</v>
      </c>
      <c r="C193" s="15">
        <f>IFERROR(B193/B444, "NA")</f>
        <v>2.296360174693023E-2</v>
      </c>
      <c r="D193" s="2"/>
      <c r="E193" s="14">
        <f>IFERROR(E186+E187+E188+E189+E190+E191+E192, "NA")</f>
        <v>3609.01</v>
      </c>
      <c r="F193" s="15">
        <f>IFERROR(E193/E444, "NA")</f>
        <v>2.2860207526276502E-2</v>
      </c>
      <c r="G193" s="2"/>
      <c r="H193" s="14">
        <f t="shared" si="48"/>
        <v>565.60000000000036</v>
      </c>
      <c r="I193" s="15">
        <f>IFERROR(H193/H444, "NA")</f>
        <v>-2.2319464301287541E-2</v>
      </c>
      <c r="J193" s="2"/>
      <c r="K193" s="14">
        <f>IFERROR(K186+K187+K188+K189+K190+K191+K192, "NA")</f>
        <v>3201.95</v>
      </c>
      <c r="L193" s="15">
        <f>IFERROR(K193/K444, "NA")</f>
        <v>2.2309987979452748E-2</v>
      </c>
      <c r="M193" s="2"/>
      <c r="N193" s="14">
        <f t="shared" si="49"/>
        <v>158.53999999999996</v>
      </c>
      <c r="O193" s="15">
        <f>IFERROR(N193/N444, "NA")</f>
        <v>-1.4427141298442702E-2</v>
      </c>
      <c r="P193" s="2"/>
      <c r="Q193" s="14">
        <f>IFERROR(Q186+Q187+Q188+Q189+Q190+Q191+Q192, "NA")</f>
        <v>24471.47</v>
      </c>
      <c r="R193" s="15">
        <f>IFERROR(Q193/Q444, "NA")</f>
        <v>2.3742336207222072E-2</v>
      </c>
      <c r="S193" s="2"/>
      <c r="T193" s="14">
        <f>IFERROR(T186+T187+T188+T189+T190+T191+T192, "NA")</f>
        <v>31279.65</v>
      </c>
      <c r="U193" s="15">
        <f>IFERROR(T193/T444, "NA")</f>
        <v>2.7469841719424778E-2</v>
      </c>
      <c r="V193" s="2"/>
      <c r="W193" s="14">
        <f t="shared" si="50"/>
        <v>6808.18</v>
      </c>
      <c r="X193" s="15">
        <f>IFERROR(W193/W444, "NA")</f>
        <v>-6.3050204528048145E-2</v>
      </c>
      <c r="Y193" s="2"/>
      <c r="Z193" s="14">
        <f>IFERROR(Z186+Z187+Z188+Z189+Z190+Z191+Z192, "NA")</f>
        <v>27912.77</v>
      </c>
      <c r="AA193" s="15">
        <f>IFERROR(Z193/Z444, "NA")</f>
        <v>2.8285082582116844E-2</v>
      </c>
      <c r="AB193" s="2"/>
      <c r="AC193" s="14">
        <f t="shared" si="51"/>
        <v>3441.2999999999993</v>
      </c>
      <c r="AD193" s="15">
        <f>IFERROR(AC193/AC444, "NA")</f>
        <v>7.8437513248424851E-2</v>
      </c>
    </row>
    <row r="194" spans="1:30" ht="16.5" customHeight="1" x14ac:dyDescent="0.45">
      <c r="A194" s="6" t="s">
        <v>178</v>
      </c>
      <c r="B194" s="7">
        <v>301.04000000000002</v>
      </c>
      <c r="C194" s="8">
        <f>IFERROR(B194/B444, "NA")</f>
        <v>2.2714529655537296E-3</v>
      </c>
      <c r="D194" s="9"/>
      <c r="E194" s="7">
        <v>303.63</v>
      </c>
      <c r="F194" s="8">
        <f>IFERROR(E194/E444, "NA")</f>
        <v>1.9232545244272899E-3</v>
      </c>
      <c r="G194" s="9"/>
      <c r="H194" s="10">
        <f t="shared" si="48"/>
        <v>2.589999999999975</v>
      </c>
      <c r="I194" s="8">
        <f>IFERROR(H194/H444, "NA")</f>
        <v>-1.022054677162909E-4</v>
      </c>
      <c r="J194" s="9"/>
      <c r="K194" s="7">
        <v>301.04000000000002</v>
      </c>
      <c r="L194" s="8">
        <f>IFERROR(K194/K444, "NA")</f>
        <v>2.0975339344257268E-3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2613.56</v>
      </c>
      <c r="R194" s="8">
        <f>IFERROR(Q194/Q444, "NA")</f>
        <v>2.5356883022453216E-3</v>
      </c>
      <c r="S194" s="9"/>
      <c r="T194" s="7">
        <v>2317.4299999999998</v>
      </c>
      <c r="U194" s="8">
        <f>IFERROR(T194/T444, "NA")</f>
        <v>2.035170959260943E-3</v>
      </c>
      <c r="V194" s="9"/>
      <c r="W194" s="10">
        <f t="shared" si="50"/>
        <v>-296.13000000000011</v>
      </c>
      <c r="X194" s="8">
        <f>IFERROR(W194/W444, "NA")</f>
        <v>2.7424446866696978E-3</v>
      </c>
      <c r="Y194" s="9"/>
      <c r="Z194" s="7">
        <v>2405.14</v>
      </c>
      <c r="AA194" s="8">
        <f>IFERROR(Z194/Z444, "NA")</f>
        <v>2.437220796128528E-3</v>
      </c>
      <c r="AB194" s="9"/>
      <c r="AC194" s="10">
        <f t="shared" si="51"/>
        <v>-208.42000000000007</v>
      </c>
      <c r="AD194" s="8">
        <f>IFERROR(AC194/AC444, "NA")</f>
        <v>-4.7505147796578955E-3</v>
      </c>
    </row>
    <row r="195" spans="1:30" ht="16.5" customHeight="1" x14ac:dyDescent="0.45">
      <c r="A195" s="6" t="s">
        <v>179</v>
      </c>
      <c r="B195" s="7">
        <v>756.32</v>
      </c>
      <c r="C195" s="8">
        <f>IFERROR(B195/B444, "NA")</f>
        <v>5.7067011257892538E-3</v>
      </c>
      <c r="D195" s="9"/>
      <c r="E195" s="7">
        <v>265.68</v>
      </c>
      <c r="F195" s="8">
        <f>IFERROR(E195/E444, "NA")</f>
        <v>1.6828714621409031E-3</v>
      </c>
      <c r="G195" s="9"/>
      <c r="H195" s="10">
        <f t="shared" si="48"/>
        <v>-490.64000000000004</v>
      </c>
      <c r="I195" s="8">
        <f>IFERROR(H195/H444, "NA")</f>
        <v>1.9361424973097088E-2</v>
      </c>
      <c r="J195" s="9"/>
      <c r="K195" s="7">
        <v>457.53</v>
      </c>
      <c r="L195" s="8">
        <f>IFERROR(K195/K444, "NA")</f>
        <v>3.1878976249594829E-3</v>
      </c>
      <c r="M195" s="9"/>
      <c r="N195" s="10">
        <f t="shared" si="49"/>
        <v>-298.79000000000008</v>
      </c>
      <c r="O195" s="8">
        <f>IFERROR(N195/N444, "NA")</f>
        <v>2.7189892447090303E-2</v>
      </c>
      <c r="P195" s="9"/>
      <c r="Q195" s="7">
        <v>7656.6</v>
      </c>
      <c r="R195" s="8">
        <f>IFERROR(Q195/Q444, "NA")</f>
        <v>7.4284696180579477E-3</v>
      </c>
      <c r="S195" s="9"/>
      <c r="T195" s="7">
        <v>2027.75</v>
      </c>
      <c r="U195" s="8">
        <f>IFERROR(T195/T444, "NA")</f>
        <v>1.7807734916012038E-3</v>
      </c>
      <c r="V195" s="9"/>
      <c r="W195" s="10">
        <f t="shared" si="50"/>
        <v>-5628.85</v>
      </c>
      <c r="X195" s="8">
        <f>IFERROR(W195/W444, "NA")</f>
        <v>5.2128490104213436E-2</v>
      </c>
      <c r="Y195" s="9"/>
      <c r="Z195" s="7">
        <v>6386.58</v>
      </c>
      <c r="AA195" s="8">
        <f>IFERROR(Z195/Z444, "NA")</f>
        <v>6.4717669624797464E-3</v>
      </c>
      <c r="AB195" s="9"/>
      <c r="AC195" s="10">
        <f t="shared" si="51"/>
        <v>-1270.0200000000004</v>
      </c>
      <c r="AD195" s="8">
        <f>IFERROR(AC195/AC444, "NA")</f>
        <v>-2.8947551964596106E-2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39234.509999999995</v>
      </c>
      <c r="C196" s="15">
        <f>IFERROR(B196/B444, "NA")</f>
        <v>0.29603821449490914</v>
      </c>
      <c r="D196" s="2"/>
      <c r="E196" s="14">
        <f>IFERROR(E175+E177+E178+E179+E180+E181+E183+E184+E186+E187+E188+E189+E190+E191+E192+E194+E195, "NA")</f>
        <v>42132.6</v>
      </c>
      <c r="F196" s="15">
        <f>IFERROR(E196/E444, "NA")</f>
        <v>0.26687650619466202</v>
      </c>
      <c r="G196" s="2"/>
      <c r="H196" s="14">
        <f t="shared" si="48"/>
        <v>2898.0900000000038</v>
      </c>
      <c r="I196" s="15">
        <f>IFERROR(H196/H444, "NA")</f>
        <v>-0.11436318298606515</v>
      </c>
      <c r="J196" s="2"/>
      <c r="K196" s="14">
        <f>IFERROR(K175+K177+K178+K179+K180+K181+K183+K184+K186+K187+K188+K189+K190+K191+K192+K194+K195, "NA")</f>
        <v>39356.769999999997</v>
      </c>
      <c r="L196" s="15">
        <f>IFERROR(K196/K444, "NA")</f>
        <v>0.27422322822345335</v>
      </c>
      <c r="M196" s="2"/>
      <c r="N196" s="14">
        <f t="shared" si="49"/>
        <v>122.26000000000204</v>
      </c>
      <c r="O196" s="15">
        <f>IFERROR(N196/N444, "NA")</f>
        <v>-1.1125661001309666E-2</v>
      </c>
      <c r="P196" s="2"/>
      <c r="Q196" s="14">
        <f>IFERROR(Q175+Q177+Q178+Q179+Q180+Q181+Q183+Q184+Q186+Q187+Q188+Q189+Q190+Q191+Q192+Q194+Q195, "NA")</f>
        <v>305826.73999999993</v>
      </c>
      <c r="R196" s="15">
        <f>IFERROR(Q196/Q444, "NA")</f>
        <v>0.2967145529973757</v>
      </c>
      <c r="S196" s="2"/>
      <c r="T196" s="14">
        <f>IFERROR(T175+T177+T178+T179+T180+T181+T183+T184+T186+T187+T188+T189+T190+T191+T192+T194+T195, "NA")</f>
        <v>325303.32</v>
      </c>
      <c r="U196" s="15">
        <f>IFERROR(T196/T444, "NA")</f>
        <v>0.28568192774546353</v>
      </c>
      <c r="V196" s="2"/>
      <c r="W196" s="14">
        <f t="shared" si="50"/>
        <v>19476.580000000075</v>
      </c>
      <c r="X196" s="15">
        <f>IFERROR(W196/W444, "NA")</f>
        <v>-0.18037160482050954</v>
      </c>
      <c r="Y196" s="2"/>
      <c r="Z196" s="14">
        <f>IFERROR(Z175+Z177+Z178+Z179+Z180+Z181+Z183+Z184+Z186+Z187+Z188+Z189+Z190+Z191+Z192+Z194+Z195, "NA")</f>
        <v>311286.02000000008</v>
      </c>
      <c r="AA196" s="15">
        <f>IFERROR(Z196/Z444, "NA")</f>
        <v>0.31543808738288881</v>
      </c>
      <c r="AB196" s="2"/>
      <c r="AC196" s="14">
        <f t="shared" si="51"/>
        <v>5459.2800000001444</v>
      </c>
      <c r="AD196" s="15">
        <f>IFERROR(AC196/AC444, "NA")</f>
        <v>0.12443330930952612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39234.509999999995</v>
      </c>
      <c r="C197" s="15">
        <f>IFERROR(B197/B444, "NA")</f>
        <v>0.29603821449490914</v>
      </c>
      <c r="D197" s="2"/>
      <c r="E197" s="14">
        <f>IFERROR(E175+E177+E178+E179+E180+E181+E183+E184+E186+E187+E188+E189+E190+E191+E192+E194+E195, "NA")</f>
        <v>42132.6</v>
      </c>
      <c r="F197" s="15">
        <f>IFERROR(E197/E444, "NA")</f>
        <v>0.26687650619466202</v>
      </c>
      <c r="G197" s="2"/>
      <c r="H197" s="14">
        <f t="shared" si="48"/>
        <v>2898.0900000000038</v>
      </c>
      <c r="I197" s="15">
        <f>IFERROR(H197/H444, "NA")</f>
        <v>-0.11436318298606515</v>
      </c>
      <c r="J197" s="2"/>
      <c r="K197" s="14">
        <f>IFERROR(K175+K177+K178+K179+K180+K181+K183+K184+K186+K187+K188+K189+K190+K191+K192+K194+K195, "NA")</f>
        <v>39356.769999999997</v>
      </c>
      <c r="L197" s="15">
        <f>IFERROR(K197/K444, "NA")</f>
        <v>0.27422322822345335</v>
      </c>
      <c r="M197" s="2"/>
      <c r="N197" s="14">
        <f t="shared" si="49"/>
        <v>122.26000000000204</v>
      </c>
      <c r="O197" s="15">
        <f>IFERROR(N197/N444, "NA")</f>
        <v>-1.1125661001309666E-2</v>
      </c>
      <c r="P197" s="2"/>
      <c r="Q197" s="14">
        <f>IFERROR(Q175+Q177+Q178+Q179+Q180+Q181+Q183+Q184+Q186+Q187+Q188+Q189+Q190+Q191+Q192+Q194+Q195, "NA")</f>
        <v>305826.73999999993</v>
      </c>
      <c r="R197" s="15">
        <f>IFERROR(Q197/Q444, "NA")</f>
        <v>0.2967145529973757</v>
      </c>
      <c r="S197" s="2"/>
      <c r="T197" s="14">
        <f>IFERROR(T175+T177+T178+T179+T180+T181+T183+T184+T186+T187+T188+T189+T190+T191+T192+T194+T195, "NA")</f>
        <v>325303.32</v>
      </c>
      <c r="U197" s="15">
        <f>IFERROR(T197/T444, "NA")</f>
        <v>0.28568192774546353</v>
      </c>
      <c r="V197" s="2"/>
      <c r="W197" s="14">
        <f t="shared" si="50"/>
        <v>19476.580000000075</v>
      </c>
      <c r="X197" s="15">
        <f>IFERROR(W197/W444, "NA")</f>
        <v>-0.18037160482050954</v>
      </c>
      <c r="Y197" s="2"/>
      <c r="Z197" s="14">
        <f>IFERROR(Z175+Z177+Z178+Z179+Z180+Z181+Z183+Z184+Z186+Z187+Z188+Z189+Z190+Z191+Z192+Z194+Z195, "NA")</f>
        <v>311286.02000000008</v>
      </c>
      <c r="AA197" s="15">
        <f>IFERROR(Z197/Z444, "NA")</f>
        <v>0.31543808738288881</v>
      </c>
      <c r="AB197" s="2"/>
      <c r="AC197" s="14">
        <f t="shared" si="51"/>
        <v>5459.2800000001444</v>
      </c>
      <c r="AD197" s="15">
        <f>IFERROR(AC197/AC444, "NA")</f>
        <v>0.12443330930952612</v>
      </c>
    </row>
    <row r="198" spans="1:30" ht="16.5" customHeight="1" x14ac:dyDescent="0.45">
      <c r="A198" s="22" t="s">
        <v>181</v>
      </c>
      <c r="B198" s="23">
        <f>IFERROR(B172-B197, "NA")</f>
        <v>54536.710000000036</v>
      </c>
      <c r="C198" s="24">
        <f>IFERROR(B198/B444, "NA")</f>
        <v>0.4114987100087823</v>
      </c>
      <c r="D198" s="25"/>
      <c r="E198" s="23">
        <f>IFERROR(E172-E197, "NA")</f>
        <v>78008.770000000019</v>
      </c>
      <c r="F198" s="24">
        <f>IFERROR(E198/E444, "NA")</f>
        <v>0.49412350508022224</v>
      </c>
      <c r="G198" s="25"/>
      <c r="H198" s="23">
        <f>IFERROR(B198-E198, "NA")</f>
        <v>-23472.059999999983</v>
      </c>
      <c r="I198" s="24">
        <f>IFERROR(H198/H444, "NA")</f>
        <v>0.92624435156944573</v>
      </c>
      <c r="J198" s="25"/>
      <c r="K198" s="23">
        <f>IFERROR(K172-K197, "NA")</f>
        <v>63878.240000000013</v>
      </c>
      <c r="L198" s="24">
        <f>IFERROR(K198/K444, "NA")</f>
        <v>0.44507964413829015</v>
      </c>
      <c r="M198" s="25"/>
      <c r="N198" s="23">
        <f>IFERROR(B198-K198, "NA")</f>
        <v>-9341.529999999977</v>
      </c>
      <c r="O198" s="24">
        <f>IFERROR(N198/N444, "NA")</f>
        <v>0.85007930650713481</v>
      </c>
      <c r="P198" s="25"/>
      <c r="Q198" s="23">
        <f>IFERROR(Q172-Q197, "NA")</f>
        <v>416938.07000000012</v>
      </c>
      <c r="R198" s="24">
        <f>IFERROR(Q198/Q444, "NA")</f>
        <v>0.40451529211487064</v>
      </c>
      <c r="S198" s="25"/>
      <c r="T198" s="23">
        <f>IFERROR(T172-T197, "NA")</f>
        <v>531854.43999999994</v>
      </c>
      <c r="U198" s="24">
        <f>IFERROR(T198/T444, "NA")</f>
        <v>0.46707547189860821</v>
      </c>
      <c r="V198" s="25"/>
      <c r="W198" s="23">
        <f>IFERROR(Q198-T198, "NA")</f>
        <v>-114916.36999999982</v>
      </c>
      <c r="X198" s="24">
        <f>IFERROR(W198/W444, "NA")</f>
        <v>1.0642345872348917</v>
      </c>
      <c r="Y198" s="25"/>
      <c r="Z198" s="23">
        <f>IFERROR(Z172-Z197, "NA")</f>
        <v>398889.54000000021</v>
      </c>
      <c r="AA198" s="24">
        <f>IFERROR(Z198/Z444, "NA")</f>
        <v>0.40421010096964954</v>
      </c>
      <c r="AB198" s="25"/>
      <c r="AC198" s="23">
        <f>IFERROR(Q198-Z198, "NA")</f>
        <v>18048.529999999912</v>
      </c>
      <c r="AD198" s="24">
        <f>IFERROR(AC198/AC444, "NA")</f>
        <v>0.41137994681939577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3157.46</v>
      </c>
      <c r="F201" s="8">
        <f>IFERROR(E201/E444, "NA")</f>
        <v>1.9999997466318184E-2</v>
      </c>
      <c r="G201" s="9"/>
      <c r="H201" s="10">
        <f t="shared" ref="H201:H209" si="52">IFERROR(-(B201-E201), "NA")</f>
        <v>3157.46</v>
      </c>
      <c r="I201" s="8">
        <f>IFERROR(H201/H444, "NA")</f>
        <v>-0.12459833053879651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22773.82</v>
      </c>
      <c r="U201" s="8">
        <f>IFERROR(T201/T444, "NA")</f>
        <v>2.0000007376894256E-2</v>
      </c>
      <c r="V201" s="9"/>
      <c r="W201" s="10">
        <f t="shared" ref="W201:W209" si="54">IFERROR(-(Q201-T201), "NA")</f>
        <v>22773.82</v>
      </c>
      <c r="X201" s="8">
        <f>IFERROR(W201/W444, "NA")</f>
        <v>-0.21090717473465057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775.01</v>
      </c>
      <c r="C202" s="8">
        <f>IFERROR(B202/B444, "NA")</f>
        <v>5.8477237670535344E-3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-775.01</v>
      </c>
      <c r="I202" s="8">
        <f>IFERROR(H202/H444, "NA")</f>
        <v>3.0583111789499372E-2</v>
      </c>
      <c r="J202" s="9"/>
      <c r="K202" s="7">
        <v>793.07</v>
      </c>
      <c r="L202" s="8">
        <f>IFERROR(K202/K444, "NA")</f>
        <v>5.5258146338526817E-3</v>
      </c>
      <c r="M202" s="9"/>
      <c r="N202" s="10">
        <f t="shared" si="53"/>
        <v>18.060000000000059</v>
      </c>
      <c r="O202" s="8">
        <f>IFERROR(N202/N444, "NA")</f>
        <v>-1.6434601479114173E-3</v>
      </c>
      <c r="P202" s="9"/>
      <c r="Q202" s="7">
        <v>9101.5400000000009</v>
      </c>
      <c r="R202" s="8">
        <f>IFERROR(Q202/Q444, "NA")</f>
        <v>8.830357256163197E-3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-9101.5400000000009</v>
      </c>
      <c r="X202" s="8">
        <f>IFERROR(W202/W444, "NA")</f>
        <v>8.4288893437043585E-2</v>
      </c>
      <c r="Y202" s="9"/>
      <c r="Z202" s="7">
        <v>7353.11</v>
      </c>
      <c r="AA202" s="8">
        <f>IFERROR(Z202/Z444, "NA")</f>
        <v>7.4511889570755309E-3</v>
      </c>
      <c r="AB202" s="9"/>
      <c r="AC202" s="10">
        <f t="shared" si="55"/>
        <v>-1748.4300000000012</v>
      </c>
      <c r="AD202" s="8">
        <f>IFERROR(AC202/AC444, "NA")</f>
        <v>-3.985194586026896E-2</v>
      </c>
    </row>
    <row r="203" spans="1:30" ht="16.5" customHeight="1" x14ac:dyDescent="0.45">
      <c r="A203" s="6" t="s">
        <v>185</v>
      </c>
      <c r="B203" s="7">
        <v>872.18</v>
      </c>
      <c r="C203" s="8">
        <f>IFERROR(B203/B444, "NA")</f>
        <v>6.580905685279869E-3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-872.18</v>
      </c>
      <c r="I203" s="8">
        <f>IFERROR(H203/H444, "NA")</f>
        <v>3.4417592599534926E-2</v>
      </c>
      <c r="J203" s="9"/>
      <c r="K203" s="7">
        <v>775.5</v>
      </c>
      <c r="L203" s="8">
        <f>IFERROR(K203/K444, "NA")</f>
        <v>5.4033934565079428E-3</v>
      </c>
      <c r="M203" s="9"/>
      <c r="N203" s="10">
        <f t="shared" si="53"/>
        <v>-96.67999999999995</v>
      </c>
      <c r="O203" s="8">
        <f>IFERROR(N203/N444, "NA")</f>
        <v>8.7978807918092598E-3</v>
      </c>
      <c r="P203" s="9"/>
      <c r="Q203" s="7">
        <v>8420</v>
      </c>
      <c r="R203" s="8">
        <f>IFERROR(Q203/Q444, "NA")</f>
        <v>8.1691239171496378E-3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-8420</v>
      </c>
      <c r="X203" s="8">
        <f>IFERROR(W203/W444, "NA")</f>
        <v>7.7977186579403807E-2</v>
      </c>
      <c r="Y203" s="9"/>
      <c r="Z203" s="7">
        <v>6022.97</v>
      </c>
      <c r="AA203" s="8">
        <f>IFERROR(Z203/Z444, "NA")</f>
        <v>6.1033069752522689E-3</v>
      </c>
      <c r="AB203" s="9"/>
      <c r="AC203" s="10">
        <f t="shared" si="55"/>
        <v>-2397.0299999999997</v>
      </c>
      <c r="AD203" s="8">
        <f>IFERROR(AC203/AC444, "NA")</f>
        <v>-5.4635478563877557E-2</v>
      </c>
    </row>
    <row r="204" spans="1:30" ht="16.5" customHeight="1" x14ac:dyDescent="0.45">
      <c r="A204" s="6" t="s">
        <v>186</v>
      </c>
      <c r="B204" s="7">
        <v>394.89</v>
      </c>
      <c r="C204" s="8">
        <f>IFERROR(B204/B444, "NA")</f>
        <v>2.9795843129401815E-3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-394.89</v>
      </c>
      <c r="I204" s="8">
        <f>IFERROR(H204/H444, "NA")</f>
        <v>1.5582979593238032E-2</v>
      </c>
      <c r="J204" s="9"/>
      <c r="K204" s="7">
        <v>250.1</v>
      </c>
      <c r="L204" s="8">
        <f>IFERROR(K204/K444, "NA")</f>
        <v>1.742603099255495E-3</v>
      </c>
      <c r="M204" s="9"/>
      <c r="N204" s="10">
        <f t="shared" si="53"/>
        <v>-144.79</v>
      </c>
      <c r="O204" s="8">
        <f>IFERROR(N204/N444, "NA")</f>
        <v>1.3175891185830195E-2</v>
      </c>
      <c r="P204" s="9"/>
      <c r="Q204" s="7">
        <v>1511.87</v>
      </c>
      <c r="R204" s="8">
        <f>IFERROR(Q204/Q444, "NA")</f>
        <v>1.4668234414039218E-3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-1511.87</v>
      </c>
      <c r="X204" s="8">
        <f>IFERROR(W204/W444, "NA")</f>
        <v>1.4001350246294919E-2</v>
      </c>
      <c r="Y204" s="9"/>
      <c r="Z204" s="7">
        <v>941.85</v>
      </c>
      <c r="AA204" s="8">
        <f>IFERROR(Z204/Z444, "NA")</f>
        <v>9.5441280209619997E-4</v>
      </c>
      <c r="AB204" s="9"/>
      <c r="AC204" s="10">
        <f t="shared" si="55"/>
        <v>-570.01999999999987</v>
      </c>
      <c r="AD204" s="8">
        <f>IFERROR(AC204/AC444, "NA")</f>
        <v>-1.2992459623359525E-2</v>
      </c>
    </row>
    <row r="205" spans="1:30" ht="16.5" customHeight="1" x14ac:dyDescent="0.45">
      <c r="A205" s="6" t="s">
        <v>187</v>
      </c>
      <c r="B205" s="7">
        <v>455.3</v>
      </c>
      <c r="C205" s="8">
        <f>IFERROR(B205/B444, "NA")</f>
        <v>3.4353990672887761E-3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-455.3</v>
      </c>
      <c r="I205" s="8">
        <f>IFERROR(H205/H444, "NA")</f>
        <v>1.7966853069972085E-2</v>
      </c>
      <c r="J205" s="9"/>
      <c r="K205" s="7">
        <v>449.1</v>
      </c>
      <c r="L205" s="8">
        <f>IFERROR(K205/K444, "NA")</f>
        <v>3.1291605432852577E-3</v>
      </c>
      <c r="M205" s="9"/>
      <c r="N205" s="10">
        <f t="shared" si="53"/>
        <v>-6.1999999999999886</v>
      </c>
      <c r="O205" s="8">
        <f>IFERROR(N205/N444, "NA")</f>
        <v>5.6420005077800306E-4</v>
      </c>
      <c r="P205" s="9"/>
      <c r="Q205" s="7">
        <v>3551.34</v>
      </c>
      <c r="R205" s="8">
        <f>IFERROR(Q205/Q444, "NA")</f>
        <v>3.4455269040297143E-3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-3551.34</v>
      </c>
      <c r="X205" s="8">
        <f>IFERROR(W205/W444, "NA")</f>
        <v>3.2888776934311151E-2</v>
      </c>
      <c r="Y205" s="9"/>
      <c r="Z205" s="7">
        <v>3605.7</v>
      </c>
      <c r="AA205" s="8">
        <f>IFERROR(Z205/Z444, "NA")</f>
        <v>3.6537943839446496E-3</v>
      </c>
      <c r="AB205" s="9"/>
      <c r="AC205" s="10">
        <f t="shared" si="55"/>
        <v>54.359999999999673</v>
      </c>
      <c r="AD205" s="8">
        <f>IFERROR(AC205/AC444, "NA")</f>
        <v>1.2390268852423066E-3</v>
      </c>
    </row>
    <row r="206" spans="1:30" ht="16.5" customHeight="1" x14ac:dyDescent="0.45">
      <c r="A206" s="6" t="s">
        <v>188</v>
      </c>
      <c r="B206" s="7">
        <v>47.69</v>
      </c>
      <c r="C206" s="8">
        <f>IFERROR(B206/B444, "NA")</f>
        <v>3.5983786848012674E-4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-47.69</v>
      </c>
      <c r="I206" s="8">
        <f>IFERROR(H206/H444, "NA")</f>
        <v>1.8819222993783629E-3</v>
      </c>
      <c r="J206" s="9"/>
      <c r="K206" s="7">
        <v>169.55</v>
      </c>
      <c r="L206" s="8">
        <f>IFERROR(K206/K444, "NA")</f>
        <v>1.1813608775640512E-3</v>
      </c>
      <c r="M206" s="9"/>
      <c r="N206" s="10">
        <f t="shared" si="53"/>
        <v>121.86000000000001</v>
      </c>
      <c r="O206" s="8">
        <f>IFERROR(N206/N444, "NA")</f>
        <v>-1.1089260998033482E-2</v>
      </c>
      <c r="P206" s="9"/>
      <c r="Q206" s="7">
        <v>912.93</v>
      </c>
      <c r="R206" s="8">
        <f>IFERROR(Q206/Q444, "NA")</f>
        <v>8.8572901397665298E-4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-912.93</v>
      </c>
      <c r="X206" s="8">
        <f>IFERROR(W206/W444, "NA")</f>
        <v>8.4545977368093959E-3</v>
      </c>
      <c r="Y206" s="9"/>
      <c r="Z206" s="7">
        <v>398.03</v>
      </c>
      <c r="AA206" s="8">
        <f>IFERROR(Z206/Z444, "NA")</f>
        <v>4.0333909605388377E-4</v>
      </c>
      <c r="AB206" s="9"/>
      <c r="AC206" s="10">
        <f t="shared" si="55"/>
        <v>-514.9</v>
      </c>
      <c r="AD206" s="8">
        <f>IFERROR(AC206/AC444, "NA")</f>
        <v>-1.1736110066432442E-2</v>
      </c>
    </row>
    <row r="207" spans="1:30" ht="16.5" customHeight="1" x14ac:dyDescent="0.45">
      <c r="A207" s="6" t="s">
        <v>189</v>
      </c>
      <c r="B207" s="7">
        <v>84.69</v>
      </c>
      <c r="C207" s="8">
        <f>IFERROR(B207/B444, "NA")</f>
        <v>6.3901591699689524E-4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-84.69</v>
      </c>
      <c r="I207" s="8">
        <f>IFERROR(H207/H444, "NA")</f>
        <v>3.3420004096111041E-3</v>
      </c>
      <c r="J207" s="9"/>
      <c r="K207" s="7">
        <v>266.16000000000003</v>
      </c>
      <c r="L207" s="8">
        <f>IFERROR(K207/K444, "NA")</f>
        <v>1.85450316232644E-3</v>
      </c>
      <c r="M207" s="9"/>
      <c r="N207" s="10">
        <f t="shared" si="53"/>
        <v>181.47000000000003</v>
      </c>
      <c r="O207" s="8">
        <f>IFERROR(N207/N444, "NA")</f>
        <v>-1.6513771486239424E-2</v>
      </c>
      <c r="P207" s="9"/>
      <c r="Q207" s="7">
        <v>847.67</v>
      </c>
      <c r="R207" s="8">
        <f>IFERROR(Q207/Q444, "NA")</f>
        <v>8.2241345259503949E-4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-847.67</v>
      </c>
      <c r="X207" s="8">
        <f>IFERROR(W207/W444, "NA")</f>
        <v>7.8502282360763918E-3</v>
      </c>
      <c r="Y207" s="9"/>
      <c r="Z207" s="7">
        <v>574.5</v>
      </c>
      <c r="AA207" s="8">
        <f>IFERROR(Z207/Z444, "NA")</f>
        <v>5.8216292913337245E-4</v>
      </c>
      <c r="AB207" s="9"/>
      <c r="AC207" s="10">
        <f t="shared" si="55"/>
        <v>-273.16999999999996</v>
      </c>
      <c r="AD207" s="8">
        <f>IFERROR(AC207/AC444, "NA")</f>
        <v>-6.2263608212222753E-3</v>
      </c>
    </row>
    <row r="208" spans="1:30" ht="16.5" customHeight="1" x14ac:dyDescent="0.45">
      <c r="A208" s="6" t="s">
        <v>190</v>
      </c>
      <c r="B208" s="7">
        <v>0</v>
      </c>
      <c r="C208" s="8">
        <f>IFERROR(B208/B444, "NA")</f>
        <v>0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0</v>
      </c>
      <c r="I208" s="8">
        <f>IFERROR(H208/H444, "NA")</f>
        <v>0</v>
      </c>
      <c r="J208" s="9"/>
      <c r="K208" s="7">
        <v>79.02</v>
      </c>
      <c r="L208" s="8">
        <f>IFERROR(K208/K444, "NA")</f>
        <v>5.5058175491071257E-4</v>
      </c>
      <c r="M208" s="9"/>
      <c r="N208" s="10">
        <f t="shared" si="53"/>
        <v>79.02</v>
      </c>
      <c r="O208" s="8">
        <f>IFERROR(N208/N444, "NA")</f>
        <v>-7.1908206471738515E-3</v>
      </c>
      <c r="P208" s="9"/>
      <c r="Q208" s="7">
        <v>1207.56</v>
      </c>
      <c r="R208" s="8">
        <f>IFERROR(Q208/Q444, "NA")</f>
        <v>1.1715804367450375E-3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-1207.56</v>
      </c>
      <c r="X208" s="8">
        <f>IFERROR(W208/W444, "NA")</f>
        <v>1.1183151000691787E-2</v>
      </c>
      <c r="Y208" s="9"/>
      <c r="Z208" s="7">
        <v>873.76</v>
      </c>
      <c r="AA208" s="8">
        <f>IFERROR(Z208/Z444, "NA")</f>
        <v>8.8541458826732033E-4</v>
      </c>
      <c r="AB208" s="9"/>
      <c r="AC208" s="10">
        <f t="shared" si="55"/>
        <v>-333.79999999999995</v>
      </c>
      <c r="AD208" s="8">
        <f>IFERROR(AC208/AC444, "NA")</f>
        <v>-7.608299747863952E-3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2629.76</v>
      </c>
      <c r="C209" s="15">
        <f>IFERROR(B209/B444, "NA")</f>
        <v>1.9842466618039387E-2</v>
      </c>
      <c r="D209" s="2"/>
      <c r="E209" s="14">
        <f>IFERROR(E201+E202+E203+E204+E205+E206+E207+E208, "NA")</f>
        <v>3157.46</v>
      </c>
      <c r="F209" s="15">
        <f>IFERROR(E209/E444, "NA")</f>
        <v>1.9999997466318184E-2</v>
      </c>
      <c r="G209" s="2"/>
      <c r="H209" s="14">
        <f t="shared" si="52"/>
        <v>527.69999999999982</v>
      </c>
      <c r="I209" s="15">
        <f>IFERROR(H209/H444, "NA")</f>
        <v>-2.082387077756263E-2</v>
      </c>
      <c r="J209" s="2"/>
      <c r="K209" s="14">
        <f>IFERROR(K201+K202+K203+K204+K205+K206+K207+K208, "NA")</f>
        <v>2782.5</v>
      </c>
      <c r="L209" s="15">
        <f>IFERROR(K209/K444, "NA")</f>
        <v>1.938741752770258E-2</v>
      </c>
      <c r="M209" s="2"/>
      <c r="N209" s="14">
        <f t="shared" si="53"/>
        <v>152.73999999999978</v>
      </c>
      <c r="O209" s="15">
        <f>IFERROR(N209/N444, "NA")</f>
        <v>-1.3899341250940681E-2</v>
      </c>
      <c r="P209" s="2"/>
      <c r="Q209" s="14">
        <f>IFERROR(Q201+Q202+Q203+Q204+Q205+Q206+Q207+Q208, "NA")</f>
        <v>25552.91</v>
      </c>
      <c r="R209" s="15">
        <f>IFERROR(Q209/Q444, "NA")</f>
        <v>2.4791554422063201E-2</v>
      </c>
      <c r="S209" s="2"/>
      <c r="T209" s="14">
        <f>IFERROR(T201+T202+T203+T204+T205+T206+T207+T208, "NA")</f>
        <v>22773.82</v>
      </c>
      <c r="U209" s="15">
        <f>IFERROR(T209/T444, "NA")</f>
        <v>2.0000007376894256E-2</v>
      </c>
      <c r="V209" s="2"/>
      <c r="W209" s="14">
        <f t="shared" si="54"/>
        <v>-2779.09</v>
      </c>
      <c r="X209" s="15">
        <f>IFERROR(W209/W444, "NA")</f>
        <v>2.5737009435980441E-2</v>
      </c>
      <c r="Y209" s="2"/>
      <c r="Z209" s="14">
        <f>IFERROR(Z201+Z202+Z203+Z204+Z205+Z206+Z207+Z208, "NA")</f>
        <v>19769.919999999998</v>
      </c>
      <c r="AA209" s="15">
        <f>IFERROR(Z209/Z444, "NA")</f>
        <v>2.0033619731823226E-2</v>
      </c>
      <c r="AB209" s="2"/>
      <c r="AC209" s="14">
        <f t="shared" si="55"/>
        <v>-5782.9900000000016</v>
      </c>
      <c r="AD209" s="15">
        <f>IFERROR(AC209/AC444, "NA")</f>
        <v>-0.13181162779778241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4349.71</v>
      </c>
      <c r="F213" s="8">
        <f>IFERROR(E213/E444, "NA")</f>
        <v>2.7551952828925426E-2</v>
      </c>
      <c r="G213" s="9"/>
      <c r="H213" s="10">
        <f t="shared" ref="H213:H227" si="56">IFERROR(-(B213-E213), "NA")</f>
        <v>4349.71</v>
      </c>
      <c r="I213" s="8">
        <f>IFERROR(H213/H444, "NA")</f>
        <v>-0.17164638802325557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29908.22</v>
      </c>
      <c r="U213" s="8">
        <f>IFERROR(T213/T444, "NA")</f>
        <v>2.6265449565763509E-2</v>
      </c>
      <c r="V213" s="9"/>
      <c r="W213" s="10">
        <f t="shared" ref="W213:W227" si="58">IFERROR(-(Q213-T213), "NA")</f>
        <v>29908.22</v>
      </c>
      <c r="X213" s="8">
        <f>IFERROR(W213/W444, "NA")</f>
        <v>-0.27697848589048174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1655.62</v>
      </c>
      <c r="C214" s="8">
        <f>IFERROR(B214/B444, "NA")</f>
        <v>1.2492236775279251E-2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-1655.62</v>
      </c>
      <c r="I214" s="8">
        <f>IFERROR(H214/H444, "NA")</f>
        <v>6.5333365428744072E-2</v>
      </c>
      <c r="J214" s="9"/>
      <c r="K214" s="7">
        <v>3026.49</v>
      </c>
      <c r="L214" s="8">
        <f>IFERROR(K214/K444, "NA")</f>
        <v>2.1087448436088618E-2</v>
      </c>
      <c r="M214" s="9"/>
      <c r="N214" s="10">
        <f t="shared" si="57"/>
        <v>1370.87</v>
      </c>
      <c r="O214" s="8">
        <f>IFERROR(N214/N444, "NA")</f>
        <v>-0.12474918122742619</v>
      </c>
      <c r="P214" s="9"/>
      <c r="Q214" s="7">
        <v>16146.83</v>
      </c>
      <c r="R214" s="8">
        <f>IFERROR(Q214/Q444, "NA")</f>
        <v>1.5665731014150745E-2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-16146.83</v>
      </c>
      <c r="X214" s="8">
        <f>IFERROR(W214/W444, "NA")</f>
        <v>0.14953496146982359</v>
      </c>
      <c r="Y214" s="9"/>
      <c r="Z214" s="7">
        <v>7460.04</v>
      </c>
      <c r="AA214" s="8">
        <f>IFERROR(Z214/Z444, "NA")</f>
        <v>7.5595452355998677E-3</v>
      </c>
      <c r="AB214" s="9"/>
      <c r="AC214" s="10">
        <f t="shared" si="59"/>
        <v>-8686.7900000000009</v>
      </c>
      <c r="AD214" s="8">
        <f>IFERROR(AC214/AC444, "NA")</f>
        <v>-0.19799790942704348</v>
      </c>
    </row>
    <row r="215" spans="1:30" ht="16.5" customHeight="1" x14ac:dyDescent="0.45">
      <c r="A215" s="12" t="s">
        <v>195</v>
      </c>
      <c r="B215" s="7">
        <v>336.1</v>
      </c>
      <c r="C215" s="8">
        <f>IFERROR(B215/B444, "NA")</f>
        <v>2.5359930299050245E-3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-336.1</v>
      </c>
      <c r="I215" s="8">
        <f>IFERROR(H215/H444, "NA")</f>
        <v>1.3263033860789848E-2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-336.1</v>
      </c>
      <c r="O215" s="8">
        <f>IFERROR(N215/N444, "NA")</f>
        <v>3.0585102752659223E-2</v>
      </c>
      <c r="P215" s="9"/>
      <c r="Q215" s="7">
        <v>707.55</v>
      </c>
      <c r="R215" s="8">
        <f>IFERROR(Q215/Q444, "NA")</f>
        <v>6.8646836432057314E-4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-707.55</v>
      </c>
      <c r="X215" s="8">
        <f>IFERROR(W215/W444, "NA")</f>
        <v>6.5525841287716342E-3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-707.55</v>
      </c>
      <c r="AD215" s="8">
        <f>IFERROR(AC215/AC444, "NA")</f>
        <v>-1.6127179408631336E-2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267.35000000000002</v>
      </c>
      <c r="L216" s="8">
        <f>IFERROR(K216/K444, "NA")</f>
        <v>1.862794636489231E-3</v>
      </c>
      <c r="M216" s="9"/>
      <c r="N216" s="10">
        <f t="shared" si="57"/>
        <v>267.35000000000002</v>
      </c>
      <c r="O216" s="8">
        <f>IFERROR(N216/N444, "NA")</f>
        <v>-2.432885218959668E-2</v>
      </c>
      <c r="P216" s="9"/>
      <c r="Q216" s="7">
        <v>2.1</v>
      </c>
      <c r="R216" s="8">
        <f>IFERROR(Q216/Q444, "NA")</f>
        <v>2.0374299555836388E-6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1.9447991902226603E-5</v>
      </c>
      <c r="Y216" s="9"/>
      <c r="Z216" s="7">
        <v>347.74</v>
      </c>
      <c r="AA216" s="8">
        <f>IFERROR(Z216/Z444, "NA")</f>
        <v>3.5237830631303563E-4</v>
      </c>
      <c r="AB216" s="9"/>
      <c r="AC216" s="10">
        <f t="shared" si="59"/>
        <v>345.64</v>
      </c>
      <c r="AD216" s="8">
        <f>IFERROR(AC216/AC444, "NA")</f>
        <v>7.8781687383214401E-3</v>
      </c>
    </row>
    <row r="217" spans="1:30" ht="16.5" customHeight="1" x14ac:dyDescent="0.45">
      <c r="A217" s="12" t="s">
        <v>197</v>
      </c>
      <c r="B217" s="7">
        <v>644.15</v>
      </c>
      <c r="C217" s="8">
        <f>IFERROR(B217/B444, "NA")</f>
        <v>4.8603389176236876E-3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-644.15</v>
      </c>
      <c r="I217" s="8">
        <f>IFERROR(H217/H444, "NA")</f>
        <v>2.5419170667741086E-2</v>
      </c>
      <c r="J217" s="9"/>
      <c r="K217" s="7">
        <v>12178.71</v>
      </c>
      <c r="L217" s="8">
        <f>IFERROR(K217/K444, "NA")</f>
        <v>8.4856688488340229E-2</v>
      </c>
      <c r="M217" s="9"/>
      <c r="N217" s="10">
        <f t="shared" si="57"/>
        <v>11534.56</v>
      </c>
      <c r="O217" s="8">
        <f>IFERROR(N217/N444, "NA")</f>
        <v>-1.049645054468054</v>
      </c>
      <c r="P217" s="9"/>
      <c r="Q217" s="7">
        <v>15364.09</v>
      </c>
      <c r="R217" s="8">
        <f>IFERROR(Q217/Q444, "NA")</f>
        <v>1.4906312955372871E-2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-15364.09</v>
      </c>
      <c r="X217" s="8">
        <f>IFERROR(W217/W444, "NA")</f>
        <v>0.14228604662146702</v>
      </c>
      <c r="Y217" s="9"/>
      <c r="Z217" s="7">
        <v>17999.87</v>
      </c>
      <c r="AA217" s="8">
        <f>IFERROR(Z217/Z444, "NA")</f>
        <v>1.823996004041761E-2</v>
      </c>
      <c r="AB217" s="9"/>
      <c r="AC217" s="10">
        <f t="shared" si="59"/>
        <v>2635.7799999999988</v>
      </c>
      <c r="AD217" s="8">
        <f>IFERROR(AC217/AC444, "NA")</f>
        <v>6.0077304701692154E-2</v>
      </c>
    </row>
    <row r="218" spans="1:30" ht="16.5" customHeight="1" x14ac:dyDescent="0.45">
      <c r="A218" s="13" t="s">
        <v>198</v>
      </c>
      <c r="B218" s="14">
        <f>IFERROR(B213+B214+B215+B216+B217, "NA")</f>
        <v>2635.87</v>
      </c>
      <c r="C218" s="15">
        <f>IFERROR(B218/B444, "NA")</f>
        <v>1.9888568722807962E-2</v>
      </c>
      <c r="D218" s="2"/>
      <c r="E218" s="14">
        <f>IFERROR(E213+E214+E215+E216+E217, "NA")</f>
        <v>4349.71</v>
      </c>
      <c r="F218" s="15">
        <f>IFERROR(E218/E444, "NA")</f>
        <v>2.7551952828925426E-2</v>
      </c>
      <c r="G218" s="2"/>
      <c r="H218" s="14">
        <f t="shared" si="56"/>
        <v>1713.8400000000001</v>
      </c>
      <c r="I218" s="15">
        <f>IFERROR(H218/H444, "NA")</f>
        <v>-6.7630818065980577E-2</v>
      </c>
      <c r="J218" s="2"/>
      <c r="K218" s="14">
        <f>IFERROR(K213+K214+K215+K216+K217, "NA")</f>
        <v>15472.55</v>
      </c>
      <c r="L218" s="15">
        <f>IFERROR(K218/K444, "NA")</f>
        <v>0.10780693156091807</v>
      </c>
      <c r="M218" s="2"/>
      <c r="N218" s="14">
        <f t="shared" si="57"/>
        <v>12836.68</v>
      </c>
      <c r="O218" s="15">
        <f>IFERROR(N218/N444, "NA")</f>
        <v>-1.1681379851324176</v>
      </c>
      <c r="P218" s="2"/>
      <c r="Q218" s="14">
        <f>IFERROR(Q213+Q214+Q215+Q216+Q217, "NA")</f>
        <v>32220.57</v>
      </c>
      <c r="R218" s="15">
        <f>IFERROR(Q218/Q444, "NA")</f>
        <v>3.1260549763799772E-2</v>
      </c>
      <c r="S218" s="2"/>
      <c r="T218" s="14">
        <f>IFERROR(T213+T214+T215+T216+T217, "NA")</f>
        <v>29908.22</v>
      </c>
      <c r="U218" s="15">
        <f>IFERROR(T218/T444, "NA")</f>
        <v>2.6265449565763509E-2</v>
      </c>
      <c r="V218" s="2"/>
      <c r="W218" s="14">
        <f t="shared" si="58"/>
        <v>-2312.3499999999985</v>
      </c>
      <c r="X218" s="15">
        <f>IFERROR(W218/W444, "NA")</f>
        <v>2.1414554321482693E-2</v>
      </c>
      <c r="Y218" s="2"/>
      <c r="Z218" s="14">
        <f>IFERROR(Z213+Z214+Z215+Z216+Z217, "NA")</f>
        <v>25807.649999999998</v>
      </c>
      <c r="AA218" s="15">
        <f>IFERROR(Z218/Z444, "NA")</f>
        <v>2.6151883582330511E-2</v>
      </c>
      <c r="AB218" s="2"/>
      <c r="AC218" s="14">
        <f t="shared" si="59"/>
        <v>-6412.9200000000019</v>
      </c>
      <c r="AD218" s="15">
        <f>IFERROR(AC218/AC444, "NA")</f>
        <v>-0.1461696153956612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231.29</v>
      </c>
      <c r="C222" s="8">
        <f>IFERROR(B222/B444, "NA")</f>
        <v>1.7451646173363077E-3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-231.29</v>
      </c>
      <c r="I222" s="8">
        <f>IFERROR(H222/H444, "NA")</f>
        <v>9.1270666517765057E-3</v>
      </c>
      <c r="J222" s="9"/>
      <c r="K222" s="7">
        <v>23.68</v>
      </c>
      <c r="L222" s="8">
        <f>IFERROR(K222/K444, "NA")</f>
        <v>1.6499336821419481E-4</v>
      </c>
      <c r="M222" s="9"/>
      <c r="N222" s="10">
        <f t="shared" si="57"/>
        <v>-207.60999999999999</v>
      </c>
      <c r="O222" s="8">
        <f>IFERROR(N222/N444, "NA")</f>
        <v>1.8892511700326034E-2</v>
      </c>
      <c r="P222" s="9"/>
      <c r="Q222" s="7">
        <v>1105.43</v>
      </c>
      <c r="R222" s="8">
        <f>IFERROR(Q222/Q444, "NA")</f>
        <v>1.0724934265718201E-3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-1105.43</v>
      </c>
      <c r="X222" s="8">
        <f>IFERROR(W222/W444, "NA")</f>
        <v>1.0237330327846834E-2</v>
      </c>
      <c r="Y222" s="9"/>
      <c r="Z222" s="7">
        <v>23.68</v>
      </c>
      <c r="AA222" s="8">
        <f>IFERROR(Z222/Z444, "NA")</f>
        <v>2.3995854067673212E-5</v>
      </c>
      <c r="AB222" s="9"/>
      <c r="AC222" s="10">
        <f t="shared" si="59"/>
        <v>-1081.75</v>
      </c>
      <c r="AD222" s="8">
        <f>IFERROR(AC222/AC444, "NA")</f>
        <v>-2.4656315914475226E-2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157.87</v>
      </c>
      <c r="F226" s="8">
        <f>IFERROR(E226/E444, "NA")</f>
        <v>9.9998087070228992E-4</v>
      </c>
      <c r="G226" s="9"/>
      <c r="H226" s="10">
        <f t="shared" si="56"/>
        <v>157.87</v>
      </c>
      <c r="I226" s="8">
        <f>IFERROR(H226/H444, "NA")</f>
        <v>-6.2297981422281858E-3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1138.7</v>
      </c>
      <c r="U226" s="8">
        <f>IFERROR(T226/T444, "NA")</f>
        <v>1.0000082726599881E-3</v>
      </c>
      <c r="V226" s="9"/>
      <c r="W226" s="10">
        <f t="shared" si="58"/>
        <v>1138.7</v>
      </c>
      <c r="X226" s="8">
        <f>IFERROR(W226/W444, "NA")</f>
        <v>-1.0545442085269254E-2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2867.16</v>
      </c>
      <c r="C227" s="15">
        <f>IFERROR(B227/B444, "NA")</f>
        <v>2.1633733340144269E-2</v>
      </c>
      <c r="D227" s="2"/>
      <c r="E227" s="14">
        <f>IFERROR(E211+E213+E214+E215+E216+E217+E219+E220+E221+E222+E223+E224+E225+E226, "NA")</f>
        <v>4507.58</v>
      </c>
      <c r="F227" s="15">
        <f>IFERROR(E227/E444, "NA")</f>
        <v>2.8551933699627715E-2</v>
      </c>
      <c r="G227" s="2"/>
      <c r="H227" s="14">
        <f t="shared" si="56"/>
        <v>1640.42</v>
      </c>
      <c r="I227" s="15">
        <f>IFERROR(H227/H444, "NA")</f>
        <v>-6.4733549556432249E-2</v>
      </c>
      <c r="J227" s="2"/>
      <c r="K227" s="14">
        <f>IFERROR(K211+K213+K214+K215+K216+K217+K219+K220+K221+K222+K223+K224+K225+K226, "NA")</f>
        <v>15496.23</v>
      </c>
      <c r="L227" s="15">
        <f>IFERROR(K227/K444, "NA")</f>
        <v>0.10797192492913227</v>
      </c>
      <c r="M227" s="2"/>
      <c r="N227" s="14">
        <f t="shared" si="57"/>
        <v>12629.07</v>
      </c>
      <c r="O227" s="15">
        <f>IFERROR(N227/N444, "NA")</f>
        <v>-1.1492454734320916</v>
      </c>
      <c r="P227" s="2"/>
      <c r="Q227" s="14">
        <f>IFERROR(Q211+Q213+Q214+Q215+Q216+Q217+Q219+Q220+Q221+Q222+Q223+Q224+Q225+Q226, "NA")</f>
        <v>33326</v>
      </c>
      <c r="R227" s="15">
        <f>IFERROR(Q227/Q444, "NA")</f>
        <v>3.2333043190371592E-2</v>
      </c>
      <c r="S227" s="2"/>
      <c r="T227" s="14">
        <f>IFERROR(T211+T213+T214+T215+T216+T217+T219+T220+T221+T222+T223+T224+T225+T226, "NA")</f>
        <v>31046.920000000002</v>
      </c>
      <c r="U227" s="15">
        <f>IFERROR(T227/T444, "NA")</f>
        <v>2.7265457838423497E-2</v>
      </c>
      <c r="V227" s="2"/>
      <c r="W227" s="14">
        <f t="shared" si="58"/>
        <v>-2279.0799999999981</v>
      </c>
      <c r="X227" s="15">
        <f>IFERROR(W227/W444, "NA")</f>
        <v>2.110644256406027E-2</v>
      </c>
      <c r="Y227" s="2"/>
      <c r="Z227" s="14">
        <f>IFERROR(Z211+Z213+Z214+Z215+Z216+Z217+Z219+Z220+Z221+Z222+Z223+Z224+Z225+Z226, "NA")</f>
        <v>25831.329999999998</v>
      </c>
      <c r="AA227" s="15">
        <f>IFERROR(Z227/Z444, "NA")</f>
        <v>2.6175879436398188E-2</v>
      </c>
      <c r="AB227" s="2"/>
      <c r="AC227" s="14">
        <f t="shared" si="59"/>
        <v>-7494.6700000000019</v>
      </c>
      <c r="AD227" s="15">
        <f>IFERROR(AC227/AC444, "NA")</f>
        <v>-0.17082593131013643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2323.89</v>
      </c>
      <c r="F229" s="8">
        <f>IFERROR(E229/E444, "NA")</f>
        <v>1.4719994588055641E-2</v>
      </c>
      <c r="G229" s="9"/>
      <c r="H229" s="10">
        <f t="shared" ref="H229:H236" si="60">IFERROR(-(B229-E229), "NA")</f>
        <v>2323.89</v>
      </c>
      <c r="I229" s="8">
        <f>IFERROR(H229/H444, "NA")</f>
        <v>-9.1704349178074726E-2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16761.53</v>
      </c>
      <c r="U229" s="8">
        <f>IFERROR(T229/T444, "NA")</f>
        <v>1.4720004094527591E-2</v>
      </c>
      <c r="V229" s="9"/>
      <c r="W229" s="10">
        <f t="shared" ref="W229:W236" si="62">IFERROR(-(Q229-T229), "NA")</f>
        <v>16761.53</v>
      </c>
      <c r="X229" s="8">
        <f>IFERROR(W229/W444, "NA")</f>
        <v>-0.15522766652806105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-2.610967803664139E-4</v>
      </c>
      <c r="AB230" s="9"/>
      <c r="AC230" s="10">
        <f t="shared" si="63"/>
        <v>-257.66000000000003</v>
      </c>
      <c r="AD230" s="8">
        <f>IFERROR(AC230/AC444, "NA")</f>
        <v>-5.872841560918593E-3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154</v>
      </c>
      <c r="L231" s="8">
        <f>IFERROR(K231/K444, "NA")</f>
        <v>1.0730143034200169E-3</v>
      </c>
      <c r="M231" s="9"/>
      <c r="N231" s="10">
        <f t="shared" si="61"/>
        <v>154</v>
      </c>
      <c r="O231" s="8">
        <f>IFERROR(N231/N444, "NA")</f>
        <v>-1.4014001261260102E-2</v>
      </c>
      <c r="P231" s="9"/>
      <c r="Q231" s="7">
        <v>1428.05</v>
      </c>
      <c r="R231" s="8">
        <f>IFERROR(Q231/Q444, "NA")</f>
        <v>1.3855008800339121E-3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-1428.05</v>
      </c>
      <c r="X231" s="8">
        <f>IFERROR(W231/W444, "NA")</f>
        <v>1.3225097540940332E-2</v>
      </c>
      <c r="Y231" s="9"/>
      <c r="Z231" s="7">
        <v>1729.44</v>
      </c>
      <c r="AA231" s="8">
        <f>IFERROR(Z231/Z444, "NA")</f>
        <v>1.7525080176856742E-3</v>
      </c>
      <c r="AB231" s="9"/>
      <c r="AC231" s="10">
        <f t="shared" si="63"/>
        <v>301.3900000000001</v>
      </c>
      <c r="AD231" s="8">
        <f>IFERROR(AC231/AC444, "NA")</f>
        <v>6.869578972464702E-3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1597.1</v>
      </c>
      <c r="C234" s="8">
        <f>IFERROR(B234/B444, "NA")</f>
        <v>1.2050682737462999E-2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-1597.1</v>
      </c>
      <c r="I234" s="8">
        <f>IFERROR(H234/H444, "NA")</f>
        <v>6.3024074320343543E-2</v>
      </c>
      <c r="J234" s="9"/>
      <c r="K234" s="7">
        <v>1791.12</v>
      </c>
      <c r="L234" s="8">
        <f>IFERROR(K234/K444, "NA")</f>
        <v>1.2479853111309485E-2</v>
      </c>
      <c r="M234" s="9"/>
      <c r="N234" s="10">
        <f t="shared" si="61"/>
        <v>194.01999999999998</v>
      </c>
      <c r="O234" s="8">
        <f>IFERROR(N234/N444, "NA")</f>
        <v>-1.7655821589023925E-2</v>
      </c>
      <c r="P234" s="9"/>
      <c r="Q234" s="7">
        <v>12111.58</v>
      </c>
      <c r="R234" s="8">
        <f>IFERROR(Q234/Q444, "NA")</f>
        <v>1.1750712334022709E-2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-12111.58</v>
      </c>
      <c r="X234" s="8">
        <f>IFERROR(W234/W444, "NA")</f>
        <v>0.1121647189348427</v>
      </c>
      <c r="Y234" s="9"/>
      <c r="Z234" s="7">
        <v>13438.85</v>
      </c>
      <c r="AA234" s="8">
        <f>IFERROR(Z234/Z444, "NA")</f>
        <v>1.3618103185698909E-2</v>
      </c>
      <c r="AB234" s="9"/>
      <c r="AC234" s="10">
        <f t="shared" si="63"/>
        <v>1327.2700000000004</v>
      </c>
      <c r="AD234" s="8">
        <f>IFERROR(AC234/AC444, "NA")</f>
        <v>3.0252450588218668E-2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1597.1</v>
      </c>
      <c r="C236" s="15">
        <f>IFERROR(B236/B444, "NA")</f>
        <v>1.2050682737462999E-2</v>
      </c>
      <c r="D236" s="2"/>
      <c r="E236" s="14">
        <f>IFERROR(E229+E230+E231+E232+E233+E234+E235, "NA")</f>
        <v>2323.89</v>
      </c>
      <c r="F236" s="15">
        <f>IFERROR(E236/E444, "NA")</f>
        <v>1.4719994588055641E-2</v>
      </c>
      <c r="G236" s="2"/>
      <c r="H236" s="14">
        <f t="shared" si="60"/>
        <v>726.79</v>
      </c>
      <c r="I236" s="15">
        <f>IFERROR(H236/H444, "NA")</f>
        <v>-2.8680274857731187E-2</v>
      </c>
      <c r="J236" s="2"/>
      <c r="K236" s="14">
        <f>IFERROR(K229+K230+K231+K232+K233+K234+K235, "NA")</f>
        <v>1945.12</v>
      </c>
      <c r="L236" s="15">
        <f>IFERROR(K236/K444, "NA")</f>
        <v>1.3552867414729502E-2</v>
      </c>
      <c r="M236" s="2"/>
      <c r="N236" s="14">
        <f t="shared" si="61"/>
        <v>348.02</v>
      </c>
      <c r="O236" s="15">
        <f>IFERROR(N236/N444, "NA")</f>
        <v>-3.1669822850284031E-2</v>
      </c>
      <c r="P236" s="2"/>
      <c r="Q236" s="14">
        <f>IFERROR(Q229+Q230+Q231+Q232+Q233+Q234+Q235, "NA")</f>
        <v>13539.63</v>
      </c>
      <c r="R236" s="15">
        <f>IFERROR(Q236/Q444, "NA")</f>
        <v>1.313621321405662E-2</v>
      </c>
      <c r="S236" s="2"/>
      <c r="T236" s="14">
        <f>IFERROR(T229+T230+T231+T232+T233+T234+T235, "NA")</f>
        <v>16761.53</v>
      </c>
      <c r="U236" s="15">
        <f>IFERROR(T236/T444, "NA")</f>
        <v>1.4720004094527591E-2</v>
      </c>
      <c r="V236" s="2"/>
      <c r="W236" s="14">
        <f t="shared" si="62"/>
        <v>3221.8999999999996</v>
      </c>
      <c r="X236" s="15">
        <f>IFERROR(W236/W444, "NA")</f>
        <v>-2.9837850052278039E-2</v>
      </c>
      <c r="Y236" s="2"/>
      <c r="Z236" s="14">
        <f>IFERROR(Z229+Z230+Z231+Z232+Z233+Z234+Z235, "NA")</f>
        <v>14910.630000000001</v>
      </c>
      <c r="AA236" s="15">
        <f>IFERROR(Z236/Z444, "NA")</f>
        <v>1.510951442301817E-2</v>
      </c>
      <c r="AB236" s="2"/>
      <c r="AC236" s="14">
        <f t="shared" si="63"/>
        <v>1371.0000000000018</v>
      </c>
      <c r="AD236" s="15">
        <f>IFERROR(AC236/AC444, "NA")</f>
        <v>3.1249187999764807E-2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8115.94</v>
      </c>
      <c r="F240" s="8">
        <f>IFERROR(E240/E444, "NA")</f>
        <v>5.1408023992953328E-2</v>
      </c>
      <c r="G240" s="9"/>
      <c r="H240" s="10">
        <f t="shared" ref="H240:H263" si="64">IFERROR(-(B240-E240), "NA")</f>
        <v>8115.94</v>
      </c>
      <c r="I240" s="8">
        <f>IFERROR(H240/H444, "NA")</f>
        <v>-0.3202677388638463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59225.09</v>
      </c>
      <c r="U240" s="8">
        <f>IFERROR(T240/T444, "NA")</f>
        <v>5.2011574557857494E-2</v>
      </c>
      <c r="V240" s="9"/>
      <c r="W240" s="10">
        <f t="shared" ref="W240:W263" si="66">IFERROR(-(Q240-T240), "NA")</f>
        <v>59225.09</v>
      </c>
      <c r="X240" s="8">
        <f>IFERROR(W240/W444, "NA")</f>
        <v>-0.54848050987078167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1482.81</v>
      </c>
      <c r="C242" s="8">
        <f>IFERROR(B242/B444, "NA")</f>
        <v>1.118832438165269E-2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-1482.81</v>
      </c>
      <c r="I242" s="8">
        <f>IFERROR(H242/H444, "NA")</f>
        <v>5.8514011422546239E-2</v>
      </c>
      <c r="J242" s="9"/>
      <c r="K242" s="7">
        <v>1366.45</v>
      </c>
      <c r="L242" s="8">
        <f>IFERROR(K242/K444, "NA")</f>
        <v>9.5209116552485863E-3</v>
      </c>
      <c r="M242" s="9"/>
      <c r="N242" s="10">
        <f t="shared" si="65"/>
        <v>-116.3599999999999</v>
      </c>
      <c r="O242" s="8">
        <f>IFERROR(N242/N444, "NA")</f>
        <v>1.0588760952988469E-2</v>
      </c>
      <c r="P242" s="9"/>
      <c r="Q242" s="7">
        <v>10379.799999999999</v>
      </c>
      <c r="R242" s="8">
        <f>IFERROR(Q242/Q444, "NA")</f>
        <v>1.0070531168079549E-2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-10379.799999999999</v>
      </c>
      <c r="X242" s="8">
        <f>IFERROR(W242/W444, "NA")</f>
        <v>9.612679349844365E-2</v>
      </c>
      <c r="Y242" s="9"/>
      <c r="Z242" s="7">
        <v>8345.34</v>
      </c>
      <c r="AA242" s="8">
        <f>IFERROR(Z242/Z444, "NA")</f>
        <v>8.4566537493714518E-3</v>
      </c>
      <c r="AB242" s="9"/>
      <c r="AC242" s="10">
        <f t="shared" si="67"/>
        <v>-2034.4599999999991</v>
      </c>
      <c r="AD242" s="8">
        <f>IFERROR(AC242/AC444, "NA")</f>
        <v>-4.6371424520788768E-2</v>
      </c>
    </row>
    <row r="243" spans="1:30" ht="16.5" customHeight="1" x14ac:dyDescent="0.45">
      <c r="A243" s="12" t="s">
        <v>220</v>
      </c>
      <c r="B243" s="7">
        <v>3401.48</v>
      </c>
      <c r="C243" s="8">
        <f>IFERROR(B243/B444, "NA")</f>
        <v>2.5665366174832914E-2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-3401.48</v>
      </c>
      <c r="I243" s="8">
        <f>IFERROR(H243/H444, "NA")</f>
        <v>0.13422774298363419</v>
      </c>
      <c r="J243" s="9"/>
      <c r="K243" s="7">
        <v>4303.4799999999996</v>
      </c>
      <c r="L243" s="8">
        <f>IFERROR(K243/K444, "NA")</f>
        <v>2.9985036327805029E-2</v>
      </c>
      <c r="M243" s="9"/>
      <c r="N243" s="10">
        <f t="shared" si="65"/>
        <v>901.99999999999955</v>
      </c>
      <c r="O243" s="8">
        <f>IFERROR(N243/N444, "NA")</f>
        <v>-8.2082007387380557E-2</v>
      </c>
      <c r="P243" s="9"/>
      <c r="Q243" s="7">
        <v>24253.08</v>
      </c>
      <c r="R243" s="8">
        <f>IFERROR(Q243/Q444, "NA")</f>
        <v>2.3530453193888783E-2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-24253.08</v>
      </c>
      <c r="X243" s="8">
        <f>IFERROR(W243/W444, "NA")</f>
        <v>0.22460652544954951</v>
      </c>
      <c r="Y243" s="9"/>
      <c r="Z243" s="7">
        <v>31151.26</v>
      </c>
      <c r="AA243" s="8">
        <f>IFERROR(Z243/Z444, "NA")</f>
        <v>3.1566768960479129E-2</v>
      </c>
      <c r="AB243" s="9"/>
      <c r="AC243" s="10">
        <f t="shared" si="67"/>
        <v>6898.1799999999967</v>
      </c>
      <c r="AD243" s="8">
        <f>IFERROR(AC243/AC444, "NA")</f>
        <v>0.15723014126638746</v>
      </c>
    </row>
    <row r="244" spans="1:30" ht="16.5" customHeight="1" x14ac:dyDescent="0.45">
      <c r="A244" s="12" t="s">
        <v>221</v>
      </c>
      <c r="B244" s="7">
        <v>1230.74</v>
      </c>
      <c r="C244" s="8">
        <f>IFERROR(B244/B444, "NA")</f>
        <v>9.2863673359872348E-3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-1230.74</v>
      </c>
      <c r="I244" s="8">
        <f>IFERROR(H244/H444, "NA")</f>
        <v>4.8566933334806592E-2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-1230.74</v>
      </c>
      <c r="O244" s="8">
        <f>IFERROR(N244/N444, "NA")</f>
        <v>0.11199735007976142</v>
      </c>
      <c r="P244" s="9"/>
      <c r="Q244" s="7">
        <v>4353.04</v>
      </c>
      <c r="R244" s="8">
        <f>IFERROR(Q244/Q444, "NA")</f>
        <v>4.2233400446922871E-3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-4353.04</v>
      </c>
      <c r="X244" s="8">
        <f>IFERROR(W244/W444, "NA")</f>
        <v>4.0313279366699276E-2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-4353.04</v>
      </c>
      <c r="AD244" s="8">
        <f>IFERROR(AC244/AC444, "NA")</f>
        <v>-9.9218793092994903E-2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146.4</v>
      </c>
      <c r="C246" s="8">
        <f>IFERROR(B246/B444, "NA")</f>
        <v>1.1046396298068895E-3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-146.4</v>
      </c>
      <c r="I246" s="8">
        <f>IFERROR(H246/H444, "NA")</f>
        <v>5.7771739280560357E-3</v>
      </c>
      <c r="J246" s="9"/>
      <c r="K246" s="7">
        <v>553.21</v>
      </c>
      <c r="L246" s="8">
        <f>IFERROR(K246/K444, "NA")</f>
        <v>3.8545600181492702E-3</v>
      </c>
      <c r="M246" s="9"/>
      <c r="N246" s="10">
        <f t="shared" si="65"/>
        <v>406.81000000000006</v>
      </c>
      <c r="O246" s="8">
        <f>IFERROR(N246/N444, "NA")</f>
        <v>-3.7019713331774173E-2</v>
      </c>
      <c r="P246" s="9"/>
      <c r="Q246" s="7">
        <v>3052.94</v>
      </c>
      <c r="R246" s="8">
        <f>IFERROR(Q246/Q444, "NA")</f>
        <v>2.9619768612378639E-3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-3052.94</v>
      </c>
      <c r="X246" s="8">
        <f>IFERROR(W246/W444, "NA")</f>
        <v>2.8273120189516041E-2</v>
      </c>
      <c r="Y246" s="9"/>
      <c r="Z246" s="7">
        <v>1018.05</v>
      </c>
      <c r="AA246" s="8">
        <f>IFERROR(Z246/Z444, "NA")</f>
        <v>1.0316291906078848E-3</v>
      </c>
      <c r="AB246" s="9"/>
      <c r="AC246" s="10">
        <f t="shared" si="67"/>
        <v>-2034.89</v>
      </c>
      <c r="AD246" s="8">
        <f>IFERROR(AC246/AC444, "NA")</f>
        <v>-4.6381225506084117E-2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259.55</v>
      </c>
      <c r="C248" s="8">
        <f>IFERROR(B248/B444, "NA")</f>
        <v>1.958396283581818E-3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-259.55</v>
      </c>
      <c r="I248" s="8">
        <f>IFERROR(H248/H444, "NA")</f>
        <v>1.0242250635429946E-2</v>
      </c>
      <c r="J248" s="9"/>
      <c r="K248" s="7">
        <v>245.23</v>
      </c>
      <c r="L248" s="8">
        <f>IFERROR(K248/K444, "NA")</f>
        <v>1.7086707638161737E-3</v>
      </c>
      <c r="M248" s="9"/>
      <c r="N248" s="10">
        <f t="shared" si="65"/>
        <v>-14.320000000000022</v>
      </c>
      <c r="O248" s="8">
        <f>IFERROR(N248/N444, "NA")</f>
        <v>1.3031201172808114E-3</v>
      </c>
      <c r="P248" s="9"/>
      <c r="Q248" s="7">
        <v>2418.2199999999998</v>
      </c>
      <c r="R248" s="8">
        <f>IFERROR(Q248/Q444, "NA")</f>
        <v>2.3461685081864127E-3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-2418.2199999999998</v>
      </c>
      <c r="X248" s="8">
        <f>IFERROR(W248/W444, "NA")</f>
        <v>2.2395010941810671E-2</v>
      </c>
      <c r="Y248" s="9"/>
      <c r="Z248" s="7">
        <v>2216.98</v>
      </c>
      <c r="AA248" s="8">
        <f>IFERROR(Z248/Z444, "NA")</f>
        <v>2.2465510367799899E-3</v>
      </c>
      <c r="AB248" s="9"/>
      <c r="AC248" s="10">
        <f t="shared" si="67"/>
        <v>-201.23999999999978</v>
      </c>
      <c r="AD248" s="8">
        <f>IFERROR(AC248/AC444, "NA")</f>
        <v>-4.5868611182149199E-3</v>
      </c>
    </row>
    <row r="249" spans="1:30" ht="16.5" customHeight="1" x14ac:dyDescent="0.45">
      <c r="A249" s="12" t="s">
        <v>226</v>
      </c>
      <c r="B249" s="7">
        <v>1441.58</v>
      </c>
      <c r="C249" s="8">
        <f>IFERROR(B249/B444, "NA")</f>
        <v>1.0877229491373057E-2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-1441.58</v>
      </c>
      <c r="I249" s="8">
        <f>IFERROR(H249/H444, "NA")</f>
        <v>5.6887010868900405E-2</v>
      </c>
      <c r="J249" s="9"/>
      <c r="K249" s="7">
        <v>2376.2800000000002</v>
      </c>
      <c r="L249" s="8">
        <f>IFERROR(K249/K444, "NA")</f>
        <v>1.6557028759291676E-2</v>
      </c>
      <c r="M249" s="9"/>
      <c r="N249" s="10">
        <f t="shared" si="65"/>
        <v>934.70000000000027</v>
      </c>
      <c r="O249" s="8">
        <f>IFERROR(N249/N444, "NA")</f>
        <v>-8.5057707655193646E-2</v>
      </c>
      <c r="P249" s="9"/>
      <c r="Q249" s="7">
        <v>11802.09</v>
      </c>
      <c r="R249" s="8">
        <f>IFERROR(Q249/Q444, "NA")</f>
        <v>1.1450443668806718E-2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-11802.09</v>
      </c>
      <c r="X249" s="8">
        <f>IFERROR(W249/W444, "NA")</f>
        <v>0.10929854797588073</v>
      </c>
      <c r="Y249" s="9"/>
      <c r="Z249" s="7">
        <v>10937.22</v>
      </c>
      <c r="AA249" s="8">
        <f>IFERROR(Z249/Z444, "NA")</f>
        <v>1.1083105364275203E-2</v>
      </c>
      <c r="AB249" s="9"/>
      <c r="AC249" s="10">
        <f t="shared" si="67"/>
        <v>-864.8700000000008</v>
      </c>
      <c r="AD249" s="8">
        <f>IFERROR(AC249/AC444, "NA")</f>
        <v>-1.9712972447378976E-2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630.74</v>
      </c>
      <c r="C254" s="8">
        <f>IFERROR(B254/B444, "NA")</f>
        <v>4.7591557384180153E-3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-630.74</v>
      </c>
      <c r="I254" s="8">
        <f>IFERROR(H254/H444, "NA")</f>
        <v>2.4889991006708086E-2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-630.74</v>
      </c>
      <c r="O254" s="8">
        <f>IFERROR(N254/N444, "NA")</f>
        <v>5.7397345165761018E-2</v>
      </c>
      <c r="P254" s="9"/>
      <c r="Q254" s="7">
        <v>6515.54</v>
      </c>
      <c r="R254" s="8">
        <f>IFERROR(Q254/Q444, "NA")</f>
        <v>6.3214077965730578E-3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-6515.54</v>
      </c>
      <c r="X254" s="8">
        <f>IFERROR(W254/W444, "NA")</f>
        <v>6.0340080551730242E-2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-6515.54</v>
      </c>
      <c r="AD254" s="8">
        <f>IFERROR(AC254/AC444, "NA")</f>
        <v>-0.14850863193288646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2.7208136896833859E-5</v>
      </c>
      <c r="AB255" s="9"/>
      <c r="AC255" s="10">
        <f t="shared" si="67"/>
        <v>26.85</v>
      </c>
      <c r="AD255" s="8">
        <f>IFERROR(AC255/AC444, "NA")</f>
        <v>6.1199175623171699E-4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436.38</v>
      </c>
      <c r="C258" s="8">
        <f>IFERROR(B258/B444, "NA")</f>
        <v>3.2926409949120931E-3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-436.38</v>
      </c>
      <c r="I258" s="8">
        <f>IFERROR(H258/H444, "NA")</f>
        <v>1.7220240155226042E-2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-436.38</v>
      </c>
      <c r="O258" s="8">
        <f>IFERROR(N258/N444, "NA")</f>
        <v>3.971058357395249E-2</v>
      </c>
      <c r="P258" s="9"/>
      <c r="Q258" s="7">
        <v>993.17</v>
      </c>
      <c r="R258" s="8">
        <f>IFERROR(Q258/Q444, "NA")</f>
        <v>9.6357824237476315E-4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-993.17</v>
      </c>
      <c r="X258" s="8">
        <f>IFERROR(W258/W444, "NA")</f>
        <v>9.1976962464449495E-3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-993.17</v>
      </c>
      <c r="AD258" s="8">
        <f>IFERROR(AC258/AC444, "NA")</f>
        <v>-2.2637312943637033E-2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9029.6799999999985</v>
      </c>
      <c r="C262" s="15">
        <f>IFERROR(B262/B444, "NA")</f>
        <v>6.8132120030564708E-2</v>
      </c>
      <c r="D262" s="2"/>
      <c r="E262" s="14">
        <f>IFERROR(E240+E241+E242+E243+E244+E245+E246+E247+E248+E249+E250+E251+E252+E253+E254+E255+E256+E257+E258+E259+E260+E261, "NA")</f>
        <v>8115.94</v>
      </c>
      <c r="F262" s="15">
        <f>IFERROR(E262/E444, "NA")</f>
        <v>5.1408023992953328E-2</v>
      </c>
      <c r="G262" s="2"/>
      <c r="H262" s="14">
        <f t="shared" si="64"/>
        <v>-913.73999999999887</v>
      </c>
      <c r="I262" s="15">
        <f>IFERROR(H262/H444, "NA")</f>
        <v>3.605761547146117E-2</v>
      </c>
      <c r="J262" s="2"/>
      <c r="K262" s="14">
        <f>IFERROR(K240+K241+K242+K243+K244+K245+K246+K247+K248+K249+K250+K251+K252+K253+K254+K255+K256+K257+K258+K259+K260+K261, "NA")</f>
        <v>8844.65</v>
      </c>
      <c r="L262" s="15">
        <f>IFERROR(K262/K444, "NA")</f>
        <v>6.1626207524310736E-2</v>
      </c>
      <c r="M262" s="2"/>
      <c r="N262" s="14">
        <f t="shared" si="65"/>
        <v>-185.02999999999884</v>
      </c>
      <c r="O262" s="15">
        <f>IFERROR(N262/N444, "NA")</f>
        <v>1.6837731515395717E-2</v>
      </c>
      <c r="P262" s="2"/>
      <c r="Q262" s="14">
        <f>IFERROR(Q240+Q241+Q242+Q243+Q244+Q245+Q246+Q247+Q248+Q249+Q250+Q251+Q252+Q253+Q254+Q255+Q256+Q257+Q258+Q259+Q260+Q261, "NA")</f>
        <v>63767.880000000012</v>
      </c>
      <c r="R262" s="15">
        <f>IFERROR(Q262/Q444, "NA")</f>
        <v>6.1867899483839445E-2</v>
      </c>
      <c r="S262" s="2"/>
      <c r="T262" s="14">
        <f>IFERROR(T240+T241+T242+T243+T244+T245+T246+T247+T248+T249+T250+T251+T252+T253+T254+T255+T256+T257+T258+T259+T260+T261, "NA")</f>
        <v>59225.09</v>
      </c>
      <c r="U262" s="15">
        <f>IFERROR(T262/T444, "NA")</f>
        <v>5.2011574557857494E-2</v>
      </c>
      <c r="V262" s="2"/>
      <c r="W262" s="14">
        <f t="shared" si="66"/>
        <v>-4542.7900000000154</v>
      </c>
      <c r="X262" s="15">
        <f>IFERROR(W262/W444, "NA")</f>
        <v>4.2070544349293471E-2</v>
      </c>
      <c r="Y262" s="2"/>
      <c r="Z262" s="14">
        <f>IFERROR(Z240+Z241+Z242+Z243+Z244+Z245+Z246+Z247+Z248+Z249+Z250+Z251+Z252+Z253+Z254+Z255+Z256+Z257+Z258+Z259+Z260+Z261, "NA")</f>
        <v>53695.700000000004</v>
      </c>
      <c r="AA262" s="15">
        <f>IFERROR(Z262/Z444, "NA")</f>
        <v>5.44119164384105E-2</v>
      </c>
      <c r="AB262" s="2"/>
      <c r="AC262" s="14">
        <f t="shared" si="67"/>
        <v>-10072.180000000008</v>
      </c>
      <c r="AD262" s="15">
        <f>IFERROR(AC262/AC444, "NA")</f>
        <v>-0.22957508853936609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9029.6799999999985</v>
      </c>
      <c r="C263" s="15">
        <f>IFERROR(B263/B444, "NA")</f>
        <v>6.8132120030564708E-2</v>
      </c>
      <c r="D263" s="2"/>
      <c r="E263" s="14">
        <f>IFERROR(E238+E240+E241+E242+E243+E244+E245+E246+E247+E248+E249+E250+E251+E252+E253+E254+E255+E256+E257+E258+E259+E260+E261, "NA")</f>
        <v>8115.94</v>
      </c>
      <c r="F263" s="15">
        <f>IFERROR(E263/E444, "NA")</f>
        <v>5.1408023992953328E-2</v>
      </c>
      <c r="G263" s="2"/>
      <c r="H263" s="14">
        <f t="shared" si="64"/>
        <v>-913.73999999999887</v>
      </c>
      <c r="I263" s="15">
        <f>IFERROR(H263/H444, "NA")</f>
        <v>3.605761547146117E-2</v>
      </c>
      <c r="J263" s="2"/>
      <c r="K263" s="14">
        <f>IFERROR(K238+K240+K241+K242+K243+K244+K245+K246+K247+K248+K249+K250+K251+K252+K253+K254+K255+K256+K257+K258+K259+K260+K261, "NA")</f>
        <v>8844.65</v>
      </c>
      <c r="L263" s="15">
        <f>IFERROR(K263/K444, "NA")</f>
        <v>6.1626207524310736E-2</v>
      </c>
      <c r="M263" s="2"/>
      <c r="N263" s="14">
        <f t="shared" si="65"/>
        <v>-185.02999999999884</v>
      </c>
      <c r="O263" s="15">
        <f>IFERROR(N263/N444, "NA")</f>
        <v>1.6837731515395717E-2</v>
      </c>
      <c r="P263" s="2"/>
      <c r="Q263" s="14">
        <f>IFERROR(Q238+Q240+Q241+Q242+Q243+Q244+Q245+Q246+Q247+Q248+Q249+Q250+Q251+Q252+Q253+Q254+Q255+Q256+Q257+Q258+Q259+Q260+Q261, "NA")</f>
        <v>63767.880000000012</v>
      </c>
      <c r="R263" s="15">
        <f>IFERROR(Q263/Q444, "NA")</f>
        <v>6.1867899483839445E-2</v>
      </c>
      <c r="S263" s="2"/>
      <c r="T263" s="14">
        <f>IFERROR(T238+T240+T241+T242+T243+T244+T245+T246+T247+T248+T249+T250+T251+T252+T253+T254+T255+T256+T257+T258+T259+T260+T261, "NA")</f>
        <v>59225.09</v>
      </c>
      <c r="U263" s="15">
        <f>IFERROR(T263/T444, "NA")</f>
        <v>5.2011574557857494E-2</v>
      </c>
      <c r="V263" s="2"/>
      <c r="W263" s="14">
        <f t="shared" si="66"/>
        <v>-4542.7900000000154</v>
      </c>
      <c r="X263" s="15">
        <f>IFERROR(W263/W444, "NA")</f>
        <v>4.2070544349293471E-2</v>
      </c>
      <c r="Y263" s="2"/>
      <c r="Z263" s="14">
        <f>IFERROR(Z238+Z240+Z241+Z242+Z243+Z244+Z245+Z246+Z247+Z248+Z249+Z250+Z251+Z252+Z253+Z254+Z255+Z256+Z257+Z258+Z259+Z260+Z261, "NA")</f>
        <v>53695.700000000004</v>
      </c>
      <c r="AA263" s="15">
        <f>IFERROR(Z263/Z444, "NA")</f>
        <v>5.44119164384105E-2</v>
      </c>
      <c r="AB263" s="2"/>
      <c r="AC263" s="14">
        <f t="shared" si="67"/>
        <v>-10072.180000000008</v>
      </c>
      <c r="AD263" s="15">
        <f>IFERROR(AC263/AC444, "NA")</f>
        <v>-0.22957508853936609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3604.12</v>
      </c>
      <c r="C265" s="8">
        <f>IFERROR(B265/B444, "NA")</f>
        <v>2.7194356438385289E-2</v>
      </c>
      <c r="D265" s="9"/>
      <c r="E265" s="7">
        <v>4420.4399999999996</v>
      </c>
      <c r="F265" s="8">
        <f>IFERROR(E265/E444, "NA")</f>
        <v>2.7999971116027297E-2</v>
      </c>
      <c r="G265" s="9"/>
      <c r="H265" s="10">
        <f>IFERROR(-(B265-E265), "NA")</f>
        <v>816.31999999999971</v>
      </c>
      <c r="I265" s="8">
        <f>IFERROR(H265/H444, "NA")</f>
        <v>-3.2213269268788945E-2</v>
      </c>
      <c r="J265" s="9"/>
      <c r="K265" s="7">
        <v>3648.45</v>
      </c>
      <c r="L265" s="8">
        <f>IFERROR(K265/K444, "NA")</f>
        <v>2.5421032696836109E-2</v>
      </c>
      <c r="M265" s="9"/>
      <c r="N265" s="10">
        <f>IFERROR(-(B265-K265), "NA")</f>
        <v>44.329999999999927</v>
      </c>
      <c r="O265" s="8">
        <f>IFERROR(N265/N444, "NA")</f>
        <v>-4.0340303630627223E-3</v>
      </c>
      <c r="P265" s="9"/>
      <c r="Q265" s="7">
        <v>27746.44</v>
      </c>
      <c r="R265" s="8">
        <f>IFERROR(Q265/Q444, "NA")</f>
        <v>2.6919727627049569E-2</v>
      </c>
      <c r="S265" s="9"/>
      <c r="T265" s="7">
        <v>32059.63</v>
      </c>
      <c r="U265" s="8">
        <f>IFERROR(T265/T444, "NA")</f>
        <v>2.8154821479246802E-2</v>
      </c>
      <c r="V265" s="9"/>
      <c r="W265" s="10">
        <f>IFERROR(-(Q265-T265), "NA")</f>
        <v>4313.1900000000023</v>
      </c>
      <c r="X265" s="8">
        <f>IFERROR(W265/W444, "NA")</f>
        <v>-3.9944230567983241E-2</v>
      </c>
      <c r="Y265" s="9"/>
      <c r="Z265" s="7">
        <v>28701.18</v>
      </c>
      <c r="AA265" s="8">
        <f>IFERROR(Z265/Z444, "NA")</f>
        <v>2.9084008735220483E-2</v>
      </c>
      <c r="AB265" s="9"/>
      <c r="AC265" s="10">
        <f>IFERROR(-(Q265-Z265), "NA")</f>
        <v>954.7400000000016</v>
      </c>
      <c r="AD265" s="8">
        <f>IFERROR(AC265/AC444, "NA")</f>
        <v>2.1761378374103184E-2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7.1892171289879818E-5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6.8623628569285285E-4</v>
      </c>
      <c r="Y266" s="9"/>
      <c r="Z266" s="7">
        <v>-34.299999999999997</v>
      </c>
      <c r="AA266" s="8">
        <f>IFERROR(Z266/Z444, "NA")</f>
        <v>-3.4757508214577328E-5</v>
      </c>
      <c r="AB266" s="9"/>
      <c r="AC266" s="10">
        <f>IFERROR(-(Q266-Z266), "NA")</f>
        <v>-108.39999999999999</v>
      </c>
      <c r="AD266" s="8">
        <f>IFERROR(AC266/AC444, "NA")</f>
        <v>-2.4707600139857772E-3</v>
      </c>
    </row>
    <row r="267" spans="1:30" ht="16.5" customHeight="1" x14ac:dyDescent="0.45">
      <c r="A267" s="19" t="s">
        <v>243</v>
      </c>
      <c r="B267" s="14">
        <f>IFERROR(B265+B266, "NA")</f>
        <v>3604.12</v>
      </c>
      <c r="C267" s="15">
        <f>IFERROR(B267/B444, "NA")</f>
        <v>2.7194356438385289E-2</v>
      </c>
      <c r="D267" s="2"/>
      <c r="E267" s="14">
        <f>IFERROR(E265+E266, "NA")</f>
        <v>4420.4399999999996</v>
      </c>
      <c r="F267" s="15">
        <f>IFERROR(E267/E444, "NA")</f>
        <v>2.7999971116027297E-2</v>
      </c>
      <c r="G267" s="2"/>
      <c r="H267" s="14">
        <f>IFERROR(-(B267-E267), "NA")</f>
        <v>816.31999999999971</v>
      </c>
      <c r="I267" s="15">
        <f>IFERROR(H267/H444, "NA")</f>
        <v>-3.2213269268788945E-2</v>
      </c>
      <c r="J267" s="2"/>
      <c r="K267" s="14">
        <f>IFERROR(K265+K266, "NA")</f>
        <v>3648.45</v>
      </c>
      <c r="L267" s="15">
        <f>IFERROR(K267/K444, "NA")</f>
        <v>2.5421032696836109E-2</v>
      </c>
      <c r="M267" s="2"/>
      <c r="N267" s="14">
        <f>IFERROR(-(B267-K267), "NA")</f>
        <v>44.329999999999927</v>
      </c>
      <c r="O267" s="15">
        <f>IFERROR(N267/N444, "NA")</f>
        <v>-4.0340303630627223E-3</v>
      </c>
      <c r="P267" s="2"/>
      <c r="Q267" s="14">
        <f>IFERROR(Q265+Q266, "NA")</f>
        <v>27820.539999999997</v>
      </c>
      <c r="R267" s="15">
        <f>IFERROR(Q267/Q444, "NA")</f>
        <v>2.6991619798339448E-2</v>
      </c>
      <c r="S267" s="2"/>
      <c r="T267" s="14">
        <f>IFERROR(T265+T266, "NA")</f>
        <v>32059.63</v>
      </c>
      <c r="U267" s="15">
        <f>IFERROR(T267/T444, "NA")</f>
        <v>2.8154821479246802E-2</v>
      </c>
      <c r="V267" s="2"/>
      <c r="W267" s="14">
        <f>IFERROR(-(Q267-T267), "NA")</f>
        <v>4239.0900000000038</v>
      </c>
      <c r="X267" s="15">
        <f>IFERROR(W267/W444, "NA")</f>
        <v>-3.9257994282290397E-2</v>
      </c>
      <c r="Y267" s="2"/>
      <c r="Z267" s="14">
        <f>IFERROR(Z265+Z266, "NA")</f>
        <v>28666.880000000001</v>
      </c>
      <c r="AA267" s="15">
        <f>IFERROR(Z267/Z444, "NA")</f>
        <v>2.9049251227005909E-2</v>
      </c>
      <c r="AB267" s="2"/>
      <c r="AC267" s="14">
        <f>IFERROR(-(Q267-Z267), "NA")</f>
        <v>846.34000000000378</v>
      </c>
      <c r="AD267" s="15">
        <f>IFERROR(AC267/AC444, "NA")</f>
        <v>1.9290618360117456E-2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6.7749721557623373E-4</v>
      </c>
      <c r="D270" s="9"/>
      <c r="E270" s="7">
        <v>227.73</v>
      </c>
      <c r="F270" s="8">
        <f>IFERROR(E270/E444, "NA")</f>
        <v>1.4424883998545161E-3</v>
      </c>
      <c r="G270" s="9"/>
      <c r="H270" s="10">
        <f>IFERROR(-(B270-E270), "NA")</f>
        <v>137.94</v>
      </c>
      <c r="I270" s="8">
        <f>IFERROR(H270/H444, "NA")</f>
        <v>-5.4433290412298461E-3</v>
      </c>
      <c r="J270" s="9"/>
      <c r="K270" s="7">
        <v>182.86</v>
      </c>
      <c r="L270" s="8">
        <f>IFERROR(K270/K444, "NA")</f>
        <v>1.274099970931067E-3</v>
      </c>
      <c r="M270" s="9"/>
      <c r="N270" s="10">
        <f>IFERROR(-(B270-K270), "NA")</f>
        <v>93.070000000000007</v>
      </c>
      <c r="O270" s="8">
        <f>IFERROR(N270/N444, "NA")</f>
        <v>-8.4693707622433625E-3</v>
      </c>
      <c r="P270" s="9"/>
      <c r="Q270" s="7">
        <v>1066.92</v>
      </c>
      <c r="R270" s="8">
        <f>IFERROR(Q270/Q444, "NA")</f>
        <v>1.035130842005379E-3</v>
      </c>
      <c r="S270" s="9"/>
      <c r="T270" s="7">
        <v>1912.42</v>
      </c>
      <c r="U270" s="8">
        <f>IFERROR(T270/T444, "NA")</f>
        <v>1.6794904898572182E-3</v>
      </c>
      <c r="V270" s="9"/>
      <c r="W270" s="10">
        <f>IFERROR(-(Q270-T270), "NA")</f>
        <v>845.5</v>
      </c>
      <c r="X270" s="8">
        <f>IFERROR(W270/W444, "NA")</f>
        <v>-7.8301319777774239E-3</v>
      </c>
      <c r="Y270" s="9"/>
      <c r="Z270" s="7">
        <v>1693.62</v>
      </c>
      <c r="AA270" s="8">
        <f>IFERROR(Z270/Z444, "NA")</f>
        <v>1.7162102350545905E-3</v>
      </c>
      <c r="AB270" s="9"/>
      <c r="AC270" s="10">
        <f>IFERROR(-(Q270-Z270), "NA")</f>
        <v>626.69999999999982</v>
      </c>
      <c r="AD270" s="8">
        <f>IFERROR(AC270/AC444, "NA")</f>
        <v>1.4284366243218508E-2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8.931811214370939E-3</v>
      </c>
      <c r="D271" s="9"/>
      <c r="E271" s="7">
        <v>1105.1099999999999</v>
      </c>
      <c r="F271" s="8">
        <f>IFERROR(E271/E444, "NA")</f>
        <v>6.9999927790068243E-3</v>
      </c>
      <c r="G271" s="9"/>
      <c r="H271" s="10">
        <f>IFERROR(-(B271-E271), "NA")</f>
        <v>-78.6400000000001</v>
      </c>
      <c r="I271" s="8">
        <f>IFERROR(H271/H444, "NA")</f>
        <v>3.1032579078027816E-3</v>
      </c>
      <c r="J271" s="9"/>
      <c r="K271" s="7">
        <v>804.25</v>
      </c>
      <c r="L271" s="8">
        <f>IFERROR(K271/K444, "NA")</f>
        <v>5.6037126852308359E-3</v>
      </c>
      <c r="M271" s="9"/>
      <c r="N271" s="10">
        <f>IFERROR(-(B271-K271), "NA")</f>
        <v>-379.5</v>
      </c>
      <c r="O271" s="8">
        <f>IFERROR(N271/N444, "NA")</f>
        <v>3.4534503108105248E-2</v>
      </c>
      <c r="P271" s="9"/>
      <c r="Q271" s="7">
        <v>9842.5300000000007</v>
      </c>
      <c r="R271" s="8">
        <f>IFERROR(Q271/Q444, "NA")</f>
        <v>9.5492692670145884E-3</v>
      </c>
      <c r="S271" s="9"/>
      <c r="T271" s="7">
        <v>7970.83</v>
      </c>
      <c r="U271" s="8">
        <f>IFERROR(T271/T444, "NA")</f>
        <v>6.9999964345011084E-3</v>
      </c>
      <c r="V271" s="9"/>
      <c r="W271" s="10">
        <f>IFERROR(-(Q271-T271), "NA")</f>
        <v>-1871.7000000000007</v>
      </c>
      <c r="X271" s="8">
        <f>IFERROR(W271/W444, "NA")</f>
        <v>1.7333717353998832E-2</v>
      </c>
      <c r="Y271" s="9"/>
      <c r="Z271" s="7">
        <v>7782.37</v>
      </c>
      <c r="AA271" s="8">
        <f>IFERROR(Z271/Z444, "NA")</f>
        <v>7.8861746123580229E-3</v>
      </c>
      <c r="AB271" s="9"/>
      <c r="AC271" s="10">
        <f>IFERROR(-(Q271-Z271), "NA")</f>
        <v>-2060.1600000000008</v>
      </c>
      <c r="AD271" s="8">
        <f>IFERROR(AC271/AC444, "NA")</f>
        <v>-4.6957204339602772E-2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9.609308429947172E-3</v>
      </c>
      <c r="D273" s="2"/>
      <c r="E273" s="14">
        <f>IFERROR(E269+E270+E271+E272, "NA")</f>
        <v>1332.84</v>
      </c>
      <c r="F273" s="15">
        <f>IFERROR(E273/E444, "NA")</f>
        <v>8.4424811788613406E-3</v>
      </c>
      <c r="G273" s="2"/>
      <c r="H273" s="14">
        <f>IFERROR(-(B273-E273), "NA")</f>
        <v>59.299999999999955</v>
      </c>
      <c r="I273" s="15">
        <f>IFERROR(H273/H444, "NA")</f>
        <v>-2.3400711334270671E-3</v>
      </c>
      <c r="J273" s="2"/>
      <c r="K273" s="14">
        <f>IFERROR(K269+K270+K271+K272, "NA")</f>
        <v>987.11</v>
      </c>
      <c r="L273" s="15">
        <f>IFERROR(K273/K444, "NA")</f>
        <v>6.8778126561619022E-3</v>
      </c>
      <c r="M273" s="2"/>
      <c r="N273" s="14">
        <f>IFERROR(-(B273-K273), "NA")</f>
        <v>-286.42999999999995</v>
      </c>
      <c r="O273" s="15">
        <f>IFERROR(N273/N444, "NA")</f>
        <v>2.6065132345861886E-2</v>
      </c>
      <c r="P273" s="2"/>
      <c r="Q273" s="14">
        <f>IFERROR(Q269+Q270+Q271+Q272, "NA")</f>
        <v>10909.45</v>
      </c>
      <c r="R273" s="15">
        <f>IFERROR(Q273/Q444, "NA")</f>
        <v>1.0584400109019967E-2</v>
      </c>
      <c r="S273" s="2"/>
      <c r="T273" s="14">
        <f>IFERROR(T269+T270+T271+T272, "NA")</f>
        <v>9883.25</v>
      </c>
      <c r="U273" s="15">
        <f>IFERROR(T273/T444, "NA")</f>
        <v>8.6794869243583261E-3</v>
      </c>
      <c r="V273" s="2"/>
      <c r="W273" s="14">
        <f>IFERROR(-(Q273-T273), "NA")</f>
        <v>-1026.2000000000007</v>
      </c>
      <c r="X273" s="15">
        <f>IFERROR(W273/W444, "NA")</f>
        <v>9.5035853762214066E-3</v>
      </c>
      <c r="Y273" s="2"/>
      <c r="Z273" s="14">
        <f>IFERROR(Z269+Z270+Z271+Z272, "NA")</f>
        <v>9475.99</v>
      </c>
      <c r="AA273" s="15">
        <f>IFERROR(Z273/Z444, "NA")</f>
        <v>9.6023848474126126E-3</v>
      </c>
      <c r="AB273" s="2"/>
      <c r="AC273" s="14">
        <f>IFERROR(-(Q273-Z273), "NA")</f>
        <v>-1433.4600000000009</v>
      </c>
      <c r="AD273" s="15">
        <f>IFERROR(AC273/AC444, "NA")</f>
        <v>-3.2672838096384271E-2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2.2613110207177897E-3</v>
      </c>
      <c r="G287" s="9"/>
      <c r="H287" s="10">
        <f t="shared" si="72"/>
        <v>357</v>
      </c>
      <c r="I287" s="8">
        <f>IFERROR(H287/H444, "NA")</f>
        <v>-1.408778068521861E-2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3213</v>
      </c>
      <c r="U287" s="8">
        <f>IFERROR(T287/T444, "NA")</f>
        <v>2.821662053268237E-3</v>
      </c>
      <c r="V287" s="9"/>
      <c r="W287" s="10">
        <f t="shared" si="74"/>
        <v>3213</v>
      </c>
      <c r="X287" s="8">
        <f>IFERROR(W287/W444, "NA")</f>
        <v>-2.9755427610406702E-2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1.1946556870718909E-3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6.2479504646797282E-3</v>
      </c>
      <c r="J288" s="9"/>
      <c r="K288" s="7">
        <v>158.33000000000001</v>
      </c>
      <c r="L288" s="8">
        <f>IFERROR(K288/K444, "NA")</f>
        <v>1.1031841211720215E-3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1424.99</v>
      </c>
      <c r="R288" s="8">
        <f>IFERROR(Q288/Q444, "NA")</f>
        <v>1.3825320535272045E-3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-1424.99</v>
      </c>
      <c r="X288" s="8">
        <f>IFERROR(W288/W444, "NA")</f>
        <v>1.3196759038454232E-2</v>
      </c>
      <c r="Y288" s="9"/>
      <c r="Z288" s="7">
        <v>1425.01</v>
      </c>
      <c r="AA288" s="8">
        <f>IFERROR(Z288/Z444, "NA")</f>
        <v>1.4440173988587417E-3</v>
      </c>
      <c r="AB288" s="9"/>
      <c r="AC288" s="10">
        <f t="shared" si="75"/>
        <v>1.999999999998181E-2</v>
      </c>
      <c r="AD288" s="8">
        <f>IFERROR(AC288/AC444, "NA")</f>
        <v>4.5585978117777311E-7</v>
      </c>
    </row>
    <row r="289" spans="1:30" ht="16.5" customHeight="1" x14ac:dyDescent="0.45">
      <c r="A289" s="6" t="s">
        <v>262</v>
      </c>
      <c r="B289" s="7">
        <v>216.02</v>
      </c>
      <c r="C289" s="8">
        <f>IFERROR(B289/B444, "NA")</f>
        <v>1.6299470821781712E-3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-216.02</v>
      </c>
      <c r="I289" s="8">
        <f>IFERROR(H289/H444, "NA")</f>
        <v>8.5244884695263989E-3</v>
      </c>
      <c r="J289" s="9"/>
      <c r="K289" s="7">
        <v>198.68</v>
      </c>
      <c r="L289" s="8">
        <f>IFERROR(K289/K444, "NA")</f>
        <v>1.3843278039187596E-3</v>
      </c>
      <c r="M289" s="9"/>
      <c r="N289" s="10">
        <f t="shared" si="73"/>
        <v>-17.340000000000003</v>
      </c>
      <c r="O289" s="8">
        <f>IFERROR(N289/N444, "NA")</f>
        <v>1.5779401420146118E-3</v>
      </c>
      <c r="P289" s="9"/>
      <c r="Q289" s="7">
        <v>1908.52</v>
      </c>
      <c r="R289" s="8">
        <f>IFERROR(Q289/Q444, "NA")</f>
        <v>1.8516551518240412E-3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-1908.52</v>
      </c>
      <c r="X289" s="8">
        <f>IFERROR(W289/W444, "NA")</f>
        <v>1.7674705478684528E-2</v>
      </c>
      <c r="Y289" s="9"/>
      <c r="Z289" s="7">
        <v>1788.12</v>
      </c>
      <c r="AA289" s="8">
        <f>IFERROR(Z289/Z444, "NA")</f>
        <v>1.8119707168702628E-3</v>
      </c>
      <c r="AB289" s="9"/>
      <c r="AC289" s="10">
        <f t="shared" si="75"/>
        <v>-120.40000000000009</v>
      </c>
      <c r="AD289" s="8">
        <f>IFERROR(AC289/AC444, "NA")</f>
        <v>-2.744275882692692E-3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215.74</v>
      </c>
      <c r="R290" s="8">
        <f>IFERROR(Q290/Q444, "NA")</f>
        <v>2.093119707702925E-4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1.9979570347554128E-3</v>
      </c>
      <c r="Y290" s="9"/>
      <c r="Z290" s="7">
        <v>3306.13</v>
      </c>
      <c r="AA290" s="8">
        <f>IFERROR(Z290/Z444, "NA")</f>
        <v>3.3502285898968092E-3</v>
      </c>
      <c r="AB290" s="9"/>
      <c r="AC290" s="10">
        <f t="shared" si="75"/>
        <v>3090.3900000000003</v>
      </c>
      <c r="AD290" s="8">
        <f>IFERROR(AC290/AC444, "NA")</f>
        <v>7.0439225457762975E-2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1578.73</v>
      </c>
      <c r="F291" s="8">
        <f>IFERROR(E291/E444, "NA")</f>
        <v>9.999998733159092E-3</v>
      </c>
      <c r="G291" s="9"/>
      <c r="H291" s="10">
        <f t="shared" si="72"/>
        <v>1578.73</v>
      </c>
      <c r="I291" s="8">
        <f>IFERROR(H291/H444, "NA")</f>
        <v>-6.2299165269398257E-2</v>
      </c>
      <c r="J291" s="9"/>
      <c r="K291" s="7">
        <v>947</v>
      </c>
      <c r="L291" s="8">
        <f>IFERROR(K291/K444, "NA")</f>
        <v>6.5983412034984167E-3</v>
      </c>
      <c r="M291" s="9"/>
      <c r="N291" s="10">
        <f t="shared" si="73"/>
        <v>947</v>
      </c>
      <c r="O291" s="8">
        <f>IFERROR(N291/N444, "NA")</f>
        <v>-8.6177007755930624E-2</v>
      </c>
      <c r="P291" s="9"/>
      <c r="Q291" s="7">
        <v>2499.58</v>
      </c>
      <c r="R291" s="8">
        <f>IFERROR(Q291/Q444, "NA")</f>
        <v>2.4251043658941674E-3</v>
      </c>
      <c r="S291" s="9"/>
      <c r="T291" s="7">
        <v>11386.9</v>
      </c>
      <c r="U291" s="8">
        <f>IFERROR(T291/T444, "NA")</f>
        <v>9.9999949064301548E-3</v>
      </c>
      <c r="V291" s="9"/>
      <c r="W291" s="10">
        <f t="shared" si="74"/>
        <v>8887.32</v>
      </c>
      <c r="X291" s="8">
        <f>IFERROR(W291/W444, "NA")</f>
        <v>-8.2305013044045958E-2</v>
      </c>
      <c r="Y291" s="9"/>
      <c r="Z291" s="7">
        <v>1860.93</v>
      </c>
      <c r="AA291" s="8">
        <f>IFERROR(Z291/Z444, "NA")</f>
        <v>1.8857518880977665E-3</v>
      </c>
      <c r="AB291" s="9"/>
      <c r="AC291" s="10">
        <f t="shared" si="75"/>
        <v>-638.64999999999986</v>
      </c>
      <c r="AD291" s="8">
        <f>IFERROR(AC291/AC444, "NA")</f>
        <v>-1.4556742462472476E-2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630.96</v>
      </c>
      <c r="R293" s="8">
        <f>IFERROR(Q293/Q444, "NA")</f>
        <v>6.1216038322621567E-4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5.8432880812518554E-3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-1.4381464376609466E-2</v>
      </c>
    </row>
    <row r="294" spans="1:30" ht="16.5" customHeight="1" x14ac:dyDescent="0.45">
      <c r="A294" s="6" t="s">
        <v>267</v>
      </c>
      <c r="B294" s="7">
        <v>644.71</v>
      </c>
      <c r="C294" s="8">
        <f>IFERROR(B294/B444, "NA")</f>
        <v>4.8645643151147529E-3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-644.71</v>
      </c>
      <c r="I294" s="8">
        <f>IFERROR(H294/H444, "NA")</f>
        <v>2.5441269147247314E-2</v>
      </c>
      <c r="J294" s="9"/>
      <c r="K294" s="7">
        <v>523.98</v>
      </c>
      <c r="L294" s="8">
        <f>IFERROR(K294/K444, "NA")</f>
        <v>3.6508963292598735E-3</v>
      </c>
      <c r="M294" s="9"/>
      <c r="N294" s="10">
        <f t="shared" si="73"/>
        <v>-120.73000000000002</v>
      </c>
      <c r="O294" s="8">
        <f>IFERROR(N294/N444, "NA")</f>
        <v>1.0986430988778781E-2</v>
      </c>
      <c r="P294" s="9"/>
      <c r="Q294" s="7">
        <v>3866.57</v>
      </c>
      <c r="R294" s="8">
        <f>IFERROR(Q294/Q444, "NA")</f>
        <v>3.7513645444576336E-3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-3866.57</v>
      </c>
      <c r="X294" s="8">
        <f>IFERROR(W294/W444, "NA")</f>
        <v>3.5808105737805865E-2</v>
      </c>
      <c r="Y294" s="9"/>
      <c r="Z294" s="7">
        <v>1170.23</v>
      </c>
      <c r="AA294" s="8">
        <f>IFERROR(Z294/Z444, "NA")</f>
        <v>1.1858390331762341E-3</v>
      </c>
      <c r="AB294" s="9"/>
      <c r="AC294" s="10">
        <f t="shared" si="75"/>
        <v>-2696.34</v>
      </c>
      <c r="AD294" s="8">
        <f>IFERROR(AC294/AC444, "NA")</f>
        <v>-6.1457648119099734E-2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1019.0600000000001</v>
      </c>
      <c r="C295" s="15">
        <f>IFERROR(B295/B444, "NA")</f>
        <v>7.6891670843648148E-3</v>
      </c>
      <c r="D295" s="2"/>
      <c r="E295" s="14">
        <f>IFERROR(E286+E287+E288+E289+E290+E291+E292+E293+E294, "NA")</f>
        <v>1935.73</v>
      </c>
      <c r="F295" s="15">
        <f>IFERROR(E295/E444, "NA")</f>
        <v>1.2261309753876883E-2</v>
      </c>
      <c r="G295" s="2"/>
      <c r="H295" s="14">
        <f t="shared" si="72"/>
        <v>916.67</v>
      </c>
      <c r="I295" s="15">
        <f>IFERROR(H295/H444, "NA")</f>
        <v>-3.6173237873163427E-2</v>
      </c>
      <c r="J295" s="2"/>
      <c r="K295" s="14">
        <f>IFERROR(K286+K287+K288+K289+K290+K291+K292+K293+K294, "NA")</f>
        <v>1827.99</v>
      </c>
      <c r="L295" s="15">
        <f>IFERROR(K295/K444, "NA")</f>
        <v>1.2736749457849071E-2</v>
      </c>
      <c r="M295" s="2"/>
      <c r="N295" s="14">
        <f t="shared" si="73"/>
        <v>808.93</v>
      </c>
      <c r="O295" s="15">
        <f>IFERROR(N295/N444, "NA")</f>
        <v>-7.3612636625137229E-2</v>
      </c>
      <c r="P295" s="2"/>
      <c r="Q295" s="14">
        <f>IFERROR(Q286+Q287+Q288+Q289+Q290+Q291+Q292+Q293+Q294, "NA")</f>
        <v>10546.36</v>
      </c>
      <c r="R295" s="15">
        <f>IFERROR(Q295/Q444, "NA")</f>
        <v>1.0232128469699555E-2</v>
      </c>
      <c r="S295" s="2"/>
      <c r="T295" s="14">
        <f>IFERROR(T286+T287+T288+T289+T290+T291+T292+T293+T294, "NA")</f>
        <v>14599.9</v>
      </c>
      <c r="U295" s="15">
        <f>IFERROR(T295/T444, "NA")</f>
        <v>1.2821656959698393E-2</v>
      </c>
      <c r="V295" s="2"/>
      <c r="W295" s="14">
        <f t="shared" si="74"/>
        <v>4053.5399999999991</v>
      </c>
      <c r="X295" s="15">
        <f>IFERROR(W295/W444, "NA")</f>
        <v>-3.7539625283500765E-2</v>
      </c>
      <c r="Y295" s="2"/>
      <c r="Z295" s="14">
        <f>IFERROR(Z286+Z287+Z288+Z289+Z290+Z291+Z292+Z293+Z294, "NA")</f>
        <v>9550.42</v>
      </c>
      <c r="AA295" s="15">
        <f>IFERROR(Z295/Z444, "NA")</f>
        <v>9.6778076268998151E-3</v>
      </c>
      <c r="AB295" s="2"/>
      <c r="AC295" s="14">
        <f t="shared" si="75"/>
        <v>-995.94000000000051</v>
      </c>
      <c r="AD295" s="15">
        <f>IFERROR(AC295/AC444, "NA")</f>
        <v>-2.2700449523330224E-2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2052.35</v>
      </c>
      <c r="F297" s="8">
        <f>IFERROR(E297/E444, "NA")</f>
        <v>1.300000468731136E-2</v>
      </c>
      <c r="G297" s="9"/>
      <c r="H297" s="10">
        <f t="shared" ref="H297:H325" si="76">IFERROR(-(B297-E297), "NA")</f>
        <v>2052.35</v>
      </c>
      <c r="I297" s="8">
        <f>IFERROR(H297/H444, "NA")</f>
        <v>-8.0988954311788278E-2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14802.99</v>
      </c>
      <c r="U297" s="8">
        <f>IFERROR(T297/T444, "NA")</f>
        <v>1.3000010942393147E-2</v>
      </c>
      <c r="V297" s="9"/>
      <c r="W297" s="10">
        <f t="shared" ref="W297:W325" si="78">IFERROR(-(Q297-T297), "NA")</f>
        <v>14802.99</v>
      </c>
      <c r="X297" s="8">
        <f>IFERROR(W297/W444, "NA")</f>
        <v>-0.13708972840416256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3.5402794692991294E-3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1.851536890057303E-2</v>
      </c>
      <c r="J299" s="9"/>
      <c r="K299" s="7">
        <v>183.75</v>
      </c>
      <c r="L299" s="8">
        <f>IFERROR(K299/K444, "NA")</f>
        <v>1.2803011574897931E-3</v>
      </c>
      <c r="M299" s="9"/>
      <c r="N299" s="10">
        <f t="shared" si="77"/>
        <v>-285.45</v>
      </c>
      <c r="O299" s="8">
        <f>IFERROR(N299/N444, "NA")</f>
        <v>2.5975952337835687E-2</v>
      </c>
      <c r="P299" s="9"/>
      <c r="Q299" s="7">
        <v>4002.35</v>
      </c>
      <c r="R299" s="8">
        <f>IFERROR(Q299/Q444, "NA")</f>
        <v>3.883098944157227E-3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-4002.35</v>
      </c>
      <c r="X299" s="8">
        <f>IFERROR(W299/W444, "NA")</f>
        <v>3.7065557328512681E-2</v>
      </c>
      <c r="Y299" s="9"/>
      <c r="Z299" s="7">
        <v>1653.75</v>
      </c>
      <c r="AA299" s="8">
        <f>IFERROR(Z299/Z444, "NA")</f>
        <v>1.6758084317742641E-3</v>
      </c>
      <c r="AB299" s="9"/>
      <c r="AC299" s="10">
        <f t="shared" si="79"/>
        <v>-2348.6</v>
      </c>
      <c r="AD299" s="8">
        <f>IFERROR(AC299/AC444, "NA")</f>
        <v>-5.353161410375458E-2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217.93</v>
      </c>
      <c r="R304" s="8">
        <f>IFERROR(Q304/Q444, "NA")</f>
        <v>2.1143671915254401E-4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2.0182385120248777E-3</v>
      </c>
      <c r="Y304" s="9"/>
      <c r="Z304" s="7">
        <v>232.81</v>
      </c>
      <c r="AA304" s="8">
        <f>IFERROR(Z304/Z444, "NA")</f>
        <v>2.3591532033340374E-4</v>
      </c>
      <c r="AB304" s="9"/>
      <c r="AC304" s="10">
        <f t="shared" si="79"/>
        <v>14.879999999999995</v>
      </c>
      <c r="AD304" s="8">
        <f>IFERROR(AC304/AC444, "NA")</f>
        <v>3.3915967719657156E-4</v>
      </c>
    </row>
    <row r="305" spans="1:30" ht="16.5" customHeight="1" x14ac:dyDescent="0.45">
      <c r="A305" s="6" t="s">
        <v>277</v>
      </c>
      <c r="B305" s="7">
        <v>88.36</v>
      </c>
      <c r="C305" s="8">
        <f>IFERROR(B305/B444, "NA")</f>
        <v>6.6670736126869367E-4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-88.36</v>
      </c>
      <c r="I305" s="8">
        <f>IFERROR(H305/H444, "NA")</f>
        <v>3.4868243735179734E-3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-88.36</v>
      </c>
      <c r="O305" s="8">
        <f>IFERROR(N305/N444, "NA")</f>
        <v>8.0407607236684577E-3</v>
      </c>
      <c r="P305" s="9"/>
      <c r="Q305" s="7">
        <v>246.08</v>
      </c>
      <c r="R305" s="8">
        <f>IFERROR(Q305/Q444, "NA")</f>
        <v>2.3874798260477232E-4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-246.08</v>
      </c>
      <c r="X305" s="8">
        <f>IFERROR(W305/W444, "NA")</f>
        <v>2.278934212999963E-3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-246.08</v>
      </c>
      <c r="AD305" s="8">
        <f>IFERROR(AC305/AC444, "NA")</f>
        <v>-5.6088987476164221E-3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170.41</v>
      </c>
      <c r="R310" s="8">
        <f>IFERROR(Q310/Q444, "NA")</f>
        <v>1.6533258987190853E-4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-170.41</v>
      </c>
      <c r="X310" s="8">
        <f>IFERROR(W310/W444, "NA")</f>
        <v>1.5781582381230643E-3</v>
      </c>
      <c r="Y310" s="9"/>
      <c r="Z310" s="7">
        <v>132.9</v>
      </c>
      <c r="AA310" s="8">
        <f>IFERROR(Z310/Z444, "NA")</f>
        <v>1.3467267760108826E-4</v>
      </c>
      <c r="AB310" s="9"/>
      <c r="AC310" s="10">
        <f t="shared" si="79"/>
        <v>-37.509999999999991</v>
      </c>
      <c r="AD310" s="8">
        <f>IFERROR(AC310/AC444, "NA")</f>
        <v>-8.5496501959969086E-4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2.5904466578134836E-5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2.4726732561402393E-4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-6.085728078728805E-4</v>
      </c>
    </row>
    <row r="312" spans="1:30" ht="16.5" customHeight="1" x14ac:dyDescent="0.45">
      <c r="A312" s="6" t="s">
        <v>284</v>
      </c>
      <c r="B312" s="7">
        <v>551.91999999999996</v>
      </c>
      <c r="C312" s="8">
        <f>IFERROR(B312/B444, "NA")</f>
        <v>4.1644310415506723E-3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-551.91999999999996</v>
      </c>
      <c r="I312" s="8">
        <f>IFERROR(H312/H444, "NA")</f>
        <v>2.1779630016206877E-2</v>
      </c>
      <c r="J312" s="9"/>
      <c r="K312" s="7">
        <v>20.52</v>
      </c>
      <c r="L312" s="8">
        <f>IFERROR(K312/K444, "NA")</f>
        <v>1.4297567211804383E-4</v>
      </c>
      <c r="M312" s="9"/>
      <c r="N312" s="10">
        <f t="shared" si="77"/>
        <v>-531.4</v>
      </c>
      <c r="O312" s="8">
        <f>IFERROR(N312/N444, "NA")</f>
        <v>4.8357404352166351E-2</v>
      </c>
      <c r="P312" s="9"/>
      <c r="Q312" s="7">
        <v>4536.45</v>
      </c>
      <c r="R312" s="8">
        <f>IFERROR(Q312/Q444, "NA")</f>
        <v>4.4012852961939995E-3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-4536.45</v>
      </c>
      <c r="X312" s="8">
        <f>IFERROR(W312/W444, "NA")</f>
        <v>4.2011829935645652E-2</v>
      </c>
      <c r="Y312" s="9"/>
      <c r="Z312" s="7">
        <v>20.52</v>
      </c>
      <c r="AA312" s="8">
        <f>IFERROR(Z312/Z444, "NA")</f>
        <v>2.0793704622831686E-5</v>
      </c>
      <c r="AB312" s="9"/>
      <c r="AC312" s="10">
        <f t="shared" si="79"/>
        <v>-4515.9299999999994</v>
      </c>
      <c r="AD312" s="8">
        <f>IFERROR(AC312/AC444, "NA")</f>
        <v>-0.10293154308080064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40.85</v>
      </c>
      <c r="R313" s="8">
        <f>IFERROR(Q313/Q444, "NA")</f>
        <v>3.9632863659805547E-5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-40.85</v>
      </c>
      <c r="X313" s="8">
        <f>IFERROR(W313/W444, "NA")</f>
        <v>3.7830974724093174E-4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-40.85</v>
      </c>
      <c r="AD313" s="8">
        <f>IFERROR(AC313/AC444, "NA")</f>
        <v>-9.3109360305644844E-4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4.0242383890792795E-3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2.1046434035446763E-2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4.8533944368054957E-2</v>
      </c>
      <c r="P315" s="9"/>
      <c r="Q315" s="7">
        <v>3800.04</v>
      </c>
      <c r="R315" s="8">
        <f>IFERROR(Q315/Q444, "NA")</f>
        <v>3.6868168230552623E-3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-3800.04</v>
      </c>
      <c r="X315" s="8">
        <f>IFERROR(W315/W444, "NA")</f>
        <v>3.5191974832446273E-2</v>
      </c>
      <c r="Y315" s="9"/>
      <c r="Z315" s="7">
        <v>300</v>
      </c>
      <c r="AA315" s="8">
        <f>IFERROR(Z315/Z444, "NA")</f>
        <v>3.0400152957356266E-4</v>
      </c>
      <c r="AB315" s="9"/>
      <c r="AC315" s="10">
        <f t="shared" si="79"/>
        <v>-3500.04</v>
      </c>
      <c r="AD315" s="8">
        <f>IFERROR(AC315/AC444, "NA")</f>
        <v>-7.9776373425745201E-2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2.9707419291782728E-3</v>
      </c>
      <c r="G318" s="9"/>
      <c r="H318" s="10">
        <f t="shared" si="76"/>
        <v>469</v>
      </c>
      <c r="I318" s="8">
        <f>IFERROR(H318/H444, "NA")</f>
        <v>-1.8507476586463664E-2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4221</v>
      </c>
      <c r="U318" s="8">
        <f>IFERROR(T318/T444, "NA")</f>
        <v>3.7068893640974879E-3</v>
      </c>
      <c r="V318" s="9"/>
      <c r="W318" s="10">
        <f t="shared" si="78"/>
        <v>4221</v>
      </c>
      <c r="X318" s="8">
        <f>IFERROR(W318/W444, "NA")</f>
        <v>-3.9090463723475466E-2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307.47000000000003</v>
      </c>
      <c r="C319" s="8">
        <f>IFERROR(B319/B444, "NA")</f>
        <v>2.3199695831743468E-3</v>
      </c>
      <c r="D319" s="9"/>
      <c r="E319" s="7">
        <v>232</v>
      </c>
      <c r="F319" s="8">
        <f>IFERROR(E319/E444, "NA")</f>
        <v>1.4695354532395721E-3</v>
      </c>
      <c r="G319" s="9"/>
      <c r="H319" s="10">
        <f t="shared" si="76"/>
        <v>-75.470000000000027</v>
      </c>
      <c r="I319" s="8">
        <f>IFERROR(H319/H444, "NA")</f>
        <v>2.9781647291693249E-3</v>
      </c>
      <c r="J319" s="9"/>
      <c r="K319" s="7">
        <v>226.15</v>
      </c>
      <c r="L319" s="8">
        <f>IFERROR(K319/K444, "NA")</f>
        <v>1.5757284721976419E-3</v>
      </c>
      <c r="M319" s="9"/>
      <c r="N319" s="10">
        <f t="shared" si="77"/>
        <v>-81.320000000000022</v>
      </c>
      <c r="O319" s="8">
        <f>IFERROR(N319/N444, "NA")</f>
        <v>7.4001206660108555E-3</v>
      </c>
      <c r="P319" s="9"/>
      <c r="Q319" s="7">
        <v>2629.9</v>
      </c>
      <c r="R319" s="8">
        <f>IFERROR(Q319/Q444, "NA")</f>
        <v>2.5515414477092439E-3</v>
      </c>
      <c r="S319" s="9"/>
      <c r="T319" s="7">
        <v>2088</v>
      </c>
      <c r="U319" s="8">
        <f>IFERROR(T319/T444, "NA")</f>
        <v>1.833685143860591E-3</v>
      </c>
      <c r="V319" s="9"/>
      <c r="W319" s="10">
        <f t="shared" si="78"/>
        <v>-541.90000000000009</v>
      </c>
      <c r="X319" s="8">
        <f>IFERROR(W319/W444, "NA")</f>
        <v>5.0185080056269508E-3</v>
      </c>
      <c r="Y319" s="9"/>
      <c r="Z319" s="7">
        <v>2059.75</v>
      </c>
      <c r="AA319" s="8">
        <f>IFERROR(Z319/Z444, "NA")</f>
        <v>2.0872238351304856E-3</v>
      </c>
      <c r="AB319" s="9"/>
      <c r="AC319" s="10">
        <f t="shared" si="79"/>
        <v>-570.15000000000009</v>
      </c>
      <c r="AD319" s="8">
        <f>IFERROR(AC319/AC444, "NA")</f>
        <v>-1.2995422711937188E-2</v>
      </c>
    </row>
    <row r="320" spans="1:30" ht="16.5" customHeight="1" x14ac:dyDescent="0.45">
      <c r="A320" s="6" t="s">
        <v>292</v>
      </c>
      <c r="B320" s="7">
        <v>1312.92</v>
      </c>
      <c r="C320" s="8">
        <f>IFERROR(B320/B444, "NA")</f>
        <v>9.9064444178009661E-3</v>
      </c>
      <c r="D320" s="9"/>
      <c r="E320" s="7">
        <v>905</v>
      </c>
      <c r="F320" s="8">
        <f>IFERROR(E320/E444, "NA")</f>
        <v>5.7324551085422958E-3</v>
      </c>
      <c r="G320" s="9"/>
      <c r="H320" s="10">
        <f t="shared" si="76"/>
        <v>-407.92000000000007</v>
      </c>
      <c r="I320" s="8">
        <f>IFERROR(H320/H444, "NA")</f>
        <v>1.609716385746324E-2</v>
      </c>
      <c r="J320" s="9"/>
      <c r="K320" s="7">
        <v>703.92</v>
      </c>
      <c r="L320" s="8">
        <f>IFERROR(K320/K444, "NA")</f>
        <v>4.9046508341780409E-3</v>
      </c>
      <c r="M320" s="9"/>
      <c r="N320" s="10">
        <f t="shared" si="77"/>
        <v>-609.00000000000011</v>
      </c>
      <c r="O320" s="8">
        <f>IFERROR(N320/N444, "NA")</f>
        <v>5.5419004987710414E-2</v>
      </c>
      <c r="P320" s="9"/>
      <c r="Q320" s="7">
        <v>10662.63</v>
      </c>
      <c r="R320" s="8">
        <f>IFERROR(Q320/Q444, "NA")</f>
        <v>1.0344934174907035E-2</v>
      </c>
      <c r="S320" s="9"/>
      <c r="T320" s="7">
        <v>8145</v>
      </c>
      <c r="U320" s="8">
        <f>IFERROR(T320/T444, "NA")</f>
        <v>7.152952824111357E-3</v>
      </c>
      <c r="V320" s="9"/>
      <c r="W320" s="10">
        <f t="shared" si="78"/>
        <v>-2517.6299999999992</v>
      </c>
      <c r="X320" s="8">
        <f>IFERROR(W320/W444, "NA")</f>
        <v>2.3315641834667972E-2</v>
      </c>
      <c r="Y320" s="9"/>
      <c r="Z320" s="7">
        <v>7754.98</v>
      </c>
      <c r="AA320" s="8">
        <f>IFERROR(Z320/Z444, "NA")</f>
        <v>7.8584192727079553E-3</v>
      </c>
      <c r="AB320" s="9"/>
      <c r="AC320" s="10">
        <f t="shared" si="79"/>
        <v>-2907.6499999999996</v>
      </c>
      <c r="AD320" s="8">
        <f>IFERROR(AC320/AC444, "NA")</f>
        <v>-6.6274034637137866E-2</v>
      </c>
    </row>
    <row r="321" spans="1:30" ht="16.5" customHeight="1" x14ac:dyDescent="0.45">
      <c r="A321" s="6" t="s">
        <v>293</v>
      </c>
      <c r="B321" s="7">
        <v>1598.81</v>
      </c>
      <c r="C321" s="8">
        <f>IFERROR(B321/B444, "NA")</f>
        <v>1.2063585290516071E-2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-1598.81</v>
      </c>
      <c r="I321" s="8">
        <f>IFERROR(H321/H444, "NA")</f>
        <v>6.3091553605978623E-2</v>
      </c>
      <c r="J321" s="9"/>
      <c r="K321" s="7">
        <v>3108.25</v>
      </c>
      <c r="L321" s="8">
        <f>IFERROR(K321/K444, "NA")</f>
        <v>2.1657121484449791E-2</v>
      </c>
      <c r="M321" s="9"/>
      <c r="N321" s="10">
        <f t="shared" si="77"/>
        <v>1509.44</v>
      </c>
      <c r="O321" s="8">
        <f>IFERROR(N321/N444, "NA")</f>
        <v>-0.1373590523623146</v>
      </c>
      <c r="P321" s="9"/>
      <c r="Q321" s="7">
        <v>18548.53</v>
      </c>
      <c r="R321" s="8">
        <f>IFERROR(Q321/Q444, "NA")</f>
        <v>1.79958717400199E-2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-18548.53</v>
      </c>
      <c r="X321" s="8">
        <f>IFERROR(W321/W444, "NA")</f>
        <v>0.17177698154200341</v>
      </c>
      <c r="Y321" s="9"/>
      <c r="Z321" s="7">
        <v>28383.33</v>
      </c>
      <c r="AA321" s="8">
        <f>IFERROR(Z321/Z444, "NA")</f>
        <v>2.8761919114637297E-2</v>
      </c>
      <c r="AB321" s="9"/>
      <c r="AC321" s="10">
        <f t="shared" si="79"/>
        <v>9834.8000000000029</v>
      </c>
      <c r="AD321" s="8">
        <f>IFERROR(AC321/AC444, "NA")</f>
        <v>0.22416448879656209</v>
      </c>
    </row>
    <row r="322" spans="1:30" ht="16.5" customHeight="1" x14ac:dyDescent="0.45">
      <c r="A322" s="6" t="s">
        <v>294</v>
      </c>
      <c r="B322" s="7">
        <v>252.08</v>
      </c>
      <c r="C322" s="8">
        <f>IFERROR(B322/B444, "NA")</f>
        <v>1.9020324991920814E-3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-252.08</v>
      </c>
      <c r="I322" s="8">
        <f>IFERROR(H322/H444, "NA")</f>
        <v>9.9474727034451187E-3</v>
      </c>
      <c r="J322" s="9"/>
      <c r="K322" s="7">
        <v>269.2</v>
      </c>
      <c r="L322" s="8">
        <f>IFERROR(K322/K444, "NA")</f>
        <v>1.8756847433809647E-3</v>
      </c>
      <c r="M322" s="9"/>
      <c r="N322" s="10">
        <f t="shared" si="77"/>
        <v>17.119999999999976</v>
      </c>
      <c r="O322" s="8">
        <f>IFERROR(N322/N444, "NA")</f>
        <v>-1.5579201402128092E-3</v>
      </c>
      <c r="P322" s="9"/>
      <c r="Q322" s="7">
        <v>4802.62</v>
      </c>
      <c r="R322" s="8">
        <f>IFERROR(Q322/Q444, "NA")</f>
        <v>4.6595246920405212E-3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-4802.62</v>
      </c>
      <c r="X322" s="8">
        <f>IFERROR(W322/W444, "NA")</f>
        <v>4.447681660451025E-2</v>
      </c>
      <c r="Y322" s="9"/>
      <c r="Z322" s="7">
        <v>2889.09</v>
      </c>
      <c r="AA322" s="8">
        <f>IFERROR(Z322/Z444, "NA")</f>
        <v>2.9276259302522807E-3</v>
      </c>
      <c r="AB322" s="9"/>
      <c r="AC322" s="10">
        <f t="shared" si="79"/>
        <v>-1913.5299999999997</v>
      </c>
      <c r="AD322" s="8">
        <f>IFERROR(AC322/AC444, "NA")</f>
        <v>-4.3615068353894872E-2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5114.1000000000004</v>
      </c>
      <c r="C324" s="15">
        <f>IFERROR(B324/B444, "NA")</f>
        <v>3.8587688051881244E-2</v>
      </c>
      <c r="D324" s="2"/>
      <c r="E324" s="14">
        <f>IFERROR(E297+E298+E299+E300+E301+E302+E303+E304+E305+E306+E307+E308+E309+E310+E311+E312+E313+E314+E315+E316+E317+E318+E319+E320+E321+E322+E323, "NA")</f>
        <v>3658.35</v>
      </c>
      <c r="F324" s="15">
        <f>IFERROR(E324/E444, "NA")</f>
        <v>2.3172737178271501E-2</v>
      </c>
      <c r="G324" s="2"/>
      <c r="H324" s="14">
        <f t="shared" si="76"/>
        <v>-1455.7500000000005</v>
      </c>
      <c r="I324" s="15">
        <f>IFERROR(H324/H444, "NA")</f>
        <v>5.744618132354902E-2</v>
      </c>
      <c r="J324" s="2"/>
      <c r="K324" s="14">
        <f>IFERROR(K297+K298+K299+K300+K301+K302+K303+K304+K305+K306+K307+K308+K309+K310+K311+K312+K313+K314+K315+K316+K317+K318+K319+K320+K321+K322+K323, "NA")</f>
        <v>4511.79</v>
      </c>
      <c r="L324" s="15">
        <f>IFERROR(K324/K444, "NA")</f>
        <v>3.1436462363814276E-2</v>
      </c>
      <c r="M324" s="2"/>
      <c r="N324" s="14">
        <f t="shared" si="77"/>
        <v>-602.3100000000004</v>
      </c>
      <c r="O324" s="15">
        <f>IFERROR(N324/N444, "NA")</f>
        <v>5.4810214932919335E-2</v>
      </c>
      <c r="P324" s="2"/>
      <c r="Q324" s="14">
        <f>IFERROR(Q297+Q298+Q299+Q300+Q301+Q302+Q303+Q304+Q305+Q306+Q307+Q308+Q309+Q310+Q311+Q312+Q313+Q314+Q315+Q316+Q317+Q318+Q319+Q320+Q321+Q322+Q323, "NA")</f>
        <v>49684.49</v>
      </c>
      <c r="R324" s="15">
        <f>IFERROR(Q324/Q444, "NA")</f>
        <v>4.8204127739950357E-2</v>
      </c>
      <c r="S324" s="2"/>
      <c r="T324" s="14">
        <f>IFERROR(T297+T298+T299+T300+T301+T302+T303+T304+T305+T306+T307+T308+T309+T310+T311+T312+T313+T314+T315+T316+T317+T318+T319+T320+T321+T322+T323, "NA")</f>
        <v>29256.989999999998</v>
      </c>
      <c r="U324" s="15">
        <f>IFERROR(T324/T444, "NA")</f>
        <v>2.5693538274462583E-2</v>
      </c>
      <c r="V324" s="2"/>
      <c r="W324" s="14">
        <f t="shared" si="78"/>
        <v>-20427.5</v>
      </c>
      <c r="X324" s="15">
        <f>IFERROR(W324/W444, "NA")</f>
        <v>0.18917802599177805</v>
      </c>
      <c r="Y324" s="2"/>
      <c r="Z324" s="14">
        <f>IFERROR(Z297+Z298+Z299+Z300+Z301+Z302+Z303+Z304+Z305+Z306+Z307+Z308+Z309+Z310+Z311+Z312+Z313+Z314+Z315+Z316+Z317+Z318+Z319+Z320+Z321+Z322+Z323, "NA")</f>
        <v>43427.130000000005</v>
      </c>
      <c r="AA324" s="15">
        <f>IFERROR(Z324/Z444, "NA")</f>
        <v>4.4006379816633169E-2</v>
      </c>
      <c r="AB324" s="2"/>
      <c r="AC324" s="14">
        <f t="shared" si="79"/>
        <v>-6257.3599999999933</v>
      </c>
      <c r="AD324" s="15">
        <f>IFERROR(AC324/AC444, "NA")</f>
        <v>-0.14262393801765708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27134.52</v>
      </c>
      <c r="C325" s="15">
        <f>IFERROR(B325/B444, "NA")</f>
        <v>0.20473952273078988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29452.229999999996</v>
      </c>
      <c r="F325" s="15">
        <f>IFERROR(E325/E444, "NA")</f>
        <v>0.18655644897399187</v>
      </c>
      <c r="G325" s="2"/>
      <c r="H325" s="14">
        <f t="shared" si="76"/>
        <v>2317.7099999999955</v>
      </c>
      <c r="I325" s="15">
        <f>IFERROR(H325/H444, "NA")</f>
        <v>-9.1460476672095142E-2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40043.839999999997</v>
      </c>
      <c r="L325" s="15">
        <f>IFERROR(K325/K444, "NA")</f>
        <v>0.2790104745705364</v>
      </c>
      <c r="M325" s="2"/>
      <c r="N325" s="14">
        <f t="shared" si="77"/>
        <v>12909.319999999996</v>
      </c>
      <c r="O325" s="15">
        <f>IFERROR(N325/N444, "NA")</f>
        <v>-1.1747482257273389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235147.26</v>
      </c>
      <c r="R325" s="15">
        <f>IFERROR(Q325/Q444, "NA")</f>
        <v>0.22814098642734018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215607.12999999998</v>
      </c>
      <c r="U325" s="15">
        <f>IFERROR(T325/T444, "NA")</f>
        <v>0.18934654750546892</v>
      </c>
      <c r="V325" s="2"/>
      <c r="W325" s="14">
        <f t="shared" si="78"/>
        <v>-19540.130000000034</v>
      </c>
      <c r="X325" s="15">
        <f>IFERROR(W325/W444, "NA")</f>
        <v>0.18096013809926464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205328.00000000003</v>
      </c>
      <c r="AA325" s="15">
        <f>IFERROR(Z325/Z444, "NA")</f>
        <v>0.2080667535476016</v>
      </c>
      <c r="AB325" s="2"/>
      <c r="AC325" s="14">
        <f t="shared" si="79"/>
        <v>-29819.25999999998</v>
      </c>
      <c r="AD325" s="15">
        <f>IFERROR(AC325/AC444, "NA")</f>
        <v>-0.67967006692477383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0.15135253087350814</v>
      </c>
      <c r="D329" s="9"/>
      <c r="E329" s="7">
        <v>23110</v>
      </c>
      <c r="F329" s="8">
        <f>IFERROR(E329/E444, "NA")</f>
        <v>0.14638346691537288</v>
      </c>
      <c r="G329" s="9"/>
      <c r="H329" s="10">
        <f t="shared" si="80"/>
        <v>3050.9599999999991</v>
      </c>
      <c r="I329" s="8">
        <f>IFERROR(H329/H444, "NA")</f>
        <v>-0.120395673275559</v>
      </c>
      <c r="J329" s="9"/>
      <c r="K329" s="7">
        <v>19569.79</v>
      </c>
      <c r="L329" s="8">
        <f>IFERROR(K329/K444, "NA")</f>
        <v>0.13635496483718193</v>
      </c>
      <c r="M329" s="9"/>
      <c r="N329" s="10">
        <f t="shared" si="81"/>
        <v>-489.25</v>
      </c>
      <c r="O329" s="8">
        <f>IFERROR(N329/N444, "NA")</f>
        <v>4.452175400695782E-2</v>
      </c>
      <c r="P329" s="9"/>
      <c r="Q329" s="7">
        <v>177106.61</v>
      </c>
      <c r="R329" s="8">
        <f>IFERROR(Q329/Q444, "NA")</f>
        <v>0.17182967264088991</v>
      </c>
      <c r="S329" s="9"/>
      <c r="T329" s="7">
        <v>177100</v>
      </c>
      <c r="U329" s="8">
        <f>IFERROR(T329/T444, "NA")</f>
        <v>0.15552952058319477</v>
      </c>
      <c r="V329" s="9"/>
      <c r="W329" s="10">
        <f t="shared" si="82"/>
        <v>-6.6099999999860302</v>
      </c>
      <c r="X329" s="8">
        <f>IFERROR(W329/W444, "NA")</f>
        <v>6.1214869749260067E-5</v>
      </c>
      <c r="Y329" s="9"/>
      <c r="Z329" s="7">
        <v>172786.94</v>
      </c>
      <c r="AA329" s="8">
        <f>IFERROR(Z329/Z444, "NA")</f>
        <v>0.17509164683445133</v>
      </c>
      <c r="AB329" s="9"/>
      <c r="AC329" s="10">
        <f t="shared" si="83"/>
        <v>-4319.6699999999837</v>
      </c>
      <c r="AD329" s="8">
        <f>IFERROR(AC329/AC444, "NA")</f>
        <v>-9.8458191048098734E-2</v>
      </c>
    </row>
    <row r="330" spans="1:30" ht="16.5" customHeight="1" x14ac:dyDescent="0.45">
      <c r="A330" s="6" t="s">
        <v>301</v>
      </c>
      <c r="B330" s="7">
        <v>788.51</v>
      </c>
      <c r="C330" s="8">
        <f>IFERROR(B330/B444, "NA")</f>
        <v>5.9495860279988417E-3</v>
      </c>
      <c r="D330" s="9"/>
      <c r="E330" s="7">
        <v>659</v>
      </c>
      <c r="F330" s="8">
        <f>IFERROR(E330/E444, "NA")</f>
        <v>4.1742407917451634E-3</v>
      </c>
      <c r="G330" s="9"/>
      <c r="H330" s="10">
        <f t="shared" si="80"/>
        <v>-129.51</v>
      </c>
      <c r="I330" s="8">
        <f>IFERROR(H330/H444, "NA")</f>
        <v>5.1106680015200624E-3</v>
      </c>
      <c r="J330" s="9"/>
      <c r="K330" s="7">
        <v>658.51</v>
      </c>
      <c r="L330" s="8">
        <f>IFERROR(K330/K444, "NA")</f>
        <v>4.5882509671760739E-3</v>
      </c>
      <c r="M330" s="9"/>
      <c r="N330" s="10">
        <f t="shared" si="81"/>
        <v>-130</v>
      </c>
      <c r="O330" s="8">
        <f>IFERROR(N330/N444, "NA")</f>
        <v>1.1830001064700085E-2</v>
      </c>
      <c r="P330" s="9"/>
      <c r="Q330" s="7">
        <v>6508.3</v>
      </c>
      <c r="R330" s="8">
        <f>IFERROR(Q330/Q444, "NA")</f>
        <v>6.3143835142499983E-3</v>
      </c>
      <c r="S330" s="9"/>
      <c r="T330" s="7">
        <v>5931</v>
      </c>
      <c r="U330" s="8">
        <f>IFERROR(T330/T444, "NA")</f>
        <v>5.2086142663971095E-3</v>
      </c>
      <c r="V330" s="9"/>
      <c r="W330" s="10">
        <f t="shared" si="82"/>
        <v>-577.30000000000018</v>
      </c>
      <c r="X330" s="8">
        <f>IFERROR(W330/W444, "NA")</f>
        <v>5.346345583407343E-3</v>
      </c>
      <c r="Y330" s="9"/>
      <c r="Z330" s="7">
        <v>5978.33</v>
      </c>
      <c r="AA330" s="8">
        <f>IFERROR(Z330/Z444, "NA")</f>
        <v>6.0580715476517225E-3</v>
      </c>
      <c r="AB330" s="9"/>
      <c r="AC330" s="10">
        <f t="shared" si="83"/>
        <v>-529.97000000000025</v>
      </c>
      <c r="AD330" s="8">
        <f>IFERROR(AC330/AC444, "NA")</f>
        <v>-1.2079600411550212E-2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6.4582937045123689E-3</v>
      </c>
      <c r="D333" s="9"/>
      <c r="E333" s="7">
        <v>761</v>
      </c>
      <c r="F333" s="8">
        <f>IFERROR(E333/E444, "NA")</f>
        <v>4.8203296548073888E-3</v>
      </c>
      <c r="G333" s="9"/>
      <c r="H333" s="10">
        <f t="shared" si="80"/>
        <v>-94.92999999999995</v>
      </c>
      <c r="I333" s="8">
        <f>IFERROR(H333/H444, "NA")</f>
        <v>3.7460868920106498E-3</v>
      </c>
      <c r="J333" s="9"/>
      <c r="K333" s="7">
        <v>760.64</v>
      </c>
      <c r="L333" s="8">
        <f>IFERROR(K333/K444, "NA")</f>
        <v>5.2998545438532581E-3</v>
      </c>
      <c r="M333" s="9"/>
      <c r="N333" s="10">
        <f t="shared" si="81"/>
        <v>-95.289999999999964</v>
      </c>
      <c r="O333" s="8">
        <f>IFERROR(N333/N444, "NA")</f>
        <v>8.6713907804251596E-3</v>
      </c>
      <c r="P333" s="9"/>
      <c r="Q333" s="7">
        <v>7608.08</v>
      </c>
      <c r="R333" s="8">
        <f>IFERROR(Q333/Q444, "NA")</f>
        <v>7.3813952840365571E-3</v>
      </c>
      <c r="S333" s="9"/>
      <c r="T333" s="7">
        <v>6849</v>
      </c>
      <c r="U333" s="8">
        <f>IFERROR(T333/T444, "NA")</f>
        <v>6.0148034244737487E-3</v>
      </c>
      <c r="V333" s="9"/>
      <c r="W333" s="10">
        <f t="shared" si="82"/>
        <v>-759.07999999999993</v>
      </c>
      <c r="X333" s="8">
        <f>IFERROR(W333/W444, "NA")</f>
        <v>7.0298008062581749E-3</v>
      </c>
      <c r="Y333" s="9"/>
      <c r="Z333" s="7">
        <v>8574.4699999999993</v>
      </c>
      <c r="AA333" s="8">
        <f>IFERROR(Z333/Z444, "NA")</f>
        <v>8.6888399842754184E-3</v>
      </c>
      <c r="AB333" s="9"/>
      <c r="AC333" s="10">
        <f t="shared" si="83"/>
        <v>966.38999999999942</v>
      </c>
      <c r="AD333" s="8">
        <f>IFERROR(AC333/AC444, "NA")</f>
        <v>2.2026916696639427E-2</v>
      </c>
    </row>
    <row r="334" spans="1:30" ht="16.5" customHeight="1" x14ac:dyDescent="0.45">
      <c r="A334" s="6" t="s">
        <v>305</v>
      </c>
      <c r="B334" s="7">
        <v>3051.42</v>
      </c>
      <c r="C334" s="8">
        <f>IFERROR(B334/B444, "NA")</f>
        <v>2.3024040021757779E-2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-3051.42</v>
      </c>
      <c r="I334" s="8">
        <f>IFERROR(H334/H444, "NA")</f>
        <v>0.12041382559801057</v>
      </c>
      <c r="J334" s="9"/>
      <c r="K334" s="7">
        <v>2940.24</v>
      </c>
      <c r="L334" s="8">
        <f>IFERROR(K334/K444, "NA")</f>
        <v>2.0486490749919938E-2</v>
      </c>
      <c r="M334" s="9"/>
      <c r="N334" s="10">
        <f t="shared" si="81"/>
        <v>-111.18000000000029</v>
      </c>
      <c r="O334" s="8">
        <f>IFERROR(N334/N444, "NA")</f>
        <v>1.01173809105643E-2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4359.8</v>
      </c>
      <c r="F337" s="8">
        <f>IFERROR(E337/E444, "NA")</f>
        <v>2.7615864952732268E-2</v>
      </c>
      <c r="G337" s="9"/>
      <c r="H337" s="10">
        <f t="shared" ref="H337:H344" si="84">IFERROR(-(B337-E337), "NA")</f>
        <v>4359.8</v>
      </c>
      <c r="I337" s="8">
        <f>IFERROR(H337/H444, "NA")</f>
        <v>-0.17204455527007312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47167.7</v>
      </c>
      <c r="U337" s="8">
        <f>IFERROR(T337/T444, "NA")</f>
        <v>4.1422754195437353E-2</v>
      </c>
      <c r="V337" s="9"/>
      <c r="W337" s="10">
        <f t="shared" ref="W337:W344" si="86">IFERROR(-(Q337-T337), "NA")</f>
        <v>47167.7</v>
      </c>
      <c r="X337" s="8">
        <f>IFERROR(W337/W444, "NA")</f>
        <v>-0.43681764173650173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2475.52</v>
      </c>
      <c r="C338" s="8">
        <f>IFERROR(B338/B444, "NA")</f>
        <v>1.8678671423357589E-2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-2475.52</v>
      </c>
      <c r="I338" s="8">
        <f>IFERROR(H338/H444, "NA")</f>
        <v>9.7687907120090692E-2</v>
      </c>
      <c r="J338" s="9"/>
      <c r="K338" s="7">
        <v>2275.7399999999998</v>
      </c>
      <c r="L338" s="8">
        <f>IFERROR(K338/K444, "NA")</f>
        <v>1.5856503706916034E-2</v>
      </c>
      <c r="M338" s="9"/>
      <c r="N338" s="10">
        <f t="shared" si="85"/>
        <v>-199.7800000000002</v>
      </c>
      <c r="O338" s="8">
        <f>IFERROR(N338/N444, "NA")</f>
        <v>1.8179981636198349E-2</v>
      </c>
      <c r="P338" s="9"/>
      <c r="Q338" s="7">
        <v>20124.36</v>
      </c>
      <c r="R338" s="8">
        <f>IFERROR(Q338/Q444, "NA")</f>
        <v>1.9524749476642456E-2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-20124.36</v>
      </c>
      <c r="X338" s="8">
        <f>IFERROR(W338/W444, "NA")</f>
        <v>0.18637066205594902</v>
      </c>
      <c r="Y338" s="9"/>
      <c r="Z338" s="7">
        <v>18678.669999999998</v>
      </c>
      <c r="AA338" s="8">
        <f>IFERROR(Z338/Z444, "NA")</f>
        <v>1.892781416799939E-2</v>
      </c>
      <c r="AB338" s="9"/>
      <c r="AC338" s="10">
        <f t="shared" si="87"/>
        <v>-1445.6900000000023</v>
      </c>
      <c r="AD338" s="8">
        <f>IFERROR(AC338/AC444, "NA")</f>
        <v>-3.2951596352574761E-2</v>
      </c>
    </row>
    <row r="339" spans="1:30" ht="16.5" customHeight="1" x14ac:dyDescent="0.45">
      <c r="A339" s="12" t="s">
        <v>309</v>
      </c>
      <c r="B339" s="7">
        <v>372.8</v>
      </c>
      <c r="C339" s="8">
        <f>IFERROR(B339/B444, "NA")</f>
        <v>2.8129074726230083E-3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-372.8</v>
      </c>
      <c r="I339" s="8">
        <f>IFERROR(H339/H444, "NA")</f>
        <v>1.4711273499858539E-2</v>
      </c>
      <c r="J339" s="9"/>
      <c r="K339" s="7">
        <v>490.3</v>
      </c>
      <c r="L339" s="8">
        <f>IFERROR(K339/K444, "NA")</f>
        <v>3.4162267075768466E-3</v>
      </c>
      <c r="M339" s="9"/>
      <c r="N339" s="10">
        <f t="shared" si="85"/>
        <v>117.5</v>
      </c>
      <c r="O339" s="8">
        <f>IFERROR(N339/N444, "NA")</f>
        <v>-1.0692500962325078E-2</v>
      </c>
      <c r="P339" s="9"/>
      <c r="Q339" s="7">
        <v>7222.94</v>
      </c>
      <c r="R339" s="8">
        <f>IFERROR(Q339/Q444, "NA")</f>
        <v>7.0077306301825175E-3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-7222.94</v>
      </c>
      <c r="X339" s="8">
        <f>IFERROR(W339/W444, "NA")</f>
        <v>6.6891275538223147E-2</v>
      </c>
      <c r="Y339" s="9"/>
      <c r="Z339" s="7">
        <v>7213.23</v>
      </c>
      <c r="AA339" s="8">
        <f>IFERROR(Z339/Z444, "NA")</f>
        <v>7.3094431772196978E-3</v>
      </c>
      <c r="AB339" s="9"/>
      <c r="AC339" s="10">
        <f t="shared" si="87"/>
        <v>-9.7100000000000364</v>
      </c>
      <c r="AD339" s="8">
        <f>IFERROR(AC339/AC444, "NA")</f>
        <v>-2.2131992376201096E-4</v>
      </c>
    </row>
    <row r="340" spans="1:30" ht="16.5" customHeight="1" x14ac:dyDescent="0.45">
      <c r="A340" s="12" t="s">
        <v>310</v>
      </c>
      <c r="B340" s="7">
        <v>831.97</v>
      </c>
      <c r="C340" s="8">
        <f>IFERROR(B340/B444, "NA")</f>
        <v>6.2775070547161057E-3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-831.97</v>
      </c>
      <c r="I340" s="8">
        <f>IFERROR(H340/H444, "NA")</f>
        <v>3.2830842847846861E-2</v>
      </c>
      <c r="J340" s="9"/>
      <c r="K340" s="7">
        <v>1217.47</v>
      </c>
      <c r="L340" s="8">
        <f>IFERROR(K340/K444, "NA")</f>
        <v>8.4828748310699226E-3</v>
      </c>
      <c r="M340" s="9"/>
      <c r="N340" s="10">
        <f t="shared" si="85"/>
        <v>385.5</v>
      </c>
      <c r="O340" s="8">
        <f>IFERROR(N340/N444, "NA")</f>
        <v>-3.5080503157245257E-2</v>
      </c>
      <c r="P340" s="9"/>
      <c r="Q340" s="7">
        <v>8076.51</v>
      </c>
      <c r="R340" s="8">
        <f>IFERROR(Q340/Q444, "NA")</f>
        <v>7.8358682907480066E-3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-8076.51</v>
      </c>
      <c r="X340" s="8">
        <f>IFERROR(W340/W444, "NA")</f>
        <v>7.4796143370596271E-2</v>
      </c>
      <c r="Y340" s="9"/>
      <c r="Z340" s="7">
        <v>8188.74</v>
      </c>
      <c r="AA340" s="8">
        <f>IFERROR(Z340/Z444, "NA")</f>
        <v>8.2979649509340517E-3</v>
      </c>
      <c r="AB340" s="9"/>
      <c r="AC340" s="10">
        <f t="shared" si="87"/>
        <v>112.22999999999956</v>
      </c>
      <c r="AD340" s="8">
        <f>IFERROR(AC340/AC444, "NA")</f>
        <v>2.5580571620813903E-3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7.7867284942924313E-3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4.0723946188623961E-2</v>
      </c>
      <c r="J341" s="9"/>
      <c r="K341" s="7">
        <v>996.35</v>
      </c>
      <c r="L341" s="8">
        <f>IFERROR(K341/K444, "NA")</f>
        <v>6.9421935143671037E-3</v>
      </c>
      <c r="M341" s="9"/>
      <c r="N341" s="10">
        <f t="shared" si="85"/>
        <v>-35.639999999999986</v>
      </c>
      <c r="O341" s="8">
        <f>IFERROR(N341/N444, "NA")</f>
        <v>3.2432402918916221E-3</v>
      </c>
      <c r="P341" s="9"/>
      <c r="Q341" s="7">
        <v>9250.23</v>
      </c>
      <c r="R341" s="8">
        <f>IFERROR(Q341/Q444, "NA")</f>
        <v>8.974616999065925E-3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-9250.23</v>
      </c>
      <c r="X341" s="8">
        <f>IFERROR(W341/W444, "NA")</f>
        <v>8.5665903873206467E-2</v>
      </c>
      <c r="Y341" s="9"/>
      <c r="Z341" s="7">
        <v>8695.76</v>
      </c>
      <c r="AA341" s="8">
        <f>IFERROR(Z341/Z444, "NA")</f>
        <v>8.8117478026820111E-3</v>
      </c>
      <c r="AB341" s="9"/>
      <c r="AC341" s="10">
        <f t="shared" si="87"/>
        <v>-554.46999999999935</v>
      </c>
      <c r="AD341" s="8">
        <f>IFERROR(AC341/AC444, "NA")</f>
        <v>-1.2638028643493471E-2</v>
      </c>
    </row>
    <row r="342" spans="1:30" ht="16.5" customHeight="1" x14ac:dyDescent="0.45">
      <c r="A342" s="13" t="s">
        <v>312</v>
      </c>
      <c r="B342" s="14">
        <f>IFERROR(B337+B338+B339+B340+B341, "NA")</f>
        <v>4712.28</v>
      </c>
      <c r="C342" s="15">
        <f>IFERROR(B342/B444, "NA")</f>
        <v>3.5555814444989134E-2</v>
      </c>
      <c r="D342" s="2"/>
      <c r="E342" s="14">
        <f>IFERROR(E337+E338+E339+E340+E341, "NA")</f>
        <v>4359.8</v>
      </c>
      <c r="F342" s="15">
        <f>IFERROR(E342/E444, "NA")</f>
        <v>2.7615864952732268E-2</v>
      </c>
      <c r="G342" s="2"/>
      <c r="H342" s="14">
        <f t="shared" si="84"/>
        <v>-352.47999999999956</v>
      </c>
      <c r="I342" s="15">
        <f>IFERROR(H342/H444, "NA")</f>
        <v>1.3909414386346918E-2</v>
      </c>
      <c r="J342" s="2"/>
      <c r="K342" s="14">
        <f>IFERROR(K337+K338+K339+K340+K341, "NA")</f>
        <v>4979.8600000000006</v>
      </c>
      <c r="L342" s="15">
        <f>IFERROR(K342/K444, "NA")</f>
        <v>3.4697798759929913E-2</v>
      </c>
      <c r="M342" s="2"/>
      <c r="N342" s="14">
        <f t="shared" si="85"/>
        <v>267.58000000000084</v>
      </c>
      <c r="O342" s="15">
        <f>IFERROR(N342/N444, "NA")</f>
        <v>-2.4349782191480453E-2</v>
      </c>
      <c r="P342" s="2"/>
      <c r="Q342" s="14">
        <f>IFERROR(Q337+Q338+Q339+Q340+Q341, "NA")</f>
        <v>44674.039999999994</v>
      </c>
      <c r="R342" s="15">
        <f>IFERROR(Q342/Q444, "NA")</f>
        <v>4.3342965396638899E-2</v>
      </c>
      <c r="S342" s="2"/>
      <c r="T342" s="14">
        <f>IFERROR(T337+T338+T339+T340+T341, "NA")</f>
        <v>47167.7</v>
      </c>
      <c r="U342" s="15">
        <f>IFERROR(T342/T444, "NA")</f>
        <v>4.1422754195437353E-2</v>
      </c>
      <c r="V342" s="2"/>
      <c r="W342" s="14">
        <f t="shared" si="86"/>
        <v>2493.6600000000035</v>
      </c>
      <c r="X342" s="15">
        <f>IFERROR(W342/W444, "NA")</f>
        <v>-2.3093656898526882E-2</v>
      </c>
      <c r="Y342" s="2"/>
      <c r="Z342" s="14">
        <f>IFERROR(Z337+Z338+Z339+Z340+Z341, "NA")</f>
        <v>42776.4</v>
      </c>
      <c r="AA342" s="15">
        <f>IFERROR(Z342/Z444, "NA")</f>
        <v>4.3346970098835154E-2</v>
      </c>
      <c r="AB342" s="2"/>
      <c r="AC342" s="14">
        <f t="shared" si="87"/>
        <v>-1897.6399999999921</v>
      </c>
      <c r="AD342" s="15">
        <f>IFERROR(AC342/AC444, "NA")</f>
        <v>-4.3252887757748625E-2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29467.180000000004</v>
      </c>
      <c r="C343" s="15">
        <f>IFERROR(B343/B444, "NA")</f>
        <v>0.22234026507276627</v>
      </c>
      <c r="D343" s="2"/>
      <c r="E343" s="14">
        <f>IFERROR(E328+E329+E330+E331+E332+E333+E334+E335+E337+E338+E339+E340+E341, "NA")</f>
        <v>28889.8</v>
      </c>
      <c r="F343" s="15">
        <f>IFERROR(E343/E444, "NA")</f>
        <v>0.1829939023146577</v>
      </c>
      <c r="G343" s="2"/>
      <c r="H343" s="14">
        <f t="shared" si="84"/>
        <v>-577.38000000000466</v>
      </c>
      <c r="I343" s="15">
        <f>IFERROR(H343/H444, "NA")</f>
        <v>2.2784321602329377E-2</v>
      </c>
      <c r="J343" s="2"/>
      <c r="K343" s="14">
        <f>IFERROR(K328+K329+K330+K331+K332+K333+K334+K335+K337+K338+K339+K340+K341, "NA")</f>
        <v>28909.039999999997</v>
      </c>
      <c r="L343" s="15">
        <f>IFERROR(K343/K444, "NA")</f>
        <v>0.20142735985806107</v>
      </c>
      <c r="M343" s="2"/>
      <c r="N343" s="14">
        <f t="shared" si="85"/>
        <v>-558.14000000000669</v>
      </c>
      <c r="O343" s="15">
        <f>IFERROR(N343/N444, "NA")</f>
        <v>5.0790744571167577E-2</v>
      </c>
      <c r="P343" s="2"/>
      <c r="Q343" s="14">
        <f>IFERROR(Q328+Q329+Q330+Q331+Q332+Q333+Q334+Q335+Q337+Q338+Q339+Q340+Q341, "NA")</f>
        <v>235897.03</v>
      </c>
      <c r="R343" s="15">
        <f>IFERROR(Q343/Q444, "NA")</f>
        <v>0.22886841683581538</v>
      </c>
      <c r="S343" s="2"/>
      <c r="T343" s="14">
        <f>IFERROR(T328+T329+T330+T331+T332+T333+T334+T335+T337+T338+T339+T340+T341, "NA")</f>
        <v>237047.7</v>
      </c>
      <c r="U343" s="15">
        <f>IFERROR(T343/T444, "NA")</f>
        <v>0.20817569246950299</v>
      </c>
      <c r="V343" s="2"/>
      <c r="W343" s="14">
        <f t="shared" si="86"/>
        <v>1150.6700000000128</v>
      </c>
      <c r="X343" s="15">
        <f>IFERROR(W343/W444, "NA")</f>
        <v>-1.0656295639112063E-2</v>
      </c>
      <c r="Y343" s="2"/>
      <c r="Z343" s="14">
        <f>IFERROR(Z328+Z329+Z330+Z331+Z332+Z333+Z334+Z335+Z337+Z338+Z339+Z340+Z341, "NA")</f>
        <v>230116.13999999998</v>
      </c>
      <c r="AA343" s="15">
        <f>IFERROR(Z343/Z444, "NA")</f>
        <v>0.23318552846521359</v>
      </c>
      <c r="AB343" s="2"/>
      <c r="AC343" s="14">
        <f t="shared" si="87"/>
        <v>-5780.890000000014</v>
      </c>
      <c r="AD343" s="15">
        <f>IFERROR(AC343/AC444, "NA")</f>
        <v>-0.131763762520759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29467.180000000004</v>
      </c>
      <c r="C344" s="15">
        <f>IFERROR(B344/B444, "NA")</f>
        <v>0.22234026507276627</v>
      </c>
      <c r="D344" s="2"/>
      <c r="E344" s="14">
        <f>IFERROR(E328+E329+E330+E331+E332+E333+E334+E335+E337+E338+E339+E340+E341, "NA")</f>
        <v>28889.8</v>
      </c>
      <c r="F344" s="15">
        <f>IFERROR(E344/E444, "NA")</f>
        <v>0.1829939023146577</v>
      </c>
      <c r="G344" s="2"/>
      <c r="H344" s="14">
        <f t="shared" si="84"/>
        <v>-577.38000000000466</v>
      </c>
      <c r="I344" s="15">
        <f>IFERROR(H344/H444, "NA")</f>
        <v>2.2784321602329377E-2</v>
      </c>
      <c r="J344" s="2"/>
      <c r="K344" s="14">
        <f>IFERROR(K328+K329+K330+K331+K332+K333+K334+K335+K337+K338+K339+K340+K341, "NA")</f>
        <v>28909.039999999997</v>
      </c>
      <c r="L344" s="15">
        <f>IFERROR(K344/K444, "NA")</f>
        <v>0.20142735985806107</v>
      </c>
      <c r="M344" s="2"/>
      <c r="N344" s="14">
        <f t="shared" si="85"/>
        <v>-558.14000000000669</v>
      </c>
      <c r="O344" s="15">
        <f>IFERROR(N344/N444, "NA")</f>
        <v>5.0790744571167577E-2</v>
      </c>
      <c r="P344" s="2"/>
      <c r="Q344" s="14">
        <f>IFERROR(Q328+Q329+Q330+Q331+Q332+Q333+Q334+Q335+Q337+Q338+Q339+Q340+Q341, "NA")</f>
        <v>235897.03</v>
      </c>
      <c r="R344" s="15">
        <f>IFERROR(Q344/Q444, "NA")</f>
        <v>0.22886841683581538</v>
      </c>
      <c r="S344" s="2"/>
      <c r="T344" s="14">
        <f>IFERROR(T328+T329+T330+T331+T332+T333+T334+T335+T337+T338+T339+T340+T341, "NA")</f>
        <v>237047.7</v>
      </c>
      <c r="U344" s="15">
        <f>IFERROR(T344/T444, "NA")</f>
        <v>0.20817569246950299</v>
      </c>
      <c r="V344" s="2"/>
      <c r="W344" s="14">
        <f t="shared" si="86"/>
        <v>1150.6700000000128</v>
      </c>
      <c r="X344" s="15">
        <f>IFERROR(W344/W444, "NA")</f>
        <v>-1.0656295639112063E-2</v>
      </c>
      <c r="Y344" s="2"/>
      <c r="Z344" s="14">
        <f>IFERROR(Z328+Z329+Z330+Z331+Z332+Z333+Z334+Z335+Z337+Z338+Z339+Z340+Z341, "NA")</f>
        <v>230116.13999999998</v>
      </c>
      <c r="AA344" s="15">
        <f>IFERROR(Z344/Z444, "NA")</f>
        <v>0.23318552846521359</v>
      </c>
      <c r="AB344" s="2"/>
      <c r="AC344" s="14">
        <f t="shared" si="87"/>
        <v>-5780.890000000014</v>
      </c>
      <c r="AD344" s="15">
        <f>IFERROR(AC344/AC444, "NA")</f>
        <v>-0.131763762520759</v>
      </c>
    </row>
    <row r="345" spans="1:30" ht="16.5" customHeight="1" x14ac:dyDescent="0.45">
      <c r="A345" s="22" t="s">
        <v>315</v>
      </c>
      <c r="B345" s="23">
        <f>IFERROR(B198-B325-B344, "NA")</f>
        <v>-2064.9899999999689</v>
      </c>
      <c r="C345" s="24">
        <f>IFERROR(B345/B444, "NA")</f>
        <v>-1.5581077794773869E-2</v>
      </c>
      <c r="D345" s="25"/>
      <c r="E345" s="23">
        <f>IFERROR(E198-E325-E344, "NA")</f>
        <v>19666.740000000023</v>
      </c>
      <c r="F345" s="24">
        <f>IFERROR(E345/E444, "NA")</f>
        <v>0.12457315379157265</v>
      </c>
      <c r="G345" s="25"/>
      <c r="H345" s="23">
        <f>IFERROR(B345-E345, "NA")</f>
        <v>-21731.729999999992</v>
      </c>
      <c r="I345" s="24">
        <f>IFERROR(H345/H444, "NA")</f>
        <v>0.85756819649967997</v>
      </c>
      <c r="J345" s="25"/>
      <c r="K345" s="23">
        <f>IFERROR(K198-K325-K344, "NA")</f>
        <v>-5074.6399999999812</v>
      </c>
      <c r="L345" s="24">
        <f>IFERROR(K345/K444, "NA")</f>
        <v>-3.5358190290307373E-2</v>
      </c>
      <c r="M345" s="25"/>
      <c r="N345" s="23">
        <f>IFERROR(B345-K345, "NA")</f>
        <v>3009.6500000000124</v>
      </c>
      <c r="O345" s="24">
        <f>IFERROR(N345/N444, "NA")</f>
        <v>-0.27387817464903663</v>
      </c>
      <c r="P345" s="25"/>
      <c r="Q345" s="23">
        <f>IFERROR(Q198-Q325-Q344, "NA")</f>
        <v>-54106.219999999885</v>
      </c>
      <c r="R345" s="24">
        <f>IFERROR(Q345/Q444, "NA")</f>
        <v>-5.2494111148284929E-2</v>
      </c>
      <c r="S345" s="25"/>
      <c r="T345" s="23">
        <f>IFERROR(T198-T325-T344, "NA")</f>
        <v>79199.609999999928</v>
      </c>
      <c r="U345" s="24">
        <f>IFERROR(T345/T444, "NA")</f>
        <v>6.9553231923636286E-2</v>
      </c>
      <c r="V345" s="25"/>
      <c r="W345" s="23">
        <f>IFERROR(Q345-T345, "NA")</f>
        <v>-133305.82999999981</v>
      </c>
      <c r="X345" s="24">
        <f>IFERROR(W345/W444, "NA")</f>
        <v>1.2345384296950439</v>
      </c>
      <c r="Y345" s="25"/>
      <c r="Z345" s="23">
        <f>IFERROR(Z198-Z325-Z344, "NA")</f>
        <v>-36554.599999999802</v>
      </c>
      <c r="AA345" s="24">
        <f>IFERROR(Z345/Z444, "NA")</f>
        <v>-3.7042181043165645E-2</v>
      </c>
      <c r="AB345" s="25"/>
      <c r="AC345" s="23">
        <f>IFERROR(Q345-Z345, "NA")</f>
        <v>-17551.620000000083</v>
      </c>
      <c r="AD345" s="24">
        <f>IFERROR(AC345/AC444, "NA")</f>
        <v>-0.400053882626137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-2064.9899999999689</v>
      </c>
      <c r="C404" s="24">
        <f>IFERROR(B404/B444, "NA")</f>
        <v>-1.5581077794773869E-2</v>
      </c>
      <c r="D404" s="25"/>
      <c r="E404" s="23">
        <f>IFERROR(E345-E403, "NA")</f>
        <v>19666.740000000023</v>
      </c>
      <c r="F404" s="24">
        <f>IFERROR(E404/E444, "NA")</f>
        <v>0.12457315379157265</v>
      </c>
      <c r="G404" s="25"/>
      <c r="H404" s="23">
        <f>IFERROR(B404-E404, "NA")</f>
        <v>-21731.729999999992</v>
      </c>
      <c r="I404" s="24">
        <f>IFERROR(H404/H444, "NA")</f>
        <v>0.85756819649967997</v>
      </c>
      <c r="J404" s="25"/>
      <c r="K404" s="23">
        <f>IFERROR(K345-K403, "NA")</f>
        <v>-5074.6399999999812</v>
      </c>
      <c r="L404" s="24">
        <f>IFERROR(K404/K444, "NA")</f>
        <v>-3.5358190290307373E-2</v>
      </c>
      <c r="M404" s="25"/>
      <c r="N404" s="23">
        <f>IFERROR(B404-K404, "NA")</f>
        <v>3009.6500000000124</v>
      </c>
      <c r="O404" s="24">
        <f>IFERROR(N404/N444, "NA")</f>
        <v>-0.27387817464903663</v>
      </c>
      <c r="P404" s="25"/>
      <c r="Q404" s="23">
        <f>IFERROR(Q345-Q403, "NA")</f>
        <v>-54106.219999999885</v>
      </c>
      <c r="R404" s="24">
        <f>IFERROR(Q404/Q444, "NA")</f>
        <v>-5.2494111148284929E-2</v>
      </c>
      <c r="S404" s="25"/>
      <c r="T404" s="23">
        <f>IFERROR(T345-T403, "NA")</f>
        <v>79199.609999999928</v>
      </c>
      <c r="U404" s="24">
        <f>IFERROR(T404/T444, "NA")</f>
        <v>6.9553231923636286E-2</v>
      </c>
      <c r="V404" s="25"/>
      <c r="W404" s="23">
        <f>IFERROR(Q404-T404, "NA")</f>
        <v>-133305.82999999981</v>
      </c>
      <c r="X404" s="24">
        <f>IFERROR(W404/W444, "NA")</f>
        <v>1.2345384296950439</v>
      </c>
      <c r="Y404" s="25"/>
      <c r="Z404" s="23">
        <f>IFERROR(Z345-Z403, "NA")</f>
        <v>-36554.599999999802</v>
      </c>
      <c r="AA404" s="24">
        <f>IFERROR(Z404/Z444, "NA")</f>
        <v>-3.7042181043165645E-2</v>
      </c>
      <c r="AB404" s="25"/>
      <c r="AC404" s="23">
        <f>IFERROR(Q404-Z404, "NA")</f>
        <v>-17551.620000000083</v>
      </c>
      <c r="AD404" s="24">
        <f>IFERROR(AC404/AC444, "NA")</f>
        <v>-0.400053882626137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3830.56</v>
      </c>
      <c r="L408" s="8">
        <f>IFERROR(K408/K444, "NA")</f>
        <v>2.6689906948757013E-2</v>
      </c>
      <c r="M408" s="9"/>
      <c r="N408" s="10">
        <f t="shared" si="101"/>
        <v>3830.56</v>
      </c>
      <c r="O408" s="8">
        <f>IFERROR(N408/N444, "NA")</f>
        <v>-0.34858099137228893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5722.56</v>
      </c>
      <c r="AA408" s="8">
        <f>IFERROR(Z408/Z444, "NA")</f>
        <v>5.7988899769216232E-3</v>
      </c>
      <c r="AB408" s="9"/>
      <c r="AC408" s="10">
        <f t="shared" si="103"/>
        <v>5722.56</v>
      </c>
      <c r="AD408" s="8">
        <f>IFERROR(AC408/AC444, "NA")</f>
        <v>0.13043424746895249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10315.540000000001</v>
      </c>
      <c r="C410" s="8">
        <f>IFERROR(B410/B444, "NA")</f>
        <v>7.7834387205315311E-2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-10315.540000000001</v>
      </c>
      <c r="I410" s="8">
        <f>IFERROR(H410/H444, "NA")</f>
        <v>0.40706740943865549</v>
      </c>
      <c r="J410" s="9"/>
      <c r="K410" s="7">
        <v>9542.9</v>
      </c>
      <c r="L410" s="8">
        <f>IFERROR(K410/K444, "NA")</f>
        <v>6.6491351922771946E-2</v>
      </c>
      <c r="M410" s="9"/>
      <c r="N410" s="10">
        <f t="shared" si="101"/>
        <v>-772.64000000000124</v>
      </c>
      <c r="O410" s="8">
        <f>IFERROR(N410/N444, "NA")</f>
        <v>7.0310246327922224E-2</v>
      </c>
      <c r="P410" s="9"/>
      <c r="Q410" s="7">
        <v>89721.24</v>
      </c>
      <c r="R410" s="8">
        <f>IFERROR(Q410/Q444, "NA")</f>
        <v>8.7047972394337619E-2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-89721.24</v>
      </c>
      <c r="X410" s="8">
        <f>IFERROR(W410/W444, "NA")</f>
        <v>0.83090378522749031</v>
      </c>
      <c r="Y410" s="9"/>
      <c r="Z410" s="7">
        <v>85886.1</v>
      </c>
      <c r="AA410" s="8">
        <f>IFERROR(Z410/Z444, "NA")</f>
        <v>8.7031685897026534E-2</v>
      </c>
      <c r="AB410" s="9"/>
      <c r="AC410" s="10">
        <f t="shared" si="103"/>
        <v>-3835.1399999999994</v>
      </c>
      <c r="AD410" s="8">
        <f>IFERROR(AC410/AC444, "NA")</f>
        <v>-8.7414304059385731E-2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-55.38</v>
      </c>
      <c r="C416" s="8">
        <f>IFERROR(B416/B444, "NA")</f>
        <v>-4.1786163045563898E-4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55.38</v>
      </c>
      <c r="I416" s="8">
        <f>IFERROR(H416/H444, "NA")</f>
        <v>-2.1853817768834921E-3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55.38</v>
      </c>
      <c r="O416" s="8">
        <f>IFERROR(N416/N444, "NA")</f>
        <v>-5.0395804535622365E-3</v>
      </c>
      <c r="P416" s="9"/>
      <c r="Q416" s="7">
        <v>-68.849999999999994</v>
      </c>
      <c r="R416" s="8">
        <f>IFERROR(Q416/Q444, "NA")</f>
        <v>-6.6798596400920721E-5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68.849999999999994</v>
      </c>
      <c r="X416" s="8">
        <f>IFERROR(W416/W444, "NA")</f>
        <v>-6.3761630593728638E-4</v>
      </c>
      <c r="Y416" s="9"/>
      <c r="Z416" s="7">
        <v>-475.27</v>
      </c>
      <c r="AA416" s="8">
        <f>IFERROR(Z416/Z444, "NA")</f>
        <v>-4.8160935653475704E-4</v>
      </c>
      <c r="AB416" s="9"/>
      <c r="AC416" s="10">
        <f t="shared" si="103"/>
        <v>-406.41999999999996</v>
      </c>
      <c r="AD416" s="8">
        <f>IFERROR(AC416/AC444, "NA")</f>
        <v>-9.2635266133219516E-3</v>
      </c>
    </row>
    <row r="417" spans="1:30" ht="16.5" customHeight="1" x14ac:dyDescent="0.45">
      <c r="A417" s="6" t="s">
        <v>382</v>
      </c>
      <c r="B417" s="7">
        <v>-45.38</v>
      </c>
      <c r="C417" s="8">
        <f>IFERROR(B417/B444, "NA")</f>
        <v>-3.4240810382948531E-4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45.38</v>
      </c>
      <c r="I417" s="8">
        <f>IFERROR(H417/H444, "NA")</f>
        <v>-1.7907660714151837E-3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45.38</v>
      </c>
      <c r="O417" s="8">
        <f>IFERROR(N417/N444, "NA")</f>
        <v>-4.1295803716622304E-3</v>
      </c>
      <c r="P417" s="9"/>
      <c r="Q417" s="7">
        <v>-358.53</v>
      </c>
      <c r="R417" s="8">
        <f>IFERROR(Q417/Q444, "NA")</f>
        <v>-3.4784750570257235E-4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358.53</v>
      </c>
      <c r="X417" s="8">
        <f>IFERROR(W417/W444, "NA")</f>
        <v>-3.3203278746215727E-3</v>
      </c>
      <c r="Y417" s="9"/>
      <c r="Z417" s="7">
        <v>-79.650000000000006</v>
      </c>
      <c r="AA417" s="8">
        <f>IFERROR(Z417/Z444, "NA")</f>
        <v>-8.0712406101780888E-5</v>
      </c>
      <c r="AB417" s="9"/>
      <c r="AC417" s="10">
        <f t="shared" si="103"/>
        <v>278.88</v>
      </c>
      <c r="AD417" s="8">
        <f>IFERROR(AC417/AC444, "NA")</f>
        <v>6.3565087887486492E-3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2.4806524813202715E-5</v>
      </c>
      <c r="AB424" s="9"/>
      <c r="AC424" s="10">
        <f t="shared" si="103"/>
        <v>24.48</v>
      </c>
      <c r="AD424" s="8">
        <f>IFERROR(AC424/AC444, "NA")</f>
        <v>5.579723721621017E-4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10214.780000000002</v>
      </c>
      <c r="C428" s="15">
        <f>IFERROR(B428/B444, "NA")</f>
        <v>7.7074117471030199E-2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-10214.780000000002</v>
      </c>
      <c r="I428" s="15">
        <f>IFERROR(H428/H444, "NA")</f>
        <v>0.40309126159035685</v>
      </c>
      <c r="J428" s="2"/>
      <c r="K428" s="14">
        <f>IFERROR(K407+K408+K409+K410+K411+K412+K413+K414+K415+K416+K417+K418+K419+K420+K421+K422+K423+K424+K425+K426+K427, "NA")</f>
        <v>13373.46</v>
      </c>
      <c r="L428" s="15">
        <f>IFERROR(K428/K444, "NA")</f>
        <v>9.3181258871528963E-2</v>
      </c>
      <c r="M428" s="2"/>
      <c r="N428" s="14">
        <f t="shared" si="101"/>
        <v>3158.6799999999967</v>
      </c>
      <c r="O428" s="15">
        <f>IFERROR(N428/N444, "NA")</f>
        <v>-0.28743990586959101</v>
      </c>
      <c r="P428" s="2"/>
      <c r="Q428" s="14">
        <f>IFERROR(Q407+Q408+Q409+Q410+Q411+Q412+Q413+Q414+Q415+Q416+Q417+Q418+Q419+Q420+Q421+Q422+Q423+Q424+Q425+Q426+Q427, "NA")</f>
        <v>89293.86</v>
      </c>
      <c r="R428" s="15">
        <f>IFERROR(Q428/Q444, "NA")</f>
        <v>8.6633326292234122E-2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-89293.86</v>
      </c>
      <c r="X428" s="15">
        <f>IFERROR(W428/W444, "NA")</f>
        <v>0.82694584104693136</v>
      </c>
      <c r="Y428" s="2"/>
      <c r="Z428" s="14">
        <f>IFERROR(Z407+Z408+Z409+Z410+Z411+Z412+Z413+Z414+Z415+Z416+Z417+Z418+Z419+Z420+Z421+Z422+Z423+Z424+Z425+Z426+Z427, "NA")</f>
        <v>91078.22</v>
      </c>
      <c r="AA428" s="15">
        <f>IFERROR(Z428/Z444, "NA")</f>
        <v>9.2293060636124816E-2</v>
      </c>
      <c r="AB428" s="2"/>
      <c r="AC428" s="14">
        <f t="shared" si="103"/>
        <v>1784.3600000000006</v>
      </c>
      <c r="AD428" s="15">
        <f>IFERROR(AC428/AC444, "NA")</f>
        <v>4.0670897957155561E-2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10214.780000000002</v>
      </c>
      <c r="C429" s="15">
        <f>IFERROR(B429/B444, "NA")</f>
        <v>7.7074117471030199E-2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-10214.780000000002</v>
      </c>
      <c r="I429" s="15">
        <f>IFERROR(H429/H444, "NA")</f>
        <v>0.40309126159035685</v>
      </c>
      <c r="J429" s="2"/>
      <c r="K429" s="14">
        <f>IFERROR(K407+K408+K409+K410+K411+K412+K413+K414+K415+K416+K417+K418+K419+K420+K421+K422+K423+K424+K425+K426+K427, "NA")</f>
        <v>13373.46</v>
      </c>
      <c r="L429" s="15">
        <f>IFERROR(K429/K444, "NA")</f>
        <v>9.3181258871528963E-2</v>
      </c>
      <c r="M429" s="2"/>
      <c r="N429" s="14">
        <f t="shared" si="101"/>
        <v>3158.6799999999967</v>
      </c>
      <c r="O429" s="15">
        <f>IFERROR(N429/N444, "NA")</f>
        <v>-0.28743990586959101</v>
      </c>
      <c r="P429" s="2"/>
      <c r="Q429" s="14">
        <f>IFERROR(Q407+Q408+Q409+Q410+Q411+Q412+Q413+Q414+Q415+Q416+Q417+Q418+Q419+Q420+Q421+Q422+Q423+Q424+Q425+Q426+Q427, "NA")</f>
        <v>89293.86</v>
      </c>
      <c r="R429" s="15">
        <f>IFERROR(Q429/Q444, "NA")</f>
        <v>8.6633326292234122E-2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-89293.86</v>
      </c>
      <c r="X429" s="15">
        <f>IFERROR(W429/W444, "NA")</f>
        <v>0.82694584104693136</v>
      </c>
      <c r="Y429" s="2"/>
      <c r="Z429" s="14">
        <f>IFERROR(Z407+Z408+Z409+Z410+Z411+Z412+Z413+Z414+Z415+Z416+Z417+Z418+Z419+Z420+Z421+Z422+Z423+Z424+Z425+Z426+Z427, "NA")</f>
        <v>91078.22</v>
      </c>
      <c r="AA429" s="15">
        <f>IFERROR(Z429/Z444, "NA")</f>
        <v>9.2293060636124816E-2</v>
      </c>
      <c r="AB429" s="2"/>
      <c r="AC429" s="14">
        <f t="shared" si="103"/>
        <v>1784.3600000000006</v>
      </c>
      <c r="AD429" s="15">
        <f>IFERROR(AC429/AC444, "NA")</f>
        <v>4.0670897957155561E-2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-12279.769999999971</v>
      </c>
      <c r="C443" s="24">
        <f>IFERROR(B443/B444, "NA")</f>
        <v>-9.2655195265804069E-2</v>
      </c>
      <c r="D443" s="25"/>
      <c r="E443" s="23">
        <f>IFERROR(E404-E429-E442, "NA")</f>
        <v>19666.740000000023</v>
      </c>
      <c r="F443" s="24">
        <f>IFERROR(E443/E444, "NA")</f>
        <v>0.12457315379157265</v>
      </c>
      <c r="G443" s="25"/>
      <c r="H443" s="23">
        <f>IFERROR(B443-E443, "NA")</f>
        <v>-31946.509999999995</v>
      </c>
      <c r="I443" s="24">
        <f>IFERROR(H443/H444, "NA")</f>
        <v>1.2606594580900368</v>
      </c>
      <c r="J443" s="25"/>
      <c r="K443" s="23">
        <f>IFERROR(K404-K429-K442, "NA")</f>
        <v>-18448.09999999998</v>
      </c>
      <c r="L443" s="24">
        <f>IFERROR(K443/K444, "NA")</f>
        <v>-0.12853944916183632</v>
      </c>
      <c r="M443" s="25"/>
      <c r="N443" s="23">
        <f>IFERROR(B443-K443, "NA")</f>
        <v>6168.330000000009</v>
      </c>
      <c r="O443" s="24">
        <f>IFERROR(N443/N444, "NA")</f>
        <v>-0.56131808051862764</v>
      </c>
      <c r="P443" s="25"/>
      <c r="Q443" s="23">
        <f>IFERROR(Q404-Q429-Q442, "NA")</f>
        <v>-143400.0799999999</v>
      </c>
      <c r="R443" s="24">
        <f>IFERROR(Q443/Q444, "NA")</f>
        <v>-0.13912743744051906</v>
      </c>
      <c r="S443" s="25"/>
      <c r="T443" s="23">
        <f>IFERROR(T404-T429-T442, "NA")</f>
        <v>79199.609999999928</v>
      </c>
      <c r="U443" s="24">
        <f>IFERROR(T443/T444, "NA")</f>
        <v>6.9553231923636286E-2</v>
      </c>
      <c r="V443" s="25"/>
      <c r="W443" s="23">
        <f>IFERROR(Q443-T443, "NA")</f>
        <v>-222599.68999999983</v>
      </c>
      <c r="X443" s="24">
        <f>IFERROR(W443/W444, "NA")</f>
        <v>2.0614842707419756</v>
      </c>
      <c r="Y443" s="25"/>
      <c r="Z443" s="23">
        <f>IFERROR(Z404-Z429-Z442, "NA")</f>
        <v>-127632.8199999998</v>
      </c>
      <c r="AA443" s="24">
        <f>IFERROR(Z443/Z444, "NA")</f>
        <v>-0.12933524167929047</v>
      </c>
      <c r="AB443" s="25"/>
      <c r="AC443" s="23">
        <f>IFERROR(Q443-Z443, "NA")</f>
        <v>-15767.260000000097</v>
      </c>
      <c r="AD443" s="24">
        <f>IFERROR(AC443/AC444, "NA")</f>
        <v>-0.35938298466898178</v>
      </c>
    </row>
    <row r="444" spans="1:30" ht="15.75" hidden="1" x14ac:dyDescent="0.45">
      <c r="A444" s="26" t="s">
        <v>117</v>
      </c>
      <c r="B444" s="7">
        <v>132531.91</v>
      </c>
      <c r="C444" s="27"/>
      <c r="D444" s="9"/>
      <c r="E444" s="7">
        <v>157873.01999999999</v>
      </c>
      <c r="F444" s="27"/>
      <c r="G444" s="9"/>
      <c r="H444" s="10">
        <f>IFERROR(B444-E444, "NA")</f>
        <v>-25341.109999999986</v>
      </c>
      <c r="I444" s="27"/>
      <c r="J444" s="9"/>
      <c r="K444" s="7">
        <v>143520.92000000001</v>
      </c>
      <c r="L444" s="27"/>
      <c r="M444" s="9"/>
      <c r="N444" s="10">
        <f>IFERROR(B444-K444, "NA")</f>
        <v>-10989.010000000009</v>
      </c>
      <c r="O444" s="27"/>
      <c r="P444" s="9"/>
      <c r="Q444" s="7">
        <v>1030710.28</v>
      </c>
      <c r="R444" s="27"/>
      <c r="S444" s="9"/>
      <c r="T444" s="7">
        <v>1138690.58</v>
      </c>
      <c r="U444" s="27"/>
      <c r="V444" s="9"/>
      <c r="W444" s="10">
        <f>IFERROR(Q444-T444, "NA")</f>
        <v>-107980.30000000005</v>
      </c>
      <c r="X444" s="27"/>
      <c r="Y444" s="9"/>
      <c r="Z444" s="7">
        <v>986837.14</v>
      </c>
      <c r="AA444" s="27"/>
      <c r="AB444" s="9"/>
      <c r="AC444" s="10">
        <f>IFERROR(Q444-Z444, "NA")</f>
        <v>43873.140000000014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2026-04-07T02:01:09Z</dcterms:created>
  <dcterms:modified xsi:type="dcterms:W3CDTF">2026-04-07T02:01:41Z</dcterms:modified>
</cp:coreProperties>
</file>