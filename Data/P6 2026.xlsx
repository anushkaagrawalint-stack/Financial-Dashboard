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 date1904="0"/>
  <sheets>
    <sheet name="Consolidated" sheetId="1" r:id="rId1"/>
    <sheet name="1 - RASA Worldwide" sheetId="2" r:id="rId2"/>
    <sheet name="2 - RASA - Ballpark" sheetId="3" r:id="rId3"/>
    <sheet name="4 - RASA - MVT" sheetId="4" r:id="rId4"/>
    <sheet name="5 - RASA - National Landin" sheetId="5" r:id="rId5"/>
    <sheet name="6 - RASA - Mosaic" sheetId="6" r:id="rId6"/>
    <sheet name="7 - RASA - Rockville" sheetId="7" r:id="rId7"/>
  </sheets>
  <definedNames>
    <definedName name="_xlnm.Print_Titles" localSheetId="0">Consolidated!$1:$5</definedName>
    <definedName name="_xlnm.Print_Titles" localSheetId="1">'1 - RASA Worldwide'!$1:$5</definedName>
    <definedName name="_xlnm.Print_Titles" localSheetId="2">'2 - RASA - Ballpark'!$1:$5</definedName>
    <definedName name="_xlnm.Print_Titles" localSheetId="3">'4 - RASA - MVT'!$1:$5</definedName>
    <definedName name="_xlnm.Print_Titles" localSheetId="4">'5 - RASA - National Landin'!$1:$5</definedName>
    <definedName name="_xlnm.Print_Titles" localSheetId="5">'6 - RASA - Mosaic'!$1:$5</definedName>
    <definedName name="_xlnm.Print_Titles" localSheetId="6">'7 - RASA - Rockville'!$1:$5</definedName>
  </definedNames>
  <calcPr fullCalcOnLoad="1"/>
</workbook>
</file>

<file path=xl/sharedStrings.xml><?xml version="1.0" encoding="utf-8"?>
<sst xmlns="http://schemas.openxmlformats.org/spreadsheetml/2006/main">
  <si>
    <t>P&amp;L - Per. &amp; YTD vs Budget and PY</t>
  </si>
  <si>
    <t>06/28/2026</t>
  </si>
  <si>
    <t>Consolidated</t>
  </si>
  <si>
    <t/>
  </si>
  <si>
    <t>Actual</t>
  </si>
  <si>
    <t>Budget</t>
  </si>
  <si>
    <t>Variance</t>
  </si>
  <si>
    <t>Prior Year</t>
  </si>
  <si>
    <t>YTD Actual</t>
  </si>
  <si>
    <t>YTD Budget</t>
  </si>
  <si>
    <t>YTD Prior</t>
  </si>
  <si>
    <t>Sales</t>
  </si>
  <si>
    <t>Single Plate In-House Sales</t>
  </si>
  <si>
    <t>Food</t>
  </si>
  <si>
    <t>N/A Beverage</t>
  </si>
  <si>
    <t>Beer</t>
  </si>
  <si>
    <t>Liquor</t>
  </si>
  <si>
    <t>Wine</t>
  </si>
  <si>
    <t>Retail</t>
  </si>
  <si>
    <t>DNU_Wow Bao Sales</t>
  </si>
  <si>
    <t>Total Single Plate In-House Sales</t>
  </si>
  <si>
    <t>DNU_Digital Sales</t>
  </si>
  <si>
    <t>Takeout Sales</t>
  </si>
  <si>
    <t>Takeout Sales - RASA Website</t>
  </si>
  <si>
    <t>Takeout Sales - RASA App</t>
  </si>
  <si>
    <t>Takeout Sales - DoorDash</t>
  </si>
  <si>
    <t>Takeout Sales - GrubHub</t>
  </si>
  <si>
    <t>Takeout Sales - Uber Eats</t>
  </si>
  <si>
    <t>Takeout Sales - Ritual</t>
  </si>
  <si>
    <t>Takeout Sales - Too Good To Go</t>
  </si>
  <si>
    <t>Total Takeout Sales</t>
  </si>
  <si>
    <t>Delivery Sales</t>
  </si>
  <si>
    <t>Delivery Sales - Hungry Marketplace</t>
  </si>
  <si>
    <t>Delivery Sales - DoorDash</t>
  </si>
  <si>
    <t>Delivery Sales - Google</t>
  </si>
  <si>
    <t>Delivery Sales - GrubHub</t>
  </si>
  <si>
    <t>Delivery Sales - Uber Eats</t>
  </si>
  <si>
    <t>Delivery Sales - RASA App</t>
  </si>
  <si>
    <t>DNU_Delivery Sales - RASA Website</t>
  </si>
  <si>
    <t>Delivery Sales - RASA Website</t>
  </si>
  <si>
    <t>Total Delivery Sales</t>
  </si>
  <si>
    <t>Catering Sales</t>
  </si>
  <si>
    <t>Catering Sales - RASA Website</t>
  </si>
  <si>
    <t>DNU_RASA Owned Catering Sales</t>
  </si>
  <si>
    <t>Catering Sales - Other 3rd Party</t>
  </si>
  <si>
    <t>Catering Sales - Cater Cow</t>
  </si>
  <si>
    <t>Catering Sales - EZ Cater</t>
  </si>
  <si>
    <t>Catering Sales - Food Fleet</t>
  </si>
  <si>
    <t>Catering Sales - Hungry Marketplace</t>
  </si>
  <si>
    <t>Catering Sales - Territory Foods</t>
  </si>
  <si>
    <t>Catering Sales - WCK</t>
  </si>
  <si>
    <t>Catering Sales - Foodworks</t>
  </si>
  <si>
    <t>Catering Sales - Foodee</t>
  </si>
  <si>
    <t>Catering Sales - Sharebite</t>
  </si>
  <si>
    <t>Catering Sales - Cater 2 Me</t>
  </si>
  <si>
    <t>Catering Sales - ZeroCater</t>
  </si>
  <si>
    <t>Catering Sales - Homemade in DC</t>
  </si>
  <si>
    <t>Catering Sales - Budeli</t>
  </si>
  <si>
    <t>Catering Sales - Club Feast</t>
  </si>
  <si>
    <t>Total Catering Sales - Other 3rd Party</t>
  </si>
  <si>
    <t>Total Catering Sales</t>
  </si>
  <si>
    <t>Offsites</t>
  </si>
  <si>
    <t>Offsites - Fooda</t>
  </si>
  <si>
    <t>Offsites - Aramark</t>
  </si>
  <si>
    <t>Offsites - Compass</t>
  </si>
  <si>
    <t>Offsites - Eurest</t>
  </si>
  <si>
    <t>Offsites - Taher</t>
  </si>
  <si>
    <t>Offsites - Metz Corp</t>
  </si>
  <si>
    <t>Offsites - Guest Services</t>
  </si>
  <si>
    <t>Offsites - Cureate</t>
  </si>
  <si>
    <t>Total Offsites</t>
  </si>
  <si>
    <t>Delivery Fee Income</t>
  </si>
  <si>
    <t>Delivery Service Charge</t>
  </si>
  <si>
    <t>Delivery Fee - Online Ordering</t>
  </si>
  <si>
    <t>Delivery Fee - Cater Cow</t>
  </si>
  <si>
    <t>Delivery Fee - Delivery by DoorDash (WL)</t>
  </si>
  <si>
    <t>Delivery Fee - EZ Cater</t>
  </si>
  <si>
    <t>Delivery Fee - GrubHub</t>
  </si>
  <si>
    <t>Delivery Fee - Sharebite</t>
  </si>
  <si>
    <t>Delivery Fee - Fooda</t>
  </si>
  <si>
    <t>Delivery Fee - Uber Eats</t>
  </si>
  <si>
    <t>Delivery Fee - Cater 2 Me</t>
  </si>
  <si>
    <t>Delivery Fee - ZeroCater</t>
  </si>
  <si>
    <t>Delivery Fee - Compass</t>
  </si>
  <si>
    <t>Total Delivery Fee Income</t>
  </si>
  <si>
    <t>Sales Adjustments</t>
  </si>
  <si>
    <t>Open App Sales Adjustments</t>
  </si>
  <si>
    <t>Open Tickets</t>
  </si>
  <si>
    <t>Toast Order Processing Fees</t>
  </si>
  <si>
    <t>Discounts / Refunds</t>
  </si>
  <si>
    <t>Squad Discount</t>
  </si>
  <si>
    <t>Squad Meals</t>
  </si>
  <si>
    <t>Free Meal Cards (This Ones on Us)</t>
  </si>
  <si>
    <t>Open App Loyalty</t>
  </si>
  <si>
    <t>Magic Fund</t>
  </si>
  <si>
    <t>Manager Comps</t>
  </si>
  <si>
    <t>Open App Promos</t>
  </si>
  <si>
    <t>SLT Comps</t>
  </si>
  <si>
    <t>Open App Store Credits</t>
  </si>
  <si>
    <t>LSM Comps</t>
  </si>
  <si>
    <t>Meridian Resident Online Order</t>
  </si>
  <si>
    <t>Catering Comps</t>
  </si>
  <si>
    <t>Veg Society 10% Off</t>
  </si>
  <si>
    <t>Partnerships</t>
  </si>
  <si>
    <t>Discounts / Refunds Given Other</t>
  </si>
  <si>
    <t>Doordash Service Charge</t>
  </si>
  <si>
    <t>RASA Tab 50/100</t>
  </si>
  <si>
    <t>COVID-19</t>
  </si>
  <si>
    <t>50% Off Bowl Card</t>
  </si>
  <si>
    <t>50% off Bowl Card - NL</t>
  </si>
  <si>
    <t>HBD3</t>
  </si>
  <si>
    <t>Veg Society Online Order 10% Off</t>
  </si>
  <si>
    <t>Yale Steam Condos Online Order</t>
  </si>
  <si>
    <t>Total Discounts / Refunds</t>
  </si>
  <si>
    <t>Other Income_WCK</t>
  </si>
  <si>
    <t>Other Income_OTP</t>
  </si>
  <si>
    <t>Other Income_To Good To Go</t>
  </si>
  <si>
    <t>Total Sales</t>
  </si>
  <si>
    <t>Toast Order Processing Fee Pass-Through</t>
  </si>
  <si>
    <t>Cost of Goods Sold</t>
  </si>
  <si>
    <t>Food &amp; Beverage Costs</t>
  </si>
  <si>
    <t>Food Costs</t>
  </si>
  <si>
    <t>COGS - Produce</t>
  </si>
  <si>
    <t>COGS - Grocery Dry &amp; Canned</t>
  </si>
  <si>
    <t>COGS - Poultry</t>
  </si>
  <si>
    <t>COGS - Dairy</t>
  </si>
  <si>
    <t>COGS - Frozen</t>
  </si>
  <si>
    <t>COGS - Meat</t>
  </si>
  <si>
    <t>COGS - Seafood</t>
  </si>
  <si>
    <t>COGS - Spices</t>
  </si>
  <si>
    <t>COGS - Prepped Food</t>
  </si>
  <si>
    <t>COGS - Wow Bao</t>
  </si>
  <si>
    <t>COGS - Distribution</t>
  </si>
  <si>
    <t>Total Food Costs</t>
  </si>
  <si>
    <t>Beverage Costs</t>
  </si>
  <si>
    <t>COGS - N/A Beverage</t>
  </si>
  <si>
    <t>COGS - Beer</t>
  </si>
  <si>
    <t>COGS - Liquor</t>
  </si>
  <si>
    <t>COGS - Wine</t>
  </si>
  <si>
    <t>Total Beverage Costs</t>
  </si>
  <si>
    <t>Total Food &amp; Beverage Costs</t>
  </si>
  <si>
    <t>Other Costs</t>
  </si>
  <si>
    <t>Paper Costs</t>
  </si>
  <si>
    <t>COGS - Paper Supplies</t>
  </si>
  <si>
    <t>COGS - Catering Supplies</t>
  </si>
  <si>
    <t>COGS - Event Supplies</t>
  </si>
  <si>
    <t>COGS - Wow Bao Supplies</t>
  </si>
  <si>
    <t>Total Paper Costs</t>
  </si>
  <si>
    <t>Waste Costs</t>
  </si>
  <si>
    <t>Waste - Food</t>
  </si>
  <si>
    <t>Waste - N/A Beverage</t>
  </si>
  <si>
    <t>Waste - Beer</t>
  </si>
  <si>
    <t>Waste - Liquor</t>
  </si>
  <si>
    <t>Waste - Wine</t>
  </si>
  <si>
    <t>Total Waste Costs</t>
  </si>
  <si>
    <t>COGS - Freight, Delivery, &amp; Sales Tax</t>
  </si>
  <si>
    <t>COGS - Fuel Surcharge</t>
  </si>
  <si>
    <t>COGS - Credit for Discounts</t>
  </si>
  <si>
    <t>Total Other Costs</t>
  </si>
  <si>
    <t>Total Cost of Goods Sold</t>
  </si>
  <si>
    <t>Gross Profit</t>
  </si>
  <si>
    <t>Payroll Expenses</t>
  </si>
  <si>
    <t>Salaries &amp; Wages</t>
  </si>
  <si>
    <t>Management</t>
  </si>
  <si>
    <t>Culinary</t>
  </si>
  <si>
    <t>Hourly</t>
  </si>
  <si>
    <t>Overtime</t>
  </si>
  <si>
    <t>Total Salaries &amp; Wages</t>
  </si>
  <si>
    <t>Salaries &amp; Wages Adjustment</t>
  </si>
  <si>
    <t>Bonus</t>
  </si>
  <si>
    <t>Payroll Taxes</t>
  </si>
  <si>
    <t>FICA Tax Expense</t>
  </si>
  <si>
    <t>FUTA Tax Expense</t>
  </si>
  <si>
    <t>SUTA Tax Expense (VA)</t>
  </si>
  <si>
    <t>SUTA Tax Expense (DC)</t>
  </si>
  <si>
    <t>FL Tax Expense (DC)</t>
  </si>
  <si>
    <t>Other Payroll Taxes</t>
  </si>
  <si>
    <t>Total Payroll Taxes</t>
  </si>
  <si>
    <t>Payroll Processing Fee</t>
  </si>
  <si>
    <t>Health Insurance</t>
  </si>
  <si>
    <t>Total Payroll Expenses</t>
  </si>
  <si>
    <t>Prime Profit</t>
  </si>
  <si>
    <t>Operating Expense</t>
  </si>
  <si>
    <t>Supplies</t>
  </si>
  <si>
    <t>Cleaning &amp; Maintenance Supplies</t>
  </si>
  <si>
    <t>Kitchen Supplies</t>
  </si>
  <si>
    <t>FOH Supplies</t>
  </si>
  <si>
    <t>Towel &amp; Doormat Service</t>
  </si>
  <si>
    <t>Kitchen Smallwares</t>
  </si>
  <si>
    <t>Uniforms</t>
  </si>
  <si>
    <t>Office Supplies</t>
  </si>
  <si>
    <t>Total Supplies</t>
  </si>
  <si>
    <t>Marketing</t>
  </si>
  <si>
    <t>Third-Party Promos</t>
  </si>
  <si>
    <t>DoorDash Promos</t>
  </si>
  <si>
    <t>EZ Cater Promos</t>
  </si>
  <si>
    <t>GrubHub Promos</t>
  </si>
  <si>
    <t>Uber Eats Promos</t>
  </si>
  <si>
    <t>Total Third-Party Promos</t>
  </si>
  <si>
    <t>Free Meal Cards - This Ones On Us</t>
  </si>
  <si>
    <t>To Go Bags</t>
  </si>
  <si>
    <t>Social Media Management</t>
  </si>
  <si>
    <t>Other Marketing Expenses</t>
  </si>
  <si>
    <t>Squad Discounts</t>
  </si>
  <si>
    <t>Squad Meal</t>
  </si>
  <si>
    <t>Toast Takeout Reward</t>
  </si>
  <si>
    <t>Rewards Network</t>
  </si>
  <si>
    <t>Total Marketing</t>
  </si>
  <si>
    <t>Delivery Fees</t>
  </si>
  <si>
    <t>Delivery Driver Expenses</t>
  </si>
  <si>
    <t>DoorDash White Label Fees</t>
  </si>
  <si>
    <t>DeliverThat Fees</t>
  </si>
  <si>
    <t>First Delivery Fees</t>
  </si>
  <si>
    <t>Nash Fees</t>
  </si>
  <si>
    <t>Open App Fees</t>
  </si>
  <si>
    <t>Total Delivery Fees</t>
  </si>
  <si>
    <t>Third-Party Fees</t>
  </si>
  <si>
    <t>Delivery Partner Commissions</t>
  </si>
  <si>
    <t>Cater Cow Commissions</t>
  </si>
  <si>
    <t>DoorDash Commissions</t>
  </si>
  <si>
    <t>EZ Cater Commissions</t>
  </si>
  <si>
    <t>Fooda Commissions</t>
  </si>
  <si>
    <t>Google Commissions</t>
  </si>
  <si>
    <t>GrubHub Commissions</t>
  </si>
  <si>
    <t>Ritual Commissions</t>
  </si>
  <si>
    <t>Too Good To Go Commissions</t>
  </si>
  <si>
    <t>Uber Eats Commissions</t>
  </si>
  <si>
    <t>Foodee Commissions</t>
  </si>
  <si>
    <t>ShareBite Commissions</t>
  </si>
  <si>
    <t>Cater 2 Me Commissions</t>
  </si>
  <si>
    <t>ZeroCater Commissions</t>
  </si>
  <si>
    <t>Aramark Commissions</t>
  </si>
  <si>
    <t>Budeli Commissions</t>
  </si>
  <si>
    <t>Club Feast Commissions</t>
  </si>
  <si>
    <t>Food Fleet Commissions</t>
  </si>
  <si>
    <t>Eurest Commissions</t>
  </si>
  <si>
    <t>Taher Commissions</t>
  </si>
  <si>
    <t>Metz Corp Commissions</t>
  </si>
  <si>
    <t>Guest Services Commissions</t>
  </si>
  <si>
    <t>Foodworks Commissions</t>
  </si>
  <si>
    <t>Total Delivery Partner Commissions</t>
  </si>
  <si>
    <t>Total Third-Party Fees</t>
  </si>
  <si>
    <t>Credit Card Fees</t>
  </si>
  <si>
    <t>Chargebacks</t>
  </si>
  <si>
    <t>Total Credit Card Fees</t>
  </si>
  <si>
    <t>Insurance</t>
  </si>
  <si>
    <t>Workers Compensation Insurance</t>
  </si>
  <si>
    <t>Business Owners Policy</t>
  </si>
  <si>
    <t>Auto Insurance</t>
  </si>
  <si>
    <t>Total Insurance</t>
  </si>
  <si>
    <t>Professional Fees</t>
  </si>
  <si>
    <t>Public Relations</t>
  </si>
  <si>
    <t>Legal Fees</t>
  </si>
  <si>
    <t>Accounting Fees</t>
  </si>
  <si>
    <t>Subcontractors Fees</t>
  </si>
  <si>
    <t>Architect Fees</t>
  </si>
  <si>
    <t>Consultant Fees</t>
  </si>
  <si>
    <t>Photography Fees</t>
  </si>
  <si>
    <t>Organizational cost</t>
  </si>
  <si>
    <t>Total Professional Fees</t>
  </si>
  <si>
    <t>Repairs &amp; Maintenance</t>
  </si>
  <si>
    <t>Scrubber Expense</t>
  </si>
  <si>
    <t>R&amp;M - Hood Cleaning</t>
  </si>
  <si>
    <t>R&amp;M - Pest Control</t>
  </si>
  <si>
    <t>R&amp;M - Building, General</t>
  </si>
  <si>
    <t>R&amp;M - Equipment, General</t>
  </si>
  <si>
    <t>R&amp;M - Refrigeration</t>
  </si>
  <si>
    <t>R&amp;M - HVAC</t>
  </si>
  <si>
    <t>R&amp;M - Preventative Maintenance</t>
  </si>
  <si>
    <t>Total Repairs &amp; Maintenance</t>
  </si>
  <si>
    <t>Other Expenses</t>
  </si>
  <si>
    <t>Recruitment Expense</t>
  </si>
  <si>
    <t>Equipment Rental</t>
  </si>
  <si>
    <t>Meals &amp; Entertainment</t>
  </si>
  <si>
    <t>Travel:Travel Meals</t>
  </si>
  <si>
    <t>Tools</t>
  </si>
  <si>
    <t>Patio Permit Expense</t>
  </si>
  <si>
    <t>Donations</t>
  </si>
  <si>
    <t>Bank Fees</t>
  </si>
  <si>
    <t>Storage Rental</t>
  </si>
  <si>
    <t>Dues &amp; Subscriptions</t>
  </si>
  <si>
    <t>Charitable Contributions</t>
  </si>
  <si>
    <t>Training Costs</t>
  </si>
  <si>
    <t>Employee Incentives (M&amp;E)</t>
  </si>
  <si>
    <t>Menu Printing</t>
  </si>
  <si>
    <t>Ground Transportation (Auto Expense)</t>
  </si>
  <si>
    <t>Parking Fees</t>
  </si>
  <si>
    <t>Transportation</t>
  </si>
  <si>
    <t>Tangible Property Tax</t>
  </si>
  <si>
    <t>GC Guest Recovery</t>
  </si>
  <si>
    <t>Shipping &amp; Delivery Expense</t>
  </si>
  <si>
    <t>Equipment Lease</t>
  </si>
  <si>
    <t>Phone/Internet</t>
  </si>
  <si>
    <t>POS &amp; Technology</t>
  </si>
  <si>
    <t>Cost for Discounts</t>
  </si>
  <si>
    <t>Licenses &amp; Permits</t>
  </si>
  <si>
    <t>Cash Over/Short</t>
  </si>
  <si>
    <t>Total Other Expenses</t>
  </si>
  <si>
    <t>Total Operating Expense</t>
  </si>
  <si>
    <t>Non Controllable Expense</t>
  </si>
  <si>
    <t>Occupancy Cost</t>
  </si>
  <si>
    <t>Rent Expense</t>
  </si>
  <si>
    <t>Common Area Maintenance (CAM)</t>
  </si>
  <si>
    <t>Public Space Rental</t>
  </si>
  <si>
    <t>Insurance - Building</t>
  </si>
  <si>
    <t>Real Estate Tax</t>
  </si>
  <si>
    <t>Rent - 4/4/5</t>
  </si>
  <si>
    <t>Percentage Rent Expense</t>
  </si>
  <si>
    <t>Utilities</t>
  </si>
  <si>
    <t>Electric</t>
  </si>
  <si>
    <t>Gas</t>
  </si>
  <si>
    <t>Water/Sewer</t>
  </si>
  <si>
    <t>Trash</t>
  </si>
  <si>
    <t>Total Utilities</t>
  </si>
  <si>
    <t>Total Occupancy Cost</t>
  </si>
  <si>
    <t>Total Non Controllable Expense</t>
  </si>
  <si>
    <t>Store Level Profit</t>
  </si>
  <si>
    <t>Corporate Overhead &amp; Other</t>
  </si>
  <si>
    <t>Corporate G&amp;A Expenses</t>
  </si>
  <si>
    <t>Corp - Payroll Expenses</t>
  </si>
  <si>
    <t>Corp - Salaries &amp; Wages</t>
  </si>
  <si>
    <t>Corp - Officers' Compensation</t>
  </si>
  <si>
    <t>Corp - MIT Wages</t>
  </si>
  <si>
    <t>Corp - Commission Wages</t>
  </si>
  <si>
    <t>Corp - Payroll Taxes</t>
  </si>
  <si>
    <t>Corp - Payroll Processing Fee</t>
  </si>
  <si>
    <t>Corp - Bonus</t>
  </si>
  <si>
    <t>Corp - Health Insurance</t>
  </si>
  <si>
    <t>Total Corp - Payroll Expenses</t>
  </si>
  <si>
    <t>Corp - Meals, Entertainment, &amp; Travel</t>
  </si>
  <si>
    <t>Corp - Fuel &amp; Gas</t>
  </si>
  <si>
    <t>Corp - Parking Fees</t>
  </si>
  <si>
    <t>Corp - Ground Transportation</t>
  </si>
  <si>
    <t>Corp - M&amp;E</t>
  </si>
  <si>
    <t>Corp - Lodging</t>
  </si>
  <si>
    <t>Corp - Airfare</t>
  </si>
  <si>
    <t>Corp - Travel (New Market)</t>
  </si>
  <si>
    <t>Total Corp - Meals, Entertainment, &amp; Travel</t>
  </si>
  <si>
    <t>Corp - Other G&amp;A Expenses</t>
  </si>
  <si>
    <t>Corp - Dues &amp; Subscriptions</t>
  </si>
  <si>
    <t>Corp - Office Supplies</t>
  </si>
  <si>
    <t>Corp - Other Taxes</t>
  </si>
  <si>
    <t>Corp - Rent Expense</t>
  </si>
  <si>
    <t>Corp - Insurance Expense</t>
  </si>
  <si>
    <t>Corp - Charitable Contributions</t>
  </si>
  <si>
    <t>Corp - Other Employee Incentives</t>
  </si>
  <si>
    <t>Corp - Professional Fees</t>
  </si>
  <si>
    <t>Corp - IT &amp; Technology</t>
  </si>
  <si>
    <t>Corp - R&amp;D</t>
  </si>
  <si>
    <t>Corp - Accounting Fees</t>
  </si>
  <si>
    <t>Corp - Legal Fees</t>
  </si>
  <si>
    <t>Corp - Recruiting Fees</t>
  </si>
  <si>
    <t>Corp - Public Relations</t>
  </si>
  <si>
    <t>Corp - Marketing</t>
  </si>
  <si>
    <t>Corp - Marketing Food Drops</t>
  </si>
  <si>
    <t>Corp - 3rd Party Marketing Fees</t>
  </si>
  <si>
    <t>Corp - DoorDash Marketing Fees</t>
  </si>
  <si>
    <t>Corp - EZ Cater Marketing Fees</t>
  </si>
  <si>
    <t>Corp - GrubHub Marketing Fees</t>
  </si>
  <si>
    <t>Corp - Uber Eats Marketing Fees</t>
  </si>
  <si>
    <t>Total Corp - 3rd Party Marketing Fees</t>
  </si>
  <si>
    <t>Corp - Paid Media</t>
  </si>
  <si>
    <t>Corp - SMS Marketing</t>
  </si>
  <si>
    <t>Total Corp - Marketing</t>
  </si>
  <si>
    <t>Corp - Other Professional Fees</t>
  </si>
  <si>
    <t>Corp - Bank Fees</t>
  </si>
  <si>
    <t>Corp - Licenses &amp; Permits</t>
  </si>
  <si>
    <t>Corp - Management Fee</t>
  </si>
  <si>
    <t>Corp - Investor Advisory Fees</t>
  </si>
  <si>
    <t>Corp - Realty Tax</t>
  </si>
  <si>
    <t>Total Corporate Overhead &amp; Other</t>
  </si>
  <si>
    <t>EBITDA</t>
  </si>
  <si>
    <t>Other Income &amp; Expense</t>
  </si>
  <si>
    <t>Other (Income)/Expense</t>
  </si>
  <si>
    <t>Prior Period Adjustments</t>
  </si>
  <si>
    <t>Penalties &amp; Settlements</t>
  </si>
  <si>
    <t>Depreciation</t>
  </si>
  <si>
    <t>Amortization</t>
  </si>
  <si>
    <t>Other Income_Feed the District</t>
  </si>
  <si>
    <t>Other Income_Feed the fridge</t>
  </si>
  <si>
    <t>Taxable Grant Income</t>
  </si>
  <si>
    <t>Tax Exempt Grant Income</t>
  </si>
  <si>
    <t>Sales Tax Commission Income</t>
  </si>
  <si>
    <t>Sales Tax Adjustments</t>
  </si>
  <si>
    <t>Ramp CC Cashback Rewards</t>
  </si>
  <si>
    <t>Legal Fees - Capital Raise</t>
  </si>
  <si>
    <t>Other Income</t>
  </si>
  <si>
    <t>MVT Bucks Income</t>
  </si>
  <si>
    <t>Unrealized (Gain)/Loss On Investments</t>
  </si>
  <si>
    <t>Dividend Income</t>
  </si>
  <si>
    <t>Store Closing Expense</t>
  </si>
  <si>
    <t>Taxes</t>
  </si>
  <si>
    <t>(Gain)/Loss On Sale/Disposal Of Assets</t>
  </si>
  <si>
    <t>Interest Income</t>
  </si>
  <si>
    <t>Discounts received</t>
  </si>
  <si>
    <t>Total Other (Income)/Expense</t>
  </si>
  <si>
    <t>Total Other Income &amp; Expense</t>
  </si>
  <si>
    <t>Pre-Opening Costs</t>
  </si>
  <si>
    <t>Pre-Opening Expenses</t>
  </si>
  <si>
    <t>Pre-Opening Expenses - Supplies</t>
  </si>
  <si>
    <t>Pre-Opening Expenses - Other</t>
  </si>
  <si>
    <t>Pre-Opening Expenses - Payroll</t>
  </si>
  <si>
    <t>Pre-Opening Expenses - COGS</t>
  </si>
  <si>
    <t>Pre-Opening Expenses - Travel &amp; Meals</t>
  </si>
  <si>
    <t>Pre-Opening Expenses - Legal, Permits, &amp; Design Fees</t>
  </si>
  <si>
    <t>Pre-Opening Expenses - Rent &amp; Utilities</t>
  </si>
  <si>
    <t>Pre-Opening Expenses - Leases &amp; Subscriptions</t>
  </si>
  <si>
    <t>Total Pre-Opening Expenses</t>
  </si>
  <si>
    <t>Total Pre-Opening Costs</t>
  </si>
  <si>
    <t>Net Income</t>
  </si>
  <si>
    <t>Powered by Restaurant365</t>
  </si>
  <si>
    <t>1</t>
  </si>
  <si>
    <t>07/17/2026 03:39 AM PDT</t>
  </si>
  <si>
    <t>1 - RASA Worldwide</t>
  </si>
  <si>
    <t>2 - RASA - Ballpark</t>
  </si>
  <si>
    <t>4 - RASA - MVT</t>
  </si>
  <si>
    <t>5 - RASA - National Landing</t>
  </si>
  <si>
    <t>6 - RASA - Mosaic</t>
  </si>
  <si>
    <t>7 - RASA - Rockville</t>
  </si>
</sst>
</file>

<file path=xl/styles.xml><?xml version="1.0" encoding="utf-8"?>
<styleSheet xmlns="http://schemas.openxmlformats.org/spreadsheetml/2006/main">
  <numFmts count="3">
    <numFmt numFmtId="164" formatCode="#,##0.0%"/>
    <numFmt numFmtId="165" formatCode="#,##0.0%;(#,##0.0%)"/>
    <numFmt numFmtId="166" formatCode="#,##0.0;(#,##0.0)"/>
  </numFmts>
  <fonts count="11">
    <font>
      <sz val="11"/>
      <color theme="1"/>
      <name val="Calibri"/>
      <family val="2"/>
      <scheme val="minor"/>
    </font>
    <font>
      <b/>
      <sz val="26"/>
      <color rgb="FF000000"/>
      <name val="Calibri"/>
      <scheme val="minor"/>
    </font>
    <font>
      <sz val="18"/>
      <color rgb="FF000000"/>
      <name val="Calibri"/>
      <scheme val="minor"/>
    </font>
    <font>
      <sz val="12"/>
      <color rgb="FF000000"/>
      <name val="Calibri"/>
      <scheme val="minor"/>
    </font>
    <font>
      <sz val="12"/>
      <name val="Calibri"/>
      <scheme val="minor"/>
    </font>
    <font>
      <b/>
      <sz val="12"/>
      <color rgb="FF696969"/>
      <name val="Calibri"/>
      <scheme val="minor"/>
    </font>
    <font>
      <b/>
      <sz val="12"/>
      <name val="Calibri"/>
      <scheme val="minor"/>
    </font>
    <font>
      <b/>
      <i/>
      <sz val="8"/>
      <name val="Calibri"/>
      <scheme val="minor"/>
    </font>
    <font>
      <i/>
      <sz val="8"/>
      <name val="Calibri"/>
      <scheme val="minor"/>
    </font>
    <font>
      <b/>
      <sz val="12"/>
      <color rgb="FF000000"/>
      <name val="Calibri"/>
      <scheme val="minor"/>
    </font>
    <font>
      <b/>
      <i/>
      <sz val="8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9D7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4" fillId="0" borderId="0" xfId="0" applyNumberFormat="1" applyFont="1" applyAlignment="1">
      <alignment horizontal="center" vertical="center" wrapText="1"/>
    </xf>
    <xf numFmtId="4" fontId="5" fillId="2" borderId="0" xfId="0" applyNumberFormat="1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center" vertical="center" wrapText="1"/>
    </xf>
    <xf numFmtId="0" fontId="6" fillId="0" borderId="0" xfId="0" applyNumberFormat="1" applyFont="1" applyAlignment="1">
      <alignment horizontal="left" vertical="center" wrapText="1"/>
    </xf>
    <xf numFmtId="39" fontId="6" fillId="0" borderId="0" xfId="0" applyNumberFormat="1" applyFont="1" applyAlignment="1">
      <alignment vertical="center"/>
    </xf>
    <xf numFmtId="165" fontId="7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2"/>
    </xf>
    <xf numFmtId="39" fontId="4" fillId="0" borderId="0" xfId="0" applyNumberFormat="1" applyFont="1" applyAlignment="1">
      <alignment vertical="center"/>
    </xf>
    <xf numFmtId="165" fontId="8" fillId="0" borderId="0" xfId="0" applyNumberFormat="1" applyFont="1" applyAlignment="1">
      <alignment horizontal="right" vertical="center"/>
    </xf>
    <xf numFmtId="0" fontId="4" fillId="0" borderId="0" xfId="0" applyNumberFormat="1" applyFont="1" applyAlignment="1">
      <alignment vertical="center"/>
    </xf>
    <xf numFmtId="39" fontId="4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2"/>
    </xf>
    <xf numFmtId="0" fontId="4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2"/>
    </xf>
    <xf numFmtId="39" fontId="6" fillId="0" borderId="0" xfId="0" applyNumberFormat="1" applyFont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3"/>
    </xf>
    <xf numFmtId="0" fontId="4" fillId="0" borderId="0" xfId="0" applyNumberFormat="1" applyFont="1" applyAlignment="1">
      <alignment horizontal="left" vertical="center" wrapText="1" indent="4"/>
    </xf>
    <xf numFmtId="39" fontId="6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1"/>
    </xf>
    <xf numFmtId="39" fontId="6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39" fontId="9" fillId="0" borderId="0" xfId="0" applyNumberFormat="1" applyFont="1" applyAlignment="1">
      <alignment vertical="center"/>
    </xf>
    <xf numFmtId="0" fontId="4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vertical="center"/>
    </xf>
    <xf numFmtId="0" fontId="4" fillId="0" borderId="0" xfId="0" applyNumberFormat="1" applyFont="1"/>
  </cellXfs>
  <cellStyles count="1">
    <cellStyle name="Normal" xfId="0" builtinId="0"/>
  </cellStyles>
  <dxf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theme" Target="theme/theme1.xml" /><Relationship Id="rId9" Type="http://schemas.openxmlformats.org/officeDocument/2006/relationships/styles" Target="styles.xml" /><Relationship Id="rId10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2</v>
      </c>
      <c t="s" r="B3" s="3">
        <v>2</v>
      </c>
      <c t="s" r="C3" s="3">
        <v>2</v>
      </c>
      <c t="s" r="D3" s="3">
        <v>2</v>
      </c>
      <c t="s" r="E3" s="3">
        <v>2</v>
      </c>
      <c t="s" r="F3" s="3">
        <v>2</v>
      </c>
      <c t="s" r="G3" s="3">
        <v>2</v>
      </c>
      <c t="s" r="H3" s="3">
        <v>2</v>
      </c>
      <c t="s" r="I3" s="3">
        <v>2</v>
      </c>
      <c t="s" r="J3" s="3">
        <v>2</v>
      </c>
      <c t="s" r="K3" s="3">
        <v>2</v>
      </c>
      <c t="s" r="L3" s="3">
        <v>2</v>
      </c>
      <c t="s" r="M3" s="3">
        <v>2</v>
      </c>
      <c t="s" r="N3" s="3">
        <v>2</v>
      </c>
      <c t="s" r="O3" s="3">
        <v>2</v>
      </c>
      <c t="s" r="P3" s="3">
        <v>2</v>
      </c>
      <c t="s" r="Q3" s="3">
        <v>2</v>
      </c>
      <c t="s" r="R3" s="3">
        <v>2</v>
      </c>
      <c t="s" r="S3" s="3">
        <v>2</v>
      </c>
      <c t="s" r="T3" s="3">
        <v>2</v>
      </c>
      <c t="s" r="U3" s="3">
        <v>2</v>
      </c>
      <c t="s" r="V3" s="3">
        <v>2</v>
      </c>
      <c t="s" r="W3" s="3">
        <v>2</v>
      </c>
      <c t="s" r="X3" s="3">
        <v>2</v>
      </c>
      <c t="s" r="Y3" s="3">
        <v>2</v>
      </c>
      <c t="s" r="Z3" s="3">
        <v>2</v>
      </c>
      <c t="s" r="AA3" s="3">
        <v>2</v>
      </c>
      <c t="s" r="AB3" s="3">
        <v>2</v>
      </c>
      <c t="s" r="AC3" s="3">
        <v>2</v>
      </c>
      <c t="s" r="AD3" s="3">
        <v>2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329697.27000000002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1616675.4800000002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290743.38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305287.91000000003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1359461.6499999999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1444357.99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34232.550000000003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34411.349999999999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145754.60000000001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156070.09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1386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1473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4962.5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7696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115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1405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806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11630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234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302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1154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1665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2.3199999999999998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7.0099999999999998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3.0500000000000003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73428.050000000003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359476.78999999998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51778.520000000004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16536.610000000001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229435.41999999998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41970.879999999997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185627.29999999999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6336.5499999999993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8192.6800000000003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28338.32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34858.630000000005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494.83999999999997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4297.3800000000001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16258.91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2078.1399999999999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61687.649999999994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15860.48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4145.1399999999994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4384.6800000000003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24798.720000000001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25564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160013.01999999999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783682.41999999993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69014.289999999994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77604.75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356609.03999999998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332702.82000000001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3390.7199999999998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7803.8499999999995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23085.870000000003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41322.019999999997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83628.020000000004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59432.949999999997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422084.89000000001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394401.69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5469.1199999999999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28578.910000000003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6767.8699999999999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1679.9900000000002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35179.550000000003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187811.09000000003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920432.81000000006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36296.5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49936.540000000001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153518.75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199527.12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1170.5699999999999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586.63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2940.4299999999998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5997.9399999999996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100369.75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62470.349999999999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518820.40000000002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495469.65999999997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10500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31310.609999999997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3130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50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15445.16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7940.5699999999997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1671.3900000000001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3296.52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12445.01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19553.5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28300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9580.25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4000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16450.400000000001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8000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77.75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265.74000000000001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522.96000000000004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6537.5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2432.3400000000001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155.60000000000002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665.10000000000002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1370.8299999999999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4400.8900000000003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4510.3199999999997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1274.22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1564.22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12.85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1329.49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12.85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61498.560000000005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300687.56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28841.18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13078.849999999999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131742.66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43633.830000000002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17797.689999999999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29962.139999999999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92001.510000000009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122619.74000000002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16840.150000000001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10018.219999999999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47992.580000000002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13034.27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20847.150000000001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5555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27668.5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-16.699999999999999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11901.57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3589.3000000000002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16425.399999999998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14067.98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68883.619999999995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2789.75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4191.1899999999996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12053.76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16510.299999999999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125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50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200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325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5.1100000000000003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9191.2600000000002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6223.2200000000003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49737.450000000004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44772.530000000006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25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50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121.68000000000001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752.45000000000005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50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25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100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75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-88.370000000000005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66.800000000000011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-258.43000000000001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-202.19000000000011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-161.62999999999997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-2202.8699999999999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-39794.339999999997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-195288.44999999998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-6727.7700000000004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-8146.7499999999991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-37512.419999999998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-47221.910000000003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-8290.25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-17185.970000000001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-43359.779999999999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-65347.760000000009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-590.88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-2939.0599999999999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-4737.6400000000003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-12010.359999999999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-394.36000000000001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-6044.2800000000007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-5332.8500000000004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-29071.620000000003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-31517.510000000002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-6.0999999999999996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-342.65999999999997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-1451.1000000000001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-3630.0700000000002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-12337.93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-20942.68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-754.7600000000001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-2556.6700000000001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-3933.7400000000002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165461.95999999999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815440.45999999996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35933.470000000001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36670.860000000001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180190.74000000002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197322.13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20461.439999999999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21545.529999999999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100021.26999999999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110294.09999999999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34351.759999999995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38334.029999999999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145398.17000000001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154476.12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15995.230000000001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17555.66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81346.889999999999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83857.529999999999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9336.5400000000009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6449.71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41720.649999999994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30936.129999999997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5989.0599999999995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5993.1400000000003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29374.140000000003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29869.200000000004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-1.9099999999999999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24927.32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4261.3599999999997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4570.9099999999999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18188.200000000001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19708.940000000002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44311.290000000008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39598.589999999997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233407.79000000001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205968.63999999998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71.560000000000002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8397.5900000000001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41143.950000000004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10067.17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9665.9400000000005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44411.110000000001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45716.300000000003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539.93999999999994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738.88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1878.45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2676.8599999999997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265.73000000000002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465.13999999999999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658.13999999999999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3332.4400000000005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105.77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122.11000000000001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392.41999999999996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628.70000000000005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32291.060000000001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158224.30000000002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22187.18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23879.220000000001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106296.28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114511.03999999999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7623.29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7471.1000000000004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44489.999999999993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39761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271.11000000000001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2480.79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1181.0899999999999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10890.129999999999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9134.2600000000002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20.640000000000001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1.3999999999999999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1069.4300000000001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989.13999999999999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5264.2600000000002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4895.3500000000004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938.85000000000002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221.32999999999998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3560.1500000000001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1231.9300000000001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-5922.6399999999994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-8880.8099999999995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-31584.490000000002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-62721.25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39256.550000000003</v>
      </c>
      <c r="C178" s="14">
        <f>IFERROR(B178/B446, "NA")</f>
      </c>
      <c r="D178" s="15"/>
      <c r="E178" s="13">
        <v>38084.919999999998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37838.5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205094.98999999999</v>
      </c>
      <c r="R178" s="14">
        <f>IFERROR(Q178/Q446, "NA")</f>
      </c>
      <c r="S178" s="15"/>
      <c r="T178" s="13">
        <v>203184.70000000001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202535.20000000001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132544.83000000002</v>
      </c>
      <c r="C180" s="14">
        <f>IFERROR(B180/B446, "NA")</f>
      </c>
      <c r="D180" s="15"/>
      <c r="E180" s="13">
        <v>146865.41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136049.83000000002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649779.51000000001</v>
      </c>
      <c r="R180" s="14">
        <f>IFERROR(Q180/Q446, "NA")</f>
      </c>
      <c r="S180" s="15"/>
      <c r="T180" s="13">
        <v>705593.43000000005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670813.15999999992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2942.4000000000001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3061.6300000000001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9402.7600000000002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9829.7399999999998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2724</v>
      </c>
      <c r="C184" s="14">
        <f>IFERROR(B184/B446, "NA")</f>
      </c>
      <c r="D184" s="15"/>
      <c r="E184" s="13">
        <v>2722.5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-750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5291</v>
      </c>
      <c r="R184" s="14">
        <f>IFERROR(Q184/Q446, "NA")</f>
      </c>
      <c r="S184" s="15"/>
      <c r="T184" s="13">
        <v>13425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14000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16142.26</v>
      </c>
      <c r="C186" s="14">
        <f>IFERROR(B186/B446, "NA")</f>
      </c>
      <c r="D186" s="15"/>
      <c r="E186" s="13">
        <v>18305.68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16783.100000000002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85524.190000000002</v>
      </c>
      <c r="R186" s="14">
        <f>IFERROR(Q186/Q446, "NA")</f>
      </c>
      <c r="S186" s="15"/>
      <c r="T186" s="13">
        <v>97907.990000000005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91055.910000000003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1510.8</v>
      </c>
      <c r="C194" s="14">
        <f>IFERROR(B194/B446, "NA")</f>
      </c>
      <c r="D194" s="15"/>
      <c r="E194" s="13">
        <v>1501.3799999999999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1295.2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8081.7099999999991</v>
      </c>
      <c r="R194" s="14">
        <f>IFERROR(Q194/Q446, "NA")</f>
      </c>
      <c r="S194" s="15"/>
      <c r="T194" s="13">
        <v>7377.6200000000008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7820.5599999999995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1921.51</v>
      </c>
      <c r="C195" s="14">
        <f>IFERROR(B195/B446, "NA")</f>
      </c>
      <c r="D195" s="15"/>
      <c r="E195" s="13">
        <v>2600.8699999999999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1082.6800000000001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11148.220000000001</v>
      </c>
      <c r="R195" s="14">
        <f>IFERROR(Q195/Q446, "NA")</f>
      </c>
      <c r="S195" s="15"/>
      <c r="T195" s="13">
        <v>11800.960000000001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8023.96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5581.5600000000004</v>
      </c>
      <c r="C202" s="14">
        <f>IFERROR(B202/B446, "NA")</f>
      </c>
      <c r="D202" s="15"/>
      <c r="E202" s="13">
        <v>7284.4399999999996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7536.2699999999995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34945.980000000003</v>
      </c>
      <c r="R202" s="14">
        <f>IFERROR(Q202/Q446, "NA")</f>
      </c>
      <c r="S202" s="15"/>
      <c r="T202" s="13">
        <v>35643.119999999995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35728.739999999998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4302.1500000000005</v>
      </c>
      <c r="C203" s="14">
        <f>IFERROR(B203/B446, "NA")</f>
      </c>
      <c r="D203" s="15"/>
      <c r="E203" s="13">
        <v>5213.7699999999995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10756.190000000001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25380.07</v>
      </c>
      <c r="R203" s="14">
        <f>IFERROR(Q203/Q446, "NA")</f>
      </c>
      <c r="S203" s="15"/>
      <c r="T203" s="13">
        <v>25538.439999999999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31904.330000000002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477.43999999999994</v>
      </c>
      <c r="C204" s="14">
        <f>IFERROR(B204/B446, "NA")</f>
      </c>
      <c r="D204" s="15"/>
      <c r="E204" s="13">
        <v>1573.4499999999998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2080.6700000000001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5111.21</v>
      </c>
      <c r="R204" s="14">
        <f>IFERROR(Q204/Q446, "NA")</f>
      </c>
      <c r="S204" s="15"/>
      <c r="T204" s="13">
        <v>7709.1400000000003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5601.8099999999995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2324.0299999999997</v>
      </c>
      <c r="C205" s="14">
        <f>IFERROR(B205/B446, "NA")</f>
      </c>
      <c r="D205" s="15"/>
      <c r="E205" s="13">
        <v>2360.1600000000003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2396.5100000000002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12556.98</v>
      </c>
      <c r="R205" s="14">
        <f>IFERROR(Q205/Q446, "NA")</f>
      </c>
      <c r="S205" s="15"/>
      <c r="T205" s="13">
        <v>11563.629999999999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12805.089999999998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97.580000000000013</v>
      </c>
      <c r="C206" s="14">
        <f>IFERROR(B206/B446, "NA")</f>
      </c>
      <c r="D206" s="15"/>
      <c r="E206" s="13">
        <v>786.71999999999991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2199.8200000000002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1864.4400000000001</v>
      </c>
      <c r="R206" s="14">
        <f>IFERROR(Q206/Q446, "NA")</f>
      </c>
      <c r="S206" s="15"/>
      <c r="T206" s="13">
        <v>3854.5400000000004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3931.7799999999997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326.14999999999998</v>
      </c>
      <c r="C207" s="14">
        <f>IFERROR(B207/B446, "NA")</f>
      </c>
      <c r="D207" s="15"/>
      <c r="E207" s="13">
        <v>500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1768.5800000000002</v>
      </c>
      <c r="R207" s="14">
        <f>IFERROR(Q207/Q446, "NA")</f>
      </c>
      <c r="S207" s="15"/>
      <c r="T207" s="13">
        <v>3000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2941.4499999999998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657.24000000000001</v>
      </c>
      <c r="C208" s="14">
        <f>IFERROR(B208/B446, "NA")</f>
      </c>
      <c r="D208" s="15"/>
      <c r="E208" s="13">
        <v>500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709.30999999999995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2735.4300000000003</v>
      </c>
      <c r="R208" s="14">
        <f>IFERROR(Q208/Q446, "NA")</f>
      </c>
      <c r="S208" s="15"/>
      <c r="T208" s="13">
        <v>3000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4669.1000000000004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26513.010000000002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129867.15000000001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6332.1399999999994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16722.480000000003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42881.57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80487.679999999993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2817.27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45.980000000000004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16100.220000000001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45.980000000000004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278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110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1656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572.22000000000003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16187.949999999999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9596.5799999999999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79573.470000000001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79239.009999999995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336.94</v>
      </c>
      <c r="C222" s="14">
        <f>IFERROR(B222/B446, "NA")</f>
      </c>
      <c r="D222" s="15"/>
      <c r="E222" s="13">
        <v>500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1652.6499999999999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6335.4800000000005</v>
      </c>
      <c r="R222" s="14">
        <f>IFERROR(Q222/Q446, "NA")</f>
      </c>
      <c r="S222" s="15"/>
      <c r="T222" s="13">
        <v>3000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6482.4399999999996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12129.139999999999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59402.860000000001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83.950000000000003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924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574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6510.3000000000002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41.549999999999997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424.20999999999998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10756.49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6757.1099999999997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55542.889999999999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49378.389999999999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294.39999999999998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1113.3399999999999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52426.309999999998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256683.91999999998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213.77000000000001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102.87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518.17999999999995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879.00999999999999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10556.650000000001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10635.85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52820.060000000005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43506.160000000003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17519.790000000001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11228.789999999999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91373.089999999997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84586.279999999984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5873.3999999999996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2671.2399999999998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27809.030000000002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9000.5799999999999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721.08000000000004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2241.8600000000001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4733.3000000000002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11928.48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1130.9100000000001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1194.6800000000001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7032.2299999999996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7258.04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16615.720000000001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9013.3899999999994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79195.680000000008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56602.909999999996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33.219999999999999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83.459999999999994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426.88999999999999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377.56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166.27000000000001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342.70999999999998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1100.22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1124.6800000000001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3559.52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5753.3999999999996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18762.130000000001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21541.870000000003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1575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4165.0699999999997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3606.4300000000003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2115.8899999999999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10255.42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2786.0599999999999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1111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5533.6999999999998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1442.3499999999999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t="16.5" customHeight="1">
      <c t="s" r="A262" s="18">
        <v>239</v>
      </c>
      <c r="B262" s="13">
        <v>1200.79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1646.47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20635.409999999996</v>
      </c>
      <c r="C266" s="14">
        <f>IFERROR(B266/B446, "NA")</f>
      </c>
      <c r="D266" s="15"/>
      <c r="E266" s="13">
        <v>20427.110000000001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18542.310000000001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99564.850000000006</v>
      </c>
      <c r="R266" s="14">
        <f>IFERROR(Q266/Q446, "NA")</f>
      </c>
      <c r="S266" s="15"/>
      <c r="T266" s="13">
        <v>100128.36000000002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91801.550000000003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47.829999999999998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14.839999999999996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565.21000000000004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-533.04999999999995</v>
      </c>
      <c r="C271" s="14">
        <f>IFERROR(B271/B446, "NA")</f>
      </c>
      <c r="D271" s="15"/>
      <c r="E271" s="13">
        <v>1139.0599999999999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1181.22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5355.04</v>
      </c>
      <c r="R271" s="14">
        <f>IFERROR(Q271/Q446, "NA")</f>
      </c>
      <c r="S271" s="15"/>
      <c r="T271" s="13">
        <v>6834.3599999999997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7111.1099999999997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-752.99000000000001</v>
      </c>
      <c r="C272" s="14">
        <f>IFERROR(B272/B446, "NA")</f>
      </c>
      <c r="D272" s="15"/>
      <c r="E272" s="13">
        <v>5130.2199999999993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5132.9599999999991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24260.870000000003</v>
      </c>
      <c r="R272" s="14">
        <f>IFERROR(Q272/Q446, "NA")</f>
      </c>
      <c r="S272" s="15"/>
      <c r="T272" s="13">
        <v>30781.32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29185.760000000002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1195.6199999999999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1067.5899999999999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6405.54</v>
      </c>
      <c r="R288" s="14">
        <f>IFERROR(Q288/Q446, "NA")</f>
      </c>
      <c r="S288" s="15"/>
      <c r="T288" s="13">
        <v>5826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5823.1800000000003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839.22000000000003</v>
      </c>
      <c r="C289" s="14">
        <f>IFERROR(B289/B446, "NA")</f>
      </c>
      <c r="D289" s="15"/>
      <c r="E289" s="13">
        <v>843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765.99000000000001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5035.3400000000001</v>
      </c>
      <c r="R289" s="14">
        <f>IFERROR(Q289/Q446, "NA")</f>
      </c>
      <c r="S289" s="15"/>
      <c r="T289" s="13">
        <v>5058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5520.0599999999995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1001.49</v>
      </c>
      <c r="C290" s="14">
        <f>IFERROR(B290/B446, "NA")</f>
      </c>
      <c r="D290" s="15"/>
      <c r="E290" s="13">
        <v>1149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1098.8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7392.9800000000005</v>
      </c>
      <c r="R290" s="14">
        <f>IFERROR(Q290/Q446, "NA")</f>
      </c>
      <c r="S290" s="15"/>
      <c r="T290" s="13">
        <v>6894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6415.9900000000007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2848.6100000000001</v>
      </c>
      <c r="C291" s="14">
        <f>IFERROR(B291/B446, "NA")</f>
      </c>
      <c r="D291" s="15"/>
      <c r="E291" s="13">
        <v>4146.6499999999996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3443.9400000000001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19309.299999999999</v>
      </c>
      <c r="R291" s="14">
        <f>IFERROR(Q291/Q446, "NA")</f>
      </c>
      <c r="S291" s="15"/>
      <c r="T291" s="13">
        <v>19723.299999999999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19406.310000000001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6775.1300000000001</v>
      </c>
      <c r="C292" s="14">
        <f>IFERROR(B292/B446, "NA")</f>
      </c>
      <c r="D292" s="15"/>
      <c r="E292" s="13">
        <v>4135.0900000000001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5700.7600000000002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38614.139999999999</v>
      </c>
      <c r="R292" s="14">
        <f>IFERROR(Q292/Q446, "NA")</f>
      </c>
      <c r="S292" s="15"/>
      <c r="T292" s="13">
        <v>20240.32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26004.879999999997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204.96000000000001</v>
      </c>
      <c r="C293" s="14">
        <f>IFERROR(B293/B446, "NA")</f>
      </c>
      <c r="D293" s="15"/>
      <c r="E293" s="13">
        <v>1134.1200000000001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1398.5700000000002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1791.9300000000001</v>
      </c>
      <c r="R293" s="14">
        <f>IFERROR(Q293/Q446, "NA")</f>
      </c>
      <c r="S293" s="15"/>
      <c r="T293" s="13">
        <v>5562.9799999999996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5323.5699999999997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1096.49</v>
      </c>
      <c r="C294" s="14">
        <f>IFERROR(B294/B446, "NA")</f>
      </c>
      <c r="D294" s="15"/>
      <c r="E294" s="13">
        <v>1089.3300000000002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1816.2599999999998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2821.0599999999999</v>
      </c>
      <c r="R294" s="14">
        <f>IFERROR(Q294/Q446, "NA")</f>
      </c>
      <c r="S294" s="15"/>
      <c r="T294" s="13">
        <v>5336.6000000000004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3304.3599999999997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967.96000000000004</v>
      </c>
      <c r="C295" s="14">
        <f>IFERROR(B295/B446, "NA")</f>
      </c>
      <c r="D295" s="15"/>
      <c r="E295" s="13">
        <v>1784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1703.1800000000001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6389.3100000000004</v>
      </c>
      <c r="R295" s="14">
        <f>IFERROR(Q295/Q446, "NA")</f>
      </c>
      <c r="S295" s="15"/>
      <c r="T295" s="13">
        <v>10704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11129.369999999999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3520.1199999999999</v>
      </c>
      <c r="C300" s="14">
        <f>IFERROR(B300/B446, "NA")</f>
      </c>
      <c r="D300" s="15"/>
      <c r="E300" s="13">
        <v>2209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1691.6199999999999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16353.049999999999</v>
      </c>
      <c r="R300" s="14">
        <f>IFERROR(Q300/Q446, "NA")</f>
      </c>
      <c r="S300" s="15"/>
      <c r="T300" s="13">
        <v>13254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13722.259999999998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956.68000000000006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465.25999999999999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310.88999999999999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160.94999999999999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1142.4299999999998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109.53999999999999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27.510000000000002</v>
      </c>
      <c r="C311" s="14">
        <f>IFERROR(B311/B446, "NA")</f>
      </c>
      <c r="D311" s="15"/>
      <c r="E311" s="13">
        <v>275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831.80999999999995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1396.21</v>
      </c>
      <c r="R311" s="14">
        <f>IFERROR(Q311/Q446, "NA")</f>
      </c>
      <c r="S311" s="15"/>
      <c r="T311" s="13">
        <v>1650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1978.1700000000001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167.47999999999999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2627.0799999999999</v>
      </c>
      <c r="C313" s="14">
        <f>IFERROR(B313/B446, "NA")</f>
      </c>
      <c r="D313" s="15"/>
      <c r="E313" s="13">
        <v>175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3552.77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13407.790000000001</v>
      </c>
      <c r="R313" s="14">
        <f>IFERROR(Q313/Q446, "NA")</f>
      </c>
      <c r="S313" s="15"/>
      <c r="T313" s="13">
        <v>1050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7766.5200000000004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484.28000000000003</v>
      </c>
      <c r="C314" s="14">
        <f>IFERROR(B314/B446, "NA")</f>
      </c>
      <c r="D314" s="15"/>
      <c r="E314" s="13">
        <v>315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500.63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2620.3499999999999</v>
      </c>
      <c r="R314" s="14">
        <f>IFERROR(Q314/Q446, "NA")</f>
      </c>
      <c r="S314" s="15"/>
      <c r="T314" s="13">
        <v>1870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2002.3999999999999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1940.49</v>
      </c>
      <c r="C316" s="14">
        <f>IFERROR(B316/B446, "NA")</f>
      </c>
      <c r="D316" s="15"/>
      <c r="E316" s="13">
        <v>2157.6199999999999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2382.9700000000003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10392.35</v>
      </c>
      <c r="R316" s="14">
        <f>IFERROR(Q316/Q446, "NA")</f>
      </c>
      <c r="S316" s="15"/>
      <c r="T316" s="13">
        <v>10605.120000000001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9697.7999999999993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54.020000000000003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1513.79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490.60000000000002</v>
      </c>
      <c r="C319" s="14">
        <f>IFERROR(B319/B446, "NA")</f>
      </c>
      <c r="D319" s="15"/>
      <c r="E319" s="13">
        <v>1321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1319.75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7089.3500000000004</v>
      </c>
      <c r="R319" s="14">
        <f>IFERROR(Q319/Q446, "NA")</f>
      </c>
      <c r="S319" s="15"/>
      <c r="T319" s="13">
        <v>7926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7918.5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1347.6199999999999</v>
      </c>
      <c r="C320" s="14">
        <f>IFERROR(B320/B446, "NA")</f>
      </c>
      <c r="D320" s="15"/>
      <c r="E320" s="13">
        <v>1241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1238.0999999999999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7926.3500000000004</v>
      </c>
      <c r="R320" s="14">
        <f>IFERROR(Q320/Q446, "NA")</f>
      </c>
      <c r="S320" s="15"/>
      <c r="T320" s="13">
        <v>7446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7213.4699999999993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5336.8900000000003</v>
      </c>
      <c r="C321" s="14">
        <f>IFERROR(B321/B446, "NA")</f>
      </c>
      <c r="D321" s="15"/>
      <c r="E321" s="13">
        <v>5783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6649.8699999999999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34238.949999999997</v>
      </c>
      <c r="R321" s="14">
        <f>IFERROR(Q321/Q446, "NA")</f>
      </c>
      <c r="S321" s="15"/>
      <c r="T321" s="13">
        <v>34698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34267.209999999999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5922.6399999999994</v>
      </c>
      <c r="C322" s="14">
        <f>IFERROR(B322/B446, "NA")</f>
      </c>
      <c r="D322" s="15"/>
      <c r="E322" s="13">
        <v>10199.92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8880.8099999999995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31584.490000000002</v>
      </c>
      <c r="R322" s="14">
        <f>IFERROR(Q322/Q446, "NA")</f>
      </c>
      <c r="S322" s="15"/>
      <c r="T322" s="13">
        <v>49532.169999999998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62721.25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2277.2799999999997</v>
      </c>
      <c r="C323" s="14">
        <f>IFERROR(B323/B446, "NA")</f>
      </c>
      <c r="D323" s="15"/>
      <c r="E323" s="13">
        <v>1413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2621.4699999999998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10853.629999999999</v>
      </c>
      <c r="R323" s="14">
        <f>IFERROR(Q323/Q446, "NA")</f>
      </c>
      <c r="S323" s="15"/>
      <c r="T323" s="13">
        <v>8478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10375.91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13.01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60203.629999999997</v>
      </c>
      <c r="C330" s="14">
        <f>IFERROR(B330/B446, "NA")</f>
      </c>
      <c r="D330" s="15"/>
      <c r="E330" s="13">
        <v>60203.629999999997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58545.110000000001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361221.78000000003</v>
      </c>
      <c r="R330" s="14">
        <f>IFERROR(Q330/Q446, "NA")</f>
      </c>
      <c r="S330" s="15"/>
      <c r="T330" s="13">
        <v>361221.78000000003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334124.07000000001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6690.29</v>
      </c>
      <c r="C331" s="14">
        <f>IFERROR(B331/B446, "NA")</f>
      </c>
      <c r="D331" s="15"/>
      <c r="E331" s="13">
        <v>6433.1300000000001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5252.1900000000005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41542.150000000001</v>
      </c>
      <c r="R331" s="14">
        <f>IFERROR(Q331/Q446, "NA")</f>
      </c>
      <c r="S331" s="15"/>
      <c r="T331" s="13">
        <v>38598.779999999999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35743.360000000001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195.16</v>
      </c>
      <c r="C333" s="14">
        <f>IFERROR(B333/B446, "NA")</f>
      </c>
      <c r="D333" s="15"/>
      <c r="E333" s="13">
        <v>313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1490.4000000000001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2225.8699999999999</v>
      </c>
      <c r="R333" s="14">
        <f>IFERROR(Q333/Q446, "NA")</f>
      </c>
      <c r="S333" s="15"/>
      <c r="T333" s="13">
        <v>1878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2466.1999999999998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4291.5699999999997</v>
      </c>
      <c r="C334" s="14">
        <f>IFERROR(B334/B446, "NA")</f>
      </c>
      <c r="D334" s="15"/>
      <c r="E334" s="13">
        <v>5619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5618.8900000000003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32565.650000000001</v>
      </c>
      <c r="R334" s="14">
        <f>IFERROR(Q334/Q446, "NA")</f>
      </c>
      <c r="S334" s="15"/>
      <c r="T334" s="13">
        <v>33714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34148.339999999997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9271.3799999999992</v>
      </c>
      <c r="C335" s="14">
        <f>IFERROR(B335/B446, "NA")</f>
      </c>
      <c r="D335" s="15"/>
      <c r="E335" s="13">
        <v>9271.3799999999992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9015.9400000000005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80.170000000000002</v>
      </c>
      <c r="C336" s="14">
        <f>IFERROR(B336/B446, "NA")</f>
      </c>
      <c r="D336" s="15"/>
      <c r="E336" s="13">
        <v>368.93000000000001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5337.8500000000004</v>
      </c>
      <c r="R336" s="14">
        <f>IFERROR(Q336/Q446, "NA")</f>
      </c>
      <c r="S336" s="15"/>
      <c r="T336" s="13">
        <v>1808.77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10279.040000000001</v>
      </c>
      <c r="C339" s="14">
        <f>IFERROR(B339/B446, "NA")</f>
      </c>
      <c r="D339" s="15"/>
      <c r="E339" s="13">
        <v>13552.280000000001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9869.6000000000004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56498.170000000013</v>
      </c>
      <c r="R339" s="14">
        <f>IFERROR(Q339/Q446, "NA")</f>
      </c>
      <c r="S339" s="15"/>
      <c r="T339" s="13">
        <v>66148.130000000005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58045.400000000001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1965.8799999999999</v>
      </c>
      <c r="C340" s="14">
        <f>IFERROR(B340/B446, "NA")</f>
      </c>
      <c r="D340" s="15"/>
      <c r="E340" s="13">
        <v>3105.0699999999997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2076.7200000000003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16126.490000000002</v>
      </c>
      <c r="R340" s="14">
        <f>IFERROR(Q340/Q446, "NA")</f>
      </c>
      <c r="S340" s="15"/>
      <c r="T340" s="13">
        <v>15126.190000000001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15279.939999999999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5195.1300000000001</v>
      </c>
      <c r="C341" s="14">
        <f>IFERROR(B341/B446, "NA")</f>
      </c>
      <c r="D341" s="15"/>
      <c r="E341" s="13">
        <v>3473.2699999999995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2849.3499999999999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18772.170000000002</v>
      </c>
      <c r="R341" s="14">
        <f>IFERROR(Q341/Q446, "NA")</f>
      </c>
      <c r="S341" s="15"/>
      <c r="T341" s="13">
        <v>16935.18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16243.940000000001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1950.22</v>
      </c>
      <c r="C342" s="14">
        <f>IFERROR(B342/B446, "NA")</f>
      </c>
      <c r="D342" s="15"/>
      <c r="E342" s="13">
        <v>2502.23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1884.3499999999999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11573.48</v>
      </c>
      <c r="R342" s="14">
        <f>IFERROR(Q342/Q446, "NA")</f>
      </c>
      <c r="S342" s="15"/>
      <c r="T342" s="13">
        <v>12146.799999999999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11264.84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44230.75</v>
      </c>
      <c r="C351" s="14">
        <f>IFERROR(B351/B446, "NA")</f>
      </c>
      <c r="D351" s="15"/>
      <c r="E351" s="13">
        <v>54326.919999999998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51009.550000000003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230033.57000000001</v>
      </c>
      <c r="R351" s="14">
        <f>IFERROR(Q351/Q446, "NA")</f>
      </c>
      <c r="S351" s="15"/>
      <c r="T351" s="13">
        <v>267269.21999999997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313621.79999999999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5000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5000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6774.8000000000002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3542.0900000000001</v>
      </c>
      <c r="C355" s="14">
        <f>IFERROR(B355/B446, "NA")</f>
      </c>
      <c r="D355" s="15"/>
      <c r="E355" s="13">
        <v>4509.1300000000001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4110.0200000000004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18758.970000000001</v>
      </c>
      <c r="R355" s="14">
        <f>IFERROR(Q355/Q446, "NA")</f>
      </c>
      <c r="S355" s="15"/>
      <c r="T355" s="13">
        <v>22183.34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27771.450000000001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135.68000000000001</v>
      </c>
      <c r="C356" s="14">
        <f>IFERROR(B356/B446, "NA")</f>
      </c>
      <c r="D356" s="15"/>
      <c r="E356" s="13">
        <v>233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190.80000000000001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769.54999999999995</v>
      </c>
      <c r="R356" s="14">
        <f>IFERROR(Q356/Q446, "NA")</f>
      </c>
      <c r="S356" s="15"/>
      <c r="T356" s="13">
        <v>1314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1409.8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6791</v>
      </c>
      <c r="C357" s="14">
        <f>IFERROR(B357/B446, "NA")</f>
      </c>
      <c r="D357" s="15"/>
      <c r="E357" s="13">
        <v>6790.8699999999999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6187.5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33408</v>
      </c>
      <c r="R357" s="14">
        <f>IFERROR(Q357/Q446, "NA")</f>
      </c>
      <c r="S357" s="15"/>
      <c r="T357" s="13">
        <v>33408.660000000003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40237.5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2631.0700000000002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3217.4699999999998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18526.110000000001</v>
      </c>
      <c r="R358" s="14">
        <f>IFERROR(Q358/Q446, "NA")</f>
      </c>
      <c r="S358" s="15"/>
      <c r="T358" s="13">
        <v>22080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20722.5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219.47</v>
      </c>
      <c r="C363" s="14">
        <f>IFERROR(B363/B446, "NA")</f>
      </c>
      <c r="D363" s="15"/>
      <c r="E363" s="13">
        <v>1080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695.54999999999995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1814.8199999999999</v>
      </c>
      <c r="R363" s="14">
        <f>IFERROR(Q363/Q446, "NA")</f>
      </c>
      <c r="S363" s="15"/>
      <c r="T363" s="13">
        <v>5616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4872.1499999999996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1446.8099999999999</v>
      </c>
      <c r="C364" s="14">
        <f>IFERROR(B364/B446, "NA")</f>
      </c>
      <c r="D364" s="15"/>
      <c r="E364" s="13">
        <v>225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763.53999999999996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6298.29</v>
      </c>
      <c r="R364" s="14">
        <f>IFERROR(Q364/Q446, "NA")</f>
      </c>
      <c r="S364" s="15"/>
      <c r="T364" s="13">
        <v>1050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5765.3000000000002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239.75</v>
      </c>
      <c r="C365" s="14">
        <f>IFERROR(B365/B446, "NA")</f>
      </c>
      <c r="D365" s="15"/>
      <c r="E365" s="13">
        <v>750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765.33000000000004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1032.1700000000001</v>
      </c>
      <c r="R365" s="14">
        <f>IFERROR(Q365/Q446, "NA")</f>
      </c>
      <c r="S365" s="15"/>
      <c r="T365" s="13">
        <v>3650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4724.9300000000003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675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4375.46</v>
      </c>
      <c r="R366" s="14">
        <f>IFERROR(Q366/Q446, "NA")</f>
      </c>
      <c r="S366" s="15"/>
      <c r="T366" s="13">
        <v>4725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4358.3800000000001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296.41000000000003</v>
      </c>
      <c r="C367" s="14">
        <f>IFERROR(B367/B446, "NA")</f>
      </c>
      <c r="D367" s="15"/>
      <c r="E367" s="13">
        <v>450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75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2844.8200000000002</v>
      </c>
      <c r="R367" s="14">
        <f>IFERROR(Q367/Q446, "NA")</f>
      </c>
      <c r="S367" s="15"/>
      <c r="T367" s="13">
        <v>2250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2868.5100000000002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807.02999999999997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1292.3199999999999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8955.1800000000003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6774.0600000000004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98</v>
      </c>
      <c r="C371" s="14">
        <f>IFERROR(B371/B446, "NA")</f>
      </c>
      <c r="D371" s="15"/>
      <c r="E371" s="13">
        <v>100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98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667.65999999999997</v>
      </c>
      <c r="R371" s="14">
        <f>IFERROR(Q371/Q446, "NA")</f>
      </c>
      <c r="S371" s="15"/>
      <c r="T371" s="13">
        <v>1500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1487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429.38999999999999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1590.1099999999999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2398.1300000000001</v>
      </c>
      <c r="R372" s="14">
        <f>IFERROR(Q372/Q446, "NA")</f>
      </c>
      <c r="S372" s="15"/>
      <c r="T372" s="13">
        <v>750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3994.9400000000001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781.79999999999995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277.17000000000002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3635.3600000000001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2385.8499999999999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740.41999999999996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237.08000000000001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4376.0699999999997</v>
      </c>
      <c r="R374" s="14">
        <f>IFERROR(Q374/Q446, "NA")</f>
      </c>
      <c r="S374" s="15"/>
      <c r="T374" s="13">
        <v>3774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2387.7199999999998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6012.4200000000001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2149.5300000000002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16590.34</v>
      </c>
      <c r="R375" s="14">
        <f>IFERROR(Q375/Q446, "NA")</f>
      </c>
      <c r="S375" s="15"/>
      <c r="T375" s="13">
        <v>12900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11733.540000000001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654.89999999999998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3675.8200000000002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1498.1099999999999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3881.0799999999999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180.5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-2413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4907.0600000000004</v>
      </c>
      <c r="C379" s="14">
        <f>IFERROR(B379/B446, "NA")</f>
      </c>
      <c r="D379" s="15"/>
      <c r="E379" s="13">
        <v>7184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12589.940000000001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37311.32</v>
      </c>
      <c r="R379" s="14">
        <f>IFERROR(Q379/Q446, "NA")</f>
      </c>
      <c r="S379" s="15"/>
      <c r="T379" s="13">
        <v>46304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56219.959999999999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345.72000000000003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1183.0799999999999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3379.2800000000002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6211.9099999999999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11800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12190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70855.669999999998</v>
      </c>
      <c r="R381" s="14">
        <f>IFERROR(Q381/Q446, "NA")</f>
      </c>
      <c r="S381" s="15"/>
      <c r="T381" s="13">
        <v>70800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69690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152.5</v>
      </c>
      <c r="C382" s="14">
        <f>IFERROR(B382/B446, "NA")</f>
      </c>
      <c r="D382" s="15"/>
      <c r="E382" s="13">
        <v>3000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5950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3825</v>
      </c>
      <c r="R382" s="14">
        <f>IFERROR(Q382/Q446, "NA")</f>
      </c>
      <c r="S382" s="15"/>
      <c r="T382" s="13">
        <v>17000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36441.510000000002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306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982.62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2741.6399999999999</v>
      </c>
      <c r="R383" s="14">
        <f>IFERROR(Q383/Q446, "NA")</f>
      </c>
      <c r="S383" s="15"/>
      <c r="T383" s="13">
        <v>2836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3774.3800000000001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236.16999999999999</v>
      </c>
      <c r="C386" s="14">
        <f>IFERROR(B386/B446, "NA")</f>
      </c>
      <c r="D386" s="15"/>
      <c r="E386" s="13">
        <v>1000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2542.7800000000002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12003.290000000001</v>
      </c>
      <c r="R386" s="14">
        <f>IFERROR(Q386/Q446, "NA")</f>
      </c>
      <c r="S386" s="15"/>
      <c r="T386" s="13">
        <v>5500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20129.330000000002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51.469999999999999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16521.150000000001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80945.550000000003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7316.6800000000003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7237.5900000000001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40392.040000000001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28318.959999999999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3636.2199999999998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918.39999999999998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30108.41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55756.459999999999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3261.96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4932.6700000000001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21189.990000000002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29147.790000000001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4334.3500000000004</v>
      </c>
      <c r="C395" s="14">
        <f>IFERROR(B395/B446, "NA")</f>
      </c>
      <c r="D395" s="15"/>
      <c r="E395" s="13">
        <v>3933.6100000000001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9799.8600000000006</v>
      </c>
      <c r="R395" s="14">
        <f>IFERROR(Q395/Q446, "NA")</f>
      </c>
      <c r="S395" s="15"/>
      <c r="T395" s="13">
        <v>24886.57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518.22000000000003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1288.75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15866.75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16921.990000000002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87375.619999999995</v>
      </c>
      <c r="R398" s="14">
        <f>IFERROR(Q398/Q446, "NA")</f>
      </c>
      <c r="S398" s="15"/>
      <c r="T398" s="13">
        <v>53200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39239.25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241.80000000000001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141.44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1489.5999999999999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845.27999999999997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2826.8400000000001</v>
      </c>
      <c r="R400" s="14">
        <f>IFERROR(Q400/Q446, "NA")</f>
      </c>
      <c r="S400" s="15"/>
      <c r="T400" s="13">
        <v>600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500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17294.510000000002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98419.290000000008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310.05000000000001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34417.900000000001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28637.91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193927.34999999998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168797.62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268.37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1610.23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1341.8499999999999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-261.56999999999999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-123.56999999999999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-1162.9300000000001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-191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-121.62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-87.889999999999986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235.87000000000006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-351.18999999999994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-3725.6900000000001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56.25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56.25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76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-50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5.21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-15593.040000000001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-91254.839999999997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-3.8399999999999999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t="16.5" customHeight="1">
      <c t="s" r="A425" s="12">
        <v>390</v>
      </c>
      <c r="B425" s="13">
        <v>7200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7200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67.079999999999998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402.48000000000002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239.59999999999999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12875.209999999999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-1062.8199999999999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-17156.599999999999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-9026.3400000000001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-63666.799999999996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771340.18999999994</v>
      </c>
      <c r="C446" s="33"/>
      <c r="D446" s="15"/>
      <c r="E446" s="13">
        <v>786721.62999999989</v>
      </c>
      <c r="F446" s="33"/>
      <c r="G446" s="15"/>
      <c r="H446" s="16">
        <f>IFERROR(B446-E446, "NA")</f>
      </c>
      <c r="I446" s="33"/>
      <c r="J446" s="15"/>
      <c r="K446" s="13">
        <v>721349.32000000007</v>
      </c>
      <c r="L446" s="33"/>
      <c r="M446" s="15"/>
      <c r="N446" s="16">
        <f>IFERROR(B446-K446, "NA")</f>
      </c>
      <c r="O446" s="33"/>
      <c r="P446" s="15"/>
      <c r="Q446" s="13">
        <v>3704307.1199999996</v>
      </c>
      <c r="R446" s="33"/>
      <c r="S446" s="15"/>
      <c r="T446" s="13">
        <v>3854550.2300000004</v>
      </c>
      <c r="U446" s="33"/>
      <c r="V446" s="15"/>
      <c r="W446" s="16">
        <f>IFERROR(Q446-T446, "NA")</f>
      </c>
      <c r="X446" s="33"/>
      <c r="Y446" s="15"/>
      <c r="Z446" s="13">
        <v>3578019.8799999999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413</v>
      </c>
      <c t="s" r="B3" s="3">
        <v>413</v>
      </c>
      <c t="s" r="C3" s="3">
        <v>413</v>
      </c>
      <c t="s" r="D3" s="3">
        <v>413</v>
      </c>
      <c t="s" r="E3" s="3">
        <v>413</v>
      </c>
      <c t="s" r="F3" s="3">
        <v>413</v>
      </c>
      <c t="s" r="G3" s="3">
        <v>413</v>
      </c>
      <c t="s" r="H3" s="3">
        <v>413</v>
      </c>
      <c t="s" r="I3" s="3">
        <v>413</v>
      </c>
      <c t="s" r="J3" s="3">
        <v>413</v>
      </c>
      <c t="s" r="K3" s="3">
        <v>413</v>
      </c>
      <c t="s" r="L3" s="3">
        <v>413</v>
      </c>
      <c t="s" r="M3" s="3">
        <v>413</v>
      </c>
      <c t="s" r="N3" s="3">
        <v>413</v>
      </c>
      <c t="s" r="O3" s="3">
        <v>413</v>
      </c>
      <c t="s" r="P3" s="3">
        <v>413</v>
      </c>
      <c t="s" r="Q3" s="3">
        <v>413</v>
      </c>
      <c t="s" r="R3" s="3">
        <v>413</v>
      </c>
      <c t="s" r="S3" s="3">
        <v>413</v>
      </c>
      <c t="s" r="T3" s="3">
        <v>413</v>
      </c>
      <c t="s" r="U3" s="3">
        <v>413</v>
      </c>
      <c t="s" r="V3" s="3">
        <v>413</v>
      </c>
      <c t="s" r="W3" s="3">
        <v>413</v>
      </c>
      <c t="s" r="X3" s="3">
        <v>413</v>
      </c>
      <c t="s" r="Y3" s="3">
        <v>413</v>
      </c>
      <c t="s" r="Z3" s="3">
        <v>413</v>
      </c>
      <c t="s" r="AA3" s="3">
        <v>413</v>
      </c>
      <c t="s" r="AB3" s="3">
        <v>413</v>
      </c>
      <c t="s" r="AC3" s="3">
        <v>413</v>
      </c>
      <c t="s" r="AD3" s="3">
        <v>413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idden="1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0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0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idden="1" ht="16.5" customHeight="1">
      <c t="s" r="A11" s="18">
        <v>13</v>
      </c>
      <c r="B11" s="13">
        <v>0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0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0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0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idden="1" ht="16.5" customHeight="1">
      <c t="s" r="A12" s="18">
        <v>14</v>
      </c>
      <c r="B12" s="13">
        <v>0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0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0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0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idden="1" ht="16.5" customHeight="1">
      <c t="s" r="A13" s="18">
        <v>15</v>
      </c>
      <c r="B13" s="13">
        <v>0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0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0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0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idden="1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idden="1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0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0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idden="1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idden="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0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0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idden="1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0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0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0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idden="1" ht="16.5" customHeight="1">
      <c t="s" r="A23" s="18">
        <v>24</v>
      </c>
      <c r="B23" s="13">
        <v>0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0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idden="1" ht="16.5" customHeight="1">
      <c t="s" r="A24" s="18">
        <v>25</v>
      </c>
      <c r="B24" s="13">
        <v>0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0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0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0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idden="1" ht="16.5" customHeight="1">
      <c t="s" r="A25" s="18">
        <v>26</v>
      </c>
      <c r="B25" s="13">
        <v>0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0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idden="1" ht="16.5" customHeight="1">
      <c t="s" r="A26" s="18">
        <v>27</v>
      </c>
      <c r="B26" s="13">
        <v>0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0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idden="1" ht="16.5" customHeight="1">
      <c t="s" r="A28" s="18">
        <v>29</v>
      </c>
      <c r="B28" s="13">
        <v>0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0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0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0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idden="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0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0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idden="1" ht="16.5" customHeight="1">
      <c t="s" r="A33" s="18">
        <v>33</v>
      </c>
      <c r="B33" s="13">
        <v>0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0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0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0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idden="1" ht="16.5" customHeight="1">
      <c t="s" r="A35" s="18">
        <v>35</v>
      </c>
      <c r="B35" s="13">
        <v>0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0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0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0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idden="1" ht="16.5" customHeight="1">
      <c t="s" r="A36" s="18">
        <v>36</v>
      </c>
      <c r="B36" s="13">
        <v>0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0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0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0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idden="1" ht="16.5" customHeight="1">
      <c t="s" r="A37" s="18">
        <v>37</v>
      </c>
      <c r="B37" s="13">
        <v>0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0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idden="1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0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0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idden="1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0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0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idden="1" ht="16.5" customHeight="1">
      <c t="s" r="A43" s="18">
        <v>42</v>
      </c>
      <c r="B43" s="13">
        <v>0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0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0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0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idden="1" ht="16.5" customHeight="1">
      <c t="s" r="A48" s="23">
        <v>46</v>
      </c>
      <c r="B48" s="13">
        <v>0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0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0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0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idden="1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0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0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idden="1" ht="16.5" customHeight="1">
      <c t="s" r="A65" s="18">
        <v>62</v>
      </c>
      <c r="B65" s="13">
        <v>0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0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0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idden="1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0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0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idden="1" ht="16.5" customHeight="1">
      <c t="s" r="A77" s="18">
        <v>73</v>
      </c>
      <c r="B77" s="13">
        <v>0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0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0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0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idden="1" ht="16.5" customHeight="1">
      <c t="s" r="A80" s="18">
        <v>76</v>
      </c>
      <c r="B80" s="13">
        <v>0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0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0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0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idden="1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0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0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idden="1" ht="16.5" customHeight="1">
      <c t="s" r="A90" s="12">
        <v>86</v>
      </c>
      <c r="B90" s="13">
        <v>0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0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idden="1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0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0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idden="1" ht="16.5" customHeight="1">
      <c t="s" r="A96" s="18">
        <v>91</v>
      </c>
      <c r="B96" s="13">
        <v>0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0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0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0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idden="1" ht="16.5" customHeight="1">
      <c t="s" r="A98" s="18">
        <v>93</v>
      </c>
      <c r="B98" s="13">
        <v>0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0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0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0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idden="1" ht="16.5" customHeight="1">
      <c t="s" r="A100" s="18">
        <v>95</v>
      </c>
      <c r="B100" s="13">
        <v>0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0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0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0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idden="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0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idden="1" ht="16.5" customHeight="1">
      <c t="s" r="A102" s="18">
        <v>97</v>
      </c>
      <c r="B102" s="13">
        <v>0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0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0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0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idden="1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idden="1" ht="16.5" customHeight="1">
      <c t="s" r="A104" s="18">
        <v>99</v>
      </c>
      <c r="B104" s="13">
        <v>0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0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0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0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idden="1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0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idden="1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0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0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idden="1" ht="16.5" customHeight="1">
      <c t="s" r="A130" s="18">
        <v>122</v>
      </c>
      <c r="B130" s="13">
        <v>0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0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0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0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idden="1" ht="16.5" customHeight="1">
      <c t="s" r="A131" s="18">
        <v>123</v>
      </c>
      <c r="B131" s="13">
        <v>0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0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0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0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idden="1" ht="16.5" customHeight="1">
      <c t="s" r="A132" s="18">
        <v>124</v>
      </c>
      <c r="B132" s="13">
        <v>0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0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0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0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idden="1" ht="16.5" customHeight="1">
      <c t="s" r="A133" s="18">
        <v>125</v>
      </c>
      <c r="B133" s="13">
        <v>0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0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0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0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idden="1" ht="16.5" customHeight="1">
      <c t="s" r="A134" s="18">
        <v>126</v>
      </c>
      <c r="B134" s="13">
        <v>0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0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0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0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idden="1" ht="16.5" customHeight="1">
      <c t="s" r="A135" s="18">
        <v>127</v>
      </c>
      <c r="B135" s="13">
        <v>0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0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0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0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idden="1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0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idden="1" ht="16.5" customHeight="1">
      <c t="s" r="A137" s="18">
        <v>129</v>
      </c>
      <c r="B137" s="13">
        <v>0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0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0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0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idden="1" ht="16.5" customHeight="1">
      <c t="s" r="A138" s="18">
        <v>130</v>
      </c>
      <c r="B138" s="13">
        <v>0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0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0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0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idden="1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0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0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idden="1" ht="16.5" customHeight="1">
      <c t="s" r="A144" s="18">
        <v>135</v>
      </c>
      <c r="B144" s="13">
        <v>0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0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0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0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idden="1" ht="16.5" customHeight="1">
      <c t="s" r="A145" s="18">
        <v>136</v>
      </c>
      <c r="B145" s="13">
        <v>0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0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0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0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idden="1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0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0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0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idden="1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0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0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0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idden="1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0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0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idden="1" ht="16.5" customHeight="1">
      <c t="s" r="A154" s="18">
        <v>143</v>
      </c>
      <c r="B154" s="13">
        <v>0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0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0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0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idden="1" ht="16.5" customHeight="1">
      <c t="s" r="A155" s="18">
        <v>144</v>
      </c>
      <c r="B155" s="13">
        <v>0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0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0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0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idden="1" ht="16.5" customHeight="1">
      <c t="s" r="A161" s="18">
        <v>149</v>
      </c>
      <c r="B161" s="13">
        <v>0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0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0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0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idden="1" ht="16.5" customHeight="1">
      <c t="s" r="A167" s="12">
        <v>155</v>
      </c>
      <c r="B167" s="13">
        <v>0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0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0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0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idden="1" ht="16.5" customHeight="1">
      <c t="s" r="A168" s="12">
        <v>156</v>
      </c>
      <c r="B168" s="13">
        <v>0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0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0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0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idden="1" ht="16.5" customHeight="1">
      <c t="s" r="A169" s="12">
        <v>157</v>
      </c>
      <c r="B169" s="13">
        <v>0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0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0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0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idden="1" ht="16.5" customHeight="1">
      <c t="s" r="A178" s="18">
        <v>163</v>
      </c>
      <c r="B178" s="13">
        <v>0</v>
      </c>
      <c r="C178" s="14">
        <f>IFERROR(B178/B446, "NA")</f>
      </c>
      <c r="D178" s="15"/>
      <c r="E178" s="13">
        <v>0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0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0</v>
      </c>
      <c r="R178" s="14">
        <f>IFERROR(Q178/Q446, "NA")</f>
      </c>
      <c r="S178" s="15"/>
      <c r="T178" s="13">
        <v>0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0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idden="1" ht="16.5" customHeight="1">
      <c t="s" r="A180" s="18">
        <v>165</v>
      </c>
      <c r="B180" s="13">
        <v>0</v>
      </c>
      <c r="C180" s="14">
        <f>IFERROR(B180/B446, "NA")</f>
      </c>
      <c r="D180" s="15"/>
      <c r="E180" s="13">
        <v>0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0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0</v>
      </c>
      <c r="R180" s="14">
        <f>IFERROR(Q180/Q446, "NA")</f>
      </c>
      <c r="S180" s="15"/>
      <c r="T180" s="13">
        <v>0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0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idden="1" ht="16.5" customHeight="1">
      <c t="s" r="A181" s="18">
        <v>166</v>
      </c>
      <c r="B181" s="13">
        <v>0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0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0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0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idden="1" ht="16.5" customHeight="1">
      <c t="s" r="A184" s="12">
        <v>169</v>
      </c>
      <c r="B184" s="13">
        <v>0</v>
      </c>
      <c r="C184" s="14">
        <f>IFERROR(B184/B446, "NA")</f>
      </c>
      <c r="D184" s="15"/>
      <c r="E184" s="13">
        <v>0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0</v>
      </c>
      <c r="R184" s="14">
        <f>IFERROR(Q184/Q446, "NA")</f>
      </c>
      <c r="S184" s="15"/>
      <c r="T184" s="13">
        <v>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idden="1" ht="16.5" customHeight="1">
      <c t="s" r="A186" s="18">
        <v>170</v>
      </c>
      <c r="B186" s="13">
        <v>0</v>
      </c>
      <c r="C186" s="14">
        <f>IFERROR(B186/B446, "NA")</f>
      </c>
      <c r="D186" s="15"/>
      <c r="E186" s="13">
        <v>0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0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0</v>
      </c>
      <c r="R186" s="14">
        <f>IFERROR(Q186/Q446, "NA")</f>
      </c>
      <c r="S186" s="15"/>
      <c r="T186" s="13">
        <v>0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0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idden="1" ht="16.5" customHeight="1">
      <c t="s" r="A194" s="12">
        <v>178</v>
      </c>
      <c r="B194" s="13">
        <v>0</v>
      </c>
      <c r="C194" s="14">
        <f>IFERROR(B194/B446, "NA")</f>
      </c>
      <c r="D194" s="15"/>
      <c r="E194" s="13">
        <v>0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0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0</v>
      </c>
      <c r="R194" s="14">
        <f>IFERROR(Q194/Q446, "NA")</f>
      </c>
      <c r="S194" s="15"/>
      <c r="T194" s="13">
        <v>0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0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idden="1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idden="1" ht="16.5" customHeight="1">
      <c t="s" r="A202" s="12">
        <v>184</v>
      </c>
      <c r="B202" s="13">
        <v>0</v>
      </c>
      <c r="C202" s="14">
        <f>IFERROR(B202/B446, "NA")</f>
      </c>
      <c r="D202" s="15"/>
      <c r="E202" s="13">
        <v>0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0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0</v>
      </c>
      <c r="R202" s="14">
        <f>IFERROR(Q202/Q446, "NA")</f>
      </c>
      <c r="S202" s="15"/>
      <c r="T202" s="13">
        <v>0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0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idden="1" ht="16.5" customHeight="1">
      <c t="s" r="A203" s="12">
        <v>185</v>
      </c>
      <c r="B203" s="13">
        <v>0</v>
      </c>
      <c r="C203" s="14">
        <f>IFERROR(B203/B446, "NA")</f>
      </c>
      <c r="D203" s="15"/>
      <c r="E203" s="13">
        <v>0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0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0</v>
      </c>
      <c r="R203" s="14">
        <f>IFERROR(Q203/Q446, "NA")</f>
      </c>
      <c r="S203" s="15"/>
      <c r="T203" s="13">
        <v>0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0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idden="1" ht="16.5" customHeight="1">
      <c t="s" r="A204" s="12">
        <v>186</v>
      </c>
      <c r="B204" s="13">
        <v>0</v>
      </c>
      <c r="C204" s="14">
        <f>IFERROR(B204/B446, "NA")</f>
      </c>
      <c r="D204" s="15"/>
      <c r="E204" s="13">
        <v>0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0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0</v>
      </c>
      <c r="R204" s="14">
        <f>IFERROR(Q204/Q446, "NA")</f>
      </c>
      <c r="S204" s="15"/>
      <c r="T204" s="13">
        <v>0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0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idden="1" ht="16.5" customHeight="1">
      <c t="s" r="A205" s="12">
        <v>187</v>
      </c>
      <c r="B205" s="13">
        <v>0</v>
      </c>
      <c r="C205" s="14">
        <f>IFERROR(B205/B446, "NA")</f>
      </c>
      <c r="D205" s="15"/>
      <c r="E205" s="13">
        <v>0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0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0</v>
      </c>
      <c r="R205" s="14">
        <f>IFERROR(Q205/Q446, "NA")</f>
      </c>
      <c r="S205" s="15"/>
      <c r="T205" s="13">
        <v>0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0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idden="1" ht="16.5" customHeight="1">
      <c t="s" r="A206" s="12">
        <v>188</v>
      </c>
      <c r="B206" s="13">
        <v>0</v>
      </c>
      <c r="C206" s="14">
        <f>IFERROR(B206/B446, "NA")</f>
      </c>
      <c r="D206" s="15"/>
      <c r="E206" s="13">
        <v>0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0</v>
      </c>
      <c r="R206" s="14">
        <f>IFERROR(Q206/Q446, "NA")</f>
      </c>
      <c r="S206" s="15"/>
      <c r="T206" s="13">
        <v>0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0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idden="1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0</v>
      </c>
      <c r="R207" s="14">
        <f>IFERROR(Q207/Q446, "NA")</f>
      </c>
      <c r="S207" s="15"/>
      <c r="T207" s="13">
        <v>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0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idden="1" ht="16.5" customHeight="1">
      <c t="s" r="A208" s="12">
        <v>190</v>
      </c>
      <c r="B208" s="13">
        <v>0</v>
      </c>
      <c r="C208" s="14">
        <f>IFERROR(B208/B446, "NA")</f>
      </c>
      <c r="D208" s="15"/>
      <c r="E208" s="13">
        <v>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0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0</v>
      </c>
      <c r="R208" s="14">
        <f>IFERROR(Q208/Q446, "NA")</f>
      </c>
      <c r="S208" s="15"/>
      <c r="T208" s="13">
        <v>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0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idden="1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0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0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idden="1" ht="16.5" customHeight="1">
      <c t="s" r="A214" s="18">
        <v>194</v>
      </c>
      <c r="B214" s="13">
        <v>0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0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0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0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idden="1" ht="16.5" customHeight="1">
      <c t="s" r="A216" s="18">
        <v>196</v>
      </c>
      <c r="B216" s="13">
        <v>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0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idden="1" ht="16.5" customHeight="1">
      <c t="s" r="A217" s="18">
        <v>197</v>
      </c>
      <c r="B217" s="13">
        <v>0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0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0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0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idden="1" ht="16.5" customHeight="1">
      <c t="s" r="A222" s="12">
        <v>202</v>
      </c>
      <c r="B222" s="13">
        <v>0</v>
      </c>
      <c r="C222" s="14">
        <f>IFERROR(B222/B446, "NA")</f>
      </c>
      <c r="D222" s="15"/>
      <c r="E222" s="13">
        <v>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0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0</v>
      </c>
      <c r="R222" s="14">
        <f>IFERROR(Q222/Q446, "NA")</f>
      </c>
      <c r="S222" s="15"/>
      <c r="T222" s="13">
        <v>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0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idden="1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0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0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idden="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0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0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idden="1" ht="16.5" customHeight="1">
      <c t="s" r="A234" s="12">
        <v>213</v>
      </c>
      <c r="B234" s="13">
        <v>0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0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0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0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idden="1" ht="16.5" customHeight="1">
      <c t="s" r="A235" s="12">
        <v>214</v>
      </c>
      <c r="B235" s="13">
        <v>0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0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idden="1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0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0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idden="1" ht="16.5" customHeight="1">
      <c t="s" r="A242" s="18">
        <v>219</v>
      </c>
      <c r="B242" s="13">
        <v>0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0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0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0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idden="1" ht="16.5" customHeight="1">
      <c t="s" r="A243" s="18">
        <v>220</v>
      </c>
      <c r="B243" s="13">
        <v>0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0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0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0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idden="1" ht="16.5" customHeight="1">
      <c t="s" r="A244" s="18">
        <v>221</v>
      </c>
      <c r="B244" s="13">
        <v>0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0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idden="1" ht="16.5" customHeight="1">
      <c t="s" r="A246" s="18">
        <v>223</v>
      </c>
      <c r="B246" s="13">
        <v>0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0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0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0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idden="1" ht="16.5" customHeight="1">
      <c t="s" r="A248" s="18">
        <v>225</v>
      </c>
      <c r="B248" s="13">
        <v>0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0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0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0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idden="1" ht="16.5" customHeight="1">
      <c t="s" r="A249" s="18">
        <v>226</v>
      </c>
      <c r="B249" s="13">
        <v>0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0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0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0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idden="1" ht="16.5" customHeight="1">
      <c t="s" r="A266" s="12">
        <v>242</v>
      </c>
      <c r="B266" s="13">
        <v>0</v>
      </c>
      <c r="C266" s="14">
        <f>IFERROR(B266/B446, "NA")</f>
      </c>
      <c r="D266" s="15"/>
      <c r="E266" s="13">
        <v>0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0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0</v>
      </c>
      <c r="R266" s="14">
        <f>IFERROR(Q266/Q446, "NA")</f>
      </c>
      <c r="S266" s="15"/>
      <c r="T266" s="13">
        <v>0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0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idden="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0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0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0</v>
      </c>
      <c r="R271" s="14">
        <f>IFERROR(Q271/Q446, "NA")</f>
      </c>
      <c r="S271" s="15"/>
      <c r="T271" s="13">
        <v>0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0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idden="1" ht="16.5" customHeight="1">
      <c t="s" r="A272" s="12">
        <v>247</v>
      </c>
      <c r="B272" s="13">
        <v>0</v>
      </c>
      <c r="C272" s="14">
        <f>IFERROR(B272/B446, "NA")</f>
      </c>
      <c r="D272" s="15"/>
      <c r="E272" s="13">
        <v>0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0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0</v>
      </c>
      <c r="R272" s="14">
        <f>IFERROR(Q272/Q446, "NA")</f>
      </c>
      <c r="S272" s="15"/>
      <c r="T272" s="13">
        <v>0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0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idden="1" ht="16.5" customHeight="1">
      <c t="s" r="A289" s="12">
        <v>262</v>
      </c>
      <c r="B289" s="13">
        <v>0</v>
      </c>
      <c r="C289" s="14">
        <f>IFERROR(B289/B446, "NA")</f>
      </c>
      <c r="D289" s="15"/>
      <c r="E289" s="13">
        <v>0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0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0</v>
      </c>
      <c r="R289" s="14">
        <f>IFERROR(Q289/Q446, "NA")</f>
      </c>
      <c r="S289" s="15"/>
      <c r="T289" s="13">
        <v>0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0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idden="1" ht="16.5" customHeight="1">
      <c t="s" r="A290" s="12">
        <v>263</v>
      </c>
      <c r="B290" s="13">
        <v>0</v>
      </c>
      <c r="C290" s="14">
        <f>IFERROR(B290/B446, "NA")</f>
      </c>
      <c r="D290" s="15"/>
      <c r="E290" s="13">
        <v>0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0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0</v>
      </c>
      <c r="R290" s="14">
        <f>IFERROR(Q290/Q446, "NA")</f>
      </c>
      <c r="S290" s="15"/>
      <c r="T290" s="13">
        <v>0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0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idden="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0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0</v>
      </c>
      <c r="R291" s="14">
        <f>IFERROR(Q291/Q446, "NA")</f>
      </c>
      <c r="S291" s="15"/>
      <c r="T291" s="13">
        <v>0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0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idden="1" ht="16.5" customHeight="1">
      <c t="s" r="A292" s="12">
        <v>265</v>
      </c>
      <c r="B292" s="13">
        <v>0</v>
      </c>
      <c r="C292" s="14">
        <f>IFERROR(B292/B446, "NA")</f>
      </c>
      <c r="D292" s="15"/>
      <c r="E292" s="13">
        <v>0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0</v>
      </c>
      <c r="R292" s="14">
        <f>IFERROR(Q292/Q446, "NA")</f>
      </c>
      <c r="S292" s="15"/>
      <c r="T292" s="13">
        <v>0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0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idden="1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0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0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idden="1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0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0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idden="1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0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0</v>
      </c>
      <c r="R295" s="14">
        <f>IFERROR(Q295/Q446, "NA")</f>
      </c>
      <c r="S295" s="15"/>
      <c r="T295" s="13">
        <v>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0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idden="1" ht="16.5" customHeight="1">
      <c t="s" r="A300" s="12">
        <v>272</v>
      </c>
      <c r="B300" s="13">
        <v>0</v>
      </c>
      <c r="C300" s="14">
        <f>IFERROR(B300/B446, "NA")</f>
      </c>
      <c r="D300" s="15"/>
      <c r="E300" s="13">
        <v>0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0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0</v>
      </c>
      <c r="R300" s="14">
        <f>IFERROR(Q300/Q446, "NA")</f>
      </c>
      <c r="S300" s="15"/>
      <c r="T300" s="13">
        <v>0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0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idden="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0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0</v>
      </c>
      <c r="R311" s="14">
        <f>IFERROR(Q311/Q446, "NA")</f>
      </c>
      <c r="S311" s="15"/>
      <c r="T311" s="13">
        <v>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0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idden="1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0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idden="1" ht="16.5" customHeight="1">
      <c t="s" r="A313" s="12">
        <v>285</v>
      </c>
      <c r="B313" s="13">
        <v>0</v>
      </c>
      <c r="C313" s="14">
        <f>IFERROR(B313/B446, "NA")</f>
      </c>
      <c r="D313" s="15"/>
      <c r="E313" s="13">
        <v>0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0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0</v>
      </c>
      <c r="R313" s="14">
        <f>IFERROR(Q313/Q446, "NA")</f>
      </c>
      <c r="S313" s="15"/>
      <c r="T313" s="13">
        <v>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0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idden="1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0</v>
      </c>
      <c r="R314" s="14">
        <f>IFERROR(Q314/Q446, "NA")</f>
      </c>
      <c r="S314" s="15"/>
      <c r="T314" s="13">
        <v>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0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idden="1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0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idden="1" ht="16.5" customHeight="1">
      <c t="s" r="A320" s="12">
        <v>292</v>
      </c>
      <c r="B320" s="13">
        <v>0</v>
      </c>
      <c r="C320" s="14">
        <f>IFERROR(B320/B446, "NA")</f>
      </c>
      <c r="D320" s="15"/>
      <c r="E320" s="13">
        <v>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0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0</v>
      </c>
      <c r="R320" s="14">
        <f>IFERROR(Q320/Q446, "NA")</f>
      </c>
      <c r="S320" s="15"/>
      <c r="T320" s="13">
        <v>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0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idden="1" ht="16.5" customHeight="1">
      <c t="s" r="A321" s="12">
        <v>293</v>
      </c>
      <c r="B321" s="13">
        <v>0</v>
      </c>
      <c r="C321" s="14">
        <f>IFERROR(B321/B446, "NA")</f>
      </c>
      <c r="D321" s="15"/>
      <c r="E321" s="13">
        <v>0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0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0</v>
      </c>
      <c r="R321" s="14">
        <f>IFERROR(Q321/Q446, "NA")</f>
      </c>
      <c r="S321" s="15"/>
      <c r="T321" s="13">
        <v>0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0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idden="1" ht="16.5" customHeight="1">
      <c t="s" r="A322" s="12">
        <v>294</v>
      </c>
      <c r="B322" s="13">
        <v>0</v>
      </c>
      <c r="C322" s="14">
        <f>IFERROR(B322/B446, "NA")</f>
      </c>
      <c r="D322" s="15"/>
      <c r="E322" s="13">
        <v>0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0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0</v>
      </c>
      <c r="R322" s="14">
        <f>IFERROR(Q322/Q446, "NA")</f>
      </c>
      <c r="S322" s="15"/>
      <c r="T322" s="13">
        <v>0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0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idden="1" ht="16.5" customHeight="1">
      <c t="s" r="A323" s="12">
        <v>295</v>
      </c>
      <c r="B323" s="13">
        <v>0</v>
      </c>
      <c r="C323" s="14">
        <f>IFERROR(B323/B446, "NA")</f>
      </c>
      <c r="D323" s="15"/>
      <c r="E323" s="13">
        <v>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0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0</v>
      </c>
      <c r="R323" s="14">
        <f>IFERROR(Q323/Q446, "NA")</f>
      </c>
      <c r="S323" s="15"/>
      <c r="T323" s="13">
        <v>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0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idden="1" ht="16.5" customHeight="1">
      <c t="s" r="A330" s="12">
        <v>301</v>
      </c>
      <c r="B330" s="13">
        <v>0</v>
      </c>
      <c r="C330" s="14">
        <f>IFERROR(B330/B446, "NA")</f>
      </c>
      <c r="D330" s="15"/>
      <c r="E330" s="13">
        <v>0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0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0</v>
      </c>
      <c r="R330" s="14">
        <f>IFERROR(Q330/Q446, "NA")</f>
      </c>
      <c r="S330" s="15"/>
      <c r="T330" s="13">
        <v>0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0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idden="1" ht="16.5" customHeight="1">
      <c t="s" r="A331" s="12">
        <v>302</v>
      </c>
      <c r="B331" s="13">
        <v>0</v>
      </c>
      <c r="C331" s="14">
        <f>IFERROR(B331/B446, "NA")</f>
      </c>
      <c r="D331" s="15"/>
      <c r="E331" s="13">
        <v>0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0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0</v>
      </c>
      <c r="R331" s="14">
        <f>IFERROR(Q331/Q446, "NA")</f>
      </c>
      <c r="S331" s="15"/>
      <c r="T331" s="13">
        <v>0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0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idden="1" ht="16.5" customHeight="1">
      <c t="s" r="A334" s="12">
        <v>305</v>
      </c>
      <c r="B334" s="13">
        <v>0</v>
      </c>
      <c r="C334" s="14">
        <f>IFERROR(B334/B446, "NA")</f>
      </c>
      <c r="D334" s="15"/>
      <c r="E334" s="13">
        <v>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0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0</v>
      </c>
      <c r="R334" s="14">
        <f>IFERROR(Q334/Q446, "NA")</f>
      </c>
      <c r="S334" s="15"/>
      <c r="T334" s="13">
        <v>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0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idden="1" ht="16.5" customHeight="1">
      <c t="s" r="A335" s="12">
        <v>306</v>
      </c>
      <c r="B335" s="13">
        <v>0</v>
      </c>
      <c r="C335" s="14">
        <f>IFERROR(B335/B446, "NA")</f>
      </c>
      <c r="D335" s="15"/>
      <c r="E335" s="13">
        <v>0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0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idden="1" ht="16.5" customHeight="1">
      <c t="s" r="A339" s="18">
        <v>309</v>
      </c>
      <c r="B339" s="13">
        <v>0</v>
      </c>
      <c r="C339" s="14">
        <f>IFERROR(B339/B446, "NA")</f>
      </c>
      <c r="D339" s="15"/>
      <c r="E339" s="13">
        <v>0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0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0</v>
      </c>
      <c r="R339" s="14">
        <f>IFERROR(Q339/Q446, "NA")</f>
      </c>
      <c r="S339" s="15"/>
      <c r="T339" s="13">
        <v>0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0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idden="1" ht="16.5" customHeight="1">
      <c t="s" r="A340" s="18">
        <v>310</v>
      </c>
      <c r="B340" s="13">
        <v>0</v>
      </c>
      <c r="C340" s="14">
        <f>IFERROR(B340/B446, "NA")</f>
      </c>
      <c r="D340" s="15"/>
      <c r="E340" s="13">
        <v>0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0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0</v>
      </c>
      <c r="R340" s="14">
        <f>IFERROR(Q340/Q446, "NA")</f>
      </c>
      <c r="S340" s="15"/>
      <c r="T340" s="13">
        <v>0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0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idden="1" ht="16.5" customHeight="1">
      <c t="s" r="A341" s="18">
        <v>311</v>
      </c>
      <c r="B341" s="13">
        <v>0</v>
      </c>
      <c r="C341" s="14">
        <f>IFERROR(B341/B446, "NA")</f>
      </c>
      <c r="D341" s="15"/>
      <c r="E341" s="13">
        <v>0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0</v>
      </c>
      <c r="R341" s="14">
        <f>IFERROR(Q341/Q446, "NA")</f>
      </c>
      <c r="S341" s="15"/>
      <c r="T341" s="13">
        <v>0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0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44230.75</v>
      </c>
      <c r="C351" s="14">
        <f>IFERROR(B351/B446, "NA")</f>
      </c>
      <c r="D351" s="15"/>
      <c r="E351" s="13">
        <v>54326.919999999998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51009.550000000003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230033.57000000001</v>
      </c>
      <c r="R351" s="14">
        <f>IFERROR(Q351/Q446, "NA")</f>
      </c>
      <c r="S351" s="15"/>
      <c r="T351" s="13">
        <v>267269.21999999997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313621.79999999999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5000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5000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6774.8000000000002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3542.0900000000001</v>
      </c>
      <c r="C355" s="14">
        <f>IFERROR(B355/B446, "NA")</f>
      </c>
      <c r="D355" s="15"/>
      <c r="E355" s="13">
        <v>4509.1300000000001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4110.0200000000004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18758.970000000001</v>
      </c>
      <c r="R355" s="14">
        <f>IFERROR(Q355/Q446, "NA")</f>
      </c>
      <c r="S355" s="15"/>
      <c r="T355" s="13">
        <v>22183.34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27771.450000000001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135.68000000000001</v>
      </c>
      <c r="C356" s="14">
        <f>IFERROR(B356/B446, "NA")</f>
      </c>
      <c r="D356" s="15"/>
      <c r="E356" s="13">
        <v>233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190.80000000000001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769.54999999999995</v>
      </c>
      <c r="R356" s="14">
        <f>IFERROR(Q356/Q446, "NA")</f>
      </c>
      <c r="S356" s="15"/>
      <c r="T356" s="13">
        <v>1314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1409.8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6791</v>
      </c>
      <c r="C357" s="14">
        <f>IFERROR(B357/B446, "NA")</f>
      </c>
      <c r="D357" s="15"/>
      <c r="E357" s="13">
        <v>6790.8699999999999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6187.5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33408</v>
      </c>
      <c r="R357" s="14">
        <f>IFERROR(Q357/Q446, "NA")</f>
      </c>
      <c r="S357" s="15"/>
      <c r="T357" s="13">
        <v>33408.660000000003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40237.5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2631.0700000000002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3217.4699999999998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18526.110000000001</v>
      </c>
      <c r="R358" s="14">
        <f>IFERROR(Q358/Q446, "NA")</f>
      </c>
      <c r="S358" s="15"/>
      <c r="T358" s="13">
        <v>22080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20722.5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219.47</v>
      </c>
      <c r="C363" s="14">
        <f>IFERROR(B363/B446, "NA")</f>
      </c>
      <c r="D363" s="15"/>
      <c r="E363" s="13">
        <v>1080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695.54999999999995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1814.8199999999999</v>
      </c>
      <c r="R363" s="14">
        <f>IFERROR(Q363/Q446, "NA")</f>
      </c>
      <c r="S363" s="15"/>
      <c r="T363" s="13">
        <v>5616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4872.1499999999996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1446.8099999999999</v>
      </c>
      <c r="C364" s="14">
        <f>IFERROR(B364/B446, "NA")</f>
      </c>
      <c r="D364" s="15"/>
      <c r="E364" s="13">
        <v>225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763.53999999999996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6298.29</v>
      </c>
      <c r="R364" s="14">
        <f>IFERROR(Q364/Q446, "NA")</f>
      </c>
      <c r="S364" s="15"/>
      <c r="T364" s="13">
        <v>1050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5765.3000000000002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239.75</v>
      </c>
      <c r="C365" s="14">
        <f>IFERROR(B365/B446, "NA")</f>
      </c>
      <c r="D365" s="15"/>
      <c r="E365" s="13">
        <v>750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765.33000000000004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1032.1700000000001</v>
      </c>
      <c r="R365" s="14">
        <f>IFERROR(Q365/Q446, "NA")</f>
      </c>
      <c r="S365" s="15"/>
      <c r="T365" s="13">
        <v>3650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4724.9300000000003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675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4375.46</v>
      </c>
      <c r="R366" s="14">
        <f>IFERROR(Q366/Q446, "NA")</f>
      </c>
      <c r="S366" s="15"/>
      <c r="T366" s="13">
        <v>4725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4358.3800000000001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296.41000000000003</v>
      </c>
      <c r="C367" s="14">
        <f>IFERROR(B367/B446, "NA")</f>
      </c>
      <c r="D367" s="15"/>
      <c r="E367" s="13">
        <v>450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75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2844.8200000000002</v>
      </c>
      <c r="R367" s="14">
        <f>IFERROR(Q367/Q446, "NA")</f>
      </c>
      <c r="S367" s="15"/>
      <c r="T367" s="13">
        <v>2250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2868.5100000000002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807.02999999999997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1292.3199999999999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8955.1800000000003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6774.0600000000004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98</v>
      </c>
      <c r="C371" s="14">
        <f>IFERROR(B371/B446, "NA")</f>
      </c>
      <c r="D371" s="15"/>
      <c r="E371" s="13">
        <v>100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98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667.65999999999997</v>
      </c>
      <c r="R371" s="14">
        <f>IFERROR(Q371/Q446, "NA")</f>
      </c>
      <c r="S371" s="15"/>
      <c r="T371" s="13">
        <v>1500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1487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429.38999999999999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1590.1099999999999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2398.1300000000001</v>
      </c>
      <c r="R372" s="14">
        <f>IFERROR(Q372/Q446, "NA")</f>
      </c>
      <c r="S372" s="15"/>
      <c r="T372" s="13">
        <v>750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3994.9400000000001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781.79999999999995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277.17000000000002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3635.3600000000001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2385.8499999999999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740.41999999999996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237.08000000000001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4376.0699999999997</v>
      </c>
      <c r="R374" s="14">
        <f>IFERROR(Q374/Q446, "NA")</f>
      </c>
      <c r="S374" s="15"/>
      <c r="T374" s="13">
        <v>3774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2387.7199999999998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6012.4200000000001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2149.5300000000002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16590.34</v>
      </c>
      <c r="R375" s="14">
        <f>IFERROR(Q375/Q446, "NA")</f>
      </c>
      <c r="S375" s="15"/>
      <c r="T375" s="13">
        <v>12900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11733.540000000001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654.89999999999998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3675.8200000000002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1498.1099999999999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3881.0799999999999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180.5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-2413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4907.0600000000004</v>
      </c>
      <c r="C379" s="14">
        <f>IFERROR(B379/B446, "NA")</f>
      </c>
      <c r="D379" s="15"/>
      <c r="E379" s="13">
        <v>7184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12589.940000000001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37311.32</v>
      </c>
      <c r="R379" s="14">
        <f>IFERROR(Q379/Q446, "NA")</f>
      </c>
      <c r="S379" s="15"/>
      <c r="T379" s="13">
        <v>46304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56219.959999999999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345.72000000000003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1183.0799999999999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3379.2800000000002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6211.9099999999999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11800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12190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70855.669999999998</v>
      </c>
      <c r="R381" s="14">
        <f>IFERROR(Q381/Q446, "NA")</f>
      </c>
      <c r="S381" s="15"/>
      <c r="T381" s="13">
        <v>70800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69690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152.5</v>
      </c>
      <c r="C382" s="14">
        <f>IFERROR(B382/B446, "NA")</f>
      </c>
      <c r="D382" s="15"/>
      <c r="E382" s="13">
        <v>3000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5950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3825</v>
      </c>
      <c r="R382" s="14">
        <f>IFERROR(Q382/Q446, "NA")</f>
      </c>
      <c r="S382" s="15"/>
      <c r="T382" s="13">
        <v>17000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36441.510000000002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306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982.62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2741.6399999999999</v>
      </c>
      <c r="R383" s="14">
        <f>IFERROR(Q383/Q446, "NA")</f>
      </c>
      <c r="S383" s="15"/>
      <c r="T383" s="13">
        <v>2836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3774.3800000000001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236.16999999999999</v>
      </c>
      <c r="C386" s="14">
        <f>IFERROR(B386/B446, "NA")</f>
      </c>
      <c r="D386" s="15"/>
      <c r="E386" s="13">
        <v>1000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2542.7800000000002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12003.290000000001</v>
      </c>
      <c r="R386" s="14">
        <f>IFERROR(Q386/Q446, "NA")</f>
      </c>
      <c r="S386" s="15"/>
      <c r="T386" s="13">
        <v>5500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20129.330000000002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51.469999999999999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16521.150000000001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80945.550000000003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7316.6800000000003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7237.5900000000001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40392.040000000001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28318.959999999999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3636.2199999999998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918.39999999999998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30108.41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55756.459999999999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3261.96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4932.6700000000001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21189.990000000002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29147.790000000001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4334.3500000000004</v>
      </c>
      <c r="C395" s="14">
        <f>IFERROR(B395/B446, "NA")</f>
      </c>
      <c r="D395" s="15"/>
      <c r="E395" s="13">
        <v>3933.6100000000001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9799.8600000000006</v>
      </c>
      <c r="R395" s="14">
        <f>IFERROR(Q395/Q446, "NA")</f>
      </c>
      <c r="S395" s="15"/>
      <c r="T395" s="13">
        <v>24886.57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518.22000000000003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1288.75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15866.75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16921.990000000002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87375.619999999995</v>
      </c>
      <c r="R398" s="14">
        <f>IFERROR(Q398/Q446, "NA")</f>
      </c>
      <c r="S398" s="15"/>
      <c r="T398" s="13">
        <v>53200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39239.25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241.80000000000001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141.44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1489.5999999999999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845.27999999999997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2826.8400000000001</v>
      </c>
      <c r="R400" s="14">
        <f>IFERROR(Q400/Q446, "NA")</f>
      </c>
      <c r="S400" s="15"/>
      <c r="T400" s="13">
        <v>600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500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-13500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-81000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59.700000000000003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59.700000000000003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358.19999999999999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483.38999999999999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268.37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1610.23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1341.8499999999999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idden="1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0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0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0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-3725.6900000000001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56.25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56.25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5.21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-15593.040000000001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-91254.839999999997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-3.8399999999999999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-949.12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-17020.66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-8358.2000000000007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-62864.029999999999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0</v>
      </c>
      <c r="C446" s="33"/>
      <c r="D446" s="15"/>
      <c r="E446" s="13">
        <v>0</v>
      </c>
      <c r="F446" s="33"/>
      <c r="G446" s="15"/>
      <c r="H446" s="16">
        <f>IFERROR(B446-E446, "NA")</f>
      </c>
      <c r="I446" s="33"/>
      <c r="J446" s="15"/>
      <c r="K446" s="13">
        <v>0</v>
      </c>
      <c r="L446" s="33"/>
      <c r="M446" s="15"/>
      <c r="N446" s="16">
        <f>IFERROR(B446-K446, "NA")</f>
      </c>
      <c r="O446" s="33"/>
      <c r="P446" s="15"/>
      <c r="Q446" s="13">
        <v>0</v>
      </c>
      <c r="R446" s="33"/>
      <c r="S446" s="15"/>
      <c r="T446" s="13">
        <v>0</v>
      </c>
      <c r="U446" s="33"/>
      <c r="V446" s="15"/>
      <c r="W446" s="16">
        <f>IFERROR(Q446-T446, "NA")</f>
      </c>
      <c r="X446" s="33"/>
      <c r="Y446" s="15"/>
      <c r="Z446" s="13">
        <v>0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414</v>
      </c>
      <c t="s" r="B3" s="3">
        <v>414</v>
      </c>
      <c t="s" r="C3" s="3">
        <v>414</v>
      </c>
      <c t="s" r="D3" s="3">
        <v>414</v>
      </c>
      <c t="s" r="E3" s="3">
        <v>414</v>
      </c>
      <c t="s" r="F3" s="3">
        <v>414</v>
      </c>
      <c t="s" r="G3" s="3">
        <v>414</v>
      </c>
      <c t="s" r="H3" s="3">
        <v>414</v>
      </c>
      <c t="s" r="I3" s="3">
        <v>414</v>
      </c>
      <c t="s" r="J3" s="3">
        <v>414</v>
      </c>
      <c t="s" r="K3" s="3">
        <v>414</v>
      </c>
      <c t="s" r="L3" s="3">
        <v>414</v>
      </c>
      <c t="s" r="M3" s="3">
        <v>414</v>
      </c>
      <c t="s" r="N3" s="3">
        <v>414</v>
      </c>
      <c t="s" r="O3" s="3">
        <v>414</v>
      </c>
      <c t="s" r="P3" s="3">
        <v>414</v>
      </c>
      <c t="s" r="Q3" s="3">
        <v>414</v>
      </c>
      <c t="s" r="R3" s="3">
        <v>414</v>
      </c>
      <c t="s" r="S3" s="3">
        <v>414</v>
      </c>
      <c t="s" r="T3" s="3">
        <v>414</v>
      </c>
      <c t="s" r="U3" s="3">
        <v>414</v>
      </c>
      <c t="s" r="V3" s="3">
        <v>414</v>
      </c>
      <c t="s" r="W3" s="3">
        <v>414</v>
      </c>
      <c t="s" r="X3" s="3">
        <v>414</v>
      </c>
      <c t="s" r="Y3" s="3">
        <v>414</v>
      </c>
      <c t="s" r="Z3" s="3">
        <v>414</v>
      </c>
      <c t="s" r="AA3" s="3">
        <v>414</v>
      </c>
      <c t="s" r="AB3" s="3">
        <v>414</v>
      </c>
      <c t="s" r="AC3" s="3">
        <v>414</v>
      </c>
      <c t="s" r="AD3" s="3">
        <v>414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51338.349999999999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253767.32999999999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47942.790000000001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47560.220000000001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225385.70000000001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236063.29999999999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5029.1499999999996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5486.8000000000002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23391.900000000001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25302.200000000001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267.5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299.5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1168.5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1339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40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110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296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1675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118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69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380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256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0.42999999999999999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4.04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1.3500000000000001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11184.83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55287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8677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1956.45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41383.150000000001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7769.9799999999996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32803.300000000003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1168.3099999999999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785.91999999999996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4629.1800000000003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3845.0500000000002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40.700000000000003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991.75999999999999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2059.75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10068.450000000001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742.75999999999999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856.57000000000005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4875.8599999999997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4983.6800000000003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21251.169999999998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105045.3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5897.3699999999999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7835.7600000000002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33588.629999999997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34230.07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713.82000000000005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776.91999999999996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2881.77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3465.0799999999999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9904.7600000000002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10460.790000000001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63415.739999999998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63296.540000000001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329.44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2556.9200000000001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1101.8299999999999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116.34999999999999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4192.6300000000001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22369.650000000001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110574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9390.3700000000008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7699.2799999999997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32160.580000000002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35981.839999999997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1170.5699999999999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586.63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2940.4299999999998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5997.9399999999996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3457.8800000000001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5354.7799999999997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11795.620000000001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35664.730000000003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27.5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3130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50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15445.16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7940.5699999999997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5331.9300000000003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334.29000000000002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54.950000000000003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665.10000000000002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1370.8299999999999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4400.8900000000003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4510.3199999999997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11408.52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56392.739999999998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4877.7600000000002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5209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43935.07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15839.629999999999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797.70000000000005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6889.3800000000001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2177.6999999999998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4884.8199999999997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4355.3999999999996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18980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5555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25384.5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894.78999999999996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4422.96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353.61000000000001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253.84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1691.3499999999999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1268.74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125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50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200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325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265.39999999999998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557.07000000000005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1082.78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3349.1100000000001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35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50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25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100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75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-7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-199.69999999999999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42.719999999999999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-568.21000000000004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-25.969999999999999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-471.63999999999999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-6599.0500000000002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-32619.34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-1053.25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-1113.4000000000001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-5897.0799999999999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-7165.29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-1430.8299999999999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-2635.6599999999999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-7759.2700000000004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-11351.110000000001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-37.75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-504.06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-414.13999999999999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-1800.21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-64.439999999999998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-969.89999999999998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-973.25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-5349.9099999999999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-5485.5799999999999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-48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-319.86000000000001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-394.63999999999999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-1931.53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-2693.6199999999999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-421.69999999999999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-768.09000000000003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23711.830000000002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117733.06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4609.46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5201.5900000000001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25826.439999999999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28142.07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3408.3000000000002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3050.2800000000002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15821.139999999999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15823.23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5059.3699999999999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5678.0699999999997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23684.740000000002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23516.209999999999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1972.72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2277.5500000000002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11266.6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10864.559999999999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1367.45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785.28999999999996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6056.3699999999999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4197.04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960.57000000000005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779.97000000000003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4159.5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4103.7700000000004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-1.9099999999999999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4801.5500000000002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616.94000000000005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630.13999999999999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2996.1199999999999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2938.3899999999999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6523.0299999999997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6154.6899999999996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35295.720000000001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28910.740000000002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1342.1800000000001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6634.4499999999998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1720.3099999999999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1691.52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7407.8900000000003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7294.3800000000001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156.06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198.97999999999999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550.85000000000002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859.30999999999995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99.989999999999995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34.740000000000002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133.31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534.23000000000002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65.379999999999995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69.290000000000006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110.18000000000001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225.53999999999999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4473.9300000000003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22114.799999999999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4122.3999999999996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3500.54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17242.93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17540.669999999998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837.01999999999998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769.22000000000003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7654.5799999999999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4024.3099999999999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74.200000000000003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709.73000000000002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217.47999999999999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3054.3000000000002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1729.5599999999999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2.3300000000000001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70.730000000000004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85.590000000000003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387.75999999999999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523.25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153.87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26.600000000000001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590.32000000000005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160.40000000000001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-952.90999999999997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-1402.05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-5360.1300000000001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-10224.73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5812.3000000000002</v>
      </c>
      <c r="C178" s="14">
        <f>IFERROR(B178/B446, "NA")</f>
      </c>
      <c r="D178" s="15"/>
      <c r="E178" s="13">
        <v>5494.25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5494.25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31184.889999999999</v>
      </c>
      <c r="R178" s="14">
        <f>IFERROR(Q178/Q446, "NA")</f>
      </c>
      <c r="S178" s="15"/>
      <c r="T178" s="13">
        <v>29725.099999999999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29725.099999999999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20042.57</v>
      </c>
      <c r="C180" s="14">
        <f>IFERROR(B180/B446, "NA")</f>
      </c>
      <c r="D180" s="15"/>
      <c r="E180" s="13">
        <v>24606.619999999999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22280.43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109063.07000000001</v>
      </c>
      <c r="R180" s="14">
        <f>IFERROR(Q180/Q446, "NA")</f>
      </c>
      <c r="S180" s="15"/>
      <c r="T180" s="13">
        <v>114414.91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107135.71000000001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563.69000000000005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-270.88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1189.4400000000001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-34.670000000000002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275</v>
      </c>
      <c r="C184" s="14">
        <f>IFERROR(B184/B446, "NA")</f>
      </c>
      <c r="D184" s="15"/>
      <c r="E184" s="13">
        <v>275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200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1455</v>
      </c>
      <c r="R184" s="14">
        <f>IFERROR(Q184/Q446, "NA")</f>
      </c>
      <c r="S184" s="15"/>
      <c r="T184" s="13">
        <v>1210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1700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2593.96</v>
      </c>
      <c r="C186" s="14">
        <f>IFERROR(B186/B446, "NA")</f>
      </c>
      <c r="D186" s="15"/>
      <c r="E186" s="13">
        <v>3022.0900000000001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2764.9499999999998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15581.889999999999</v>
      </c>
      <c r="R186" s="14">
        <f>IFERROR(Q186/Q446, "NA")</f>
      </c>
      <c r="S186" s="15"/>
      <c r="T186" s="13">
        <v>18260.049999999999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17012.380000000001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462.16000000000003</v>
      </c>
      <c r="C194" s="14">
        <f>IFERROR(B194/B446, "NA")</f>
      </c>
      <c r="D194" s="15"/>
      <c r="E194" s="13">
        <v>243.00999999999999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224.72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1847.5899999999999</v>
      </c>
      <c r="R194" s="14">
        <f>IFERROR(Q194/Q446, "NA")</f>
      </c>
      <c r="S194" s="15"/>
      <c r="T194" s="13">
        <v>1162.8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1412.98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-7.1500000000000004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-227.19999999999999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-0.02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-1145.52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837.82000000000005</v>
      </c>
      <c r="C202" s="14">
        <f>IFERROR(B202/B446, "NA")</f>
      </c>
      <c r="D202" s="15"/>
      <c r="E202" s="13">
        <v>894.78999999999996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1103.9200000000001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2880.2199999999998</v>
      </c>
      <c r="R202" s="14">
        <f>IFERROR(Q202/Q446, "NA")</f>
      </c>
      <c r="S202" s="15"/>
      <c r="T202" s="13">
        <v>4422.96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4495.9799999999996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657.75</v>
      </c>
      <c r="C203" s="14">
        <f>IFERROR(B203/B446, "NA")</f>
      </c>
      <c r="D203" s="15"/>
      <c r="E203" s="13">
        <v>1006.63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1888.51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3693.6399999999999</v>
      </c>
      <c r="R203" s="14">
        <f>IFERROR(Q203/Q446, "NA")</f>
      </c>
      <c r="S203" s="15"/>
      <c r="T203" s="13">
        <v>4975.8299999999999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5597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31.98</v>
      </c>
      <c r="C204" s="14">
        <f>IFERROR(B204/B446, "NA")</f>
      </c>
      <c r="D204" s="15"/>
      <c r="E204" s="13">
        <v>223.69999999999999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408.85000000000002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1053.78</v>
      </c>
      <c r="R204" s="14">
        <f>IFERROR(Q204/Q446, "NA")</f>
      </c>
      <c r="S204" s="15"/>
      <c r="T204" s="13">
        <v>1105.75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1248.3199999999999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404.10000000000002</v>
      </c>
      <c r="C205" s="14">
        <f>IFERROR(B205/B446, "NA")</f>
      </c>
      <c r="D205" s="15"/>
      <c r="E205" s="13">
        <v>335.54000000000002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432.05000000000001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2171.0500000000002</v>
      </c>
      <c r="R205" s="14">
        <f>IFERROR(Q205/Q446, "NA")</f>
      </c>
      <c r="S205" s="15"/>
      <c r="T205" s="13">
        <v>1658.5999999999999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2239.6700000000001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35.359999999999999</v>
      </c>
      <c r="C206" s="14">
        <f>IFERROR(B206/B446, "NA")</f>
      </c>
      <c r="D206" s="15"/>
      <c r="E206" s="13">
        <v>111.84999999999999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241.11000000000001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667.25999999999999</v>
      </c>
      <c r="R206" s="14">
        <f>IFERROR(Q206/Q446, "NA")</f>
      </c>
      <c r="S206" s="15"/>
      <c r="T206" s="13">
        <v>552.87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490.44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156.74000000000001</v>
      </c>
      <c r="R207" s="14">
        <f>IFERROR(Q207/Q446, "NA")</f>
      </c>
      <c r="S207" s="15"/>
      <c r="T207" s="13">
        <v>600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588.25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21.510000000000002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97.909999999999997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191.80000000000001</v>
      </c>
      <c r="R208" s="14">
        <f>IFERROR(Q208/Q446, "NA")</f>
      </c>
      <c r="S208" s="15"/>
      <c r="T208" s="13">
        <v>600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1041.8199999999999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3243.5999999999999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16033.23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563.46000000000004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1541.1400000000001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3908.6799999999998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7623.6099999999997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60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290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61.090000000000003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1946.3599999999999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1751.03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12263.93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12369.969999999999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66.670000000000002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253.06999999999999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1105.4300000000001</v>
      </c>
      <c r="R222" s="14">
        <f>IFERROR(Q222/Q446, "NA")</f>
      </c>
      <c r="S222" s="15"/>
      <c r="T222" s="13">
        <v>600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946.51999999999998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894.78999999999996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4422.96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83.950000000000003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126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126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734.04999999999995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868.97000000000003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352.04000000000002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3381.4299999999998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3866.5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24.359999999999999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122.25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6039.8100000000004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29854.98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213.77000000000001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102.87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518.17999999999995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879.00999999999999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734.46000000000004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856.45000000000005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4015.8899999999999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3663.8000000000002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561.99000000000001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902.52999999999997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1958.8800000000001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5730.8199999999997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806.60000000000002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1062.22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8681.0499999999993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3243.5799999999999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145.19999999999999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206.05000000000001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627.95000000000005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934.63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172.36000000000001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198.77000000000001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1190.46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1215.48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1971.2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1560.8399999999999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11759.23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8990.1100000000006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271.29000000000002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29.09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166.27000000000001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342.70999999999998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1100.22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1124.6800000000001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72.569999999999993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721.84000000000003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518.62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755.17999999999995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1063.04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1111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5076.8999999999996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2969.3200000000002</v>
      </c>
      <c r="C266" s="14">
        <f>IFERROR(B266/B446, "NA")</f>
      </c>
      <c r="D266" s="15"/>
      <c r="E266" s="13">
        <v>3019.9000000000001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2744.3400000000001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14830.700000000001</v>
      </c>
      <c r="R266" s="14">
        <f>IFERROR(Q266/Q446, "NA")</f>
      </c>
      <c r="S266" s="15"/>
      <c r="T266" s="13">
        <v>14927.48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14005.440000000001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398.48000000000002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236.72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218.47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1335</v>
      </c>
      <c r="R271" s="14">
        <f>IFERROR(Q271/Q446, "NA")</f>
      </c>
      <c r="S271" s="15"/>
      <c r="T271" s="13">
        <v>1420.3199999999999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1310.8199999999999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-931.71000000000004</v>
      </c>
      <c r="C272" s="14">
        <f>IFERROR(B272/B446, "NA")</f>
      </c>
      <c r="D272" s="15"/>
      <c r="E272" s="13">
        <v>1078.3299999999999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1196.0699999999999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4780.5900000000001</v>
      </c>
      <c r="R272" s="14">
        <f>IFERROR(Q272/Q446, "NA")</f>
      </c>
      <c r="S272" s="15"/>
      <c r="T272" s="13">
        <v>6469.9799999999996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7220.6800000000003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1067.5899999999999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6405.54</v>
      </c>
      <c r="R288" s="14">
        <f>IFERROR(Q288/Q446, "NA")</f>
      </c>
      <c r="S288" s="15"/>
      <c r="T288" s="13">
        <v>5826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5823.1800000000003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260.13</v>
      </c>
      <c r="C289" s="14">
        <f>IFERROR(B289/B446, "NA")</f>
      </c>
      <c r="D289" s="15"/>
      <c r="E289" s="13">
        <v>263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185.81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1560.78</v>
      </c>
      <c r="R289" s="14">
        <f>IFERROR(Q289/Q446, "NA")</f>
      </c>
      <c r="S289" s="15"/>
      <c r="T289" s="13">
        <v>1578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2045.5599999999999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0</v>
      </c>
      <c r="C290" s="14">
        <f>IFERROR(B290/B446, "NA")</f>
      </c>
      <c r="D290" s="15"/>
      <c r="E290" s="13">
        <v>224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218.66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1431.8599999999999</v>
      </c>
      <c r="R290" s="14">
        <f>IFERROR(Q290/Q446, "NA")</f>
      </c>
      <c r="S290" s="15"/>
      <c r="T290" s="13">
        <v>1344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1446.8399999999999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1503.73</v>
      </c>
      <c r="C291" s="14">
        <f>IFERROR(B291/B446, "NA")</f>
      </c>
      <c r="D291" s="15"/>
      <c r="E291" s="13">
        <v>447.38999999999999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1799.4100000000001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4169.3900000000003</v>
      </c>
      <c r="R291" s="14">
        <f>IFERROR(Q291/Q446, "NA")</f>
      </c>
      <c r="S291" s="15"/>
      <c r="T291" s="13">
        <v>2098.02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3153.0799999999999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270.47000000000003</v>
      </c>
      <c r="C292" s="14">
        <f>IFERROR(B292/B446, "NA")</f>
      </c>
      <c r="D292" s="15"/>
      <c r="E292" s="13">
        <v>447.38999999999999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1157.9000000000001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7562.8199999999997</v>
      </c>
      <c r="R292" s="14">
        <f>IFERROR(Q292/Q446, "NA")</f>
      </c>
      <c r="S292" s="15"/>
      <c r="T292" s="13">
        <v>2211.48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2842.73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204.96000000000001</v>
      </c>
      <c r="C293" s="14">
        <f>IFERROR(B293/B446, "NA")</f>
      </c>
      <c r="D293" s="15"/>
      <c r="E293" s="13">
        <v>335.54000000000002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626.97000000000003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204.96000000000001</v>
      </c>
      <c r="R293" s="14">
        <f>IFERROR(Q293/Q446, "NA")</f>
      </c>
      <c r="S293" s="15"/>
      <c r="T293" s="13">
        <v>1658.5999999999999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2330.6599999999999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521.60000000000002</v>
      </c>
      <c r="C294" s="14">
        <f>IFERROR(B294/B446, "NA")</f>
      </c>
      <c r="D294" s="15"/>
      <c r="E294" s="13">
        <v>167.77000000000001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521.60000000000002</v>
      </c>
      <c r="R294" s="14">
        <f>IFERROR(Q294/Q446, "NA")</f>
      </c>
      <c r="S294" s="15"/>
      <c r="T294" s="13">
        <v>829.28999999999996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350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324.99000000000001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1499.97</v>
      </c>
      <c r="R295" s="14">
        <f>IFERROR(Q295/Q446, "NA")</f>
      </c>
      <c r="S295" s="15"/>
      <c r="T295" s="13">
        <v>2100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2205.5999999999999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206.06999999999999</v>
      </c>
      <c r="C300" s="14">
        <f>IFERROR(B300/B446, "NA")</f>
      </c>
      <c r="D300" s="15"/>
      <c r="E300" s="13">
        <v>489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525.51999999999998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2715.1399999999999</v>
      </c>
      <c r="R300" s="14">
        <f>IFERROR(Q300/Q446, "NA")</f>
      </c>
      <c r="S300" s="15"/>
      <c r="T300" s="13">
        <v>2934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4160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45.420000000000002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134.63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-11.58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27.510000000000002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152.62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115.48</v>
      </c>
      <c r="R311" s="14">
        <f>IFERROR(Q311/Q446, "NA")</f>
      </c>
      <c r="S311" s="15"/>
      <c r="T311" s="13">
        <v>330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677.63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158.03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310.79000000000002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2498.5300000000002</v>
      </c>
      <c r="R313" s="14">
        <f>IFERROR(Q313/Q446, "NA")</f>
      </c>
      <c r="S313" s="15"/>
      <c r="T313" s="13">
        <v>210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724.99000000000001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11.1</v>
      </c>
      <c r="C314" s="14">
        <f>IFERROR(B314/B446, "NA")</f>
      </c>
      <c r="D314" s="15"/>
      <c r="E314" s="13">
        <v>25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18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147.02000000000001</v>
      </c>
      <c r="R314" s="14">
        <f>IFERROR(Q314/Q446, "NA")</f>
      </c>
      <c r="S314" s="15"/>
      <c r="T314" s="13">
        <v>150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121.05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290.20999999999998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414.56999999999999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2072.8499999999999</v>
      </c>
      <c r="R319" s="14">
        <f>IFERROR(Q319/Q446, "NA")</f>
      </c>
      <c r="S319" s="15"/>
      <c r="T319" s="13">
        <v>2490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2487.4200000000001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149.56</v>
      </c>
      <c r="C320" s="14">
        <f>IFERROR(B320/B446, "NA")</f>
      </c>
      <c r="D320" s="15"/>
      <c r="E320" s="13">
        <v>150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149.55000000000001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897.63</v>
      </c>
      <c r="R320" s="14">
        <f>IFERROR(Q320/Q446, "NA")</f>
      </c>
      <c r="S320" s="15"/>
      <c r="T320" s="13">
        <v>900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897.38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1269.2</v>
      </c>
      <c r="C321" s="14">
        <f>IFERROR(B321/B446, "NA")</f>
      </c>
      <c r="D321" s="15"/>
      <c r="E321" s="13">
        <v>1242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1171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8667.2099999999991</v>
      </c>
      <c r="R321" s="14">
        <f>IFERROR(Q321/Q446, "NA")</f>
      </c>
      <c r="S321" s="15"/>
      <c r="T321" s="13">
        <v>7452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6506.5100000000002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952.90999999999997</v>
      </c>
      <c r="C322" s="14">
        <f>IFERROR(B322/B446, "NA")</f>
      </c>
      <c r="D322" s="15"/>
      <c r="E322" s="13">
        <v>1677.72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1402.05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5360.1300000000001</v>
      </c>
      <c r="R322" s="14">
        <f>IFERROR(Q322/Q446, "NA")</f>
      </c>
      <c r="S322" s="15"/>
      <c r="T322" s="13">
        <v>8227.4699999999993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10224.73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138.44999999999999</v>
      </c>
      <c r="C323" s="14">
        <f>IFERROR(B323/B446, "NA")</f>
      </c>
      <c r="D323" s="15"/>
      <c r="E323" s="13">
        <v>250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162.27000000000001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1360.1400000000001</v>
      </c>
      <c r="R323" s="14">
        <f>IFERROR(Q323/Q446, "NA")</f>
      </c>
      <c r="S323" s="15"/>
      <c r="T323" s="13">
        <v>1500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1753.74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4735.6999999999998</v>
      </c>
      <c r="C330" s="14">
        <f>IFERROR(B330/B446, "NA")</f>
      </c>
      <c r="D330" s="15"/>
      <c r="E330" s="13">
        <v>4735.6999999999998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4597.7600000000002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28414.200000000001</v>
      </c>
      <c r="R330" s="14">
        <f>IFERROR(Q330/Q446, "NA")</f>
      </c>
      <c r="S330" s="15"/>
      <c r="T330" s="13">
        <v>28414.200000000001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27586.560000000001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1736.5999999999999</v>
      </c>
      <c r="C331" s="14">
        <f>IFERROR(B331/B446, "NA")</f>
      </c>
      <c r="D331" s="15"/>
      <c r="E331" s="13">
        <v>1736.5999999999999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1686.02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13277.190000000001</v>
      </c>
      <c r="R331" s="14">
        <f>IFERROR(Q331/Q446, "NA")</f>
      </c>
      <c r="S331" s="15"/>
      <c r="T331" s="13">
        <v>10419.6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11367.23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1881.98</v>
      </c>
      <c r="C334" s="14">
        <f>IFERROR(B334/B446, "NA")</f>
      </c>
      <c r="D334" s="15"/>
      <c r="E334" s="13">
        <v>1914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1913.97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10907.67</v>
      </c>
      <c r="R334" s="14">
        <f>IFERROR(Q334/Q446, "NA")</f>
      </c>
      <c r="S334" s="15"/>
      <c r="T334" s="13">
        <v>11484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10725.08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729.29999999999995</v>
      </c>
      <c r="C335" s="14">
        <f>IFERROR(B335/B446, "NA")</f>
      </c>
      <c r="D335" s="15"/>
      <c r="E335" s="13">
        <v>729.29999999999995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708.05999999999995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2638.9400000000001</v>
      </c>
      <c r="C339" s="14">
        <f>IFERROR(B339/B446, "NA")</f>
      </c>
      <c r="D339" s="15"/>
      <c r="E339" s="13">
        <v>3243.5999999999999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2725.3000000000002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13821.200000000001</v>
      </c>
      <c r="R339" s="14">
        <f>IFERROR(Q339/Q446, "NA")</f>
      </c>
      <c r="S339" s="15"/>
      <c r="T339" s="13">
        <v>16033.23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14728.51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250.44</v>
      </c>
      <c r="C340" s="14">
        <f>IFERROR(B340/B446, "NA")</f>
      </c>
      <c r="D340" s="15"/>
      <c r="E340" s="13">
        <v>447.38999999999999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328.76999999999998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2301.9000000000001</v>
      </c>
      <c r="R340" s="14">
        <f>IFERROR(Q340/Q446, "NA")</f>
      </c>
      <c r="S340" s="15"/>
      <c r="T340" s="13">
        <v>2211.48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1949.25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890.20000000000005</v>
      </c>
      <c r="C341" s="14">
        <f>IFERROR(B341/B446, "NA")</f>
      </c>
      <c r="D341" s="15"/>
      <c r="E341" s="13">
        <v>447.38999999999999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365.99000000000001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3960.1599999999999</v>
      </c>
      <c r="R341" s="14">
        <f>IFERROR(Q341/Q446, "NA")</f>
      </c>
      <c r="S341" s="15"/>
      <c r="T341" s="13">
        <v>2211.48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2530.1999999999998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4188.54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24531.139999999999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6070.3299999999999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4059.0500000000002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32078.450000000001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23362.799999999999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-21.239999999999998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6.8799999999999999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-90.959999999999994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-78.420000000000002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21.23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t="16.5" customHeight="1">
      <c t="s" r="A425" s="12">
        <v>390</v>
      </c>
      <c r="B425" s="13">
        <v>7200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7200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67.079999999999998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402.48000000000002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239.59999999999999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12875.209999999999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-113.7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-135.94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-668.13999999999999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-802.76999999999998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107220.89</v>
      </c>
      <c r="C446" s="33"/>
      <c r="D446" s="15"/>
      <c r="E446" s="13">
        <v>111848.25999999999</v>
      </c>
      <c r="F446" s="33"/>
      <c r="G446" s="15"/>
      <c r="H446" s="16">
        <f>IFERROR(B446-E446, "NA")</f>
      </c>
      <c r="I446" s="33"/>
      <c r="J446" s="15"/>
      <c r="K446" s="13">
        <v>102331.42999999999</v>
      </c>
      <c r="L446" s="33"/>
      <c r="M446" s="15"/>
      <c r="N446" s="16">
        <f>IFERROR(B446-K446, "NA")</f>
      </c>
      <c r="O446" s="33"/>
      <c r="P446" s="15"/>
      <c r="Q446" s="13">
        <v>554563.68999999994</v>
      </c>
      <c r="R446" s="33"/>
      <c r="S446" s="15"/>
      <c r="T446" s="13">
        <v>552869.98999999999</v>
      </c>
      <c r="U446" s="33"/>
      <c r="V446" s="15"/>
      <c r="W446" s="16">
        <f>IFERROR(Q446-T446, "NA")</f>
      </c>
      <c r="X446" s="33"/>
      <c r="Y446" s="15"/>
      <c r="Z446" s="13">
        <v>512840.34000000003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415</v>
      </c>
      <c t="s" r="B3" s="3">
        <v>415</v>
      </c>
      <c t="s" r="C3" s="3">
        <v>415</v>
      </c>
      <c t="s" r="D3" s="3">
        <v>415</v>
      </c>
      <c t="s" r="E3" s="3">
        <v>415</v>
      </c>
      <c t="s" r="F3" s="3">
        <v>415</v>
      </c>
      <c t="s" r="G3" s="3">
        <v>415</v>
      </c>
      <c t="s" r="H3" s="3">
        <v>415</v>
      </c>
      <c t="s" r="I3" s="3">
        <v>415</v>
      </c>
      <c t="s" r="J3" s="3">
        <v>415</v>
      </c>
      <c t="s" r="K3" s="3">
        <v>415</v>
      </c>
      <c t="s" r="L3" s="3">
        <v>415</v>
      </c>
      <c t="s" r="M3" s="3">
        <v>415</v>
      </c>
      <c t="s" r="N3" s="3">
        <v>415</v>
      </c>
      <c t="s" r="O3" s="3">
        <v>415</v>
      </c>
      <c t="s" r="P3" s="3">
        <v>415</v>
      </c>
      <c t="s" r="Q3" s="3">
        <v>415</v>
      </c>
      <c t="s" r="R3" s="3">
        <v>415</v>
      </c>
      <c t="s" r="S3" s="3">
        <v>415</v>
      </c>
      <c t="s" r="T3" s="3">
        <v>415</v>
      </c>
      <c t="s" r="U3" s="3">
        <v>415</v>
      </c>
      <c t="s" r="V3" s="3">
        <v>415</v>
      </c>
      <c t="s" r="W3" s="3">
        <v>415</v>
      </c>
      <c t="s" r="X3" s="3">
        <v>415</v>
      </c>
      <c t="s" r="Y3" s="3">
        <v>415</v>
      </c>
      <c t="s" r="Z3" s="3">
        <v>415</v>
      </c>
      <c t="s" r="AA3" s="3">
        <v>415</v>
      </c>
      <c t="s" r="AB3" s="3">
        <v>415</v>
      </c>
      <c t="s" r="AC3" s="3">
        <v>415</v>
      </c>
      <c t="s" r="AD3" s="3">
        <v>415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68867.059999999998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337637.75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59189.629999999997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64600.309999999998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283841.40000000002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289647.87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7109.6499999999996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7108.6999999999998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30831.900000000001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28160.189999999999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261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458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967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2086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60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475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200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2760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93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118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318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624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0.01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0.48999999999999999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0.59999999999999998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20414.16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100085.48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10940.35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4179.4499999999998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46135.650000000001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9009.1399999999994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41663.970000000001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1261.4100000000001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3014.6199999999999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7734.6800000000003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10822.360000000001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280.80000000000001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1699.0799999999999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4571.8100000000004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2078.1399999999999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18826.66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15860.48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874.53999999999996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874.53999999999996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5211.3000000000002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4827.9399999999996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54601.739999999998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267698.48999999999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24102.669999999998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30928.290000000001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123017.92999999999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125071.27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713.09000000000003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2163.6700000000001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7322.8599999999997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14115.23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32570.82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18714.119999999999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171238.57000000001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129939.42999999999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2097.2199999999998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10422.940000000001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2973.9400000000001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904.59000000000003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14848.690000000001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83870.240000000005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411194.53000000003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16426.150000000001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16359.59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63898.010000000002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82689.899999999994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60992.059999999998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35641.769999999997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275108.64000000001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240790.5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2141.23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1671.3900000000001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3296.52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12445.01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19553.5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12600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4000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8000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11.65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25.5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41.149999999999999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11.65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1274.22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1564.22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21397.98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104908.86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2762.8099999999999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11.65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18292.080000000002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2936.6500000000001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12517.65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25103.299999999999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73982.110000000001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80384.320000000007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760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2284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1353.8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6886.71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33763.779999999999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1540.8900000000001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1521.5999999999999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5822.21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7656.3599999999997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5755.5200000000004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3552.4499999999998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26614.91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22367.560000000001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149.75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-51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165.74000000000001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-88.549999999999997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-625.13999999999999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-10084.110000000001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-49439.809999999998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-1283.8399999999999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-2254.6999999999998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-7454.2200000000003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-13188.1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-1943.5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-3154.6900000000001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-9713.0200000000004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-12624.77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-488.54000000000002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-1746.25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-2906.0900000000001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-4260.6400000000003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-78.069999999999993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-2373.29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-1703.4000000000001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-12145.67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-10128.709999999999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-6.0999999999999996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-114.75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-300.69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-755.02999999999997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-3284.9000000000001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-4190.5900000000001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-435.60000000000002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-1282.8199999999999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-1762.0599999999999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50174.57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247557.07000000001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10488.49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11077.1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55105.669999999998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59135.610000000001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5418.4300000000003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6050.6199999999999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29500.41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30920.279999999999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10466.48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11946.24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44072.650000000001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46639.849999999999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4621.0900000000001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5333.79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24346.889999999999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24346.200000000001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2720.27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2192.1799999999998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12400.16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9593.7399999999998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2314.7199999999998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2428.5500000000002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11449.51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10791.52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6328.6499999999996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1191.74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1437.6900000000001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4919.3000000000002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5424.2700000000004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13102.02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11609.08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68853.320000000007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60437.720000000001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2213.5799999999999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10852.629999999999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2869.9499999999998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2493.0999999999999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12507.59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10888.790000000001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81.590000000000003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185.41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273.44999999999999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667.80999999999995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162.74000000000001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249.13999999999999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181.13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1298.6800000000001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26.030000000000001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55.509999999999998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97.939999999999998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197.22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10084.110000000001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49439.809999999998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4994.0799999999999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6531.6999999999998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28390.540000000001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30509.43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3241.1999999999998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3046.5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17568.689999999999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16984.060000000001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118.69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345.56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95.629999999999995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1714.6099999999999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882.38999999999999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213.02000000000001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197.83000000000001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1152.8399999999999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910.03999999999996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254.37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62.909999999999997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951.04999999999995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336.91000000000003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-1667.28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-2065.2800000000002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-8719.8999999999996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-14340.299999999999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12596.15</v>
      </c>
      <c r="C178" s="14">
        <f>IFERROR(B178/B446, "NA")</f>
      </c>
      <c r="D178" s="15"/>
      <c r="E178" s="13">
        <v>12567.57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12321.15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65499.980000000003</v>
      </c>
      <c r="R178" s="14">
        <f>IFERROR(Q178/Q446, "NA")</f>
      </c>
      <c r="S178" s="15"/>
      <c r="T178" s="13">
        <v>65874.479999999996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65224.980000000003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30829.060000000001</v>
      </c>
      <c r="C180" s="14">
        <f>IFERROR(B180/B446, "NA")</f>
      </c>
      <c r="D180" s="15"/>
      <c r="E180" s="13">
        <v>38368.790000000001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34984.43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168265.88</v>
      </c>
      <c r="R180" s="14">
        <f>IFERROR(Q180/Q446, "NA")</f>
      </c>
      <c r="S180" s="15"/>
      <c r="T180" s="13">
        <v>187371.23000000001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176357.53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939.13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1697.0699999999999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4188.9399999999996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4847.0799999999999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1013</v>
      </c>
      <c r="C184" s="14">
        <f>IFERROR(B184/B446, "NA")</f>
      </c>
      <c r="D184" s="15"/>
      <c r="E184" s="13">
        <v>1012.5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-500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2589</v>
      </c>
      <c r="R184" s="14">
        <f>IFERROR(Q184/Q446, "NA")</f>
      </c>
      <c r="S184" s="15"/>
      <c r="T184" s="13">
        <v>5475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5250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4354.0299999999997</v>
      </c>
      <c r="C186" s="14">
        <f>IFERROR(B186/B446, "NA")</f>
      </c>
      <c r="D186" s="15"/>
      <c r="E186" s="13">
        <v>5140.5299999999997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4718.6800000000003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25773.57</v>
      </c>
      <c r="R186" s="14">
        <f>IFERROR(Q186/Q446, "NA")</f>
      </c>
      <c r="S186" s="15"/>
      <c r="T186" s="13">
        <v>27151.139999999999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25199.720000000001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262.88</v>
      </c>
      <c r="C194" s="14">
        <f>IFERROR(B194/B446, "NA")</f>
      </c>
      <c r="D194" s="15"/>
      <c r="E194" s="13">
        <v>415.58999999999997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262.88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1580.9300000000001</v>
      </c>
      <c r="R194" s="14">
        <f>IFERROR(Q194/Q446, "NA")</f>
      </c>
      <c r="S194" s="15"/>
      <c r="T194" s="13">
        <v>2069.7600000000002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1650.4200000000001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178.12</v>
      </c>
      <c r="C195" s="14">
        <f>IFERROR(B195/B446, "NA")</f>
      </c>
      <c r="D195" s="15"/>
      <c r="E195" s="13">
        <v>737.86000000000001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381.85000000000002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1313.72</v>
      </c>
      <c r="R195" s="14">
        <f>IFERROR(Q195/Q446, "NA")</f>
      </c>
      <c r="S195" s="15"/>
      <c r="T195" s="13">
        <v>3617.54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2291.0999999999999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1420.6900000000001</v>
      </c>
      <c r="C202" s="14">
        <f>IFERROR(B202/B446, "NA")</f>
      </c>
      <c r="D202" s="15"/>
      <c r="E202" s="13">
        <v>2213.5799999999999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2163.6500000000001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10940.110000000001</v>
      </c>
      <c r="R202" s="14">
        <f>IFERROR(Q202/Q446, "NA")</f>
      </c>
      <c r="S202" s="15"/>
      <c r="T202" s="13">
        <v>10852.629999999999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9173.2900000000009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1257.5799999999999</v>
      </c>
      <c r="C203" s="14">
        <f>IFERROR(B203/B446, "NA")</f>
      </c>
      <c r="D203" s="15"/>
      <c r="E203" s="13">
        <v>1475.72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2752.7800000000002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6523.5200000000004</v>
      </c>
      <c r="R203" s="14">
        <f>IFERROR(Q203/Q446, "NA")</f>
      </c>
      <c r="S203" s="15"/>
      <c r="T203" s="13">
        <v>7235.1000000000004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9259.0300000000007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79.579999999999998</v>
      </c>
      <c r="C204" s="14">
        <f>IFERROR(B204/B446, "NA")</f>
      </c>
      <c r="D204" s="15"/>
      <c r="E204" s="13">
        <v>491.91000000000003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458.82999999999998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1569.5799999999999</v>
      </c>
      <c r="R204" s="14">
        <f>IFERROR(Q204/Q446, "NA")</f>
      </c>
      <c r="S204" s="15"/>
      <c r="T204" s="13">
        <v>2411.71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1230.55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703.48000000000002</v>
      </c>
      <c r="C205" s="14">
        <f>IFERROR(B205/B446, "NA")</f>
      </c>
      <c r="D205" s="15"/>
      <c r="E205" s="13">
        <v>737.86000000000001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897.75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3812.1700000000001</v>
      </c>
      <c r="R205" s="14">
        <f>IFERROR(Q205/Q446, "NA")</f>
      </c>
      <c r="S205" s="15"/>
      <c r="T205" s="13">
        <v>3617.54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4631.8199999999997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25.260000000000002</v>
      </c>
      <c r="C206" s="14">
        <f>IFERROR(B206/B446, "NA")</f>
      </c>
      <c r="D206" s="15"/>
      <c r="E206" s="13">
        <v>245.94999999999999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504.31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523.97000000000003</v>
      </c>
      <c r="R206" s="14">
        <f>IFERROR(Q206/Q446, "NA")</f>
      </c>
      <c r="S206" s="15"/>
      <c r="T206" s="13">
        <v>1205.8399999999999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1091.74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159.88999999999999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407.67000000000002</v>
      </c>
      <c r="R207" s="14">
        <f>IFERROR(Q207/Q446, "NA")</f>
      </c>
      <c r="S207" s="15"/>
      <c r="T207" s="13">
        <v>600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588.29999999999995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74.579999999999998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194.09999999999999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1018.78</v>
      </c>
      <c r="R208" s="14">
        <f>IFERROR(Q208/Q446, "NA")</f>
      </c>
      <c r="S208" s="15"/>
      <c r="T208" s="13">
        <v>600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1112.8099999999999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9346.2399999999998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45822.279999999999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2039.8499999999999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6795.7200000000003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15318.620000000001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29123.349999999999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1789.3399999999999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7972.0299999999997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73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110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551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500.88999999999999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5076.8100000000004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2762.8499999999999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30158.23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26339.740000000002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120.27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517.80999999999995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2130.5900000000001</v>
      </c>
      <c r="R222" s="14">
        <f>IFERROR(Q222/Q446, "NA")</f>
      </c>
      <c r="S222" s="15"/>
      <c r="T222" s="13">
        <v>600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1959.1099999999999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5410.9799999999996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26528.669999999998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343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2346.8099999999999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41.549999999999997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424.20999999999998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5702.8199999999997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3455.4899999999998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26632.93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21999.299999999999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90.510000000000005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381.70999999999998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20906.07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102497.17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3727.5500000000002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4361.5799999999999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18283.919999999998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16645.779999999999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10407.280000000001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6042.9700000000003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46622.959999999999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40123.089999999997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577.54999999999995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3801.6799999999998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590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164.56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640.52999999999997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1512.97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4178.1300000000001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203.16999999999999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202.94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1268.53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1179.3399999999999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6560.4700000000003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3259.3000000000002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32076.43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21456.349999999999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2503.5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5016.1999999999998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15162.870000000001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15990.700000000001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328.81999999999999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456.80000000000001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6244.4899999999998</v>
      </c>
      <c r="C266" s="14">
        <f>IFERROR(B266/B446, "NA")</f>
      </c>
      <c r="D266" s="15"/>
      <c r="E266" s="13">
        <v>5902.8900000000003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5405.04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31010.07</v>
      </c>
      <c r="R266" s="14">
        <f>IFERROR(Q266/Q446, "NA")</f>
      </c>
      <c r="S266" s="15"/>
      <c r="T266" s="13">
        <v>28940.380000000001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26874.060000000001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236.63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241.5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1207.5</v>
      </c>
      <c r="R271" s="14">
        <f>IFERROR(Q271/Q446, "NA")</f>
      </c>
      <c r="S271" s="15"/>
      <c r="T271" s="13">
        <v>1419.78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1390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457</v>
      </c>
      <c r="C272" s="14">
        <f>IFERROR(B272/B446, "NA")</f>
      </c>
      <c r="D272" s="15"/>
      <c r="E272" s="13">
        <v>1068.3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938.5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5798.5</v>
      </c>
      <c r="R272" s="14">
        <f>IFERROR(Q272/Q446, "NA")</f>
      </c>
      <c r="S272" s="15"/>
      <c r="T272" s="13">
        <v>6409.8000000000002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5202.5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145.75</v>
      </c>
      <c r="C289" s="14">
        <f>IFERROR(B289/B446, "NA")</f>
      </c>
      <c r="D289" s="15"/>
      <c r="E289" s="13">
        <v>146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146.84999999999999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874.5</v>
      </c>
      <c r="R289" s="14">
        <f>IFERROR(Q289/Q446, "NA")</f>
      </c>
      <c r="S289" s="15"/>
      <c r="T289" s="13">
        <v>876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874.5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267.44</v>
      </c>
      <c r="C290" s="14">
        <f>IFERROR(B290/B446, "NA")</f>
      </c>
      <c r="D290" s="15"/>
      <c r="E290" s="13">
        <v>247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228.97999999999999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1810.01</v>
      </c>
      <c r="R290" s="14">
        <f>IFERROR(Q290/Q446, "NA")</f>
      </c>
      <c r="S290" s="15"/>
      <c r="T290" s="13">
        <v>1482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1336.0799999999999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779.72000000000003</v>
      </c>
      <c r="C291" s="14">
        <f>IFERROR(B291/B446, "NA")</f>
      </c>
      <c r="D291" s="15"/>
      <c r="E291" s="13">
        <v>1475.72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200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8199.3199999999997</v>
      </c>
      <c r="R291" s="14">
        <f>IFERROR(Q291/Q446, "NA")</f>
      </c>
      <c r="S291" s="15"/>
      <c r="T291" s="13">
        <v>6992.5799999999999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6825.04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1485.79</v>
      </c>
      <c r="C292" s="14">
        <f>IFERROR(B292/B446, "NA")</f>
      </c>
      <c r="D292" s="15"/>
      <c r="E292" s="13">
        <v>1229.77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2233.52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8556.3999999999996</v>
      </c>
      <c r="R292" s="14">
        <f>IFERROR(Q292/Q446, "NA")</f>
      </c>
      <c r="S292" s="15"/>
      <c r="T292" s="13">
        <v>6029.2399999999998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9426.9899999999998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245.94999999999999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804.07000000000005</v>
      </c>
      <c r="R293" s="14">
        <f>IFERROR(Q293/Q446, "NA")</f>
      </c>
      <c r="S293" s="15"/>
      <c r="T293" s="13">
        <v>1205.8399999999999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681.63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574.88999999999999</v>
      </c>
      <c r="C294" s="14">
        <f>IFERROR(B294/B446, "NA")</f>
      </c>
      <c r="D294" s="15"/>
      <c r="E294" s="13">
        <v>368.93000000000001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710.15999999999997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1447.73</v>
      </c>
      <c r="R294" s="14">
        <f>IFERROR(Q294/Q446, "NA")</f>
      </c>
      <c r="S294" s="15"/>
      <c r="T294" s="13">
        <v>1808.77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1535.5899999999999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311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324.99000000000001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1499.97</v>
      </c>
      <c r="R295" s="14">
        <f>IFERROR(Q295/Q446, "NA")</f>
      </c>
      <c r="S295" s="15"/>
      <c r="T295" s="13">
        <v>1866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2163.9699999999998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2274.71</v>
      </c>
      <c r="C300" s="14">
        <f>IFERROR(B300/B446, "NA")</f>
      </c>
      <c r="D300" s="15"/>
      <c r="E300" s="13">
        <v>517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516.52999999999997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6933.4499999999998</v>
      </c>
      <c r="R300" s="14">
        <f>IFERROR(Q300/Q446, "NA")</f>
      </c>
      <c r="S300" s="15"/>
      <c r="T300" s="13">
        <v>3102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4842.6899999999996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515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40.479999999999997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197.11000000000001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679.74000000000001</v>
      </c>
      <c r="R311" s="14">
        <f>IFERROR(Q311/Q446, "NA")</f>
      </c>
      <c r="S311" s="15"/>
      <c r="T311" s="13">
        <v>330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526.88999999999999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412.44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1634.22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3496.8000000000002</v>
      </c>
      <c r="R313" s="14">
        <f>IFERROR(Q313/Q446, "NA")</f>
      </c>
      <c r="S313" s="15"/>
      <c r="T313" s="13">
        <v>210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2993.9699999999998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429.60000000000002</v>
      </c>
      <c r="C314" s="14">
        <f>IFERROR(B314/B446, "NA")</f>
      </c>
      <c r="D314" s="15"/>
      <c r="E314" s="13">
        <v>250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476.63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2319.75</v>
      </c>
      <c r="R314" s="14">
        <f>IFERROR(Q314/Q446, "NA")</f>
      </c>
      <c r="S314" s="15"/>
      <c r="T314" s="13">
        <v>1500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1760.5999999999999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1.01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293.39999999999998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323.88</v>
      </c>
      <c r="C320" s="14">
        <f>IFERROR(B320/B446, "NA")</f>
      </c>
      <c r="D320" s="15"/>
      <c r="E320" s="13">
        <v>314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313.20999999999998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1943.46</v>
      </c>
      <c r="R320" s="14">
        <f>IFERROR(Q320/Q446, "NA")</f>
      </c>
      <c r="S320" s="15"/>
      <c r="T320" s="13">
        <v>1884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1887.0599999999999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999.88999999999999</v>
      </c>
      <c r="C321" s="14">
        <f>IFERROR(B321/B446, "NA")</f>
      </c>
      <c r="D321" s="15"/>
      <c r="E321" s="13">
        <v>1101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1158.9000000000001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6200.4099999999999</v>
      </c>
      <c r="R321" s="14">
        <f>IFERROR(Q321/Q446, "NA")</f>
      </c>
      <c r="S321" s="15"/>
      <c r="T321" s="13">
        <v>6606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6357.6499999999996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1667.28</v>
      </c>
      <c r="C322" s="14">
        <f>IFERROR(B322/B446, "NA")</f>
      </c>
      <c r="D322" s="15"/>
      <c r="E322" s="13">
        <v>2459.54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2065.2800000000002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8719.8999999999996</v>
      </c>
      <c r="R322" s="14">
        <f>IFERROR(Q322/Q446, "NA")</f>
      </c>
      <c r="S322" s="15"/>
      <c r="T322" s="13">
        <v>11916.32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14340.299999999999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174.5</v>
      </c>
      <c r="C323" s="14">
        <f>IFERROR(B323/B446, "NA")</f>
      </c>
      <c r="D323" s="15"/>
      <c r="E323" s="13">
        <v>191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209.47999999999999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1792.8199999999999</v>
      </c>
      <c r="R323" s="14">
        <f>IFERROR(Q323/Q446, "NA")</f>
      </c>
      <c r="S323" s="15"/>
      <c r="T323" s="13">
        <v>1146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1157.3699999999999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3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10440.49</v>
      </c>
      <c r="C330" s="14">
        <f>IFERROR(B330/B446, "NA")</f>
      </c>
      <c r="D330" s="15"/>
      <c r="E330" s="13">
        <v>10440.49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10136.4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62642.940000000002</v>
      </c>
      <c r="R330" s="14">
        <f>IFERROR(Q330/Q446, "NA")</f>
      </c>
      <c r="S330" s="15"/>
      <c r="T330" s="13">
        <v>62642.940000000002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60818.400000000001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728.64999999999998</v>
      </c>
      <c r="C331" s="14">
        <f>IFERROR(B331/B446, "NA")</f>
      </c>
      <c r="D331" s="15"/>
      <c r="E331" s="13">
        <v>728.64999999999998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-244.77000000000001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4062.4699999999998</v>
      </c>
      <c r="R331" s="14">
        <f>IFERROR(Q331/Q446, "NA")</f>
      </c>
      <c r="S331" s="15"/>
      <c r="T331" s="13">
        <v>4371.8999999999996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3398.48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15.16</v>
      </c>
      <c r="C333" s="14">
        <f>IFERROR(B333/B446, "NA")</f>
      </c>
      <c r="D333" s="15"/>
      <c r="E333" s="13">
        <v>133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1310.4000000000001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1440.5799999999999</v>
      </c>
      <c r="R333" s="14">
        <f>IFERROR(Q333/Q446, "NA")</f>
      </c>
      <c r="S333" s="15"/>
      <c r="T333" s="13">
        <v>798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1386.2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419.92000000000002</v>
      </c>
      <c r="C334" s="14">
        <f>IFERROR(B334/B446, "NA")</f>
      </c>
      <c r="D334" s="15"/>
      <c r="E334" s="13">
        <v>964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964.13999999999999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5240.6199999999999</v>
      </c>
      <c r="R334" s="14">
        <f>IFERROR(Q334/Q446, "NA")</f>
      </c>
      <c r="S334" s="15"/>
      <c r="T334" s="13">
        <v>5784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5784.8400000000001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1607.8399999999999</v>
      </c>
      <c r="C335" s="14">
        <f>IFERROR(B335/B446, "NA")</f>
      </c>
      <c r="D335" s="15"/>
      <c r="E335" s="13">
        <v>1607.8399999999999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1561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80.170000000000002</v>
      </c>
      <c r="C336" s="14">
        <f>IFERROR(B336/B446, "NA")</f>
      </c>
      <c r="D336" s="15"/>
      <c r="E336" s="13">
        <v>368.93000000000001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5337.8500000000004</v>
      </c>
      <c r="R336" s="14">
        <f>IFERROR(Q336/Q446, "NA")</f>
      </c>
      <c r="S336" s="15"/>
      <c r="T336" s="13">
        <v>1808.77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3217.1700000000001</v>
      </c>
      <c r="C339" s="14">
        <f>IFERROR(B339/B446, "NA")</f>
      </c>
      <c r="D339" s="15"/>
      <c r="E339" s="13">
        <v>4919.0799999999999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3072.0500000000002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20773.959999999999</v>
      </c>
      <c r="R339" s="14">
        <f>IFERROR(Q339/Q446, "NA")</f>
      </c>
      <c r="S339" s="15"/>
      <c r="T339" s="13">
        <v>24116.990000000002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22902.75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375.64999999999998</v>
      </c>
      <c r="C340" s="14">
        <f>IFERROR(B340/B446, "NA")</f>
      </c>
      <c r="D340" s="15"/>
      <c r="E340" s="13">
        <v>491.91000000000003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391.48000000000002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2410.8699999999999</v>
      </c>
      <c r="R340" s="14">
        <f>IFERROR(Q340/Q446, "NA")</f>
      </c>
      <c r="S340" s="15"/>
      <c r="T340" s="13">
        <v>2411.71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2061.1199999999999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2574</v>
      </c>
      <c r="C341" s="14">
        <f>IFERROR(B341/B446, "NA")</f>
      </c>
      <c r="D341" s="15"/>
      <c r="E341" s="13">
        <v>983.82000000000005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630.07000000000005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6138.6499999999996</v>
      </c>
      <c r="R341" s="14">
        <f>IFERROR(Q341/Q446, "NA")</f>
      </c>
      <c r="S341" s="15"/>
      <c r="T341" s="13">
        <v>4823.4099999999999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3517.8400000000001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395.63</v>
      </c>
      <c r="C342" s="14">
        <f>IFERROR(B342/B446, "NA")</f>
      </c>
      <c r="D342" s="15"/>
      <c r="E342" s="13">
        <v>491.91000000000003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380.17000000000002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2342.8600000000001</v>
      </c>
      <c r="R342" s="14">
        <f>IFERROR(Q342/Q446, "NA")</f>
      </c>
      <c r="S342" s="15"/>
      <c r="T342" s="13">
        <v>2411.71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2281.02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3613.27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20986.439999999999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310.05000000000001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4548.2399999999998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3345.1700000000001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25370.77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19514.610000000001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-54.700000000000003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-28.420000000000002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-137.91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39.079999999999998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76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-50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236941.14999999999</v>
      </c>
      <c r="C446" s="33"/>
      <c r="D446" s="15"/>
      <c r="E446" s="13">
        <v>245953.78</v>
      </c>
      <c r="F446" s="33"/>
      <c r="G446" s="15"/>
      <c r="H446" s="16">
        <f>IFERROR(B446-E446, "NA")</f>
      </c>
      <c r="I446" s="33"/>
      <c r="J446" s="15"/>
      <c r="K446" s="13">
        <v>225769.95999999999</v>
      </c>
      <c r="L446" s="33"/>
      <c r="M446" s="15"/>
      <c r="N446" s="16">
        <f>IFERROR(B446-K446, "NA")</f>
      </c>
      <c r="O446" s="33"/>
      <c r="P446" s="15"/>
      <c r="Q446" s="13">
        <v>1163885.9099999999</v>
      </c>
      <c r="R446" s="33"/>
      <c r="S446" s="15"/>
      <c r="T446" s="13">
        <v>1205849.0800000001</v>
      </c>
      <c r="U446" s="33"/>
      <c r="V446" s="15"/>
      <c r="W446" s="16">
        <f>IFERROR(Q446-T446, "NA")</f>
      </c>
      <c r="X446" s="33"/>
      <c r="Y446" s="15"/>
      <c r="Z446" s="13">
        <v>1117930.3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416</v>
      </c>
      <c t="s" r="B3" s="3">
        <v>416</v>
      </c>
      <c t="s" r="C3" s="3">
        <v>416</v>
      </c>
      <c t="s" r="D3" s="3">
        <v>416</v>
      </c>
      <c t="s" r="E3" s="3">
        <v>416</v>
      </c>
      <c t="s" r="F3" s="3">
        <v>416</v>
      </c>
      <c t="s" r="G3" s="3">
        <v>416</v>
      </c>
      <c t="s" r="H3" s="3">
        <v>416</v>
      </c>
      <c t="s" r="I3" s="3">
        <v>416</v>
      </c>
      <c t="s" r="J3" s="3">
        <v>416</v>
      </c>
      <c t="s" r="K3" s="3">
        <v>416</v>
      </c>
      <c t="s" r="L3" s="3">
        <v>416</v>
      </c>
      <c t="s" r="M3" s="3">
        <v>416</v>
      </c>
      <c t="s" r="N3" s="3">
        <v>416</v>
      </c>
      <c t="s" r="O3" s="3">
        <v>416</v>
      </c>
      <c t="s" r="P3" s="3">
        <v>416</v>
      </c>
      <c t="s" r="Q3" s="3">
        <v>416</v>
      </c>
      <c t="s" r="R3" s="3">
        <v>416</v>
      </c>
      <c t="s" r="S3" s="3">
        <v>416</v>
      </c>
      <c t="s" r="T3" s="3">
        <v>416</v>
      </c>
      <c t="s" r="U3" s="3">
        <v>416</v>
      </c>
      <c t="s" r="V3" s="3">
        <v>416</v>
      </c>
      <c t="s" r="W3" s="3">
        <v>416</v>
      </c>
      <c t="s" r="X3" s="3">
        <v>416</v>
      </c>
      <c t="s" r="Y3" s="3">
        <v>416</v>
      </c>
      <c t="s" r="Z3" s="3">
        <v>416</v>
      </c>
      <c t="s" r="AA3" s="3">
        <v>416</v>
      </c>
      <c t="s" r="AB3" s="3">
        <v>416</v>
      </c>
      <c t="s" r="AC3" s="3">
        <v>416</v>
      </c>
      <c t="s" r="AD3" s="3">
        <v>416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52700.190000000002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256755.17999999999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58285.980000000003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55463.849999999999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254219.16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253069.64000000001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6168.9499999999998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5548.8500000000004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24906.25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25016.349999999999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341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296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985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990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10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320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225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1810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21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172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133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1.1000000000000001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11381.26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55449.470000000001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8229.5300000000007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2374.6799999999998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37033.279999999999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7603.1599999999999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30902.950000000001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1636.3599999999999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1476.0599999999999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7062.2200000000003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6907.9200000000001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132.63999999999999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489.76999999999998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3544.5500000000002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12841.950000000001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928.50999999999999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892.50999999999999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4977.8100000000004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5215.9700000000003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29937.669999999998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145856.25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16229.74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14532.01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77573.380000000005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65570.029999999999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812.41999999999996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2148.9699999999998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5378.5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9186.75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15582.49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11740.01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79236.210000000006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87489.330000000002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1106.8900000000001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4906.7600000000002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1011.12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137.65000000000001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5336.0500000000002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24370.740000000002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118734.2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3791.3499999999999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1913.3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21010.419999999998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23814.740000000002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10743.26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6361.8000000000002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79107.190000000002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41515.720000000001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475.48000000000002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7900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31.149999999999999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265.74000000000001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497.45999999999998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1205.5699999999999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2021.1500000000001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12.85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1329.49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12.85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10020.459999999999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48819.650000000001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8587.3400000000001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3435.5900000000001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22162.540000000001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13492.85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8570.1000000000004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5799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23096.75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5799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1125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1353.8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1855.6400000000001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9040.6800000000003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326.81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245.53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1653.7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2301.5100000000002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1033.3900000000001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635.10000000000002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7777.0600000000004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4516.8100000000004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25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121.68000000000001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717.45000000000005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-55.899999999999999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-13.699999999999999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-129.94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-140.33000000000001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-16.5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-260.14999999999998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-6556.6000000000004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-31943.73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-2570.6900000000001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-2371.4499999999998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-11399.860000000001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-11337.75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-1170.6400000000001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-2846.3400000000001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-6196.1400000000003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-10279.59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-8.5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-377.36000000000001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-780.48000000000002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-2131.3800000000001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-57.25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-1087.6700000000001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-923.64999999999998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-5076.3500000000004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-4478.25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-30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-232.86000000000001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-682.24000000000001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-572.63999999999999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-3232.4000000000001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-50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-62.25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26102.68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127581.34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6365.3299999999999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5428.5500000000002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30294.470000000001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29530.419999999998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3611.8899999999999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3392.3099999999999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16810.810000000001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16933.220000000001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5916.8599999999997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6116.5100000000002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24242.439999999999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23402.450000000001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3089.5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2847.96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14132.889999999999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13452.629999999999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1613.0899999999999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949.52999999999997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6735.3400000000001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4919.8000000000002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865.04999999999995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873.10000000000002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4395.1199999999999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4693.6300000000001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3954.02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763.14999999999998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780.85000000000002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3289.5500000000002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3313.52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7915.4200000000001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6823.0900000000001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40478.480000000003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31785.849999999999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71.560000000000002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1484.51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7232.54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1882.3599999999999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1711.74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8091.5600000000004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8540.6700000000001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113.17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103.56999999999999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322.54000000000002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354.72000000000003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52.210000000000001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404.10000000000002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-61.359999999999999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12.35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62.990000000000002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53.030000000000001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5072.0799999999999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24711.18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4435.04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4099.3199999999997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19198.75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19479.419999999998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1251.21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706.62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6421.6400000000003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4509.1700000000001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57.619999999999997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337.38999999999999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422.13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1776.5699999999999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1739.3800000000001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14.81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458.47000000000003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407.11000000000001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2171.4099999999999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1958.4200000000001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193.87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38.799999999999997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656.69000000000005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214.40000000000001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-1267.5899999999999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-1720.29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-5842.8800000000001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-10249.139999999999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7050</v>
      </c>
      <c r="C178" s="14">
        <f>IFERROR(B178/B446, "NA")</f>
      </c>
      <c r="D178" s="15"/>
      <c r="E178" s="13">
        <v>6775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6775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36660</v>
      </c>
      <c r="R178" s="14">
        <f>IFERROR(Q178/Q446, "NA")</f>
      </c>
      <c r="S178" s="15"/>
      <c r="T178" s="13">
        <v>36385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36385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27175.5</v>
      </c>
      <c r="C180" s="14">
        <f>IFERROR(B180/B446, "NA")</f>
      </c>
      <c r="D180" s="15"/>
      <c r="E180" s="13">
        <v>25236.709999999999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23626.720000000001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119111.39</v>
      </c>
      <c r="R180" s="14">
        <f>IFERROR(Q180/Q446, "NA")</f>
      </c>
      <c r="S180" s="15"/>
      <c r="T180" s="13">
        <v>122347.67999999999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118249.81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467.86000000000001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36.25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943.71000000000004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1007.89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423</v>
      </c>
      <c r="C184" s="14">
        <f>IFERROR(B184/B446, "NA")</f>
      </c>
      <c r="D184" s="15"/>
      <c r="E184" s="13">
        <v>422.5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-300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1884</v>
      </c>
      <c r="R184" s="14">
        <f>IFERROR(Q184/Q446, "NA")</f>
      </c>
      <c r="S184" s="15"/>
      <c r="T184" s="13">
        <v>2015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2200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3069.2800000000002</v>
      </c>
      <c r="C186" s="14">
        <f>IFERROR(B186/B446, "NA")</f>
      </c>
      <c r="D186" s="15"/>
      <c r="E186" s="13">
        <v>2923.3099999999999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2679.48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14309.84</v>
      </c>
      <c r="R186" s="14">
        <f>IFERROR(Q186/Q446, "NA")</f>
      </c>
      <c r="S186" s="15"/>
      <c r="T186" s="13">
        <v>15163.4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14095.620000000001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248</v>
      </c>
      <c r="C194" s="14">
        <f>IFERROR(B194/B446, "NA")</f>
      </c>
      <c r="D194" s="15"/>
      <c r="E194" s="13">
        <v>259.47000000000003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272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1557.9400000000001</v>
      </c>
      <c r="R194" s="14">
        <f>IFERROR(Q194/Q446, "NA")</f>
      </c>
      <c r="S194" s="15"/>
      <c r="T194" s="13">
        <v>1285.98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1610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idden="1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1200.23</v>
      </c>
      <c r="C202" s="14">
        <f>IFERROR(B202/B446, "NA")</f>
      </c>
      <c r="D202" s="15"/>
      <c r="E202" s="13">
        <v>1113.3800000000001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1202.5799999999999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6983.71</v>
      </c>
      <c r="R202" s="14">
        <f>IFERROR(Q202/Q446, "NA")</f>
      </c>
      <c r="S202" s="15"/>
      <c r="T202" s="13">
        <v>5424.3999999999996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5802.0799999999999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620.86000000000001</v>
      </c>
      <c r="C203" s="14">
        <f>IFERROR(B203/B446, "NA")</f>
      </c>
      <c r="D203" s="15"/>
      <c r="E203" s="13">
        <v>742.25999999999999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1982.6700000000001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3483.27</v>
      </c>
      <c r="R203" s="14">
        <f>IFERROR(Q203/Q446, "NA")</f>
      </c>
      <c r="S203" s="15"/>
      <c r="T203" s="13">
        <v>3616.27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5235.3900000000003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66.010000000000005</v>
      </c>
      <c r="C204" s="14">
        <f>IFERROR(B204/B446, "NA")</f>
      </c>
      <c r="D204" s="15"/>
      <c r="E204" s="13">
        <v>247.41999999999999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409.47000000000003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894.25</v>
      </c>
      <c r="R204" s="14">
        <f>IFERROR(Q204/Q446, "NA")</f>
      </c>
      <c r="S204" s="15"/>
      <c r="T204" s="13">
        <v>1205.4300000000001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1013.84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464.10000000000002</v>
      </c>
      <c r="C205" s="14">
        <f>IFERROR(B205/B446, "NA")</f>
      </c>
      <c r="D205" s="15"/>
      <c r="E205" s="13">
        <v>371.13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348.95999999999998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2463.9299999999998</v>
      </c>
      <c r="R205" s="14">
        <f>IFERROR(Q205/Q446, "NA")</f>
      </c>
      <c r="S205" s="15"/>
      <c r="T205" s="13">
        <v>1808.1500000000001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2088.8200000000002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-34.600000000000001</v>
      </c>
      <c r="C206" s="14">
        <f>IFERROR(B206/B446, "NA")</f>
      </c>
      <c r="D206" s="15"/>
      <c r="E206" s="13">
        <v>123.70999999999999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241.09999999999999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290.49000000000001</v>
      </c>
      <c r="R206" s="14">
        <f>IFERROR(Q206/Q446, "NA")</f>
      </c>
      <c r="S206" s="15"/>
      <c r="T206" s="13">
        <v>602.72000000000003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490.43000000000001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166.25999999999999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461.69</v>
      </c>
      <c r="R207" s="14">
        <f>IFERROR(Q207/Q446, "NA")</f>
      </c>
      <c r="S207" s="15"/>
      <c r="T207" s="13">
        <v>600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588.29999999999995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401.54000000000002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74.489999999999995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607.88</v>
      </c>
      <c r="R208" s="14">
        <f>IFERROR(Q208/Q446, "NA")</f>
      </c>
      <c r="S208" s="15"/>
      <c r="T208" s="13">
        <v>600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707.82000000000005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5072.0799999999999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24711.18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1622.8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3311.3499999999999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9835.0300000000007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16957.57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560.28999999999996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22.41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4753.79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22.41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70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350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5.7300000000000004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3336.5799999999999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1633.95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16273.780000000001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16642.27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0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349.68000000000001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550.17999999999995</v>
      </c>
      <c r="R222" s="14">
        <f>IFERROR(Q222/Q446, "NA")</f>
      </c>
      <c r="S222" s="15"/>
      <c r="T222" s="13">
        <v>600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1108.4200000000001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1855.6400000000001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9040.6800000000003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203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217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1424.1300000000001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1524.96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755.35000000000002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9675.3899999999994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6325.29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70.620000000000005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210.22999999999999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8041.1099999999997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39176.260000000002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2521.0100000000002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2018.54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11823.16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8632.3099999999995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1846.54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1047.8900000000001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13310.370000000001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7629.5699999999997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1972.05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790.09000000000003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5755.9200000000001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3120.0599999999999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178.63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629.64999999999998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1088.74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2636.25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277.44999999999999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266.70999999999998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1546.49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1596.6099999999999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3070.3499999999999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1761.74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14651.91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11417.280000000001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33.219999999999999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83.459999999999994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155.59999999999999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348.47000000000003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2043.8800000000001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1449.6700000000001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6051.6300000000001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1449.6700000000001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3792.5</v>
      </c>
      <c r="C266" s="14">
        <f>IFERROR(B266/B446, "NA")</f>
      </c>
      <c r="D266" s="15"/>
      <c r="E266" s="13">
        <v>2969.02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2758.27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16858.380000000001</v>
      </c>
      <c r="R266" s="14">
        <f>IFERROR(Q266/Q446, "NA")</f>
      </c>
      <c r="S266" s="15"/>
      <c r="T266" s="13">
        <v>14465.08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13380.440000000001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-17.960000000000001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354.13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429.38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1539.5999999999999</v>
      </c>
      <c r="R271" s="14">
        <f>IFERROR(Q271/Q446, "NA")</f>
      </c>
      <c r="S271" s="15"/>
      <c r="T271" s="13">
        <v>2124.7800000000002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2401.9899999999998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-2.6299999999999999</v>
      </c>
      <c r="C272" s="14">
        <f>IFERROR(B272/B446, "NA")</f>
      </c>
      <c r="D272" s="15"/>
      <c r="E272" s="13">
        <v>905.40999999999997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952.80999999999995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3970.9200000000001</v>
      </c>
      <c r="R272" s="14">
        <f>IFERROR(Q272/Q446, "NA")</f>
      </c>
      <c r="S272" s="15"/>
      <c r="T272" s="13">
        <v>5432.46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5716.5100000000002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137.5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825</v>
      </c>
      <c r="R289" s="14">
        <f>IFERROR(Q289/Q446, "NA")</f>
      </c>
      <c r="S289" s="15"/>
      <c r="T289" s="13">
        <v>828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825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253.13999999999999</v>
      </c>
      <c r="C290" s="14">
        <f>IFERROR(B290/B446, "NA")</f>
      </c>
      <c r="D290" s="15"/>
      <c r="E290" s="13">
        <v>234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228.86000000000001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1500.55</v>
      </c>
      <c r="R290" s="14">
        <f>IFERROR(Q290/Q446, "NA")</f>
      </c>
      <c r="S290" s="15"/>
      <c r="T290" s="13">
        <v>1404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1335.4200000000001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457.75999999999999</v>
      </c>
      <c r="C291" s="14">
        <f>IFERROR(B291/B446, "NA")</f>
      </c>
      <c r="D291" s="15"/>
      <c r="E291" s="13">
        <v>865.97000000000003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1262.9200000000001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4259.1899999999996</v>
      </c>
      <c r="R291" s="14">
        <f>IFERROR(Q291/Q446, "NA")</f>
      </c>
      <c r="S291" s="15"/>
      <c r="T291" s="13">
        <v>4090.27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6030.04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865.61000000000001</v>
      </c>
      <c r="C292" s="14">
        <f>IFERROR(B292/B446, "NA")</f>
      </c>
      <c r="D292" s="15"/>
      <c r="E292" s="13">
        <v>1237.0899999999999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327.06999999999999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8759.4599999999991</v>
      </c>
      <c r="R292" s="14">
        <f>IFERROR(Q292/Q446, "NA")</f>
      </c>
      <c r="S292" s="15"/>
      <c r="T292" s="13">
        <v>6027.1199999999999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8760.5499999999993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247.41999999999999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771.60000000000002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259.94999999999999</v>
      </c>
      <c r="R293" s="14">
        <f>IFERROR(Q293/Q446, "NA")</f>
      </c>
      <c r="S293" s="15"/>
      <c r="T293" s="13">
        <v>1205.4300000000001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1810.4200000000001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247.41999999999999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1106.0999999999999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1205.4300000000001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1398.8399999999999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367.98000000000002</v>
      </c>
      <c r="C295" s="14">
        <f>IFERROR(B295/B446, "NA")</f>
      </c>
      <c r="D295" s="15"/>
      <c r="E295" s="13">
        <v>365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312.49000000000001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1345.4200000000001</v>
      </c>
      <c r="R295" s="14">
        <f>IFERROR(Q295/Q446, "NA")</f>
      </c>
      <c r="S295" s="15"/>
      <c r="T295" s="13">
        <v>2190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2310.4400000000001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159</v>
      </c>
      <c r="C300" s="14">
        <f>IFERROR(B300/B446, "NA")</f>
      </c>
      <c r="D300" s="15"/>
      <c r="E300" s="13">
        <v>159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0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954</v>
      </c>
      <c r="R300" s="14">
        <f>IFERROR(Q300/Q446, "NA")</f>
      </c>
      <c r="S300" s="15"/>
      <c r="T300" s="13">
        <v>954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411.64999999999998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268.25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94.980000000000004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57.200000000000003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444.31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62.789999999999999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232.86000000000001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278.95999999999998</v>
      </c>
      <c r="R311" s="14">
        <f>IFERROR(Q311/Q446, "NA")</f>
      </c>
      <c r="S311" s="15"/>
      <c r="T311" s="13">
        <v>330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285.64999999999998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60.619999999999997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321.63999999999999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427.37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1244.5699999999999</v>
      </c>
      <c r="R313" s="14">
        <f>IFERROR(Q313/Q446, "NA")</f>
      </c>
      <c r="S313" s="15"/>
      <c r="T313" s="13">
        <v>210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508.5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26.579999999999998</v>
      </c>
      <c r="C314" s="14">
        <f>IFERROR(B314/B446, "NA")</f>
      </c>
      <c r="D314" s="15"/>
      <c r="E314" s="13">
        <v>15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114.58</v>
      </c>
      <c r="R314" s="14">
        <f>IFERROR(Q314/Q446, "NA")</f>
      </c>
      <c r="S314" s="15"/>
      <c r="T314" s="13">
        <v>90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34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408.06999999999999</v>
      </c>
      <c r="C316" s="14">
        <f>IFERROR(B316/B446, "NA")</f>
      </c>
      <c r="D316" s="15"/>
      <c r="E316" s="13">
        <v>494.83999999999997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455.51999999999998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2448.4200000000001</v>
      </c>
      <c r="R316" s="14">
        <f>IFERROR(Q316/Q446, "NA")</f>
      </c>
      <c r="S316" s="15"/>
      <c r="T316" s="13">
        <v>2410.8499999999999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2733.1199999999999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1.01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293.39999999999998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414.57999999999998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2072.9000000000001</v>
      </c>
      <c r="R319" s="14">
        <f>IFERROR(Q319/Q446, "NA")</f>
      </c>
      <c r="S319" s="15"/>
      <c r="T319" s="13">
        <v>2490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2487.48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318.45999999999998</v>
      </c>
      <c r="C320" s="14">
        <f>IFERROR(B320/B446, "NA")</f>
      </c>
      <c r="D320" s="15"/>
      <c r="E320" s="13">
        <v>309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308.49000000000001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1911.01</v>
      </c>
      <c r="R320" s="14">
        <f>IFERROR(Q320/Q446, "NA")</f>
      </c>
      <c r="S320" s="15"/>
      <c r="T320" s="13">
        <v>1854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1629.5599999999999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1010.77</v>
      </c>
      <c r="C321" s="14">
        <f>IFERROR(B321/B446, "NA")</f>
      </c>
      <c r="D321" s="15"/>
      <c r="E321" s="13">
        <v>1133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1221.2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6371.8900000000003</v>
      </c>
      <c r="R321" s="14">
        <f>IFERROR(Q321/Q446, "NA")</f>
      </c>
      <c r="S321" s="15"/>
      <c r="T321" s="13">
        <v>6798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7131.1599999999999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1267.5899999999999</v>
      </c>
      <c r="C322" s="14">
        <f>IFERROR(B322/B446, "NA")</f>
      </c>
      <c r="D322" s="15"/>
      <c r="E322" s="13">
        <v>1484.51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1720.29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5842.8800000000001</v>
      </c>
      <c r="R322" s="14">
        <f>IFERROR(Q322/Q446, "NA")</f>
      </c>
      <c r="S322" s="15"/>
      <c r="T322" s="13">
        <v>7164.3500000000004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10249.139999999999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716.11000000000001</v>
      </c>
      <c r="C323" s="14">
        <f>IFERROR(B323/B446, "NA")</f>
      </c>
      <c r="D323" s="15"/>
      <c r="E323" s="13">
        <v>354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558.65999999999997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2693.6799999999998</v>
      </c>
      <c r="R323" s="14">
        <f>IFERROR(Q323/Q446, "NA")</f>
      </c>
      <c r="S323" s="15"/>
      <c r="T323" s="13">
        <v>2124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2389.25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11441.92</v>
      </c>
      <c r="C330" s="14">
        <f>IFERROR(B330/B446, "NA")</f>
      </c>
      <c r="D330" s="15"/>
      <c r="E330" s="13">
        <v>11441.92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11108.66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68651.520000000004</v>
      </c>
      <c r="R330" s="14">
        <f>IFERROR(Q330/Q446, "NA")</f>
      </c>
      <c r="S330" s="15"/>
      <c r="T330" s="13">
        <v>68651.520000000004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49505.370000000003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1183.3699999999999</v>
      </c>
      <c r="C331" s="14">
        <f>IFERROR(B331/B446, "NA")</f>
      </c>
      <c r="D331" s="15"/>
      <c r="E331" s="13">
        <v>1183.3699999999999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1026.4300000000001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6981.1099999999997</v>
      </c>
      <c r="R331" s="14">
        <f>IFERROR(Q331/Q446, "NA")</f>
      </c>
      <c r="S331" s="15"/>
      <c r="T331" s="13">
        <v>7100.2200000000003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3948.8800000000001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781.75999999999999</v>
      </c>
      <c r="C334" s="14">
        <f>IFERROR(B334/B446, "NA")</f>
      </c>
      <c r="D334" s="15"/>
      <c r="E334" s="13">
        <v>860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860.15999999999997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3757.7800000000002</v>
      </c>
      <c r="R334" s="14">
        <f>IFERROR(Q334/Q446, "NA")</f>
      </c>
      <c r="S334" s="15"/>
      <c r="T334" s="13">
        <v>5160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6449.9899999999998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1762.0599999999999</v>
      </c>
      <c r="C335" s="14">
        <f>IFERROR(B335/B446, "NA")</f>
      </c>
      <c r="D335" s="15"/>
      <c r="E335" s="13">
        <v>1762.0599999999999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1710.74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1602.24</v>
      </c>
      <c r="C339" s="14">
        <f>IFERROR(B339/B446, "NA")</f>
      </c>
      <c r="D339" s="15"/>
      <c r="E339" s="13">
        <v>1484.51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1391.0999999999999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7366.4399999999996</v>
      </c>
      <c r="R339" s="14">
        <f>IFERROR(Q339/Q446, "NA")</f>
      </c>
      <c r="S339" s="15"/>
      <c r="T339" s="13">
        <v>7232.54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6240.0299999999997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328.39999999999998</v>
      </c>
      <c r="C340" s="14">
        <f>IFERROR(B340/B446, "NA")</f>
      </c>
      <c r="D340" s="15"/>
      <c r="E340" s="13">
        <v>618.54999999999995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379.16000000000003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2889.7800000000002</v>
      </c>
      <c r="R340" s="14">
        <f>IFERROR(Q340/Q446, "NA")</f>
      </c>
      <c r="S340" s="15"/>
      <c r="T340" s="13">
        <v>3013.5599999999999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3174.21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307.50999999999999</v>
      </c>
      <c r="C341" s="14">
        <f>IFERROR(B341/B446, "NA")</f>
      </c>
      <c r="D341" s="15"/>
      <c r="E341" s="13">
        <v>494.83999999999997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475.17000000000002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2486.3000000000002</v>
      </c>
      <c r="R341" s="14">
        <f>IFERROR(Q341/Q446, "NA")</f>
      </c>
      <c r="S341" s="15"/>
      <c r="T341" s="13">
        <v>2410.8499999999999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2288.7199999999998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3087.02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18954.580000000002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3752.7600000000002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2891.9200000000001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20351.169999999998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17794.099999999999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-28.449999999999999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-26.289999999999999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-173.90000000000001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-138.91999999999999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-54.079999999999998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-36.100000000000001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198.53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12.17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140679.60000000001</v>
      </c>
      <c r="C446" s="33"/>
      <c r="D446" s="15"/>
      <c r="E446" s="13">
        <v>123709.36</v>
      </c>
      <c r="F446" s="33"/>
      <c r="G446" s="15"/>
      <c r="H446" s="16">
        <f>IFERROR(B446-E446, "NA")</f>
      </c>
      <c r="I446" s="33"/>
      <c r="J446" s="15"/>
      <c r="K446" s="13">
        <v>113390.8</v>
      </c>
      <c r="L446" s="33"/>
      <c r="M446" s="15"/>
      <c r="N446" s="16">
        <f>IFERROR(B446-K446, "NA")</f>
      </c>
      <c r="O446" s="33"/>
      <c r="P446" s="15"/>
      <c r="Q446" s="13">
        <v>650275.44999999995</v>
      </c>
      <c r="R446" s="33"/>
      <c r="S446" s="15"/>
      <c r="T446" s="13">
        <v>602711.69999999995</v>
      </c>
      <c r="U446" s="33"/>
      <c r="V446" s="15"/>
      <c r="W446" s="16">
        <f>IFERROR(Q446-T446, "NA")</f>
      </c>
      <c r="X446" s="33"/>
      <c r="Y446" s="15"/>
      <c r="Z446" s="13">
        <v>560103.72999999998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417</v>
      </c>
      <c t="s" r="B3" s="3">
        <v>417</v>
      </c>
      <c t="s" r="C3" s="3">
        <v>417</v>
      </c>
      <c t="s" r="D3" s="3">
        <v>417</v>
      </c>
      <c t="s" r="E3" s="3">
        <v>417</v>
      </c>
      <c t="s" r="F3" s="3">
        <v>417</v>
      </c>
      <c t="s" r="G3" s="3">
        <v>417</v>
      </c>
      <c t="s" r="H3" s="3">
        <v>417</v>
      </c>
      <c t="s" r="I3" s="3">
        <v>417</v>
      </c>
      <c t="s" r="J3" s="3">
        <v>417</v>
      </c>
      <c t="s" r="K3" s="3">
        <v>417</v>
      </c>
      <c t="s" r="L3" s="3">
        <v>417</v>
      </c>
      <c t="s" r="M3" s="3">
        <v>417</v>
      </c>
      <c t="s" r="N3" s="3">
        <v>417</v>
      </c>
      <c t="s" r="O3" s="3">
        <v>417</v>
      </c>
      <c t="s" r="P3" s="3">
        <v>417</v>
      </c>
      <c t="s" r="Q3" s="3">
        <v>417</v>
      </c>
      <c t="s" r="R3" s="3">
        <v>417</v>
      </c>
      <c t="s" r="S3" s="3">
        <v>417</v>
      </c>
      <c t="s" r="T3" s="3">
        <v>417</v>
      </c>
      <c t="s" r="U3" s="3">
        <v>417</v>
      </c>
      <c t="s" r="V3" s="3">
        <v>417</v>
      </c>
      <c t="s" r="W3" s="3">
        <v>417</v>
      </c>
      <c t="s" r="X3" s="3">
        <v>417</v>
      </c>
      <c t="s" r="Y3" s="3">
        <v>417</v>
      </c>
      <c t="s" r="Z3" s="3">
        <v>417</v>
      </c>
      <c t="s" r="AA3" s="3">
        <v>417</v>
      </c>
      <c t="s" r="AB3" s="3">
        <v>417</v>
      </c>
      <c t="s" r="AC3" s="3">
        <v>417</v>
      </c>
      <c t="s" r="AD3" s="3">
        <v>417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81316.910000000003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408809.13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72633.75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72991.380000000005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317464.19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359849.14000000001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9719.8999999999996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8539.1000000000004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35427.949999999997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40831.800000000003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281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179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796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2213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5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180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5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3075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23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41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188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355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0.10000000000000001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13552.82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68134.860000000001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10879.34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2793.4400000000001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47258.889999999999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8258.2800000000007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36233.529999999999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1059.5599999999999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1407.4100000000001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4312.6000000000004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6310.8699999999999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15.93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351.76999999999998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3150.3400000000001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10151.700000000001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742.75999999999999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892.50999999999999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4534.4300000000003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5325.1099999999997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25485.189999999999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128123.16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10956.959999999999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13584.190000000001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58208.43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56982.959999999999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459.51999999999998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1021.13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3121.0900000000001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6357.3599999999997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9792.3500000000004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7743.9799999999996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43107.809999999998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50615.650000000001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942.33000000000004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5515.1199999999999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858.51999999999998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5216.9700000000003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27989.52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140713.29000000001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3878.1300000000001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3847.1300000000001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19024.23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15468.139999999999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11728.299999999999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9577.2199999999993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83816.369999999995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87168.130000000005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10500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28653.549999999999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7800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9580.25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16450.400000000001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11.65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32.799999999999997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6039.8400000000001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30364.439999999999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5721.9099999999999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19915.5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2609.5900000000001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11.85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11.85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-16.699999999999999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11901.57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2062.3899999999999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10368.35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348.35000000000002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432.63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1577.49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1769.0599999999999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5.1100000000000003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990.11000000000001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927.17999999999995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7793.1199999999999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7400.6800000000003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-25.469999999999999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24.57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-87.900000000000006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250.66999999999999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-18.73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-375.35000000000002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-9133.4200000000001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-45916.970000000001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-1105.75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-1968.25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-5761.1199999999999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-9050.7199999999993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-1689.1400000000001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-4082.46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-8333.6000000000004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-14584.549999999999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-27.120000000000001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-34.950000000000003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-346.72000000000003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-655.63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-89.090000000000003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-1069.9100000000001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-1564.8099999999999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-4524.8999999999996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-9534.4400000000005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-47.909999999999997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-193.03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-937.02999999999997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-3245.3800000000001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-6179.71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-118.06999999999999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-321.55000000000001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-1196.24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31525.029999999999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159319.79000000001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7297.75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6982.5100000000002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34211.650000000001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38620.410000000003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4175.75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4221.3000000000002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19481.73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23360.290000000001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6709.46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7062.3999999999996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26829.779999999999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30529.07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3342.4899999999998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3460.0100000000002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15977.73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17322.23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1682.0899999999999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1199.6199999999999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7838.8699999999999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5550.9099999999999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932.27999999999997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946.82000000000005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4567.04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4837.2700000000004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4617.1800000000003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988.90999999999997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842.90999999999997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3666.6399999999999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4205.0100000000002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8310.1599999999999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7962.1899999999996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42730.400000000001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41489.419999999998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1620.45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8146.5699999999997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1917.6300000000001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1700.6800000000001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8262.0799999999999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8980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121.77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52.289999999999999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433.19999999999999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444.01999999999998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3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46.810000000000002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57.890000000000001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843.64999999999998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14.359999999999999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-15.039999999999999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94.530000000000001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90.450000000000003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6187.1599999999999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31105.060000000001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4449.7799999999997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5001.8500000000004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20336.16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23853.580000000002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1259.8599999999999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1075.05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7413.3500000000004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6678.5699999999997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20.600000000000001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514.94000000000005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177.31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2381.8099999999999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1922.04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163.18000000000001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147.88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760.14999999999998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790.35000000000002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181.87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53.909999999999997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706.88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283.31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-1047.7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-2146.8899999999999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-5615.6000000000004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-13387.940000000001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7307.6999999999998</v>
      </c>
      <c r="C178" s="14">
        <f>IFERROR(B178/B446, "NA")</f>
      </c>
      <c r="D178" s="15"/>
      <c r="E178" s="13">
        <v>7032.6999999999998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7032.6999999999998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38000.040000000001</v>
      </c>
      <c r="R178" s="14">
        <f>IFERROR(Q178/Q446, "NA")</f>
      </c>
      <c r="S178" s="15"/>
      <c r="T178" s="13">
        <v>37725.040000000001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37725.040000000001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25186.790000000001</v>
      </c>
      <c r="C180" s="14">
        <f>IFERROR(B180/B446, "NA")</f>
      </c>
      <c r="D180" s="15"/>
      <c r="E180" s="13">
        <v>27547.580000000002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26078.740000000002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116960.53999999999</v>
      </c>
      <c r="R180" s="14">
        <f>IFERROR(Q180/Q446, "NA")</f>
      </c>
      <c r="S180" s="15"/>
      <c r="T180" s="13">
        <v>133422.44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126257.88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796.02999999999997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1082.6099999999999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2227.25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3022.8899999999999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525</v>
      </c>
      <c r="C184" s="14">
        <f>IFERROR(B184/B446, "NA")</f>
      </c>
      <c r="D184" s="15"/>
      <c r="E184" s="13">
        <v>525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-275</v>
      </c>
      <c r="R184" s="14">
        <f>IFERROR(Q184/Q446, "NA")</f>
      </c>
      <c r="S184" s="15"/>
      <c r="T184" s="13">
        <v>2450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2550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2949.8299999999999</v>
      </c>
      <c r="C186" s="14">
        <f>IFERROR(B186/B446, "NA")</f>
      </c>
      <c r="D186" s="15"/>
      <c r="E186" s="13">
        <v>3599.1999999999998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3299.5999999999999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14039.34</v>
      </c>
      <c r="R186" s="14">
        <f>IFERROR(Q186/Q446, "NA")</f>
      </c>
      <c r="S186" s="15"/>
      <c r="T186" s="13">
        <v>19665.41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18273.400000000001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224</v>
      </c>
      <c r="C194" s="14">
        <f>IFERROR(B194/B446, "NA")</f>
      </c>
      <c r="D194" s="15"/>
      <c r="E194" s="13">
        <v>280.83999999999997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260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1369.52</v>
      </c>
      <c r="R194" s="14">
        <f>IFERROR(Q194/Q446, "NA")</f>
      </c>
      <c r="S194" s="15"/>
      <c r="T194" s="13">
        <v>1388.78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1424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1750.54</v>
      </c>
      <c r="C195" s="14">
        <f>IFERROR(B195/B446, "NA")</f>
      </c>
      <c r="D195" s="15"/>
      <c r="E195" s="13">
        <v>441.94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171.71000000000001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9834.5200000000004</v>
      </c>
      <c r="R195" s="14">
        <f>IFERROR(Q195/Q446, "NA")</f>
      </c>
      <c r="S195" s="15"/>
      <c r="T195" s="13">
        <v>1837.9000000000001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1722.6300000000001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1417.74</v>
      </c>
      <c r="C202" s="14">
        <f>IFERROR(B202/B446, "NA")</f>
      </c>
      <c r="D202" s="15"/>
      <c r="E202" s="13">
        <v>1325.8199999999999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1893.2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8247.8700000000008</v>
      </c>
      <c r="R202" s="14">
        <f>IFERROR(Q202/Q446, "NA")</f>
      </c>
      <c r="S202" s="15"/>
      <c r="T202" s="13">
        <v>6665.3699999999999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10154.799999999999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907.57000000000005</v>
      </c>
      <c r="C203" s="14">
        <f>IFERROR(B203/B446, "NA")</f>
      </c>
      <c r="D203" s="15"/>
      <c r="E203" s="13">
        <v>883.88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1954.9000000000001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5434.8199999999997</v>
      </c>
      <c r="R203" s="14">
        <f>IFERROR(Q203/Q446, "NA")</f>
      </c>
      <c r="S203" s="15"/>
      <c r="T203" s="13">
        <v>4443.5799999999999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5897.21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265.52999999999997</v>
      </c>
      <c r="C204" s="14">
        <f>IFERROR(B204/B446, "NA")</f>
      </c>
      <c r="D204" s="15"/>
      <c r="E204" s="13">
        <v>294.63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413.56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1293.29</v>
      </c>
      <c r="R204" s="14">
        <f>IFERROR(Q204/Q446, "NA")</f>
      </c>
      <c r="S204" s="15"/>
      <c r="T204" s="13">
        <v>1481.2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1394.7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297.05000000000001</v>
      </c>
      <c r="C205" s="14">
        <f>IFERROR(B205/B446, "NA")</f>
      </c>
      <c r="D205" s="15"/>
      <c r="E205" s="13">
        <v>441.94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262.44999999999999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1558.8099999999999</v>
      </c>
      <c r="R205" s="14">
        <f>IFERROR(Q205/Q446, "NA")</f>
      </c>
      <c r="S205" s="15"/>
      <c r="T205" s="13">
        <v>2221.7800000000002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1477.22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50.520000000000003</v>
      </c>
      <c r="C206" s="14">
        <f>IFERROR(B206/B446, "NA")</f>
      </c>
      <c r="D206" s="15"/>
      <c r="E206" s="13">
        <v>147.31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722.35000000000002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298.62</v>
      </c>
      <c r="R206" s="14">
        <f>IFERROR(Q206/Q446, "NA")</f>
      </c>
      <c r="S206" s="15"/>
      <c r="T206" s="13">
        <v>740.59000000000003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993.92999999999995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594.22000000000003</v>
      </c>
      <c r="R207" s="14">
        <f>IFERROR(Q207/Q446, "NA")</f>
      </c>
      <c r="S207" s="15"/>
      <c r="T207" s="13">
        <v>600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588.29999999999995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57.079999999999998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182.81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326.25999999999999</v>
      </c>
      <c r="R208" s="14">
        <f>IFERROR(Q208/Q446, "NA")</f>
      </c>
      <c r="S208" s="15"/>
      <c r="T208" s="13">
        <v>600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772.60000000000002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4272.0799999999999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21477.290000000001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1125.75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2774.9400000000001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6783.0900000000001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14032.59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212.52000000000001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5.1299999999999999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1795.79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5.1299999999999999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35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205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2.4100000000000001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2501.6399999999999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1543.4100000000001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9253.2199999999993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11128.370000000001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150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395.75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2195.1900000000001</v>
      </c>
      <c r="R222" s="14">
        <f>IFERROR(Q222/Q446, "NA")</f>
      </c>
      <c r="S222" s="15"/>
      <c r="T222" s="13">
        <v>600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1822.99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1915.0699999999999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9627.75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126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906.25999999999999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1440.5899999999999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1256.28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9015.4099999999999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8662.7800000000007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48.719999999999999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152.56999999999999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7807.6000000000004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39251.589999999997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1727.9400000000001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1890.3499999999999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8913.1200000000008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7601.29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2161.3899999999999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1771.76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15755.65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14280.07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1124.53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3944.8200000000002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336.63999999999999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92.819999999999993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288.17000000000002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617.14999999999998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1822.8499999999999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221.96000000000001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266.70999999999998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1414.03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1650.3099999999999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1945.8199999999999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967.44000000000005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8300.8700000000008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6357.8199999999997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1575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3836.25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1442.3499999999999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t="16.5" customHeight="1">
      <c t="s" r="A262" s="18">
        <v>239</v>
      </c>
      <c r="B262" s="13">
        <v>1200.79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1646.47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4196.9300000000003</v>
      </c>
      <c r="C266" s="14">
        <f>IFERROR(B266/B446, "NA")</f>
      </c>
      <c r="D266" s="15"/>
      <c r="E266" s="13">
        <v>4272.0799999999999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3573.8000000000002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19279.779999999999</v>
      </c>
      <c r="R266" s="14">
        <f>IFERROR(Q266/Q446, "NA")</f>
      </c>
      <c r="S266" s="15"/>
      <c r="T266" s="13">
        <v>21477.290000000001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18878.09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47.829999999999998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32.799999999999997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92.629999999999995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200.19999999999999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202.08000000000001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989.44000000000005</v>
      </c>
      <c r="R271" s="14">
        <f>IFERROR(Q271/Q446, "NA")</f>
      </c>
      <c r="S271" s="15"/>
      <c r="T271" s="13">
        <v>1201.2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1210.75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0</v>
      </c>
      <c r="C272" s="14">
        <f>IFERROR(B272/B446, "NA")</f>
      </c>
      <c r="D272" s="15"/>
      <c r="E272" s="13">
        <v>894.42999999999995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861.83000000000004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4472.1899999999996</v>
      </c>
      <c r="R272" s="14">
        <f>IFERROR(Q272/Q446, "NA")</f>
      </c>
      <c r="S272" s="15"/>
      <c r="T272" s="13">
        <v>5366.5799999999999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4754.79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137.5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825</v>
      </c>
      <c r="R289" s="14">
        <f>IFERROR(Q289/Q446, "NA")</f>
      </c>
      <c r="S289" s="15"/>
      <c r="T289" s="13">
        <v>828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825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228.61000000000001</v>
      </c>
      <c r="C290" s="14">
        <f>IFERROR(B290/B446, "NA")</f>
      </c>
      <c r="D290" s="15"/>
      <c r="E290" s="13">
        <v>211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206.28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1154.01</v>
      </c>
      <c r="R290" s="14">
        <f>IFERROR(Q290/Q446, "NA")</f>
      </c>
      <c r="S290" s="15"/>
      <c r="T290" s="13">
        <v>1266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1037.1900000000001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107.40000000000001</v>
      </c>
      <c r="C291" s="14">
        <f>IFERROR(B291/B446, "NA")</f>
      </c>
      <c r="D291" s="15"/>
      <c r="E291" s="13">
        <v>883.88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175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1384.6500000000001</v>
      </c>
      <c r="R291" s="14">
        <f>IFERROR(Q291/Q446, "NA")</f>
      </c>
      <c r="S291" s="15"/>
      <c r="T291" s="13">
        <v>4443.5799999999999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3182.4099999999999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2923.6700000000001</v>
      </c>
      <c r="C292" s="14">
        <f>IFERROR(B292/B446, "NA")</f>
      </c>
      <c r="D292" s="15"/>
      <c r="E292" s="13">
        <v>589.25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500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7265.9899999999998</v>
      </c>
      <c r="R292" s="14">
        <f>IFERROR(Q292/Q446, "NA")</f>
      </c>
      <c r="S292" s="15"/>
      <c r="T292" s="13">
        <v>2962.3800000000001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2475.0300000000002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147.31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740.59000000000003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500.86000000000001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147.31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851.73000000000002</v>
      </c>
      <c r="R294" s="14">
        <f>IFERROR(Q294/Q446, "NA")</f>
      </c>
      <c r="S294" s="15"/>
      <c r="T294" s="13">
        <v>740.59000000000003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369.93000000000001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299.99000000000001</v>
      </c>
      <c r="C295" s="14">
        <f>IFERROR(B295/B446, "NA")</f>
      </c>
      <c r="D295" s="15"/>
      <c r="E295" s="13">
        <v>346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309.99000000000001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929.98000000000002</v>
      </c>
      <c r="R295" s="14">
        <f>IFERROR(Q295/Q446, "NA")</f>
      </c>
      <c r="S295" s="15"/>
      <c r="T295" s="13">
        <v>2076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2088.9499999999998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375.06</v>
      </c>
      <c r="C300" s="14">
        <f>IFERROR(B300/B446, "NA")</f>
      </c>
      <c r="D300" s="15"/>
      <c r="E300" s="13">
        <v>575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191.94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2835.5100000000002</v>
      </c>
      <c r="R300" s="14">
        <f>IFERROR(Q300/Q446, "NA")</f>
      </c>
      <c r="S300" s="15"/>
      <c r="T300" s="13">
        <v>3450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1713.1700000000001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150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197.00999999999999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134.69999999999999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144.08000000000001</v>
      </c>
      <c r="R311" s="14">
        <f>IFERROR(Q311/Q446, "NA")</f>
      </c>
      <c r="S311" s="15"/>
      <c r="T311" s="13">
        <v>330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357.57999999999998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504.81999999999999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469.12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2481.2600000000002</v>
      </c>
      <c r="R313" s="14">
        <f>IFERROR(Q313/Q446, "NA")</f>
      </c>
      <c r="S313" s="15"/>
      <c r="T313" s="13">
        <v>210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896.17999999999995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17</v>
      </c>
      <c r="C314" s="14">
        <f>IFERROR(B314/B446, "NA")</f>
      </c>
      <c r="D314" s="15"/>
      <c r="E314" s="13">
        <v>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6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29</v>
      </c>
      <c r="R314" s="14">
        <f>IFERROR(Q314/Q446, "NA")</f>
      </c>
      <c r="S314" s="15"/>
      <c r="T314" s="13">
        <v>60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53.75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748.97000000000003</v>
      </c>
      <c r="C316" s="14">
        <f>IFERROR(B316/B446, "NA")</f>
      </c>
      <c r="D316" s="15"/>
      <c r="E316" s="13">
        <v>1031.1900000000001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794.11000000000001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4493.8199999999997</v>
      </c>
      <c r="R316" s="14">
        <f>IFERROR(Q316/Q446, "NA")</f>
      </c>
      <c r="S316" s="15"/>
      <c r="T316" s="13">
        <v>5184.1700000000001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4764.6599999999999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1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293.38999999999999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490.60000000000002</v>
      </c>
      <c r="C319" s="14">
        <f>IFERROR(B319/B446, "NA")</f>
      </c>
      <c r="D319" s="15"/>
      <c r="E319" s="13">
        <v>491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490.60000000000002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2943.5999999999999</v>
      </c>
      <c r="R319" s="14">
        <f>IFERROR(Q319/Q446, "NA")</f>
      </c>
      <c r="S319" s="15"/>
      <c r="T319" s="13">
        <v>2946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2943.5999999999999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160.27000000000001</v>
      </c>
      <c r="C320" s="14">
        <f>IFERROR(B320/B446, "NA")</f>
      </c>
      <c r="D320" s="15"/>
      <c r="E320" s="13">
        <v>160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160.21000000000001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961.95000000000005</v>
      </c>
      <c r="R320" s="14">
        <f>IFERROR(Q320/Q446, "NA")</f>
      </c>
      <c r="S320" s="15"/>
      <c r="T320" s="13">
        <v>960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1091.1099999999999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995.70000000000005</v>
      </c>
      <c r="C321" s="14">
        <f>IFERROR(B321/B446, "NA")</f>
      </c>
      <c r="D321" s="15"/>
      <c r="E321" s="13">
        <v>1121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1852.5599999999999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6321.1899999999996</v>
      </c>
      <c r="R321" s="14">
        <f>IFERROR(Q321/Q446, "NA")</f>
      </c>
      <c r="S321" s="15"/>
      <c r="T321" s="13">
        <v>6726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7314.1199999999999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1047.7</v>
      </c>
      <c r="C322" s="14">
        <f>IFERROR(B322/B446, "NA")</f>
      </c>
      <c r="D322" s="15"/>
      <c r="E322" s="13">
        <v>2209.6999999999998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2146.8899999999999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5615.6000000000004</v>
      </c>
      <c r="R322" s="14">
        <f>IFERROR(Q322/Q446, "NA")</f>
      </c>
      <c r="S322" s="15"/>
      <c r="T322" s="13">
        <v>11033.290000000001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13387.940000000001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880.21000000000004</v>
      </c>
      <c r="C323" s="14">
        <f>IFERROR(B323/B446, "NA")</f>
      </c>
      <c r="D323" s="15"/>
      <c r="E323" s="13">
        <v>366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338.98000000000002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2281.2600000000002</v>
      </c>
      <c r="R323" s="14">
        <f>IFERROR(Q323/Q446, "NA")</f>
      </c>
      <c r="S323" s="15"/>
      <c r="T323" s="13">
        <v>2196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1726.1700000000001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10.01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13526.48</v>
      </c>
      <c r="C330" s="14">
        <f>IFERROR(B330/B446, "NA")</f>
      </c>
      <c r="D330" s="15"/>
      <c r="E330" s="13">
        <v>13526.48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13132.5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81158.880000000005</v>
      </c>
      <c r="R330" s="14">
        <f>IFERROR(Q330/Q446, "NA")</f>
      </c>
      <c r="S330" s="15"/>
      <c r="T330" s="13">
        <v>81158.880000000005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78795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2516.3899999999999</v>
      </c>
      <c r="C331" s="14">
        <f>IFERROR(B331/B446, "NA")</f>
      </c>
      <c r="D331" s="15"/>
      <c r="E331" s="13">
        <v>2126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2126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13536.780000000001</v>
      </c>
      <c r="R331" s="14">
        <f>IFERROR(Q331/Q446, "NA")</f>
      </c>
      <c r="S331" s="15"/>
      <c r="T331" s="13">
        <v>12756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12756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180</v>
      </c>
      <c r="C333" s="14">
        <f>IFERROR(B333/B446, "NA")</f>
      </c>
      <c r="D333" s="15"/>
      <c r="E333" s="13">
        <v>180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180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785.28999999999996</v>
      </c>
      <c r="R333" s="14">
        <f>IFERROR(Q333/Q446, "NA")</f>
      </c>
      <c r="S333" s="15"/>
      <c r="T333" s="13">
        <v>1080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1080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1254</v>
      </c>
      <c r="C334" s="14">
        <f>IFERROR(B334/B446, "NA")</f>
      </c>
      <c r="D334" s="15"/>
      <c r="E334" s="13">
        <v>1025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1024.6900000000001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7524</v>
      </c>
      <c r="R334" s="14">
        <f>IFERROR(Q334/Q446, "NA")</f>
      </c>
      <c r="S334" s="15"/>
      <c r="T334" s="13">
        <v>6150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6148.1400000000003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2083.0799999999999</v>
      </c>
      <c r="C335" s="14">
        <f>IFERROR(B335/B446, "NA")</f>
      </c>
      <c r="D335" s="15"/>
      <c r="E335" s="13">
        <v>2083.0799999999999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2022.4000000000001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498.64999999999998</v>
      </c>
      <c r="C339" s="14">
        <f>IFERROR(B339/B446, "NA")</f>
      </c>
      <c r="D339" s="15"/>
      <c r="E339" s="13">
        <v>589.25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164.00999999999999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2219.8000000000002</v>
      </c>
      <c r="R339" s="14">
        <f>IFERROR(Q339/Q446, "NA")</f>
      </c>
      <c r="S339" s="15"/>
      <c r="T339" s="13">
        <v>2962.3800000000001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2094.0500000000002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439.43000000000001</v>
      </c>
      <c r="C340" s="14">
        <f>IFERROR(B340/B446, "NA")</f>
      </c>
      <c r="D340" s="15"/>
      <c r="E340" s="13">
        <v>441.94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361.85000000000002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2631.0500000000002</v>
      </c>
      <c r="R340" s="14">
        <f>IFERROR(Q340/Q446, "NA")</f>
      </c>
      <c r="S340" s="15"/>
      <c r="T340" s="13">
        <v>2221.7800000000002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2091.9699999999998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512</v>
      </c>
      <c r="C341" s="14">
        <f>IFERROR(B341/B446, "NA")</f>
      </c>
      <c r="D341" s="15"/>
      <c r="E341" s="13">
        <v>441.94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410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1148.8399999999999</v>
      </c>
      <c r="R341" s="14">
        <f>IFERROR(Q341/Q446, "NA")</f>
      </c>
      <c r="S341" s="15"/>
      <c r="T341" s="13">
        <v>2221.7800000000002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2539.1799999999998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488.39999999999998</v>
      </c>
      <c r="C342" s="14">
        <f>IFERROR(B342/B446, "NA")</f>
      </c>
      <c r="D342" s="15"/>
      <c r="E342" s="13">
        <v>589.25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472.19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2901.8800000000001</v>
      </c>
      <c r="R342" s="14">
        <f>IFERROR(Q342/Q446, "NA")</f>
      </c>
      <c r="S342" s="15"/>
      <c r="T342" s="13">
        <v>2962.3800000000001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2829.5599999999999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8973.6599999999999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51784.239999999998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8772.9899999999998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8189.2299999999996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51311.209999999999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48645.389999999999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-178.22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-39.719999999999999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-755.38999999999999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-162.84999999999999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18.390000000000001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77.170000000000002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414.86000000000001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-276.64999999999998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146023.81</v>
      </c>
      <c r="C446" s="33"/>
      <c r="D446" s="15"/>
      <c r="E446" s="13">
        <v>147313.25</v>
      </c>
      <c r="F446" s="33"/>
      <c r="G446" s="15"/>
      <c r="H446" s="16">
        <f>IFERROR(B446-E446, "NA")</f>
      </c>
      <c r="I446" s="33"/>
      <c r="J446" s="15"/>
      <c r="K446" s="13">
        <v>135050.64000000001</v>
      </c>
      <c r="L446" s="33"/>
      <c r="M446" s="15"/>
      <c r="N446" s="16">
        <f>IFERROR(B446-K446, "NA")</f>
      </c>
      <c r="O446" s="33"/>
      <c r="P446" s="15"/>
      <c r="Q446" s="13">
        <v>667356.31999999995</v>
      </c>
      <c r="R446" s="33"/>
      <c r="S446" s="15"/>
      <c r="T446" s="13">
        <v>740596.26000000001</v>
      </c>
      <c r="U446" s="33"/>
      <c r="V446" s="15"/>
      <c r="W446" s="16">
        <f>IFERROR(Q446-T446, "NA")</f>
      </c>
      <c r="X446" s="33"/>
      <c r="Y446" s="15"/>
      <c r="Z446" s="13">
        <v>686571.68999999994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418</v>
      </c>
      <c t="s" r="B3" s="3">
        <v>418</v>
      </c>
      <c t="s" r="C3" s="3">
        <v>418</v>
      </c>
      <c t="s" r="D3" s="3">
        <v>418</v>
      </c>
      <c t="s" r="E3" s="3">
        <v>418</v>
      </c>
      <c t="s" r="F3" s="3">
        <v>418</v>
      </c>
      <c t="s" r="G3" s="3">
        <v>418</v>
      </c>
      <c t="s" r="H3" s="3">
        <v>418</v>
      </c>
      <c t="s" r="I3" s="3">
        <v>418</v>
      </c>
      <c t="s" r="J3" s="3">
        <v>418</v>
      </c>
      <c t="s" r="K3" s="3">
        <v>418</v>
      </c>
      <c t="s" r="L3" s="3">
        <v>418</v>
      </c>
      <c t="s" r="M3" s="3">
        <v>418</v>
      </c>
      <c t="s" r="N3" s="3">
        <v>418</v>
      </c>
      <c t="s" r="O3" s="3">
        <v>418</v>
      </c>
      <c t="s" r="P3" s="3">
        <v>418</v>
      </c>
      <c t="s" r="Q3" s="3">
        <v>418</v>
      </c>
      <c t="s" r="R3" s="3">
        <v>418</v>
      </c>
      <c t="s" r="S3" s="3">
        <v>418</v>
      </c>
      <c t="s" r="T3" s="3">
        <v>418</v>
      </c>
      <c t="s" r="U3" s="3">
        <v>418</v>
      </c>
      <c t="s" r="V3" s="3">
        <v>418</v>
      </c>
      <c t="s" r="W3" s="3">
        <v>418</v>
      </c>
      <c t="s" r="X3" s="3">
        <v>418</v>
      </c>
      <c t="s" r="Y3" s="3">
        <v>418</v>
      </c>
      <c t="s" r="Z3" s="3">
        <v>418</v>
      </c>
      <c t="s" r="AA3" s="3">
        <v>418</v>
      </c>
      <c t="s" r="AB3" s="3">
        <v>418</v>
      </c>
      <c t="s" r="AC3" s="3">
        <v>418</v>
      </c>
      <c t="s" r="AD3" s="3">
        <v>418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75474.759999999995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359706.09000000003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52691.230000000003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64672.150000000001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278551.20000000001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305728.03999999998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6204.8999999999996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7727.8999999999996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31196.599999999999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36759.550000000003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235.5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240.5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1046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1068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320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80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2310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53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96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297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1.8799999999999999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2.3799999999999999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16894.98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80519.979999999996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13052.299999999999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5232.5900000000001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57624.449999999997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9330.3199999999997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44023.550000000003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1210.9100000000001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1508.6700000000001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4599.6400000000003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6972.4300000000003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24.77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765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2932.46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9798.8899999999994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856.57000000000005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868.54999999999995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5199.3199999999997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5211.3000000000002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28737.25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136959.22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11827.549999999999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10724.5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64220.669999999998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50848.489999999998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691.87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1693.1600000000001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4381.6499999999996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8197.6000000000004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15777.6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10774.049999999999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65086.559999999998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63060.739999999998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993.24000000000001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5177.1700000000001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822.46000000000004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521.39999999999998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5585.21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29210.939999999999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139216.79000000001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2810.5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20117.240000000002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17425.509999999998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41572.5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13448.25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5534.7799999999997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68992.580000000002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90330.580000000002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12.85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23.300000000000001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35.75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56.200000000000003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12631.76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60201.870000000003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6891.3599999999997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4422.6099999999997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27437.470000000001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8755.1100000000006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5280.04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4049.29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18019.400000000001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35334.190000000002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8270.0499999999993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2041.52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20011.009999999998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2879.8699999999999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-17.850000000000001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3589.3000000000002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13717.799999999999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2368.4499999999998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11287.85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220.09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1737.5899999999999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1309.01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3514.6300000000001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1146.8399999999999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551.41999999999996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6469.5799999999999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7138.3699999999999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105.88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-32.310000000000002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89.939999999999998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-11.880000000000001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-470.58999999999997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-7421.1599999999999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-35368.599999999999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-714.24000000000001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-438.94999999999999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-7000.1400000000003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-6480.0500000000002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-2056.1399999999999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-4466.8199999999997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-11357.75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-16507.740000000002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-28.969999999999999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-276.44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-290.20999999999998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-3162.5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-105.51000000000001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-543.50999999999999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-167.74000000000001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-1974.79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-1890.53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-102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-404.66000000000003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-861.13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-3303.48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-4646.3599999999997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-201.09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-480.60000000000002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-145.09999999999999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33947.849999999999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163249.20000000001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7172.4399999999996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7981.1099999999997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34752.510000000002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41893.620000000003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3847.0700000000002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4831.0200000000004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18407.18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23257.080000000002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6199.5900000000001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7530.8100000000004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26568.560000000001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30388.540000000001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2969.4299999999998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3636.3499999999999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15622.780000000001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17871.91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1953.6400000000001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1323.0899999999999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8689.9099999999999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6674.6400000000003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916.44000000000005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964.70000000000005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4802.9700000000003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5443.0100000000002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5225.9200000000001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700.62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879.32000000000005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3316.5900000000001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3827.75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8460.6599999999999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7049.54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46049.870000000003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43344.910000000003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1736.8699999999999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8277.7600000000002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1676.9200000000001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2068.9000000000001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8141.9899999999998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10012.459999999999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67.349999999999994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198.63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298.41000000000003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351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82.239999999999995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-118.29000000000001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717.24000000000001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0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26.780000000000001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62.460000000000001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6473.7799999999997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30853.450000000001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4185.8800000000001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4745.8100000000004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21127.900000000001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23127.939999999999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1034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1873.71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5431.7399999999998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7564.8900000000003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573.16999999999996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268.54000000000002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1962.8399999999999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2860.8899999999999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3.5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1.3999999999999999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164.03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150.72999999999999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792.10000000000002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713.28999999999996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154.87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39.109999999999999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655.21000000000004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236.91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-987.15999999999997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-1546.3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-6045.9799999999996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-14519.139999999999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6490.3999999999996</v>
      </c>
      <c r="C178" s="14">
        <f>IFERROR(B178/B446, "NA")</f>
      </c>
      <c r="D178" s="15"/>
      <c r="E178" s="13">
        <v>6215.3999999999996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6215.3999999999996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33750.080000000002</v>
      </c>
      <c r="R178" s="14">
        <f>IFERROR(Q178/Q446, "NA")</f>
      </c>
      <c r="S178" s="15"/>
      <c r="T178" s="13">
        <v>33475.080000000002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33475.080000000002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29310.91</v>
      </c>
      <c r="C180" s="14">
        <f>IFERROR(B180/B446, "NA")</f>
      </c>
      <c r="D180" s="15"/>
      <c r="E180" s="13">
        <v>31105.709999999999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29079.509999999998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136378.63</v>
      </c>
      <c r="R180" s="14">
        <f>IFERROR(Q180/Q446, "NA")</f>
      </c>
      <c r="S180" s="15"/>
      <c r="T180" s="13">
        <v>148037.17000000001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142812.23000000001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175.69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516.58000000000004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853.41999999999996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986.54999999999995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488</v>
      </c>
      <c r="C184" s="14">
        <f>IFERROR(B184/B446, "NA")</f>
      </c>
      <c r="D184" s="15"/>
      <c r="E184" s="13">
        <v>487.5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-200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-362</v>
      </c>
      <c r="R184" s="14">
        <f>IFERROR(Q184/Q446, "NA")</f>
      </c>
      <c r="S184" s="15"/>
      <c r="T184" s="13">
        <v>2275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2300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3175.1599999999999</v>
      </c>
      <c r="C186" s="14">
        <f>IFERROR(B186/B446, "NA")</f>
      </c>
      <c r="D186" s="15"/>
      <c r="E186" s="13">
        <v>3620.5500000000002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3320.3899999999999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15819.549999999999</v>
      </c>
      <c r="R186" s="14">
        <f>IFERROR(Q186/Q446, "NA")</f>
      </c>
      <c r="S186" s="15"/>
      <c r="T186" s="13">
        <v>17667.990000000002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16474.790000000001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313.75999999999999</v>
      </c>
      <c r="C194" s="14">
        <f>IFERROR(B194/B446, "NA")</f>
      </c>
      <c r="D194" s="15"/>
      <c r="E194" s="13">
        <v>302.47000000000003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275.60000000000002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1725.73</v>
      </c>
      <c r="R194" s="14">
        <f>IFERROR(Q194/Q446, "NA")</f>
      </c>
      <c r="S194" s="15"/>
      <c r="T194" s="13">
        <v>1470.3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1723.1600000000001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1421.0699999999999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756.32000000000005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6345.5200000000004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5155.75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705.08000000000004</v>
      </c>
      <c r="C202" s="14">
        <f>IFERROR(B202/B446, "NA")</f>
      </c>
      <c r="D202" s="15"/>
      <c r="E202" s="13">
        <v>1736.8699999999999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1172.9200000000001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5894.0699999999997</v>
      </c>
      <c r="R202" s="14">
        <f>IFERROR(Q202/Q446, "NA")</f>
      </c>
      <c r="S202" s="15"/>
      <c r="T202" s="13">
        <v>8277.7600000000002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6102.5900000000001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858.38999999999999</v>
      </c>
      <c r="C203" s="14">
        <f>IFERROR(B203/B446, "NA")</f>
      </c>
      <c r="D203" s="15"/>
      <c r="E203" s="13">
        <v>1105.28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2177.3299999999999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6244.8199999999997</v>
      </c>
      <c r="R203" s="14">
        <f>IFERROR(Q203/Q446, "NA")</f>
      </c>
      <c r="S203" s="15"/>
      <c r="T203" s="13">
        <v>5267.6599999999999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5915.6999999999998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34.340000000000003</v>
      </c>
      <c r="C204" s="14">
        <f>IFERROR(B204/B446, "NA")</f>
      </c>
      <c r="D204" s="15"/>
      <c r="E204" s="13">
        <v>315.79000000000002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389.95999999999998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300.31</v>
      </c>
      <c r="R204" s="14">
        <f>IFERROR(Q204/Q446, "NA")</f>
      </c>
      <c r="S204" s="15"/>
      <c r="T204" s="13">
        <v>1505.05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714.39999999999998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455.30000000000001</v>
      </c>
      <c r="C205" s="14">
        <f>IFERROR(B205/B446, "NA")</f>
      </c>
      <c r="D205" s="15"/>
      <c r="E205" s="13">
        <v>473.69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455.30000000000001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2551.02</v>
      </c>
      <c r="R205" s="14">
        <f>IFERROR(Q205/Q446, "NA")</f>
      </c>
      <c r="S205" s="15"/>
      <c r="T205" s="13">
        <v>2257.5599999999999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2367.5599999999999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21.039999999999999</v>
      </c>
      <c r="C206" s="14">
        <f>IFERROR(B206/B446, "NA")</f>
      </c>
      <c r="D206" s="15"/>
      <c r="E206" s="13">
        <v>157.90000000000001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490.94999999999999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84.099999999999994</v>
      </c>
      <c r="R206" s="14">
        <f>IFERROR(Q206/Q446, "NA")</f>
      </c>
      <c r="S206" s="15"/>
      <c r="T206" s="13">
        <v>752.51999999999998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865.24000000000001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148.25999999999999</v>
      </c>
      <c r="R207" s="14">
        <f>IFERROR(Q207/Q446, "NA")</f>
      </c>
      <c r="S207" s="15"/>
      <c r="T207" s="13">
        <v>600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588.29999999999995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102.53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160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590.71000000000004</v>
      </c>
      <c r="R208" s="14">
        <f>IFERROR(Q208/Q446, "NA")</f>
      </c>
      <c r="S208" s="15"/>
      <c r="T208" s="13">
        <v>600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1034.05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4579.0100000000002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21823.169999999998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980.27999999999997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2299.3299999999999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7036.1499999999996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12750.559999999999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255.12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18.440000000000001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1578.6099999999999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18.440000000000001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40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260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2.1000000000000001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3326.5599999999999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1905.3399999999999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11624.309999999999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12758.66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0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136.34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354.08999999999997</v>
      </c>
      <c r="R222" s="14">
        <f>IFERROR(Q222/Q446, "NA")</f>
      </c>
      <c r="S222" s="15"/>
      <c r="T222" s="13">
        <v>600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645.39999999999998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2052.6599999999999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9782.7999999999993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126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231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1099.05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1219.1500000000001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937.95000000000005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6837.7299999999996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8524.5200000000004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60.189999999999998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246.58000000000001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9631.7199999999993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45903.919999999998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1845.6900000000001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1508.9300000000001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9783.9699999999993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6962.9799999999996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2542.5900000000001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1463.6400000000001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13725.23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16822.73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1392.6700000000001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818.92999999999995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5625.5600000000004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1710.3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139.87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477.45999999999998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886.49000000000001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2356.6199999999999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255.97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259.55000000000001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1612.72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1616.3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3067.8800000000001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1464.0699999999999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12407.24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8381.3500000000004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1056.02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664.63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3599.2600000000002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4829.3299999999999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1562.55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147.59999999999999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3448.6100000000001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273.35000000000002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3432.1700000000001</v>
      </c>
      <c r="C266" s="14">
        <f>IFERROR(B266/B446, "NA")</f>
      </c>
      <c r="D266" s="15"/>
      <c r="E266" s="13">
        <v>4263.2200000000003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4060.8600000000001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17585.919999999998</v>
      </c>
      <c r="R266" s="14">
        <f>IFERROR(Q266/Q446, "NA")</f>
      </c>
      <c r="S266" s="15"/>
      <c r="T266" s="13">
        <v>20318.130000000001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18663.52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74.099999999999994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-533.04999999999995</v>
      </c>
      <c r="C271" s="14">
        <f>IFERROR(B271/B446, "NA")</f>
      </c>
      <c r="D271" s="15"/>
      <c r="E271" s="13">
        <v>111.38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89.790000000000006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283.5</v>
      </c>
      <c r="R271" s="14">
        <f>IFERROR(Q271/Q446, "NA")</f>
      </c>
      <c r="S271" s="15"/>
      <c r="T271" s="13">
        <v>668.27999999999997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797.54999999999995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-275.64999999999998</v>
      </c>
      <c r="C272" s="14">
        <f>IFERROR(B272/B446, "NA")</f>
      </c>
      <c r="D272" s="15"/>
      <c r="E272" s="13">
        <v>1183.75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1183.75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5238.6700000000001</v>
      </c>
      <c r="R272" s="14">
        <f>IFERROR(Q272/Q446, "NA")</f>
      </c>
      <c r="S272" s="15"/>
      <c r="T272" s="13">
        <v>7102.5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6291.2799999999997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1195.6199999999999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158.34</v>
      </c>
      <c r="C289" s="14">
        <f>IFERROR(B289/B446, "NA")</f>
      </c>
      <c r="D289" s="15"/>
      <c r="E289" s="13">
        <v>158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158.33000000000001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950.05999999999995</v>
      </c>
      <c r="R289" s="14">
        <f>IFERROR(Q289/Q446, "NA")</f>
      </c>
      <c r="S289" s="15"/>
      <c r="T289" s="13">
        <v>948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950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252.30000000000001</v>
      </c>
      <c r="C290" s="14">
        <f>IFERROR(B290/B446, "NA")</f>
      </c>
      <c r="D290" s="15"/>
      <c r="E290" s="13">
        <v>233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216.02000000000001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1496.55</v>
      </c>
      <c r="R290" s="14">
        <f>IFERROR(Q290/Q446, "NA")</f>
      </c>
      <c r="S290" s="15"/>
      <c r="T290" s="13">
        <v>1398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1260.46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473.69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6.6100000000000003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1296.75</v>
      </c>
      <c r="R291" s="14">
        <f>IFERROR(Q291/Q446, "NA")</f>
      </c>
      <c r="S291" s="15"/>
      <c r="T291" s="13">
        <v>2098.8499999999999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215.74000000000001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1229.5899999999999</v>
      </c>
      <c r="C292" s="14">
        <f>IFERROR(B292/B446, "NA")</f>
      </c>
      <c r="D292" s="15"/>
      <c r="E292" s="13">
        <v>631.59000000000003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1482.27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6469.4700000000003</v>
      </c>
      <c r="R292" s="14">
        <f>IFERROR(Q292/Q446, "NA")</f>
      </c>
      <c r="S292" s="15"/>
      <c r="T292" s="13">
        <v>3010.0999999999999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2499.5799999999999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157.90000000000001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522.95000000000005</v>
      </c>
      <c r="R293" s="14">
        <f>IFERROR(Q293/Q446, "NA")</f>
      </c>
      <c r="S293" s="15"/>
      <c r="T293" s="13">
        <v>752.51999999999998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157.90000000000001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752.51999999999998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299.99000000000001</v>
      </c>
      <c r="C295" s="14">
        <f>IFERROR(B295/B446, "NA")</f>
      </c>
      <c r="D295" s="15"/>
      <c r="E295" s="13">
        <v>412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430.72000000000003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1113.97</v>
      </c>
      <c r="R295" s="14">
        <f>IFERROR(Q295/Q446, "NA")</f>
      </c>
      <c r="S295" s="15"/>
      <c r="T295" s="13">
        <v>2472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2360.4099999999999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505.27999999999997</v>
      </c>
      <c r="C300" s="14">
        <f>IFERROR(B300/B446, "NA")</f>
      </c>
      <c r="D300" s="15"/>
      <c r="E300" s="13">
        <v>469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457.63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2914.9499999999998</v>
      </c>
      <c r="R300" s="14">
        <f>IFERROR(Q300/Q446, "NA")</f>
      </c>
      <c r="S300" s="15"/>
      <c r="T300" s="13">
        <v>2814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2594.75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291.68000000000001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215.91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58.329999999999998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523.00999999999999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58.329999999999998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114.52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177.94999999999999</v>
      </c>
      <c r="R311" s="14">
        <f>IFERROR(Q311/Q446, "NA")</f>
      </c>
      <c r="S311" s="15"/>
      <c r="T311" s="13">
        <v>330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130.41999999999999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1230.1500000000001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711.26999999999998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3686.6300000000001</v>
      </c>
      <c r="R313" s="14">
        <f>IFERROR(Q313/Q446, "NA")</f>
      </c>
      <c r="S313" s="15"/>
      <c r="T313" s="13">
        <v>210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2642.8800000000001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15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10</v>
      </c>
      <c r="R314" s="14">
        <f>IFERROR(Q314/Q446, "NA")</f>
      </c>
      <c r="S314" s="15"/>
      <c r="T314" s="13">
        <v>70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33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783.45000000000005</v>
      </c>
      <c r="C316" s="14">
        <f>IFERROR(B316/B446, "NA")</f>
      </c>
      <c r="D316" s="15"/>
      <c r="E316" s="13">
        <v>631.59000000000003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1133.3399999999999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3450.1100000000001</v>
      </c>
      <c r="R316" s="14">
        <f>IFERROR(Q316/Q446, "NA")</f>
      </c>
      <c r="S316" s="15"/>
      <c r="T316" s="13">
        <v>3010.0999999999999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2200.02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51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343.38999999999999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395.44999999999999</v>
      </c>
      <c r="C320" s="14">
        <f>IFERROR(B320/B446, "NA")</f>
      </c>
      <c r="D320" s="15"/>
      <c r="E320" s="13">
        <v>308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306.63999999999999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2212.3000000000002</v>
      </c>
      <c r="R320" s="14">
        <f>IFERROR(Q320/Q446, "NA")</f>
      </c>
      <c r="S320" s="15"/>
      <c r="T320" s="13">
        <v>1848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1708.3599999999999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1061.3299999999999</v>
      </c>
      <c r="C321" s="14">
        <f>IFERROR(B321/B446, "NA")</f>
      </c>
      <c r="D321" s="15"/>
      <c r="E321" s="13">
        <v>1186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1246.21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6678.25</v>
      </c>
      <c r="R321" s="14">
        <f>IFERROR(Q321/Q446, "NA")</f>
      </c>
      <c r="S321" s="15"/>
      <c r="T321" s="13">
        <v>7116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6957.7700000000004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987.15999999999997</v>
      </c>
      <c r="C322" s="14">
        <f>IFERROR(B322/B446, "NA")</f>
      </c>
      <c r="D322" s="15"/>
      <c r="E322" s="13">
        <v>2368.4499999999998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1546.3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6045.9799999999996</v>
      </c>
      <c r="R322" s="14">
        <f>IFERROR(Q322/Q446, "NA")</f>
      </c>
      <c r="S322" s="15"/>
      <c r="T322" s="13">
        <v>11190.74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14519.139999999999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368.00999999999999</v>
      </c>
      <c r="C323" s="14">
        <f>IFERROR(B323/B446, "NA")</f>
      </c>
      <c r="D323" s="15"/>
      <c r="E323" s="13">
        <v>252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1352.0799999999999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2725.73</v>
      </c>
      <c r="R323" s="14">
        <f>IFERROR(Q323/Q446, "NA")</f>
      </c>
      <c r="S323" s="15"/>
      <c r="T323" s="13">
        <v>1512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3349.3800000000001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20059.040000000001</v>
      </c>
      <c r="C330" s="14">
        <f>IFERROR(B330/B446, "NA")</f>
      </c>
      <c r="D330" s="15"/>
      <c r="E330" s="13">
        <v>20059.040000000001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19569.790000000001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120354.24000000001</v>
      </c>
      <c r="R330" s="14">
        <f>IFERROR(Q330/Q446, "NA")</f>
      </c>
      <c r="S330" s="15"/>
      <c r="T330" s="13">
        <v>120354.24000000001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117418.74000000001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525.27999999999997</v>
      </c>
      <c r="C331" s="14">
        <f>IFERROR(B331/B446, "NA")</f>
      </c>
      <c r="D331" s="15"/>
      <c r="E331" s="13">
        <v>658.50999999999999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658.50999999999999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3684.5999999999999</v>
      </c>
      <c r="R331" s="14">
        <f>IFERROR(Q331/Q446, "NA")</f>
      </c>
      <c r="S331" s="15"/>
      <c r="T331" s="13">
        <v>3951.0599999999999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4272.7700000000004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-46.090000000000003</v>
      </c>
      <c r="C334" s="14">
        <f>IFERROR(B334/B446, "NA")</f>
      </c>
      <c r="D334" s="15"/>
      <c r="E334" s="13">
        <v>856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855.92999999999995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5135.5799999999999</v>
      </c>
      <c r="R334" s="14">
        <f>IFERROR(Q334/Q446, "NA")</f>
      </c>
      <c r="S334" s="15"/>
      <c r="T334" s="13">
        <v>5136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5040.29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3089.0999999999999</v>
      </c>
      <c r="C335" s="14">
        <f>IFERROR(B335/B446, "NA")</f>
      </c>
      <c r="D335" s="15"/>
      <c r="E335" s="13">
        <v>3089.0999999999999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3013.7399999999998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2322.04</v>
      </c>
      <c r="C339" s="14">
        <f>IFERROR(B339/B446, "NA")</f>
      </c>
      <c r="D339" s="15"/>
      <c r="E339" s="13">
        <v>3315.8400000000001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2517.1399999999999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12316.77</v>
      </c>
      <c r="R339" s="14">
        <f>IFERROR(Q339/Q446, "NA")</f>
      </c>
      <c r="S339" s="15"/>
      <c r="T339" s="13">
        <v>15802.99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12080.059999999999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571.96000000000004</v>
      </c>
      <c r="C340" s="14">
        <f>IFERROR(B340/B446, "NA")</f>
      </c>
      <c r="D340" s="15"/>
      <c r="E340" s="13">
        <v>1105.28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615.46000000000004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5892.8900000000003</v>
      </c>
      <c r="R340" s="14">
        <f>IFERROR(Q340/Q446, "NA")</f>
      </c>
      <c r="S340" s="15"/>
      <c r="T340" s="13">
        <v>5267.6599999999999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6003.3900000000003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911.41999999999996</v>
      </c>
      <c r="C341" s="14">
        <f>IFERROR(B341/B446, "NA")</f>
      </c>
      <c r="D341" s="15"/>
      <c r="E341" s="13">
        <v>1105.28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968.12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5038.2200000000003</v>
      </c>
      <c r="R341" s="14">
        <f>IFERROR(Q341/Q446, "NA")</f>
      </c>
      <c r="S341" s="15"/>
      <c r="T341" s="13">
        <v>5267.6599999999999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5368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1066.1900000000001</v>
      </c>
      <c r="C342" s="14">
        <f>IFERROR(B342/B446, "NA")</f>
      </c>
      <c r="D342" s="15"/>
      <c r="E342" s="13">
        <v>1421.0699999999999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1031.99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6328.7399999999998</v>
      </c>
      <c r="R342" s="14">
        <f>IFERROR(Q342/Q446, "NA")</f>
      </c>
      <c r="S342" s="15"/>
      <c r="T342" s="13">
        <v>6772.71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6154.2600000000002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10932.02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63162.889999999999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11213.879999999999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10092.84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64457.550000000003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58997.330000000002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-54.899999999999999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-57.560000000000002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-212.40000000000001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110.77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-38.109999999999999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-9.5800000000000001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-161.19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-147.02000000000001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140474.73999999999</v>
      </c>
      <c r="C446" s="33"/>
      <c r="D446" s="15"/>
      <c r="E446" s="13">
        <v>157896.98000000001</v>
      </c>
      <c r="F446" s="33"/>
      <c r="G446" s="15"/>
      <c r="H446" s="16">
        <f>IFERROR(B446-E446, "NA")</f>
      </c>
      <c r="I446" s="33"/>
      <c r="J446" s="15"/>
      <c r="K446" s="13">
        <v>144806.48999999999</v>
      </c>
      <c r="L446" s="33"/>
      <c r="M446" s="15"/>
      <c r="N446" s="16">
        <f>IFERROR(B446-K446, "NA")</f>
      </c>
      <c r="O446" s="33"/>
      <c r="P446" s="15"/>
      <c r="Q446" s="13">
        <v>668225.75</v>
      </c>
      <c r="R446" s="33"/>
      <c r="S446" s="15"/>
      <c r="T446" s="13">
        <v>752523.19999999995</v>
      </c>
      <c r="U446" s="33"/>
      <c r="V446" s="15"/>
      <c r="W446" s="16">
        <f>IFERROR(Q446-T446, "NA")</f>
      </c>
      <c r="X446" s="33"/>
      <c r="Y446" s="15"/>
      <c r="Z446" s="13">
        <v>700573.81999999995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terms:created xsi:type="dcterms:W3CDTF">2026-07-17T10:41:15Z</dcterms:created>
  <dcterms:modified xsi:type="dcterms:W3CDTF">2026-07-17T10:41:15Z</dcterms:modified>
</cp:coreProperties>
</file>