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92FBC740-AF01-4B86-8D9E-4E24BFC1F17C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O418" i="7" s="1"/>
  <c r="H444" i="7"/>
  <c r="AA442" i="7"/>
  <c r="Z442" i="7"/>
  <c r="T442" i="7"/>
  <c r="U442" i="7" s="1"/>
  <c r="Q442" i="7"/>
  <c r="R442" i="7" s="1"/>
  <c r="O442" i="7"/>
  <c r="K442" i="7"/>
  <c r="L442" i="7" s="1"/>
  <c r="E442" i="7"/>
  <c r="F442" i="7" s="1"/>
  <c r="C442" i="7"/>
  <c r="B442" i="7"/>
  <c r="N442" i="7" s="1"/>
  <c r="Z441" i="7"/>
  <c r="AA441" i="7" s="1"/>
  <c r="U441" i="7"/>
  <c r="T441" i="7"/>
  <c r="Q441" i="7"/>
  <c r="W441" i="7" s="1"/>
  <c r="X441" i="7" s="1"/>
  <c r="K441" i="7"/>
  <c r="L441" i="7" s="1"/>
  <c r="I441" i="7"/>
  <c r="E441" i="7"/>
  <c r="F441" i="7" s="1"/>
  <c r="B441" i="7"/>
  <c r="H441" i="7" s="1"/>
  <c r="AC440" i="7"/>
  <c r="AD440" i="7" s="1"/>
  <c r="AA440" i="7"/>
  <c r="X440" i="7"/>
  <c r="W440" i="7"/>
  <c r="U440" i="7"/>
  <c r="R440" i="7"/>
  <c r="N440" i="7"/>
  <c r="L440" i="7"/>
  <c r="I440" i="7"/>
  <c r="H440" i="7"/>
  <c r="F440" i="7"/>
  <c r="C440" i="7"/>
  <c r="AD439" i="7"/>
  <c r="AC439" i="7"/>
  <c r="AA439" i="7"/>
  <c r="W439" i="7"/>
  <c r="X439" i="7" s="1"/>
  <c r="U439" i="7"/>
  <c r="R439" i="7"/>
  <c r="N439" i="7"/>
  <c r="O439" i="7" s="1"/>
  <c r="L439" i="7"/>
  <c r="H439" i="7"/>
  <c r="I439" i="7" s="1"/>
  <c r="F439" i="7"/>
  <c r="C439" i="7"/>
  <c r="AD438" i="7"/>
  <c r="AC438" i="7"/>
  <c r="AA438" i="7"/>
  <c r="W438" i="7"/>
  <c r="X438" i="7" s="1"/>
  <c r="U438" i="7"/>
  <c r="R438" i="7"/>
  <c r="N438" i="7"/>
  <c r="O438" i="7" s="1"/>
  <c r="L438" i="7"/>
  <c r="I438" i="7"/>
  <c r="H438" i="7"/>
  <c r="F438" i="7"/>
  <c r="C438" i="7"/>
  <c r="AD437" i="7"/>
  <c r="AC437" i="7"/>
  <c r="AA437" i="7"/>
  <c r="W437" i="7"/>
  <c r="X437" i="7" s="1"/>
  <c r="U437" i="7"/>
  <c r="R437" i="7"/>
  <c r="N437" i="7"/>
  <c r="O437" i="7" s="1"/>
  <c r="L437" i="7"/>
  <c r="I437" i="7"/>
  <c r="H437" i="7"/>
  <c r="F437" i="7"/>
  <c r="C437" i="7"/>
  <c r="AC436" i="7"/>
  <c r="AD436" i="7" s="1"/>
  <c r="AA436" i="7"/>
  <c r="W436" i="7"/>
  <c r="X436" i="7" s="1"/>
  <c r="U436" i="7"/>
  <c r="R436" i="7"/>
  <c r="N436" i="7"/>
  <c r="L436" i="7"/>
  <c r="I436" i="7"/>
  <c r="H436" i="7"/>
  <c r="F436" i="7"/>
  <c r="C436" i="7"/>
  <c r="AC435" i="7"/>
  <c r="AD435" i="7" s="1"/>
  <c r="AA435" i="7"/>
  <c r="W435" i="7"/>
  <c r="X435" i="7" s="1"/>
  <c r="U435" i="7"/>
  <c r="R435" i="7"/>
  <c r="N435" i="7"/>
  <c r="O435" i="7" s="1"/>
  <c r="L435" i="7"/>
  <c r="I435" i="7"/>
  <c r="H435" i="7"/>
  <c r="F435" i="7"/>
  <c r="C435" i="7"/>
  <c r="AD434" i="7"/>
  <c r="AC434" i="7"/>
  <c r="AA434" i="7"/>
  <c r="X434" i="7"/>
  <c r="W434" i="7"/>
  <c r="U434" i="7"/>
  <c r="R434" i="7"/>
  <c r="N434" i="7"/>
  <c r="O434" i="7" s="1"/>
  <c r="L434" i="7"/>
  <c r="H434" i="7"/>
  <c r="I434" i="7" s="1"/>
  <c r="F434" i="7"/>
  <c r="C434" i="7"/>
  <c r="AD433" i="7"/>
  <c r="AC433" i="7"/>
  <c r="AA433" i="7"/>
  <c r="X433" i="7"/>
  <c r="W433" i="7"/>
  <c r="U433" i="7"/>
  <c r="R433" i="7"/>
  <c r="N433" i="7"/>
  <c r="O433" i="7" s="1"/>
  <c r="L433" i="7"/>
  <c r="I433" i="7"/>
  <c r="H433" i="7"/>
  <c r="F433" i="7"/>
  <c r="C433" i="7"/>
  <c r="AD432" i="7"/>
  <c r="AC432" i="7"/>
  <c r="AA432" i="7"/>
  <c r="W432" i="7"/>
  <c r="X432" i="7" s="1"/>
  <c r="U432" i="7"/>
  <c r="R432" i="7"/>
  <c r="N432" i="7"/>
  <c r="L432" i="7"/>
  <c r="I432" i="7"/>
  <c r="H432" i="7"/>
  <c r="F432" i="7"/>
  <c r="C432" i="7"/>
  <c r="AA429" i="7"/>
  <c r="Z429" i="7"/>
  <c r="X429" i="7"/>
  <c r="W429" i="7"/>
  <c r="U429" i="7"/>
  <c r="T429" i="7"/>
  <c r="Q429" i="7"/>
  <c r="R429" i="7" s="1"/>
  <c r="L429" i="7"/>
  <c r="K429" i="7"/>
  <c r="E429" i="7"/>
  <c r="H429" i="7" s="1"/>
  <c r="I429" i="7" s="1"/>
  <c r="C429" i="7"/>
  <c r="B429" i="7"/>
  <c r="N429" i="7" s="1"/>
  <c r="O429" i="7" s="1"/>
  <c r="AD428" i="7"/>
  <c r="AA428" i="7"/>
  <c r="Z428" i="7"/>
  <c r="U428" i="7"/>
  <c r="T428" i="7"/>
  <c r="R428" i="7"/>
  <c r="Q428" i="7"/>
  <c r="AC428" i="7" s="1"/>
  <c r="K428" i="7"/>
  <c r="L428" i="7" s="1"/>
  <c r="F428" i="7"/>
  <c r="E428" i="7"/>
  <c r="C428" i="7"/>
  <c r="B428" i="7"/>
  <c r="H428" i="7" s="1"/>
  <c r="I428" i="7" s="1"/>
  <c r="AC427" i="7"/>
  <c r="AD427" i="7" s="1"/>
  <c r="AA427" i="7"/>
  <c r="W427" i="7"/>
  <c r="X427" i="7" s="1"/>
  <c r="U427" i="7"/>
  <c r="R427" i="7"/>
  <c r="N427" i="7"/>
  <c r="L427" i="7"/>
  <c r="I427" i="7"/>
  <c r="H427" i="7"/>
  <c r="F427" i="7"/>
  <c r="C427" i="7"/>
  <c r="AD426" i="7"/>
  <c r="AC426" i="7"/>
  <c r="AA426" i="7"/>
  <c r="X426" i="7"/>
  <c r="W426" i="7"/>
  <c r="U426" i="7"/>
  <c r="R426" i="7"/>
  <c r="N426" i="7"/>
  <c r="O426" i="7" s="1"/>
  <c r="L426" i="7"/>
  <c r="H426" i="7"/>
  <c r="I426" i="7" s="1"/>
  <c r="F426" i="7"/>
  <c r="C426" i="7"/>
  <c r="AD425" i="7"/>
  <c r="AC425" i="7"/>
  <c r="AA425" i="7"/>
  <c r="X425" i="7"/>
  <c r="W425" i="7"/>
  <c r="U425" i="7"/>
  <c r="R425" i="7"/>
  <c r="N425" i="7"/>
  <c r="O425" i="7" s="1"/>
  <c r="L425" i="7"/>
  <c r="H425" i="7"/>
  <c r="I425" i="7" s="1"/>
  <c r="F425" i="7"/>
  <c r="C425" i="7"/>
  <c r="AD424" i="7"/>
  <c r="AC424" i="7"/>
  <c r="AA424" i="7"/>
  <c r="X424" i="7"/>
  <c r="W424" i="7"/>
  <c r="U424" i="7"/>
  <c r="R424" i="7"/>
  <c r="N424" i="7"/>
  <c r="L424" i="7"/>
  <c r="I424" i="7"/>
  <c r="H424" i="7"/>
  <c r="F424" i="7"/>
  <c r="C424" i="7"/>
  <c r="AC423" i="7"/>
  <c r="AD423" i="7" s="1"/>
  <c r="AA423" i="7"/>
  <c r="W423" i="7"/>
  <c r="X423" i="7" s="1"/>
  <c r="U423" i="7"/>
  <c r="R423" i="7"/>
  <c r="N423" i="7"/>
  <c r="L423" i="7"/>
  <c r="I423" i="7"/>
  <c r="H423" i="7"/>
  <c r="F423" i="7"/>
  <c r="C423" i="7"/>
  <c r="AC422" i="7"/>
  <c r="AD422" i="7" s="1"/>
  <c r="AA422" i="7"/>
  <c r="X422" i="7"/>
  <c r="W422" i="7"/>
  <c r="U422" i="7"/>
  <c r="R422" i="7"/>
  <c r="N422" i="7"/>
  <c r="O422" i="7" s="1"/>
  <c r="L422" i="7"/>
  <c r="H422" i="7"/>
  <c r="I422" i="7" s="1"/>
  <c r="F422" i="7"/>
  <c r="C422" i="7"/>
  <c r="AD421" i="7"/>
  <c r="AC421" i="7"/>
  <c r="AA421" i="7"/>
  <c r="X421" i="7"/>
  <c r="W421" i="7"/>
  <c r="U421" i="7"/>
  <c r="R421" i="7"/>
  <c r="N421" i="7"/>
  <c r="O421" i="7" s="1"/>
  <c r="L421" i="7"/>
  <c r="H421" i="7"/>
  <c r="I421" i="7" s="1"/>
  <c r="F421" i="7"/>
  <c r="C421" i="7"/>
  <c r="AD420" i="7"/>
  <c r="AC420" i="7"/>
  <c r="AA420" i="7"/>
  <c r="W420" i="7"/>
  <c r="X420" i="7" s="1"/>
  <c r="U420" i="7"/>
  <c r="R420" i="7"/>
  <c r="N420" i="7"/>
  <c r="L420" i="7"/>
  <c r="I420" i="7"/>
  <c r="H420" i="7"/>
  <c r="F420" i="7"/>
  <c r="C420" i="7"/>
  <c r="AC419" i="7"/>
  <c r="AD419" i="7" s="1"/>
  <c r="AA419" i="7"/>
  <c r="W419" i="7"/>
  <c r="X419" i="7" s="1"/>
  <c r="U419" i="7"/>
  <c r="R419" i="7"/>
  <c r="N419" i="7"/>
  <c r="L419" i="7"/>
  <c r="I419" i="7"/>
  <c r="H419" i="7"/>
  <c r="F419" i="7"/>
  <c r="C419" i="7"/>
  <c r="AC418" i="7"/>
  <c r="AD418" i="7" s="1"/>
  <c r="AA418" i="7"/>
  <c r="X418" i="7"/>
  <c r="W418" i="7"/>
  <c r="U418" i="7"/>
  <c r="R418" i="7"/>
  <c r="N418" i="7"/>
  <c r="L418" i="7"/>
  <c r="H418" i="7"/>
  <c r="I418" i="7" s="1"/>
  <c r="F418" i="7"/>
  <c r="C418" i="7"/>
  <c r="AD417" i="7"/>
  <c r="AC417" i="7"/>
  <c r="AA417" i="7"/>
  <c r="X417" i="7"/>
  <c r="W417" i="7"/>
  <c r="U417" i="7"/>
  <c r="R417" i="7"/>
  <c r="N417" i="7"/>
  <c r="O417" i="7" s="1"/>
  <c r="L417" i="7"/>
  <c r="H417" i="7"/>
  <c r="I417" i="7" s="1"/>
  <c r="F417" i="7"/>
  <c r="C417" i="7"/>
  <c r="AD416" i="7"/>
  <c r="AC416" i="7"/>
  <c r="AA416" i="7"/>
  <c r="X416" i="7"/>
  <c r="W416" i="7"/>
  <c r="U416" i="7"/>
  <c r="R416" i="7"/>
  <c r="N416" i="7"/>
  <c r="L416" i="7"/>
  <c r="I416" i="7"/>
  <c r="H416" i="7"/>
  <c r="F416" i="7"/>
  <c r="C416" i="7"/>
  <c r="AC415" i="7"/>
  <c r="AD415" i="7" s="1"/>
  <c r="AA415" i="7"/>
  <c r="W415" i="7"/>
  <c r="X415" i="7" s="1"/>
  <c r="U415" i="7"/>
  <c r="R415" i="7"/>
  <c r="N415" i="7"/>
  <c r="L415" i="7"/>
  <c r="I415" i="7"/>
  <c r="H415" i="7"/>
  <c r="F415" i="7"/>
  <c r="C415" i="7"/>
  <c r="AC414" i="7"/>
  <c r="AD414" i="7" s="1"/>
  <c r="AA414" i="7"/>
  <c r="X414" i="7"/>
  <c r="W414" i="7"/>
  <c r="U414" i="7"/>
  <c r="R414" i="7"/>
  <c r="N414" i="7"/>
  <c r="L414" i="7"/>
  <c r="H414" i="7"/>
  <c r="I414" i="7" s="1"/>
  <c r="F414" i="7"/>
  <c r="C414" i="7"/>
  <c r="AD413" i="7"/>
  <c r="AC413" i="7"/>
  <c r="AA413" i="7"/>
  <c r="X413" i="7"/>
  <c r="W413" i="7"/>
  <c r="U413" i="7"/>
  <c r="R413" i="7"/>
  <c r="N413" i="7"/>
  <c r="O413" i="7" s="1"/>
  <c r="L413" i="7"/>
  <c r="H413" i="7"/>
  <c r="I413" i="7" s="1"/>
  <c r="F413" i="7"/>
  <c r="C413" i="7"/>
  <c r="AD412" i="7"/>
  <c r="AC412" i="7"/>
  <c r="AA412" i="7"/>
  <c r="X412" i="7"/>
  <c r="W412" i="7"/>
  <c r="U412" i="7"/>
  <c r="R412" i="7"/>
  <c r="N412" i="7"/>
  <c r="L412" i="7"/>
  <c r="I412" i="7"/>
  <c r="H412" i="7"/>
  <c r="F412" i="7"/>
  <c r="C412" i="7"/>
  <c r="AC411" i="7"/>
  <c r="AD411" i="7" s="1"/>
  <c r="AA411" i="7"/>
  <c r="W411" i="7"/>
  <c r="X411" i="7" s="1"/>
  <c r="U411" i="7"/>
  <c r="R411" i="7"/>
  <c r="N411" i="7"/>
  <c r="L411" i="7"/>
  <c r="I411" i="7"/>
  <c r="H411" i="7"/>
  <c r="F411" i="7"/>
  <c r="C411" i="7"/>
  <c r="AC410" i="7"/>
  <c r="AD410" i="7" s="1"/>
  <c r="AA410" i="7"/>
  <c r="X410" i="7"/>
  <c r="W410" i="7"/>
  <c r="U410" i="7"/>
  <c r="R410" i="7"/>
  <c r="N410" i="7"/>
  <c r="O410" i="7" s="1"/>
  <c r="L410" i="7"/>
  <c r="H410" i="7"/>
  <c r="I410" i="7" s="1"/>
  <c r="F410" i="7"/>
  <c r="C410" i="7"/>
  <c r="AD409" i="7"/>
  <c r="AC409" i="7"/>
  <c r="AA409" i="7"/>
  <c r="X409" i="7"/>
  <c r="W409" i="7"/>
  <c r="U409" i="7"/>
  <c r="R409" i="7"/>
  <c r="N409" i="7"/>
  <c r="O409" i="7" s="1"/>
  <c r="L409" i="7"/>
  <c r="H409" i="7"/>
  <c r="I409" i="7" s="1"/>
  <c r="F409" i="7"/>
  <c r="C409" i="7"/>
  <c r="AD408" i="7"/>
  <c r="AC408" i="7"/>
  <c r="AA408" i="7"/>
  <c r="W408" i="7"/>
  <c r="X408" i="7" s="1"/>
  <c r="U408" i="7"/>
  <c r="R408" i="7"/>
  <c r="N408" i="7"/>
  <c r="L408" i="7"/>
  <c r="I408" i="7"/>
  <c r="H408" i="7"/>
  <c r="F408" i="7"/>
  <c r="C408" i="7"/>
  <c r="AC407" i="7"/>
  <c r="AD407" i="7" s="1"/>
  <c r="AA407" i="7"/>
  <c r="W407" i="7"/>
  <c r="X407" i="7" s="1"/>
  <c r="U407" i="7"/>
  <c r="R407" i="7"/>
  <c r="N407" i="7"/>
  <c r="L407" i="7"/>
  <c r="I407" i="7"/>
  <c r="H407" i="7"/>
  <c r="F407" i="7"/>
  <c r="C407" i="7"/>
  <c r="AA403" i="7"/>
  <c r="Z403" i="7"/>
  <c r="T403" i="7"/>
  <c r="W403" i="7" s="1"/>
  <c r="X403" i="7" s="1"/>
  <c r="Q403" i="7"/>
  <c r="R403" i="7" s="1"/>
  <c r="O403" i="7"/>
  <c r="K403" i="7"/>
  <c r="L403" i="7" s="1"/>
  <c r="H403" i="7"/>
  <c r="I403" i="7" s="1"/>
  <c r="E403" i="7"/>
  <c r="F403" i="7" s="1"/>
  <c r="C403" i="7"/>
  <c r="B403" i="7"/>
  <c r="N403" i="7" s="1"/>
  <c r="AC402" i="7"/>
  <c r="AD402" i="7" s="1"/>
  <c r="AA402" i="7"/>
  <c r="X402" i="7"/>
  <c r="W402" i="7"/>
  <c r="U402" i="7"/>
  <c r="R402" i="7"/>
  <c r="N402" i="7"/>
  <c r="L402" i="7"/>
  <c r="H402" i="7"/>
  <c r="I402" i="7" s="1"/>
  <c r="F402" i="7"/>
  <c r="C402" i="7"/>
  <c r="AD401" i="7"/>
  <c r="AC401" i="7"/>
  <c r="AA401" i="7"/>
  <c r="X401" i="7"/>
  <c r="W401" i="7"/>
  <c r="U401" i="7"/>
  <c r="R401" i="7"/>
  <c r="N401" i="7"/>
  <c r="O401" i="7" s="1"/>
  <c r="L401" i="7"/>
  <c r="H401" i="7"/>
  <c r="I401" i="7" s="1"/>
  <c r="F401" i="7"/>
  <c r="C401" i="7"/>
  <c r="AC400" i="7"/>
  <c r="AD400" i="7" s="1"/>
  <c r="AA400" i="7"/>
  <c r="X400" i="7"/>
  <c r="W400" i="7"/>
  <c r="U400" i="7"/>
  <c r="R400" i="7"/>
  <c r="N400" i="7"/>
  <c r="L400" i="7"/>
  <c r="I400" i="7"/>
  <c r="H400" i="7"/>
  <c r="F400" i="7"/>
  <c r="C400" i="7"/>
  <c r="AC399" i="7"/>
  <c r="AD399" i="7" s="1"/>
  <c r="AA399" i="7"/>
  <c r="W399" i="7"/>
  <c r="X399" i="7" s="1"/>
  <c r="U399" i="7"/>
  <c r="R399" i="7"/>
  <c r="N399" i="7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N398" i="7"/>
  <c r="L398" i="7"/>
  <c r="H398" i="7"/>
  <c r="I398" i="7" s="1"/>
  <c r="F398" i="7"/>
  <c r="C398" i="7"/>
  <c r="AD397" i="7"/>
  <c r="AC397" i="7"/>
  <c r="AA397" i="7"/>
  <c r="X397" i="7"/>
  <c r="W397" i="7"/>
  <c r="U397" i="7"/>
  <c r="R397" i="7"/>
  <c r="N397" i="7"/>
  <c r="O397" i="7" s="1"/>
  <c r="L397" i="7"/>
  <c r="H397" i="7"/>
  <c r="I397" i="7" s="1"/>
  <c r="F397" i="7"/>
  <c r="C397" i="7"/>
  <c r="AA396" i="7"/>
  <c r="Z396" i="7"/>
  <c r="T396" i="7"/>
  <c r="W396" i="7" s="1"/>
  <c r="X396" i="7" s="1"/>
  <c r="Q396" i="7"/>
  <c r="R396" i="7" s="1"/>
  <c r="K396" i="7"/>
  <c r="L396" i="7" s="1"/>
  <c r="H396" i="7"/>
  <c r="I396" i="7" s="1"/>
  <c r="E396" i="7"/>
  <c r="F396" i="7" s="1"/>
  <c r="C396" i="7"/>
  <c r="B396" i="7"/>
  <c r="N396" i="7" s="1"/>
  <c r="O396" i="7" s="1"/>
  <c r="AC395" i="7"/>
  <c r="AD395" i="7" s="1"/>
  <c r="AA395" i="7"/>
  <c r="X395" i="7"/>
  <c r="W395" i="7"/>
  <c r="U395" i="7"/>
  <c r="R395" i="7"/>
  <c r="N395" i="7"/>
  <c r="L395" i="7"/>
  <c r="H395" i="7"/>
  <c r="I395" i="7" s="1"/>
  <c r="F395" i="7"/>
  <c r="C395" i="7"/>
  <c r="AD394" i="7"/>
  <c r="AC394" i="7"/>
  <c r="AA394" i="7"/>
  <c r="X394" i="7"/>
  <c r="W394" i="7"/>
  <c r="U394" i="7"/>
  <c r="R394" i="7"/>
  <c r="N394" i="7"/>
  <c r="O394" i="7" s="1"/>
  <c r="L394" i="7"/>
  <c r="H394" i="7"/>
  <c r="I394" i="7" s="1"/>
  <c r="F394" i="7"/>
  <c r="C394" i="7"/>
  <c r="AA393" i="7"/>
  <c r="Z393" i="7"/>
  <c r="T393" i="7"/>
  <c r="W393" i="7" s="1"/>
  <c r="X393" i="7" s="1"/>
  <c r="Q393" i="7"/>
  <c r="R393" i="7" s="1"/>
  <c r="K393" i="7"/>
  <c r="L393" i="7" s="1"/>
  <c r="H393" i="7"/>
  <c r="I393" i="7" s="1"/>
  <c r="E393" i="7"/>
  <c r="F393" i="7" s="1"/>
  <c r="C393" i="7"/>
  <c r="B393" i="7"/>
  <c r="N393" i="7" s="1"/>
  <c r="O393" i="7" s="1"/>
  <c r="AC392" i="7"/>
  <c r="AD392" i="7" s="1"/>
  <c r="AA392" i="7"/>
  <c r="X392" i="7"/>
  <c r="W392" i="7"/>
  <c r="U392" i="7"/>
  <c r="R392" i="7"/>
  <c r="N392" i="7"/>
  <c r="L392" i="7"/>
  <c r="H392" i="7"/>
  <c r="I392" i="7" s="1"/>
  <c r="F392" i="7"/>
  <c r="C392" i="7"/>
  <c r="AD391" i="7"/>
  <c r="AC391" i="7"/>
  <c r="AA391" i="7"/>
  <c r="X391" i="7"/>
  <c r="W391" i="7"/>
  <c r="U391" i="7"/>
  <c r="R391" i="7"/>
  <c r="N391" i="7"/>
  <c r="O391" i="7" s="1"/>
  <c r="L391" i="7"/>
  <c r="H391" i="7"/>
  <c r="I391" i="7" s="1"/>
  <c r="F391" i="7"/>
  <c r="C391" i="7"/>
  <c r="AC390" i="7"/>
  <c r="AD390" i="7" s="1"/>
  <c r="AA390" i="7"/>
  <c r="X390" i="7"/>
  <c r="W390" i="7"/>
  <c r="U390" i="7"/>
  <c r="R390" i="7"/>
  <c r="N390" i="7"/>
  <c r="L390" i="7"/>
  <c r="I390" i="7"/>
  <c r="H390" i="7"/>
  <c r="F390" i="7"/>
  <c r="C390" i="7"/>
  <c r="AC389" i="7"/>
  <c r="AD389" i="7" s="1"/>
  <c r="AA389" i="7"/>
  <c r="W389" i="7"/>
  <c r="X389" i="7" s="1"/>
  <c r="U389" i="7"/>
  <c r="R389" i="7"/>
  <c r="N389" i="7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N388" i="7"/>
  <c r="L388" i="7"/>
  <c r="H388" i="7"/>
  <c r="I388" i="7" s="1"/>
  <c r="F388" i="7"/>
  <c r="C388" i="7"/>
  <c r="AD386" i="7"/>
  <c r="AC386" i="7"/>
  <c r="AA386" i="7"/>
  <c r="X386" i="7"/>
  <c r="W386" i="7"/>
  <c r="U386" i="7"/>
  <c r="R386" i="7"/>
  <c r="N386" i="7"/>
  <c r="O386" i="7" s="1"/>
  <c r="L386" i="7"/>
  <c r="H386" i="7"/>
  <c r="I386" i="7" s="1"/>
  <c r="F386" i="7"/>
  <c r="C386" i="7"/>
  <c r="AC385" i="7"/>
  <c r="AD385" i="7" s="1"/>
  <c r="AA385" i="7"/>
  <c r="X385" i="7"/>
  <c r="W385" i="7"/>
  <c r="U385" i="7"/>
  <c r="R385" i="7"/>
  <c r="N385" i="7"/>
  <c r="L385" i="7"/>
  <c r="I385" i="7"/>
  <c r="H385" i="7"/>
  <c r="F385" i="7"/>
  <c r="C385" i="7"/>
  <c r="AC383" i="7"/>
  <c r="AD383" i="7" s="1"/>
  <c r="AA383" i="7"/>
  <c r="W383" i="7"/>
  <c r="X383" i="7" s="1"/>
  <c r="U383" i="7"/>
  <c r="R383" i="7"/>
  <c r="N383" i="7"/>
  <c r="L383" i="7"/>
  <c r="H383" i="7"/>
  <c r="I383" i="7" s="1"/>
  <c r="F383" i="7"/>
  <c r="C383" i="7"/>
  <c r="AC382" i="7"/>
  <c r="AD382" i="7" s="1"/>
  <c r="AA382" i="7"/>
  <c r="X382" i="7"/>
  <c r="W382" i="7"/>
  <c r="U382" i="7"/>
  <c r="R382" i="7"/>
  <c r="N382" i="7"/>
  <c r="L382" i="7"/>
  <c r="H382" i="7"/>
  <c r="I382" i="7" s="1"/>
  <c r="F382" i="7"/>
  <c r="C382" i="7"/>
  <c r="AD381" i="7"/>
  <c r="AC381" i="7"/>
  <c r="AA381" i="7"/>
  <c r="X381" i="7"/>
  <c r="W381" i="7"/>
  <c r="U381" i="7"/>
  <c r="R381" i="7"/>
  <c r="N381" i="7"/>
  <c r="O381" i="7" s="1"/>
  <c r="L381" i="7"/>
  <c r="H381" i="7"/>
  <c r="I381" i="7" s="1"/>
  <c r="F381" i="7"/>
  <c r="C381" i="7"/>
  <c r="AC380" i="7"/>
  <c r="AD380" i="7" s="1"/>
  <c r="AA380" i="7"/>
  <c r="X380" i="7"/>
  <c r="W380" i="7"/>
  <c r="U380" i="7"/>
  <c r="R380" i="7"/>
  <c r="N380" i="7"/>
  <c r="L380" i="7"/>
  <c r="I380" i="7"/>
  <c r="H380" i="7"/>
  <c r="F380" i="7"/>
  <c r="C380" i="7"/>
  <c r="AC379" i="7"/>
  <c r="AD379" i="7" s="1"/>
  <c r="AA379" i="7"/>
  <c r="W379" i="7"/>
  <c r="X379" i="7" s="1"/>
  <c r="U379" i="7"/>
  <c r="R379" i="7"/>
  <c r="N379" i="7"/>
  <c r="L379" i="7"/>
  <c r="H379" i="7"/>
  <c r="I379" i="7" s="1"/>
  <c r="F379" i="7"/>
  <c r="C379" i="7"/>
  <c r="AC378" i="7"/>
  <c r="AD378" i="7" s="1"/>
  <c r="AA378" i="7"/>
  <c r="X378" i="7"/>
  <c r="W378" i="7"/>
  <c r="U378" i="7"/>
  <c r="R378" i="7"/>
  <c r="O378" i="7"/>
  <c r="N378" i="7"/>
  <c r="L378" i="7"/>
  <c r="H378" i="7"/>
  <c r="I378" i="7" s="1"/>
  <c r="F378" i="7"/>
  <c r="C378" i="7"/>
  <c r="AC377" i="7"/>
  <c r="AD377" i="7" s="1"/>
  <c r="AA377" i="7"/>
  <c r="X377" i="7"/>
  <c r="W377" i="7"/>
  <c r="U377" i="7"/>
  <c r="R377" i="7"/>
  <c r="N377" i="7"/>
  <c r="O377" i="7" s="1"/>
  <c r="L377" i="7"/>
  <c r="H377" i="7"/>
  <c r="I377" i="7" s="1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W375" i="7"/>
  <c r="X375" i="7" s="1"/>
  <c r="U375" i="7"/>
  <c r="R375" i="7"/>
  <c r="O375" i="7"/>
  <c r="N375" i="7"/>
  <c r="L375" i="7"/>
  <c r="H375" i="7"/>
  <c r="I375" i="7" s="1"/>
  <c r="F375" i="7"/>
  <c r="C375" i="7"/>
  <c r="AC374" i="7"/>
  <c r="AD374" i="7" s="1"/>
  <c r="AA374" i="7"/>
  <c r="X374" i="7"/>
  <c r="W374" i="7"/>
  <c r="U374" i="7"/>
  <c r="R374" i="7"/>
  <c r="O374" i="7"/>
  <c r="N374" i="7"/>
  <c r="L374" i="7"/>
  <c r="H374" i="7"/>
  <c r="I374" i="7" s="1"/>
  <c r="F374" i="7"/>
  <c r="C374" i="7"/>
  <c r="AC373" i="7"/>
  <c r="AD373" i="7" s="1"/>
  <c r="AA373" i="7"/>
  <c r="X373" i="7"/>
  <c r="W373" i="7"/>
  <c r="U373" i="7"/>
  <c r="R373" i="7"/>
  <c r="N373" i="7"/>
  <c r="O373" i="7" s="1"/>
  <c r="L373" i="7"/>
  <c r="I373" i="7"/>
  <c r="H373" i="7"/>
  <c r="F373" i="7"/>
  <c r="C373" i="7"/>
  <c r="AC372" i="7"/>
  <c r="AD372" i="7" s="1"/>
  <c r="AA372" i="7"/>
  <c r="W372" i="7"/>
  <c r="X372" i="7" s="1"/>
  <c r="U372" i="7"/>
  <c r="R372" i="7"/>
  <c r="O372" i="7"/>
  <c r="N372" i="7"/>
  <c r="L372" i="7"/>
  <c r="I372" i="7"/>
  <c r="H372" i="7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H371" i="7"/>
  <c r="I371" i="7" s="1"/>
  <c r="F371" i="7"/>
  <c r="C371" i="7"/>
  <c r="AC370" i="7"/>
  <c r="AD370" i="7" s="1"/>
  <c r="AA370" i="7"/>
  <c r="X370" i="7"/>
  <c r="W370" i="7"/>
  <c r="U370" i="7"/>
  <c r="R370" i="7"/>
  <c r="N370" i="7"/>
  <c r="O370" i="7" s="1"/>
  <c r="L370" i="7"/>
  <c r="H370" i="7"/>
  <c r="I370" i="7" s="1"/>
  <c r="F370" i="7"/>
  <c r="C370" i="7"/>
  <c r="AC369" i="7"/>
  <c r="AD369" i="7" s="1"/>
  <c r="AA369" i="7"/>
  <c r="X369" i="7"/>
  <c r="W369" i="7"/>
  <c r="U369" i="7"/>
  <c r="R369" i="7"/>
  <c r="N369" i="7"/>
  <c r="O369" i="7" s="1"/>
  <c r="L369" i="7"/>
  <c r="I369" i="7"/>
  <c r="H369" i="7"/>
  <c r="F369" i="7"/>
  <c r="C369" i="7"/>
  <c r="Z368" i="7"/>
  <c r="AA368" i="7" s="1"/>
  <c r="T368" i="7"/>
  <c r="U368" i="7" s="1"/>
  <c r="Q368" i="7"/>
  <c r="R368" i="7" s="1"/>
  <c r="K368" i="7"/>
  <c r="N368" i="7" s="1"/>
  <c r="O368" i="7" s="1"/>
  <c r="H368" i="7"/>
  <c r="I368" i="7" s="1"/>
  <c r="E368" i="7"/>
  <c r="F368" i="7" s="1"/>
  <c r="C368" i="7"/>
  <c r="B368" i="7"/>
  <c r="AC367" i="7"/>
  <c r="AD367" i="7" s="1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N366" i="7"/>
  <c r="O366" i="7" s="1"/>
  <c r="L366" i="7"/>
  <c r="I366" i="7"/>
  <c r="H366" i="7"/>
  <c r="F366" i="7"/>
  <c r="C366" i="7"/>
  <c r="AC365" i="7"/>
  <c r="AD365" i="7" s="1"/>
  <c r="AA365" i="7"/>
  <c r="X365" i="7"/>
  <c r="W365" i="7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H364" i="7"/>
  <c r="I364" i="7" s="1"/>
  <c r="F364" i="7"/>
  <c r="C364" i="7"/>
  <c r="AC363" i="7"/>
  <c r="AD363" i="7" s="1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C362" i="7"/>
  <c r="AD362" i="7" s="1"/>
  <c r="AA362" i="7"/>
  <c r="X362" i="7"/>
  <c r="W362" i="7"/>
  <c r="U362" i="7"/>
  <c r="R362" i="7"/>
  <c r="N362" i="7"/>
  <c r="O362" i="7" s="1"/>
  <c r="L362" i="7"/>
  <c r="H362" i="7"/>
  <c r="I362" i="7" s="1"/>
  <c r="F362" i="7"/>
  <c r="C362" i="7"/>
  <c r="AC361" i="7"/>
  <c r="AD361" i="7" s="1"/>
  <c r="AA361" i="7"/>
  <c r="X361" i="7"/>
  <c r="W361" i="7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H360" i="7"/>
  <c r="I360" i="7" s="1"/>
  <c r="F360" i="7"/>
  <c r="C360" i="7"/>
  <c r="Z358" i="7"/>
  <c r="AA358" i="7" s="1"/>
  <c r="T358" i="7"/>
  <c r="U358" i="7" s="1"/>
  <c r="R358" i="7"/>
  <c r="Q358" i="7"/>
  <c r="K358" i="7"/>
  <c r="L358" i="7" s="1"/>
  <c r="H358" i="7"/>
  <c r="I358" i="7" s="1"/>
  <c r="E358" i="7"/>
  <c r="F358" i="7" s="1"/>
  <c r="B358" i="7"/>
  <c r="C358" i="7" s="1"/>
  <c r="AC357" i="7"/>
  <c r="AD357" i="7" s="1"/>
  <c r="AA357" i="7"/>
  <c r="X357" i="7"/>
  <c r="W357" i="7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H356" i="7"/>
  <c r="I356" i="7" s="1"/>
  <c r="F356" i="7"/>
  <c r="C356" i="7"/>
  <c r="AC355" i="7"/>
  <c r="AD355" i="7" s="1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C354" i="7"/>
  <c r="AD354" i="7" s="1"/>
  <c r="AA354" i="7"/>
  <c r="X354" i="7"/>
  <c r="W354" i="7"/>
  <c r="U354" i="7"/>
  <c r="R354" i="7"/>
  <c r="N354" i="7"/>
  <c r="O354" i="7" s="1"/>
  <c r="L354" i="7"/>
  <c r="H354" i="7"/>
  <c r="I354" i="7" s="1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D350" i="7"/>
  <c r="AC350" i="7"/>
  <c r="AA350" i="7"/>
  <c r="X350" i="7"/>
  <c r="W350" i="7"/>
  <c r="U350" i="7"/>
  <c r="R350" i="7"/>
  <c r="N350" i="7"/>
  <c r="O350" i="7" s="1"/>
  <c r="L350" i="7"/>
  <c r="H350" i="7"/>
  <c r="I350" i="7" s="1"/>
  <c r="F350" i="7"/>
  <c r="C350" i="7"/>
  <c r="AC349" i="7"/>
  <c r="AD349" i="7" s="1"/>
  <c r="AA349" i="7"/>
  <c r="W349" i="7"/>
  <c r="X349" i="7" s="1"/>
  <c r="U349" i="7"/>
  <c r="R349" i="7"/>
  <c r="O349" i="7"/>
  <c r="N349" i="7"/>
  <c r="L349" i="7"/>
  <c r="H349" i="7"/>
  <c r="I349" i="7" s="1"/>
  <c r="F349" i="7"/>
  <c r="C349" i="7"/>
  <c r="AC347" i="7"/>
  <c r="AD347" i="7" s="1"/>
  <c r="AA347" i="7"/>
  <c r="W347" i="7"/>
  <c r="X347" i="7" s="1"/>
  <c r="U347" i="7"/>
  <c r="R347" i="7"/>
  <c r="O347" i="7"/>
  <c r="N347" i="7"/>
  <c r="L347" i="7"/>
  <c r="H347" i="7"/>
  <c r="I347" i="7" s="1"/>
  <c r="F347" i="7"/>
  <c r="C347" i="7"/>
  <c r="Z344" i="7"/>
  <c r="AA344" i="7" s="1"/>
  <c r="T344" i="7"/>
  <c r="W344" i="7" s="1"/>
  <c r="X344" i="7" s="1"/>
  <c r="Q344" i="7"/>
  <c r="R344" i="7" s="1"/>
  <c r="K344" i="7"/>
  <c r="L344" i="7" s="1"/>
  <c r="E344" i="7"/>
  <c r="F344" i="7" s="1"/>
  <c r="B344" i="7"/>
  <c r="N344" i="7" s="1"/>
  <c r="O344" i="7" s="1"/>
  <c r="AA343" i="7"/>
  <c r="Z343" i="7"/>
  <c r="T343" i="7"/>
  <c r="U343" i="7" s="1"/>
  <c r="Q343" i="7"/>
  <c r="W343" i="7" s="1"/>
  <c r="X343" i="7" s="1"/>
  <c r="N343" i="7"/>
  <c r="O343" i="7" s="1"/>
  <c r="K343" i="7"/>
  <c r="L343" i="7" s="1"/>
  <c r="H343" i="7"/>
  <c r="I343" i="7" s="1"/>
  <c r="F343" i="7"/>
  <c r="E343" i="7"/>
  <c r="C343" i="7"/>
  <c r="B343" i="7"/>
  <c r="Z342" i="7"/>
  <c r="AA342" i="7" s="1"/>
  <c r="W342" i="7"/>
  <c r="X342" i="7" s="1"/>
  <c r="U342" i="7"/>
  <c r="T342" i="7"/>
  <c r="Q342" i="7"/>
  <c r="R342" i="7" s="1"/>
  <c r="N342" i="7"/>
  <c r="O342" i="7" s="1"/>
  <c r="L342" i="7"/>
  <c r="K342" i="7"/>
  <c r="H342" i="7"/>
  <c r="I342" i="7" s="1"/>
  <c r="E342" i="7"/>
  <c r="F342" i="7" s="1"/>
  <c r="C342" i="7"/>
  <c r="B342" i="7"/>
  <c r="AC341" i="7"/>
  <c r="AD341" i="7" s="1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D340" i="7"/>
  <c r="AC340" i="7"/>
  <c r="AA340" i="7"/>
  <c r="X340" i="7"/>
  <c r="W340" i="7"/>
  <c r="U340" i="7"/>
  <c r="R340" i="7"/>
  <c r="N340" i="7"/>
  <c r="O340" i="7" s="1"/>
  <c r="L340" i="7"/>
  <c r="H340" i="7"/>
  <c r="I340" i="7" s="1"/>
  <c r="F340" i="7"/>
  <c r="C340" i="7"/>
  <c r="AC339" i="7"/>
  <c r="AD339" i="7" s="1"/>
  <c r="AA339" i="7"/>
  <c r="W339" i="7"/>
  <c r="X339" i="7" s="1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N337" i="7"/>
  <c r="O337" i="7" s="1"/>
  <c r="L337" i="7"/>
  <c r="I337" i="7"/>
  <c r="H337" i="7"/>
  <c r="F337" i="7"/>
  <c r="C337" i="7"/>
  <c r="AC335" i="7"/>
  <c r="AD335" i="7" s="1"/>
  <c r="AA335" i="7"/>
  <c r="W335" i="7"/>
  <c r="X335" i="7" s="1"/>
  <c r="U335" i="7"/>
  <c r="R335" i="7"/>
  <c r="N335" i="7"/>
  <c r="O335" i="7" s="1"/>
  <c r="L335" i="7"/>
  <c r="H335" i="7"/>
  <c r="I335" i="7" s="1"/>
  <c r="F335" i="7"/>
  <c r="C335" i="7"/>
  <c r="AC334" i="7"/>
  <c r="AD334" i="7" s="1"/>
  <c r="AA334" i="7"/>
  <c r="X334" i="7"/>
  <c r="W334" i="7"/>
  <c r="U334" i="7"/>
  <c r="R334" i="7"/>
  <c r="O334" i="7"/>
  <c r="N334" i="7"/>
  <c r="L334" i="7"/>
  <c r="H334" i="7"/>
  <c r="I334" i="7" s="1"/>
  <c r="F334" i="7"/>
  <c r="C334" i="7"/>
  <c r="AD333" i="7"/>
  <c r="AC333" i="7"/>
  <c r="AA333" i="7"/>
  <c r="W333" i="7"/>
  <c r="X333" i="7" s="1"/>
  <c r="U333" i="7"/>
  <c r="R333" i="7"/>
  <c r="N333" i="7"/>
  <c r="O333" i="7" s="1"/>
  <c r="L333" i="7"/>
  <c r="H333" i="7"/>
  <c r="I333" i="7" s="1"/>
  <c r="F333" i="7"/>
  <c r="C333" i="7"/>
  <c r="AC332" i="7"/>
  <c r="AD332" i="7" s="1"/>
  <c r="AA332" i="7"/>
  <c r="X332" i="7"/>
  <c r="W332" i="7"/>
  <c r="U332" i="7"/>
  <c r="R332" i="7"/>
  <c r="N332" i="7"/>
  <c r="O332" i="7" s="1"/>
  <c r="L332" i="7"/>
  <c r="H332" i="7"/>
  <c r="I332" i="7" s="1"/>
  <c r="F332" i="7"/>
  <c r="C332" i="7"/>
  <c r="AD331" i="7"/>
  <c r="AC331" i="7"/>
  <c r="AA331" i="7"/>
  <c r="X331" i="7"/>
  <c r="W331" i="7"/>
  <c r="U331" i="7"/>
  <c r="R331" i="7"/>
  <c r="N331" i="7"/>
  <c r="O331" i="7" s="1"/>
  <c r="L331" i="7"/>
  <c r="H331" i="7"/>
  <c r="I331" i="7" s="1"/>
  <c r="F331" i="7"/>
  <c r="C331" i="7"/>
  <c r="AC330" i="7"/>
  <c r="AD330" i="7" s="1"/>
  <c r="AA330" i="7"/>
  <c r="W330" i="7"/>
  <c r="X330" i="7" s="1"/>
  <c r="U330" i="7"/>
  <c r="R330" i="7"/>
  <c r="O330" i="7"/>
  <c r="N330" i="7"/>
  <c r="L330" i="7"/>
  <c r="I330" i="7"/>
  <c r="H330" i="7"/>
  <c r="F330" i="7"/>
  <c r="C330" i="7"/>
  <c r="AC329" i="7"/>
  <c r="AD329" i="7" s="1"/>
  <c r="AA329" i="7"/>
  <c r="W329" i="7"/>
  <c r="X329" i="7" s="1"/>
  <c r="U329" i="7"/>
  <c r="R329" i="7"/>
  <c r="O329" i="7"/>
  <c r="N329" i="7"/>
  <c r="L329" i="7"/>
  <c r="H329" i="7"/>
  <c r="I329" i="7" s="1"/>
  <c r="F329" i="7"/>
  <c r="C329" i="7"/>
  <c r="AD328" i="7"/>
  <c r="AC328" i="7"/>
  <c r="AA328" i="7"/>
  <c r="X328" i="7"/>
  <c r="W328" i="7"/>
  <c r="U328" i="7"/>
  <c r="R328" i="7"/>
  <c r="O328" i="7"/>
  <c r="N328" i="7"/>
  <c r="L328" i="7"/>
  <c r="I328" i="7"/>
  <c r="H328" i="7"/>
  <c r="F328" i="7"/>
  <c r="C328" i="7"/>
  <c r="AC325" i="7"/>
  <c r="AD325" i="7" s="1"/>
  <c r="AA325" i="7"/>
  <c r="Z325" i="7"/>
  <c r="X325" i="7"/>
  <c r="T325" i="7"/>
  <c r="U325" i="7" s="1"/>
  <c r="R325" i="7"/>
  <c r="Q325" i="7"/>
  <c r="W325" i="7" s="1"/>
  <c r="K325" i="7"/>
  <c r="E325" i="7"/>
  <c r="F325" i="7" s="1"/>
  <c r="C325" i="7"/>
  <c r="B325" i="7"/>
  <c r="Z324" i="7"/>
  <c r="AA324" i="7" s="1"/>
  <c r="X324" i="7"/>
  <c r="T324" i="7"/>
  <c r="U324" i="7" s="1"/>
  <c r="Q324" i="7"/>
  <c r="W324" i="7" s="1"/>
  <c r="L324" i="7"/>
  <c r="K324" i="7"/>
  <c r="E324" i="7"/>
  <c r="H324" i="7" s="1"/>
  <c r="I324" i="7" s="1"/>
  <c r="B324" i="7"/>
  <c r="C324" i="7" s="1"/>
  <c r="AD323" i="7"/>
  <c r="AC323" i="7"/>
  <c r="AA323" i="7"/>
  <c r="X323" i="7"/>
  <c r="W323" i="7"/>
  <c r="U323" i="7"/>
  <c r="R323" i="7"/>
  <c r="N323" i="7"/>
  <c r="O323" i="7" s="1"/>
  <c r="L323" i="7"/>
  <c r="I323" i="7"/>
  <c r="H323" i="7"/>
  <c r="F323" i="7"/>
  <c r="C323" i="7"/>
  <c r="AC322" i="7"/>
  <c r="AD322" i="7" s="1"/>
  <c r="AA322" i="7"/>
  <c r="W322" i="7"/>
  <c r="X322" i="7" s="1"/>
  <c r="U322" i="7"/>
  <c r="R322" i="7"/>
  <c r="O322" i="7"/>
  <c r="N322" i="7"/>
  <c r="L322" i="7"/>
  <c r="I322" i="7"/>
  <c r="H322" i="7"/>
  <c r="F322" i="7"/>
  <c r="C322" i="7"/>
  <c r="AC321" i="7"/>
  <c r="AD321" i="7" s="1"/>
  <c r="AA321" i="7"/>
  <c r="W321" i="7"/>
  <c r="X321" i="7" s="1"/>
  <c r="U321" i="7"/>
  <c r="R321" i="7"/>
  <c r="O321" i="7"/>
  <c r="N321" i="7"/>
  <c r="L321" i="7"/>
  <c r="H321" i="7"/>
  <c r="I321" i="7" s="1"/>
  <c r="F321" i="7"/>
  <c r="C321" i="7"/>
  <c r="AC320" i="7"/>
  <c r="AD320" i="7" s="1"/>
  <c r="AA320" i="7"/>
  <c r="X320" i="7"/>
  <c r="W320" i="7"/>
  <c r="U320" i="7"/>
  <c r="R320" i="7"/>
  <c r="O320" i="7"/>
  <c r="N320" i="7"/>
  <c r="L320" i="7"/>
  <c r="I320" i="7"/>
  <c r="H320" i="7"/>
  <c r="F320" i="7"/>
  <c r="C320" i="7"/>
  <c r="AC319" i="7"/>
  <c r="AD319" i="7" s="1"/>
  <c r="AA319" i="7"/>
  <c r="X319" i="7"/>
  <c r="W319" i="7"/>
  <c r="U319" i="7"/>
  <c r="R319" i="7"/>
  <c r="N319" i="7"/>
  <c r="O319" i="7" s="1"/>
  <c r="L319" i="7"/>
  <c r="H319" i="7"/>
  <c r="I319" i="7" s="1"/>
  <c r="F319" i="7"/>
  <c r="C319" i="7"/>
  <c r="AC318" i="7"/>
  <c r="AD318" i="7" s="1"/>
  <c r="AA318" i="7"/>
  <c r="W318" i="7"/>
  <c r="X318" i="7" s="1"/>
  <c r="U318" i="7"/>
  <c r="R318" i="7"/>
  <c r="O318" i="7"/>
  <c r="N318" i="7"/>
  <c r="L318" i="7"/>
  <c r="H318" i="7"/>
  <c r="I318" i="7" s="1"/>
  <c r="F318" i="7"/>
  <c r="C318" i="7"/>
  <c r="AD317" i="7"/>
  <c r="AC317" i="7"/>
  <c r="AA317" i="7"/>
  <c r="X317" i="7"/>
  <c r="W317" i="7"/>
  <c r="U317" i="7"/>
  <c r="R317" i="7"/>
  <c r="N317" i="7"/>
  <c r="O317" i="7" s="1"/>
  <c r="L317" i="7"/>
  <c r="H317" i="7"/>
  <c r="I317" i="7" s="1"/>
  <c r="F317" i="7"/>
  <c r="C317" i="7"/>
  <c r="AC316" i="7"/>
  <c r="AD316" i="7" s="1"/>
  <c r="AA316" i="7"/>
  <c r="X316" i="7"/>
  <c r="W316" i="7"/>
  <c r="U316" i="7"/>
  <c r="R316" i="7"/>
  <c r="N316" i="7"/>
  <c r="O316" i="7" s="1"/>
  <c r="L316" i="7"/>
  <c r="H316" i="7"/>
  <c r="I316" i="7" s="1"/>
  <c r="F316" i="7"/>
  <c r="C316" i="7"/>
  <c r="AD315" i="7"/>
  <c r="AC315" i="7"/>
  <c r="AA315" i="7"/>
  <c r="X315" i="7"/>
  <c r="W315" i="7"/>
  <c r="U315" i="7"/>
  <c r="R315" i="7"/>
  <c r="N315" i="7"/>
  <c r="O315" i="7" s="1"/>
  <c r="L315" i="7"/>
  <c r="H315" i="7"/>
  <c r="I315" i="7" s="1"/>
  <c r="F315" i="7"/>
  <c r="C315" i="7"/>
  <c r="AC314" i="7"/>
  <c r="AD314" i="7" s="1"/>
  <c r="AA314" i="7"/>
  <c r="X314" i="7"/>
  <c r="W314" i="7"/>
  <c r="U314" i="7"/>
  <c r="R314" i="7"/>
  <c r="O314" i="7"/>
  <c r="N314" i="7"/>
  <c r="L314" i="7"/>
  <c r="H314" i="7"/>
  <c r="I314" i="7" s="1"/>
  <c r="F314" i="7"/>
  <c r="C314" i="7"/>
  <c r="AD313" i="7"/>
  <c r="AC313" i="7"/>
  <c r="AA313" i="7"/>
  <c r="X313" i="7"/>
  <c r="W313" i="7"/>
  <c r="U313" i="7"/>
  <c r="R313" i="7"/>
  <c r="N313" i="7"/>
  <c r="O313" i="7" s="1"/>
  <c r="L313" i="7"/>
  <c r="H313" i="7"/>
  <c r="I313" i="7" s="1"/>
  <c r="F313" i="7"/>
  <c r="C313" i="7"/>
  <c r="AD312" i="7"/>
  <c r="AC312" i="7"/>
  <c r="AA312" i="7"/>
  <c r="X312" i="7"/>
  <c r="W312" i="7"/>
  <c r="U312" i="7"/>
  <c r="R312" i="7"/>
  <c r="N312" i="7"/>
  <c r="O312" i="7" s="1"/>
  <c r="L312" i="7"/>
  <c r="H312" i="7"/>
  <c r="I312" i="7" s="1"/>
  <c r="F312" i="7"/>
  <c r="C312" i="7"/>
  <c r="AD311" i="7"/>
  <c r="AC311" i="7"/>
  <c r="AA311" i="7"/>
  <c r="W311" i="7"/>
  <c r="X311" i="7" s="1"/>
  <c r="U311" i="7"/>
  <c r="R311" i="7"/>
  <c r="N311" i="7"/>
  <c r="O311" i="7" s="1"/>
  <c r="L311" i="7"/>
  <c r="I311" i="7"/>
  <c r="H311" i="7"/>
  <c r="F311" i="7"/>
  <c r="C311" i="7"/>
  <c r="AC310" i="7"/>
  <c r="AD310" i="7" s="1"/>
  <c r="AA310" i="7"/>
  <c r="X310" i="7"/>
  <c r="W310" i="7"/>
  <c r="U310" i="7"/>
  <c r="R310" i="7"/>
  <c r="O310" i="7"/>
  <c r="N310" i="7"/>
  <c r="L310" i="7"/>
  <c r="H310" i="7"/>
  <c r="I310" i="7" s="1"/>
  <c r="F310" i="7"/>
  <c r="C310" i="7"/>
  <c r="AC309" i="7"/>
  <c r="AD309" i="7" s="1"/>
  <c r="AA309" i="7"/>
  <c r="W309" i="7"/>
  <c r="X309" i="7" s="1"/>
  <c r="U309" i="7"/>
  <c r="R309" i="7"/>
  <c r="O309" i="7"/>
  <c r="N309" i="7"/>
  <c r="L309" i="7"/>
  <c r="H309" i="7"/>
  <c r="I309" i="7" s="1"/>
  <c r="F309" i="7"/>
  <c r="C309" i="7"/>
  <c r="AD308" i="7"/>
  <c r="AC308" i="7"/>
  <c r="AA308" i="7"/>
  <c r="X308" i="7"/>
  <c r="W308" i="7"/>
  <c r="U308" i="7"/>
  <c r="R308" i="7"/>
  <c r="N308" i="7"/>
  <c r="O308" i="7" s="1"/>
  <c r="L308" i="7"/>
  <c r="I308" i="7"/>
  <c r="H308" i="7"/>
  <c r="F308" i="7"/>
  <c r="C308" i="7"/>
  <c r="AC307" i="7"/>
  <c r="AD307" i="7" s="1"/>
  <c r="AA307" i="7"/>
  <c r="W307" i="7"/>
  <c r="X307" i="7" s="1"/>
  <c r="U307" i="7"/>
  <c r="R307" i="7"/>
  <c r="O307" i="7"/>
  <c r="N307" i="7"/>
  <c r="L307" i="7"/>
  <c r="I307" i="7"/>
  <c r="H307" i="7"/>
  <c r="F307" i="7"/>
  <c r="C307" i="7"/>
  <c r="AC306" i="7"/>
  <c r="AD306" i="7" s="1"/>
  <c r="AA306" i="7"/>
  <c r="W306" i="7"/>
  <c r="X306" i="7" s="1"/>
  <c r="U306" i="7"/>
  <c r="R306" i="7"/>
  <c r="O306" i="7"/>
  <c r="N306" i="7"/>
  <c r="L306" i="7"/>
  <c r="I306" i="7"/>
  <c r="H306" i="7"/>
  <c r="F306" i="7"/>
  <c r="C306" i="7"/>
  <c r="AC305" i="7"/>
  <c r="AD305" i="7" s="1"/>
  <c r="AA305" i="7"/>
  <c r="W305" i="7"/>
  <c r="X305" i="7" s="1"/>
  <c r="U305" i="7"/>
  <c r="R305" i="7"/>
  <c r="O305" i="7"/>
  <c r="N305" i="7"/>
  <c r="L305" i="7"/>
  <c r="H305" i="7"/>
  <c r="I305" i="7" s="1"/>
  <c r="F305" i="7"/>
  <c r="C305" i="7"/>
  <c r="AC304" i="7"/>
  <c r="AD304" i="7" s="1"/>
  <c r="AA304" i="7"/>
  <c r="X304" i="7"/>
  <c r="W304" i="7"/>
  <c r="U304" i="7"/>
  <c r="R304" i="7"/>
  <c r="O304" i="7"/>
  <c r="N304" i="7"/>
  <c r="L304" i="7"/>
  <c r="I304" i="7"/>
  <c r="H304" i="7"/>
  <c r="F304" i="7"/>
  <c r="C304" i="7"/>
  <c r="AC303" i="7"/>
  <c r="AD303" i="7" s="1"/>
  <c r="AA303" i="7"/>
  <c r="X303" i="7"/>
  <c r="W303" i="7"/>
  <c r="U303" i="7"/>
  <c r="R303" i="7"/>
  <c r="N303" i="7"/>
  <c r="O303" i="7" s="1"/>
  <c r="L303" i="7"/>
  <c r="H303" i="7"/>
  <c r="I303" i="7" s="1"/>
  <c r="F303" i="7"/>
  <c r="C303" i="7"/>
  <c r="AC302" i="7"/>
  <c r="AD302" i="7" s="1"/>
  <c r="AA302" i="7"/>
  <c r="W302" i="7"/>
  <c r="X302" i="7" s="1"/>
  <c r="U302" i="7"/>
  <c r="R302" i="7"/>
  <c r="O302" i="7"/>
  <c r="N302" i="7"/>
  <c r="L302" i="7"/>
  <c r="H302" i="7"/>
  <c r="I302" i="7" s="1"/>
  <c r="F302" i="7"/>
  <c r="C302" i="7"/>
  <c r="AD301" i="7"/>
  <c r="AC301" i="7"/>
  <c r="AA301" i="7"/>
  <c r="X301" i="7"/>
  <c r="W301" i="7"/>
  <c r="U301" i="7"/>
  <c r="R301" i="7"/>
  <c r="N301" i="7"/>
  <c r="O301" i="7" s="1"/>
  <c r="L301" i="7"/>
  <c r="H301" i="7"/>
  <c r="I301" i="7" s="1"/>
  <c r="F301" i="7"/>
  <c r="C301" i="7"/>
  <c r="AC300" i="7"/>
  <c r="AD300" i="7" s="1"/>
  <c r="AA300" i="7"/>
  <c r="X300" i="7"/>
  <c r="W300" i="7"/>
  <c r="U300" i="7"/>
  <c r="R300" i="7"/>
  <c r="N300" i="7"/>
  <c r="O300" i="7" s="1"/>
  <c r="L300" i="7"/>
  <c r="H300" i="7"/>
  <c r="I300" i="7" s="1"/>
  <c r="F300" i="7"/>
  <c r="C300" i="7"/>
  <c r="AD299" i="7"/>
  <c r="AC299" i="7"/>
  <c r="AA299" i="7"/>
  <c r="X299" i="7"/>
  <c r="W299" i="7"/>
  <c r="U299" i="7"/>
  <c r="R299" i="7"/>
  <c r="N299" i="7"/>
  <c r="O299" i="7" s="1"/>
  <c r="L299" i="7"/>
  <c r="H299" i="7"/>
  <c r="I299" i="7" s="1"/>
  <c r="F299" i="7"/>
  <c r="C299" i="7"/>
  <c r="AC298" i="7"/>
  <c r="AD298" i="7" s="1"/>
  <c r="AA298" i="7"/>
  <c r="X298" i="7"/>
  <c r="W298" i="7"/>
  <c r="U298" i="7"/>
  <c r="R298" i="7"/>
  <c r="O298" i="7"/>
  <c r="N298" i="7"/>
  <c r="L298" i="7"/>
  <c r="H298" i="7"/>
  <c r="I298" i="7" s="1"/>
  <c r="F298" i="7"/>
  <c r="C298" i="7"/>
  <c r="AD297" i="7"/>
  <c r="AC297" i="7"/>
  <c r="AA297" i="7"/>
  <c r="X297" i="7"/>
  <c r="W297" i="7"/>
  <c r="U297" i="7"/>
  <c r="R297" i="7"/>
  <c r="N297" i="7"/>
  <c r="O297" i="7" s="1"/>
  <c r="L297" i="7"/>
  <c r="H297" i="7"/>
  <c r="I297" i="7" s="1"/>
  <c r="F297" i="7"/>
  <c r="C297" i="7"/>
  <c r="Z295" i="7"/>
  <c r="AA295" i="7" s="1"/>
  <c r="W295" i="7"/>
  <c r="X295" i="7" s="1"/>
  <c r="U295" i="7"/>
  <c r="T295" i="7"/>
  <c r="R295" i="7"/>
  <c r="Q295" i="7"/>
  <c r="K295" i="7"/>
  <c r="L295" i="7" s="1"/>
  <c r="F295" i="7"/>
  <c r="E295" i="7"/>
  <c r="B295" i="7"/>
  <c r="AC294" i="7"/>
  <c r="AD294" i="7" s="1"/>
  <c r="AA294" i="7"/>
  <c r="W294" i="7"/>
  <c r="X294" i="7" s="1"/>
  <c r="U294" i="7"/>
  <c r="R294" i="7"/>
  <c r="O294" i="7"/>
  <c r="N294" i="7"/>
  <c r="L294" i="7"/>
  <c r="I294" i="7"/>
  <c r="H294" i="7"/>
  <c r="F294" i="7"/>
  <c r="C294" i="7"/>
  <c r="AC293" i="7"/>
  <c r="AD293" i="7" s="1"/>
  <c r="AA293" i="7"/>
  <c r="X293" i="7"/>
  <c r="W293" i="7"/>
  <c r="U293" i="7"/>
  <c r="R293" i="7"/>
  <c r="N293" i="7"/>
  <c r="O293" i="7" s="1"/>
  <c r="L293" i="7"/>
  <c r="H293" i="7"/>
  <c r="I293" i="7" s="1"/>
  <c r="F293" i="7"/>
  <c r="C293" i="7"/>
  <c r="AD292" i="7"/>
  <c r="AC292" i="7"/>
  <c r="AA292" i="7"/>
  <c r="X292" i="7"/>
  <c r="W292" i="7"/>
  <c r="U292" i="7"/>
  <c r="R292" i="7"/>
  <c r="N292" i="7"/>
  <c r="O292" i="7" s="1"/>
  <c r="L292" i="7"/>
  <c r="H292" i="7"/>
  <c r="I292" i="7" s="1"/>
  <c r="F292" i="7"/>
  <c r="C292" i="7"/>
  <c r="AD291" i="7"/>
  <c r="AC291" i="7"/>
  <c r="AA291" i="7"/>
  <c r="W291" i="7"/>
  <c r="X291" i="7" s="1"/>
  <c r="U291" i="7"/>
  <c r="R291" i="7"/>
  <c r="O291" i="7"/>
  <c r="N291" i="7"/>
  <c r="L291" i="7"/>
  <c r="I291" i="7"/>
  <c r="H291" i="7"/>
  <c r="F291" i="7"/>
  <c r="C291" i="7"/>
  <c r="AC290" i="7"/>
  <c r="AD290" i="7" s="1"/>
  <c r="AA290" i="7"/>
  <c r="W290" i="7"/>
  <c r="X290" i="7" s="1"/>
  <c r="U290" i="7"/>
  <c r="R290" i="7"/>
  <c r="O290" i="7"/>
  <c r="N290" i="7"/>
  <c r="L290" i="7"/>
  <c r="I290" i="7"/>
  <c r="H290" i="7"/>
  <c r="F290" i="7"/>
  <c r="C290" i="7"/>
  <c r="AC289" i="7"/>
  <c r="AD289" i="7" s="1"/>
  <c r="AA289" i="7"/>
  <c r="W289" i="7"/>
  <c r="X289" i="7" s="1"/>
  <c r="U289" i="7"/>
  <c r="R289" i="7"/>
  <c r="N289" i="7"/>
  <c r="O289" i="7" s="1"/>
  <c r="L289" i="7"/>
  <c r="H289" i="7"/>
  <c r="I289" i="7" s="1"/>
  <c r="F289" i="7"/>
  <c r="C289" i="7"/>
  <c r="AD288" i="7"/>
  <c r="AC288" i="7"/>
  <c r="AA288" i="7"/>
  <c r="X288" i="7"/>
  <c r="W288" i="7"/>
  <c r="U288" i="7"/>
  <c r="R288" i="7"/>
  <c r="N288" i="7"/>
  <c r="O288" i="7" s="1"/>
  <c r="L288" i="7"/>
  <c r="H288" i="7"/>
  <c r="I288" i="7" s="1"/>
  <c r="F288" i="7"/>
  <c r="C288" i="7"/>
  <c r="AD287" i="7"/>
  <c r="AC287" i="7"/>
  <c r="AA287" i="7"/>
  <c r="W287" i="7"/>
  <c r="X287" i="7" s="1"/>
  <c r="U287" i="7"/>
  <c r="R287" i="7"/>
  <c r="O287" i="7"/>
  <c r="N287" i="7"/>
  <c r="L287" i="7"/>
  <c r="I287" i="7"/>
  <c r="H287" i="7"/>
  <c r="F287" i="7"/>
  <c r="C287" i="7"/>
  <c r="AC286" i="7"/>
  <c r="AD286" i="7" s="1"/>
  <c r="AA286" i="7"/>
  <c r="W286" i="7"/>
  <c r="X286" i="7" s="1"/>
  <c r="U286" i="7"/>
  <c r="R286" i="7"/>
  <c r="O286" i="7"/>
  <c r="N286" i="7"/>
  <c r="L286" i="7"/>
  <c r="I286" i="7"/>
  <c r="H286" i="7"/>
  <c r="F286" i="7"/>
  <c r="C286" i="7"/>
  <c r="AC284" i="7"/>
  <c r="AD284" i="7" s="1"/>
  <c r="Z284" i="7"/>
  <c r="AA284" i="7" s="1"/>
  <c r="U284" i="7"/>
  <c r="T284" i="7"/>
  <c r="Q284" i="7"/>
  <c r="L284" i="7"/>
  <c r="K284" i="7"/>
  <c r="E284" i="7"/>
  <c r="F284" i="7" s="1"/>
  <c r="B284" i="7"/>
  <c r="AD283" i="7"/>
  <c r="AC283" i="7"/>
  <c r="AA283" i="7"/>
  <c r="W283" i="7"/>
  <c r="X283" i="7" s="1"/>
  <c r="U283" i="7"/>
  <c r="R283" i="7"/>
  <c r="N283" i="7"/>
  <c r="O283" i="7" s="1"/>
  <c r="L283" i="7"/>
  <c r="I283" i="7"/>
  <c r="H283" i="7"/>
  <c r="F283" i="7"/>
  <c r="C283" i="7"/>
  <c r="AC282" i="7"/>
  <c r="AD282" i="7" s="1"/>
  <c r="AA282" i="7"/>
  <c r="W282" i="7"/>
  <c r="X282" i="7" s="1"/>
  <c r="U282" i="7"/>
  <c r="R282" i="7"/>
  <c r="O282" i="7"/>
  <c r="N282" i="7"/>
  <c r="L282" i="7"/>
  <c r="I282" i="7"/>
  <c r="H282" i="7"/>
  <c r="F282" i="7"/>
  <c r="C282" i="7"/>
  <c r="AC281" i="7"/>
  <c r="AD281" i="7" s="1"/>
  <c r="AA281" i="7"/>
  <c r="W281" i="7"/>
  <c r="X281" i="7" s="1"/>
  <c r="U281" i="7"/>
  <c r="R281" i="7"/>
  <c r="N281" i="7"/>
  <c r="O281" i="7" s="1"/>
  <c r="L281" i="7"/>
  <c r="H281" i="7"/>
  <c r="I281" i="7" s="1"/>
  <c r="F281" i="7"/>
  <c r="C281" i="7"/>
  <c r="AD280" i="7"/>
  <c r="AC280" i="7"/>
  <c r="AA280" i="7"/>
  <c r="X280" i="7"/>
  <c r="W280" i="7"/>
  <c r="U280" i="7"/>
  <c r="R280" i="7"/>
  <c r="N280" i="7"/>
  <c r="O280" i="7" s="1"/>
  <c r="L280" i="7"/>
  <c r="H280" i="7"/>
  <c r="I280" i="7" s="1"/>
  <c r="F280" i="7"/>
  <c r="C280" i="7"/>
  <c r="AD279" i="7"/>
  <c r="AC279" i="7"/>
  <c r="AA279" i="7"/>
  <c r="W279" i="7"/>
  <c r="X279" i="7" s="1"/>
  <c r="U279" i="7"/>
  <c r="R279" i="7"/>
  <c r="N279" i="7"/>
  <c r="O279" i="7" s="1"/>
  <c r="L279" i="7"/>
  <c r="I279" i="7"/>
  <c r="H279" i="7"/>
  <c r="F279" i="7"/>
  <c r="C279" i="7"/>
  <c r="AC278" i="7"/>
  <c r="AD278" i="7" s="1"/>
  <c r="AA278" i="7"/>
  <c r="W278" i="7"/>
  <c r="X278" i="7" s="1"/>
  <c r="U278" i="7"/>
  <c r="R278" i="7"/>
  <c r="O278" i="7"/>
  <c r="N278" i="7"/>
  <c r="L278" i="7"/>
  <c r="I278" i="7"/>
  <c r="H278" i="7"/>
  <c r="F278" i="7"/>
  <c r="C278" i="7"/>
  <c r="AC277" i="7"/>
  <c r="AD277" i="7" s="1"/>
  <c r="AA277" i="7"/>
  <c r="W277" i="7"/>
  <c r="X277" i="7" s="1"/>
  <c r="U277" i="7"/>
  <c r="R277" i="7"/>
  <c r="N277" i="7"/>
  <c r="O277" i="7" s="1"/>
  <c r="L277" i="7"/>
  <c r="H277" i="7"/>
  <c r="I277" i="7" s="1"/>
  <c r="F277" i="7"/>
  <c r="C277" i="7"/>
  <c r="AD276" i="7"/>
  <c r="AC276" i="7"/>
  <c r="AA276" i="7"/>
  <c r="X276" i="7"/>
  <c r="W276" i="7"/>
  <c r="U276" i="7"/>
  <c r="R276" i="7"/>
  <c r="N276" i="7"/>
  <c r="O276" i="7" s="1"/>
  <c r="L276" i="7"/>
  <c r="H276" i="7"/>
  <c r="I276" i="7" s="1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I275" i="7"/>
  <c r="H275" i="7"/>
  <c r="F275" i="7"/>
  <c r="C275" i="7"/>
  <c r="AA273" i="7"/>
  <c r="Z273" i="7"/>
  <c r="T273" i="7"/>
  <c r="U273" i="7" s="1"/>
  <c r="Q273" i="7"/>
  <c r="AC273" i="7" s="1"/>
  <c r="AD273" i="7" s="1"/>
  <c r="L273" i="7"/>
  <c r="K273" i="7"/>
  <c r="E273" i="7"/>
  <c r="F273" i="7" s="1"/>
  <c r="C273" i="7"/>
  <c r="B273" i="7"/>
  <c r="N273" i="7" s="1"/>
  <c r="O273" i="7" s="1"/>
  <c r="AD272" i="7"/>
  <c r="AC272" i="7"/>
  <c r="AA272" i="7"/>
  <c r="X272" i="7"/>
  <c r="W272" i="7"/>
  <c r="U272" i="7"/>
  <c r="R272" i="7"/>
  <c r="N272" i="7"/>
  <c r="O272" i="7" s="1"/>
  <c r="L272" i="7"/>
  <c r="H272" i="7"/>
  <c r="I272" i="7" s="1"/>
  <c r="F272" i="7"/>
  <c r="C272" i="7"/>
  <c r="AD271" i="7"/>
  <c r="AC271" i="7"/>
  <c r="AA271" i="7"/>
  <c r="W271" i="7"/>
  <c r="X271" i="7" s="1"/>
  <c r="U271" i="7"/>
  <c r="R271" i="7"/>
  <c r="O271" i="7"/>
  <c r="N271" i="7"/>
  <c r="L271" i="7"/>
  <c r="I271" i="7"/>
  <c r="H271" i="7"/>
  <c r="F271" i="7"/>
  <c r="C271" i="7"/>
  <c r="AC270" i="7"/>
  <c r="AD270" i="7" s="1"/>
  <c r="AA270" i="7"/>
  <c r="W270" i="7"/>
  <c r="X270" i="7" s="1"/>
  <c r="U270" i="7"/>
  <c r="R270" i="7"/>
  <c r="O270" i="7"/>
  <c r="N270" i="7"/>
  <c r="L270" i="7"/>
  <c r="I270" i="7"/>
  <c r="H270" i="7"/>
  <c r="F270" i="7"/>
  <c r="C270" i="7"/>
  <c r="AC269" i="7"/>
  <c r="AD269" i="7" s="1"/>
  <c r="AA269" i="7"/>
  <c r="X269" i="7"/>
  <c r="W269" i="7"/>
  <c r="U269" i="7"/>
  <c r="R269" i="7"/>
  <c r="N269" i="7"/>
  <c r="O269" i="7" s="1"/>
  <c r="L269" i="7"/>
  <c r="H269" i="7"/>
  <c r="I269" i="7" s="1"/>
  <c r="F269" i="7"/>
  <c r="C269" i="7"/>
  <c r="Z267" i="7"/>
  <c r="AA267" i="7" s="1"/>
  <c r="W267" i="7"/>
  <c r="X267" i="7" s="1"/>
  <c r="U267" i="7"/>
  <c r="T267" i="7"/>
  <c r="R267" i="7"/>
  <c r="Q267" i="7"/>
  <c r="AC267" i="7" s="1"/>
  <c r="AD267" i="7" s="1"/>
  <c r="K267" i="7"/>
  <c r="L267" i="7" s="1"/>
  <c r="F267" i="7"/>
  <c r="E267" i="7"/>
  <c r="B267" i="7"/>
  <c r="N267" i="7" s="1"/>
  <c r="O267" i="7" s="1"/>
  <c r="AC266" i="7"/>
  <c r="AD266" i="7" s="1"/>
  <c r="AA266" i="7"/>
  <c r="W266" i="7"/>
  <c r="X266" i="7" s="1"/>
  <c r="U266" i="7"/>
  <c r="R266" i="7"/>
  <c r="O266" i="7"/>
  <c r="N266" i="7"/>
  <c r="L266" i="7"/>
  <c r="I266" i="7"/>
  <c r="H266" i="7"/>
  <c r="F266" i="7"/>
  <c r="C266" i="7"/>
  <c r="AC265" i="7"/>
  <c r="AD265" i="7" s="1"/>
  <c r="AA265" i="7"/>
  <c r="W265" i="7"/>
  <c r="X265" i="7" s="1"/>
  <c r="U265" i="7"/>
  <c r="R265" i="7"/>
  <c r="N265" i="7"/>
  <c r="O265" i="7" s="1"/>
  <c r="L265" i="7"/>
  <c r="H265" i="7"/>
  <c r="I265" i="7" s="1"/>
  <c r="F265" i="7"/>
  <c r="C265" i="7"/>
  <c r="Z263" i="7"/>
  <c r="AA263" i="7" s="1"/>
  <c r="W263" i="7"/>
  <c r="X263" i="7" s="1"/>
  <c r="U263" i="7"/>
  <c r="T263" i="7"/>
  <c r="R263" i="7"/>
  <c r="Q263" i="7"/>
  <c r="AC263" i="7" s="1"/>
  <c r="AD263" i="7" s="1"/>
  <c r="K263" i="7"/>
  <c r="L263" i="7" s="1"/>
  <c r="F263" i="7"/>
  <c r="E263" i="7"/>
  <c r="B263" i="7"/>
  <c r="N263" i="7" s="1"/>
  <c r="O263" i="7" s="1"/>
  <c r="AA262" i="7"/>
  <c r="Z262" i="7"/>
  <c r="T262" i="7"/>
  <c r="U262" i="7" s="1"/>
  <c r="Q262" i="7"/>
  <c r="L262" i="7"/>
  <c r="K262" i="7"/>
  <c r="H262" i="7"/>
  <c r="I262" i="7" s="1"/>
  <c r="E262" i="7"/>
  <c r="F262" i="7" s="1"/>
  <c r="C262" i="7"/>
  <c r="B262" i="7"/>
  <c r="N262" i="7" s="1"/>
  <c r="O262" i="7" s="1"/>
  <c r="AD261" i="7"/>
  <c r="AC261" i="7"/>
  <c r="AA261" i="7"/>
  <c r="X261" i="7"/>
  <c r="W261" i="7"/>
  <c r="U261" i="7"/>
  <c r="R261" i="7"/>
  <c r="N261" i="7"/>
  <c r="O261" i="7" s="1"/>
  <c r="L261" i="7"/>
  <c r="H261" i="7"/>
  <c r="I261" i="7" s="1"/>
  <c r="F261" i="7"/>
  <c r="C261" i="7"/>
  <c r="AD260" i="7"/>
  <c r="AC260" i="7"/>
  <c r="AA260" i="7"/>
  <c r="W260" i="7"/>
  <c r="X260" i="7" s="1"/>
  <c r="U260" i="7"/>
  <c r="R260" i="7"/>
  <c r="O260" i="7"/>
  <c r="N260" i="7"/>
  <c r="L260" i="7"/>
  <c r="I260" i="7"/>
  <c r="H260" i="7"/>
  <c r="F260" i="7"/>
  <c r="C260" i="7"/>
  <c r="AC259" i="7"/>
  <c r="AD259" i="7" s="1"/>
  <c r="AA259" i="7"/>
  <c r="W259" i="7"/>
  <c r="X259" i="7" s="1"/>
  <c r="U259" i="7"/>
  <c r="R259" i="7"/>
  <c r="O259" i="7"/>
  <c r="N259" i="7"/>
  <c r="L259" i="7"/>
  <c r="I259" i="7"/>
  <c r="H259" i="7"/>
  <c r="F259" i="7"/>
  <c r="C259" i="7"/>
  <c r="AC258" i="7"/>
  <c r="AD258" i="7" s="1"/>
  <c r="AA258" i="7"/>
  <c r="W258" i="7"/>
  <c r="X258" i="7" s="1"/>
  <c r="U258" i="7"/>
  <c r="R258" i="7"/>
  <c r="N258" i="7"/>
  <c r="O258" i="7" s="1"/>
  <c r="L258" i="7"/>
  <c r="H258" i="7"/>
  <c r="I258" i="7" s="1"/>
  <c r="F258" i="7"/>
  <c r="C258" i="7"/>
  <c r="AD257" i="7"/>
  <c r="AC257" i="7"/>
  <c r="AA257" i="7"/>
  <c r="X257" i="7"/>
  <c r="W257" i="7"/>
  <c r="U257" i="7"/>
  <c r="R257" i="7"/>
  <c r="N257" i="7"/>
  <c r="O257" i="7" s="1"/>
  <c r="L257" i="7"/>
  <c r="H257" i="7"/>
  <c r="I257" i="7" s="1"/>
  <c r="F257" i="7"/>
  <c r="C257" i="7"/>
  <c r="AD256" i="7"/>
  <c r="AC256" i="7"/>
  <c r="AA256" i="7"/>
  <c r="W256" i="7"/>
  <c r="X256" i="7" s="1"/>
  <c r="U256" i="7"/>
  <c r="R256" i="7"/>
  <c r="O256" i="7"/>
  <c r="N256" i="7"/>
  <c r="L256" i="7"/>
  <c r="I256" i="7"/>
  <c r="H256" i="7"/>
  <c r="F256" i="7"/>
  <c r="C256" i="7"/>
  <c r="AC255" i="7"/>
  <c r="AD255" i="7" s="1"/>
  <c r="AA255" i="7"/>
  <c r="W255" i="7"/>
  <c r="X255" i="7" s="1"/>
  <c r="U255" i="7"/>
  <c r="R255" i="7"/>
  <c r="O255" i="7"/>
  <c r="N255" i="7"/>
  <c r="L255" i="7"/>
  <c r="I255" i="7"/>
  <c r="H255" i="7"/>
  <c r="F255" i="7"/>
  <c r="C255" i="7"/>
  <c r="AC254" i="7"/>
  <c r="AD254" i="7" s="1"/>
  <c r="AA254" i="7"/>
  <c r="W254" i="7"/>
  <c r="X254" i="7" s="1"/>
  <c r="U254" i="7"/>
  <c r="R254" i="7"/>
  <c r="N254" i="7"/>
  <c r="O254" i="7" s="1"/>
  <c r="L254" i="7"/>
  <c r="H254" i="7"/>
  <c r="I254" i="7" s="1"/>
  <c r="F254" i="7"/>
  <c r="C254" i="7"/>
  <c r="AD253" i="7"/>
  <c r="AC253" i="7"/>
  <c r="AA253" i="7"/>
  <c r="X253" i="7"/>
  <c r="W253" i="7"/>
  <c r="U253" i="7"/>
  <c r="R253" i="7"/>
  <c r="N253" i="7"/>
  <c r="O253" i="7" s="1"/>
  <c r="L253" i="7"/>
  <c r="H253" i="7"/>
  <c r="I253" i="7" s="1"/>
  <c r="F253" i="7"/>
  <c r="C253" i="7"/>
  <c r="AD252" i="7"/>
  <c r="AC252" i="7"/>
  <c r="AA252" i="7"/>
  <c r="W252" i="7"/>
  <c r="X252" i="7" s="1"/>
  <c r="U252" i="7"/>
  <c r="R252" i="7"/>
  <c r="O252" i="7"/>
  <c r="N252" i="7"/>
  <c r="L252" i="7"/>
  <c r="I252" i="7"/>
  <c r="H252" i="7"/>
  <c r="F252" i="7"/>
  <c r="C252" i="7"/>
  <c r="AC251" i="7"/>
  <c r="AD251" i="7" s="1"/>
  <c r="AA251" i="7"/>
  <c r="W251" i="7"/>
  <c r="X251" i="7" s="1"/>
  <c r="U251" i="7"/>
  <c r="R251" i="7"/>
  <c r="O251" i="7"/>
  <c r="N251" i="7"/>
  <c r="L251" i="7"/>
  <c r="I251" i="7"/>
  <c r="H251" i="7"/>
  <c r="F251" i="7"/>
  <c r="C251" i="7"/>
  <c r="AC250" i="7"/>
  <c r="AD250" i="7" s="1"/>
  <c r="AA250" i="7"/>
  <c r="W250" i="7"/>
  <c r="X250" i="7" s="1"/>
  <c r="U250" i="7"/>
  <c r="R250" i="7"/>
  <c r="N250" i="7"/>
  <c r="O250" i="7" s="1"/>
  <c r="L250" i="7"/>
  <c r="H250" i="7"/>
  <c r="I250" i="7" s="1"/>
  <c r="F250" i="7"/>
  <c r="C250" i="7"/>
  <c r="AD249" i="7"/>
  <c r="AC249" i="7"/>
  <c r="AA249" i="7"/>
  <c r="X249" i="7"/>
  <c r="W249" i="7"/>
  <c r="U249" i="7"/>
  <c r="R249" i="7"/>
  <c r="N249" i="7"/>
  <c r="O249" i="7" s="1"/>
  <c r="L249" i="7"/>
  <c r="H249" i="7"/>
  <c r="I249" i="7" s="1"/>
  <c r="F249" i="7"/>
  <c r="C249" i="7"/>
  <c r="AD248" i="7"/>
  <c r="AC248" i="7"/>
  <c r="AA248" i="7"/>
  <c r="W248" i="7"/>
  <c r="X248" i="7" s="1"/>
  <c r="U248" i="7"/>
  <c r="R248" i="7"/>
  <c r="O248" i="7"/>
  <c r="N248" i="7"/>
  <c r="L248" i="7"/>
  <c r="I248" i="7"/>
  <c r="H248" i="7"/>
  <c r="F248" i="7"/>
  <c r="C248" i="7"/>
  <c r="AC247" i="7"/>
  <c r="AD247" i="7" s="1"/>
  <c r="AA247" i="7"/>
  <c r="W247" i="7"/>
  <c r="X247" i="7" s="1"/>
  <c r="U247" i="7"/>
  <c r="R247" i="7"/>
  <c r="O247" i="7"/>
  <c r="N247" i="7"/>
  <c r="L247" i="7"/>
  <c r="I247" i="7"/>
  <c r="H247" i="7"/>
  <c r="F247" i="7"/>
  <c r="C247" i="7"/>
  <c r="AC246" i="7"/>
  <c r="AD246" i="7" s="1"/>
  <c r="AA246" i="7"/>
  <c r="W246" i="7"/>
  <c r="X246" i="7" s="1"/>
  <c r="U246" i="7"/>
  <c r="R246" i="7"/>
  <c r="N246" i="7"/>
  <c r="O246" i="7" s="1"/>
  <c r="L246" i="7"/>
  <c r="H246" i="7"/>
  <c r="I246" i="7" s="1"/>
  <c r="F246" i="7"/>
  <c r="C246" i="7"/>
  <c r="AD245" i="7"/>
  <c r="AC245" i="7"/>
  <c r="AA245" i="7"/>
  <c r="X245" i="7"/>
  <c r="W245" i="7"/>
  <c r="U245" i="7"/>
  <c r="R245" i="7"/>
  <c r="N245" i="7"/>
  <c r="O245" i="7" s="1"/>
  <c r="L245" i="7"/>
  <c r="H245" i="7"/>
  <c r="I245" i="7" s="1"/>
  <c r="F245" i="7"/>
  <c r="C245" i="7"/>
  <c r="AD244" i="7"/>
  <c r="AC244" i="7"/>
  <c r="AA244" i="7"/>
  <c r="W244" i="7"/>
  <c r="X244" i="7" s="1"/>
  <c r="U244" i="7"/>
  <c r="R244" i="7"/>
  <c r="O244" i="7"/>
  <c r="N244" i="7"/>
  <c r="L244" i="7"/>
  <c r="I244" i="7"/>
  <c r="H244" i="7"/>
  <c r="F244" i="7"/>
  <c r="C244" i="7"/>
  <c r="AC243" i="7"/>
  <c r="AD243" i="7" s="1"/>
  <c r="AA243" i="7"/>
  <c r="W243" i="7"/>
  <c r="X243" i="7" s="1"/>
  <c r="U243" i="7"/>
  <c r="R243" i="7"/>
  <c r="O243" i="7"/>
  <c r="N243" i="7"/>
  <c r="L243" i="7"/>
  <c r="I243" i="7"/>
  <c r="H243" i="7"/>
  <c r="F243" i="7"/>
  <c r="C243" i="7"/>
  <c r="AC242" i="7"/>
  <c r="AD242" i="7" s="1"/>
  <c r="AA242" i="7"/>
  <c r="W242" i="7"/>
  <c r="X242" i="7" s="1"/>
  <c r="U242" i="7"/>
  <c r="R242" i="7"/>
  <c r="N242" i="7"/>
  <c r="O242" i="7" s="1"/>
  <c r="L242" i="7"/>
  <c r="H242" i="7"/>
  <c r="I242" i="7" s="1"/>
  <c r="F242" i="7"/>
  <c r="C242" i="7"/>
  <c r="AD241" i="7"/>
  <c r="AC241" i="7"/>
  <c r="AA241" i="7"/>
  <c r="X241" i="7"/>
  <c r="W241" i="7"/>
  <c r="U241" i="7"/>
  <c r="R241" i="7"/>
  <c r="N241" i="7"/>
  <c r="O241" i="7" s="1"/>
  <c r="L241" i="7"/>
  <c r="H241" i="7"/>
  <c r="I241" i="7" s="1"/>
  <c r="F241" i="7"/>
  <c r="C241" i="7"/>
  <c r="AD240" i="7"/>
  <c r="AC240" i="7"/>
  <c r="AA240" i="7"/>
  <c r="W240" i="7"/>
  <c r="X240" i="7" s="1"/>
  <c r="U240" i="7"/>
  <c r="R240" i="7"/>
  <c r="O240" i="7"/>
  <c r="N240" i="7"/>
  <c r="L240" i="7"/>
  <c r="I240" i="7"/>
  <c r="H240" i="7"/>
  <c r="F240" i="7"/>
  <c r="C240" i="7"/>
  <c r="AC238" i="7"/>
  <c r="AD238" i="7" s="1"/>
  <c r="AA238" i="7"/>
  <c r="W238" i="7"/>
  <c r="X238" i="7" s="1"/>
  <c r="U238" i="7"/>
  <c r="R238" i="7"/>
  <c r="O238" i="7"/>
  <c r="N238" i="7"/>
  <c r="L238" i="7"/>
  <c r="I238" i="7"/>
  <c r="H238" i="7"/>
  <c r="F238" i="7"/>
  <c r="C238" i="7"/>
  <c r="Z236" i="7"/>
  <c r="U236" i="7"/>
  <c r="T236" i="7"/>
  <c r="Q236" i="7"/>
  <c r="L236" i="7"/>
  <c r="K236" i="7"/>
  <c r="E236" i="7"/>
  <c r="F236" i="7" s="1"/>
  <c r="B236" i="7"/>
  <c r="AD235" i="7"/>
  <c r="AC235" i="7"/>
  <c r="AA235" i="7"/>
  <c r="W235" i="7"/>
  <c r="X235" i="7" s="1"/>
  <c r="U235" i="7"/>
  <c r="R235" i="7"/>
  <c r="N235" i="7"/>
  <c r="O235" i="7" s="1"/>
  <c r="L235" i="7"/>
  <c r="I235" i="7"/>
  <c r="H235" i="7"/>
  <c r="F235" i="7"/>
  <c r="C235" i="7"/>
  <c r="AC234" i="7"/>
  <c r="AD234" i="7" s="1"/>
  <c r="AA234" i="7"/>
  <c r="W234" i="7"/>
  <c r="X234" i="7" s="1"/>
  <c r="U234" i="7"/>
  <c r="R234" i="7"/>
  <c r="O234" i="7"/>
  <c r="N234" i="7"/>
  <c r="L234" i="7"/>
  <c r="I234" i="7"/>
  <c r="H234" i="7"/>
  <c r="F234" i="7"/>
  <c r="C234" i="7"/>
  <c r="AC233" i="7"/>
  <c r="AD233" i="7" s="1"/>
  <c r="AA233" i="7"/>
  <c r="X233" i="7"/>
  <c r="W233" i="7"/>
  <c r="U233" i="7"/>
  <c r="R233" i="7"/>
  <c r="N233" i="7"/>
  <c r="O233" i="7" s="1"/>
  <c r="L233" i="7"/>
  <c r="H233" i="7"/>
  <c r="I233" i="7" s="1"/>
  <c r="F233" i="7"/>
  <c r="C233" i="7"/>
  <c r="AD232" i="7"/>
  <c r="AC232" i="7"/>
  <c r="AA232" i="7"/>
  <c r="X232" i="7"/>
  <c r="W232" i="7"/>
  <c r="U232" i="7"/>
  <c r="R232" i="7"/>
  <c r="N232" i="7"/>
  <c r="O232" i="7" s="1"/>
  <c r="L232" i="7"/>
  <c r="H232" i="7"/>
  <c r="I232" i="7" s="1"/>
  <c r="F232" i="7"/>
  <c r="C232" i="7"/>
  <c r="AD231" i="7"/>
  <c r="AC231" i="7"/>
  <c r="AA231" i="7"/>
  <c r="W231" i="7"/>
  <c r="X231" i="7" s="1"/>
  <c r="U231" i="7"/>
  <c r="R231" i="7"/>
  <c r="N231" i="7"/>
  <c r="O231" i="7" s="1"/>
  <c r="L231" i="7"/>
  <c r="I231" i="7"/>
  <c r="H231" i="7"/>
  <c r="F231" i="7"/>
  <c r="C231" i="7"/>
  <c r="AC230" i="7"/>
  <c r="AD230" i="7" s="1"/>
  <c r="AA230" i="7"/>
  <c r="W230" i="7"/>
  <c r="X230" i="7" s="1"/>
  <c r="U230" i="7"/>
  <c r="R230" i="7"/>
  <c r="O230" i="7"/>
  <c r="N230" i="7"/>
  <c r="L230" i="7"/>
  <c r="I230" i="7"/>
  <c r="H230" i="7"/>
  <c r="F230" i="7"/>
  <c r="C230" i="7"/>
  <c r="AC229" i="7"/>
  <c r="AD229" i="7" s="1"/>
  <c r="AA229" i="7"/>
  <c r="X229" i="7"/>
  <c r="W229" i="7"/>
  <c r="U229" i="7"/>
  <c r="R229" i="7"/>
  <c r="N229" i="7"/>
  <c r="O229" i="7" s="1"/>
  <c r="L229" i="7"/>
  <c r="H229" i="7"/>
  <c r="I229" i="7" s="1"/>
  <c r="F229" i="7"/>
  <c r="C229" i="7"/>
  <c r="Z227" i="7"/>
  <c r="AA227" i="7" s="1"/>
  <c r="W227" i="7"/>
  <c r="X227" i="7" s="1"/>
  <c r="U227" i="7"/>
  <c r="T227" i="7"/>
  <c r="R227" i="7"/>
  <c r="Q227" i="7"/>
  <c r="N227" i="7"/>
  <c r="O227" i="7" s="1"/>
  <c r="K227" i="7"/>
  <c r="L227" i="7" s="1"/>
  <c r="F227" i="7"/>
  <c r="E227" i="7"/>
  <c r="B227" i="7"/>
  <c r="AC226" i="7"/>
  <c r="AD226" i="7" s="1"/>
  <c r="AA226" i="7"/>
  <c r="W226" i="7"/>
  <c r="X226" i="7" s="1"/>
  <c r="U226" i="7"/>
  <c r="R226" i="7"/>
  <c r="O226" i="7"/>
  <c r="N226" i="7"/>
  <c r="L226" i="7"/>
  <c r="I226" i="7"/>
  <c r="H226" i="7"/>
  <c r="F226" i="7"/>
  <c r="C226" i="7"/>
  <c r="AC225" i="7"/>
  <c r="AD225" i="7" s="1"/>
  <c r="AA225" i="7"/>
  <c r="X225" i="7"/>
  <c r="W225" i="7"/>
  <c r="U225" i="7"/>
  <c r="R225" i="7"/>
  <c r="N225" i="7"/>
  <c r="O225" i="7" s="1"/>
  <c r="L225" i="7"/>
  <c r="H225" i="7"/>
  <c r="I225" i="7" s="1"/>
  <c r="F225" i="7"/>
  <c r="C225" i="7"/>
  <c r="AD224" i="7"/>
  <c r="AC224" i="7"/>
  <c r="AA224" i="7"/>
  <c r="X224" i="7"/>
  <c r="W224" i="7"/>
  <c r="U224" i="7"/>
  <c r="R224" i="7"/>
  <c r="N224" i="7"/>
  <c r="O224" i="7" s="1"/>
  <c r="L224" i="7"/>
  <c r="H224" i="7"/>
  <c r="I224" i="7" s="1"/>
  <c r="F224" i="7"/>
  <c r="C224" i="7"/>
  <c r="AD223" i="7"/>
  <c r="AC223" i="7"/>
  <c r="AA223" i="7"/>
  <c r="W223" i="7"/>
  <c r="X223" i="7" s="1"/>
  <c r="U223" i="7"/>
  <c r="R223" i="7"/>
  <c r="N223" i="7"/>
  <c r="O223" i="7" s="1"/>
  <c r="L223" i="7"/>
  <c r="I223" i="7"/>
  <c r="H223" i="7"/>
  <c r="F223" i="7"/>
  <c r="C223" i="7"/>
  <c r="AC222" i="7"/>
  <c r="AD222" i="7" s="1"/>
  <c r="AA222" i="7"/>
  <c r="W222" i="7"/>
  <c r="X222" i="7" s="1"/>
  <c r="U222" i="7"/>
  <c r="R222" i="7"/>
  <c r="O222" i="7"/>
  <c r="N222" i="7"/>
  <c r="L222" i="7"/>
  <c r="I222" i="7"/>
  <c r="H222" i="7"/>
  <c r="F222" i="7"/>
  <c r="C222" i="7"/>
  <c r="AC221" i="7"/>
  <c r="AD221" i="7" s="1"/>
  <c r="AA221" i="7"/>
  <c r="X221" i="7"/>
  <c r="W221" i="7"/>
  <c r="U221" i="7"/>
  <c r="R221" i="7"/>
  <c r="N221" i="7"/>
  <c r="O221" i="7" s="1"/>
  <c r="L221" i="7"/>
  <c r="H221" i="7"/>
  <c r="I221" i="7" s="1"/>
  <c r="F221" i="7"/>
  <c r="C221" i="7"/>
  <c r="AD220" i="7"/>
  <c r="AC220" i="7"/>
  <c r="AA220" i="7"/>
  <c r="W220" i="7"/>
  <c r="X220" i="7" s="1"/>
  <c r="U220" i="7"/>
  <c r="R220" i="7"/>
  <c r="N220" i="7"/>
  <c r="O220" i="7" s="1"/>
  <c r="L220" i="7"/>
  <c r="H220" i="7"/>
  <c r="I220" i="7" s="1"/>
  <c r="F220" i="7"/>
  <c r="C220" i="7"/>
  <c r="AD219" i="7"/>
  <c r="AC219" i="7"/>
  <c r="AA219" i="7"/>
  <c r="W219" i="7"/>
  <c r="X219" i="7" s="1"/>
  <c r="U219" i="7"/>
  <c r="R219" i="7"/>
  <c r="N219" i="7"/>
  <c r="O219" i="7" s="1"/>
  <c r="L219" i="7"/>
  <c r="I219" i="7"/>
  <c r="H219" i="7"/>
  <c r="F219" i="7"/>
  <c r="C219" i="7"/>
  <c r="AA218" i="7"/>
  <c r="Z218" i="7"/>
  <c r="U218" i="7"/>
  <c r="T218" i="7"/>
  <c r="Q218" i="7"/>
  <c r="N218" i="7"/>
  <c r="O218" i="7" s="1"/>
  <c r="K218" i="7"/>
  <c r="L218" i="7" s="1"/>
  <c r="E218" i="7"/>
  <c r="F218" i="7" s="1"/>
  <c r="B218" i="7"/>
  <c r="AD217" i="7"/>
  <c r="AC217" i="7"/>
  <c r="AA217" i="7"/>
  <c r="X217" i="7"/>
  <c r="W217" i="7"/>
  <c r="U217" i="7"/>
  <c r="R217" i="7"/>
  <c r="N217" i="7"/>
  <c r="O217" i="7" s="1"/>
  <c r="L217" i="7"/>
  <c r="I217" i="7"/>
  <c r="H217" i="7"/>
  <c r="F217" i="7"/>
  <c r="C217" i="7"/>
  <c r="AC216" i="7"/>
  <c r="AD216" i="7" s="1"/>
  <c r="AA216" i="7"/>
  <c r="X216" i="7"/>
  <c r="W216" i="7"/>
  <c r="U216" i="7"/>
  <c r="R216" i="7"/>
  <c r="O216" i="7"/>
  <c r="N216" i="7"/>
  <c r="L216" i="7"/>
  <c r="H216" i="7"/>
  <c r="I216" i="7" s="1"/>
  <c r="F216" i="7"/>
  <c r="C216" i="7"/>
  <c r="AC215" i="7"/>
  <c r="AD215" i="7" s="1"/>
  <c r="AA215" i="7"/>
  <c r="X215" i="7"/>
  <c r="W215" i="7"/>
  <c r="U215" i="7"/>
  <c r="R215" i="7"/>
  <c r="O215" i="7"/>
  <c r="N215" i="7"/>
  <c r="L215" i="7"/>
  <c r="H215" i="7"/>
  <c r="I215" i="7" s="1"/>
  <c r="F215" i="7"/>
  <c r="C215" i="7"/>
  <c r="AD214" i="7"/>
  <c r="AC214" i="7"/>
  <c r="AA214" i="7"/>
  <c r="X214" i="7"/>
  <c r="W214" i="7"/>
  <c r="U214" i="7"/>
  <c r="R214" i="7"/>
  <c r="O214" i="7"/>
  <c r="N214" i="7"/>
  <c r="L214" i="7"/>
  <c r="H214" i="7"/>
  <c r="I214" i="7" s="1"/>
  <c r="F214" i="7"/>
  <c r="C214" i="7"/>
  <c r="AC213" i="7"/>
  <c r="AD213" i="7" s="1"/>
  <c r="AA213" i="7"/>
  <c r="X213" i="7"/>
  <c r="W213" i="7"/>
  <c r="U213" i="7"/>
  <c r="R213" i="7"/>
  <c r="O213" i="7"/>
  <c r="N213" i="7"/>
  <c r="L213" i="7"/>
  <c r="I213" i="7"/>
  <c r="H213" i="7"/>
  <c r="F213" i="7"/>
  <c r="C213" i="7"/>
  <c r="AC211" i="7"/>
  <c r="AD211" i="7" s="1"/>
  <c r="AA211" i="7"/>
  <c r="X211" i="7"/>
  <c r="W211" i="7"/>
  <c r="U211" i="7"/>
  <c r="R211" i="7"/>
  <c r="O211" i="7"/>
  <c r="N211" i="7"/>
  <c r="L211" i="7"/>
  <c r="I211" i="7"/>
  <c r="H211" i="7"/>
  <c r="F211" i="7"/>
  <c r="C211" i="7"/>
  <c r="Z209" i="7"/>
  <c r="AA209" i="7" s="1"/>
  <c r="U209" i="7"/>
  <c r="T209" i="7"/>
  <c r="Q209" i="7"/>
  <c r="R209" i="7" s="1"/>
  <c r="K209" i="7"/>
  <c r="L209" i="7" s="1"/>
  <c r="E209" i="7"/>
  <c r="F209" i="7" s="1"/>
  <c r="B209" i="7"/>
  <c r="AD208" i="7"/>
  <c r="AC208" i="7"/>
  <c r="AA208" i="7"/>
  <c r="X208" i="7"/>
  <c r="W208" i="7"/>
  <c r="U208" i="7"/>
  <c r="R208" i="7"/>
  <c r="N208" i="7"/>
  <c r="O208" i="7" s="1"/>
  <c r="L208" i="7"/>
  <c r="I208" i="7"/>
  <c r="H208" i="7"/>
  <c r="F208" i="7"/>
  <c r="C208" i="7"/>
  <c r="AC207" i="7"/>
  <c r="AD207" i="7" s="1"/>
  <c r="AA207" i="7"/>
  <c r="X207" i="7"/>
  <c r="W207" i="7"/>
  <c r="U207" i="7"/>
  <c r="R207" i="7"/>
  <c r="O207" i="7"/>
  <c r="N207" i="7"/>
  <c r="L207" i="7"/>
  <c r="H207" i="7"/>
  <c r="I207" i="7" s="1"/>
  <c r="F207" i="7"/>
  <c r="C207" i="7"/>
  <c r="AC206" i="7"/>
  <c r="AD206" i="7" s="1"/>
  <c r="AA206" i="7"/>
  <c r="X206" i="7"/>
  <c r="W206" i="7"/>
  <c r="U206" i="7"/>
  <c r="R206" i="7"/>
  <c r="O206" i="7"/>
  <c r="N206" i="7"/>
  <c r="L206" i="7"/>
  <c r="H206" i="7"/>
  <c r="I206" i="7" s="1"/>
  <c r="F206" i="7"/>
  <c r="C206" i="7"/>
  <c r="AD205" i="7"/>
  <c r="AC205" i="7"/>
  <c r="AA205" i="7"/>
  <c r="X205" i="7"/>
  <c r="W205" i="7"/>
  <c r="U205" i="7"/>
  <c r="R205" i="7"/>
  <c r="O205" i="7"/>
  <c r="N205" i="7"/>
  <c r="L205" i="7"/>
  <c r="H205" i="7"/>
  <c r="I205" i="7" s="1"/>
  <c r="F205" i="7"/>
  <c r="C205" i="7"/>
  <c r="AC204" i="7"/>
  <c r="AD204" i="7" s="1"/>
  <c r="AA204" i="7"/>
  <c r="X204" i="7"/>
  <c r="W204" i="7"/>
  <c r="U204" i="7"/>
  <c r="R204" i="7"/>
  <c r="N204" i="7"/>
  <c r="O204" i="7" s="1"/>
  <c r="L204" i="7"/>
  <c r="I204" i="7"/>
  <c r="H204" i="7"/>
  <c r="F204" i="7"/>
  <c r="C204" i="7"/>
  <c r="AC203" i="7"/>
  <c r="AD203" i="7" s="1"/>
  <c r="AA203" i="7"/>
  <c r="X203" i="7"/>
  <c r="W203" i="7"/>
  <c r="U203" i="7"/>
  <c r="R203" i="7"/>
  <c r="O203" i="7"/>
  <c r="N203" i="7"/>
  <c r="L203" i="7"/>
  <c r="H203" i="7"/>
  <c r="I203" i="7" s="1"/>
  <c r="F203" i="7"/>
  <c r="C203" i="7"/>
  <c r="AC202" i="7"/>
  <c r="AD202" i="7" s="1"/>
  <c r="AA202" i="7"/>
  <c r="W202" i="7"/>
  <c r="X202" i="7" s="1"/>
  <c r="U202" i="7"/>
  <c r="R202" i="7"/>
  <c r="O202" i="7"/>
  <c r="N202" i="7"/>
  <c r="L202" i="7"/>
  <c r="H202" i="7"/>
  <c r="I202" i="7" s="1"/>
  <c r="F202" i="7"/>
  <c r="C202" i="7"/>
  <c r="AD201" i="7"/>
  <c r="AC201" i="7"/>
  <c r="AA201" i="7"/>
  <c r="X201" i="7"/>
  <c r="W201" i="7"/>
  <c r="U201" i="7"/>
  <c r="R201" i="7"/>
  <c r="O201" i="7"/>
  <c r="N201" i="7"/>
  <c r="L201" i="7"/>
  <c r="H201" i="7"/>
  <c r="I201" i="7" s="1"/>
  <c r="F201" i="7"/>
  <c r="C201" i="7"/>
  <c r="F198" i="7"/>
  <c r="E198" i="7"/>
  <c r="E345" i="7" s="1"/>
  <c r="Z197" i="7"/>
  <c r="AA197" i="7" s="1"/>
  <c r="U197" i="7"/>
  <c r="T197" i="7"/>
  <c r="Q197" i="7"/>
  <c r="R197" i="7" s="1"/>
  <c r="L197" i="7"/>
  <c r="K197" i="7"/>
  <c r="E197" i="7"/>
  <c r="F197" i="7" s="1"/>
  <c r="B197" i="7"/>
  <c r="N197" i="7" s="1"/>
  <c r="O197" i="7" s="1"/>
  <c r="AA196" i="7"/>
  <c r="Z196" i="7"/>
  <c r="T196" i="7"/>
  <c r="U196" i="7" s="1"/>
  <c r="Q196" i="7"/>
  <c r="R196" i="7" s="1"/>
  <c r="K196" i="7"/>
  <c r="L196" i="7" s="1"/>
  <c r="H196" i="7"/>
  <c r="I196" i="7" s="1"/>
  <c r="E196" i="7"/>
  <c r="F196" i="7" s="1"/>
  <c r="C196" i="7"/>
  <c r="B196" i="7"/>
  <c r="AC195" i="7"/>
  <c r="AD195" i="7" s="1"/>
  <c r="AA195" i="7"/>
  <c r="W195" i="7"/>
  <c r="X195" i="7" s="1"/>
  <c r="U195" i="7"/>
  <c r="R195" i="7"/>
  <c r="O195" i="7"/>
  <c r="N195" i="7"/>
  <c r="L195" i="7"/>
  <c r="H195" i="7"/>
  <c r="I195" i="7" s="1"/>
  <c r="F195" i="7"/>
  <c r="C195" i="7"/>
  <c r="AD194" i="7"/>
  <c r="AC194" i="7"/>
  <c r="AA194" i="7"/>
  <c r="X194" i="7"/>
  <c r="W194" i="7"/>
  <c r="U194" i="7"/>
  <c r="R194" i="7"/>
  <c r="O194" i="7"/>
  <c r="N194" i="7"/>
  <c r="L194" i="7"/>
  <c r="H194" i="7"/>
  <c r="I194" i="7" s="1"/>
  <c r="F194" i="7"/>
  <c r="C194" i="7"/>
  <c r="AA193" i="7"/>
  <c r="Z193" i="7"/>
  <c r="T193" i="7"/>
  <c r="U193" i="7" s="1"/>
  <c r="Q193" i="7"/>
  <c r="R193" i="7" s="1"/>
  <c r="K193" i="7"/>
  <c r="L193" i="7" s="1"/>
  <c r="H193" i="7"/>
  <c r="I193" i="7" s="1"/>
  <c r="E193" i="7"/>
  <c r="F193" i="7" s="1"/>
  <c r="C193" i="7"/>
  <c r="B193" i="7"/>
  <c r="AC192" i="7"/>
  <c r="AD192" i="7" s="1"/>
  <c r="AA192" i="7"/>
  <c r="W192" i="7"/>
  <c r="X192" i="7" s="1"/>
  <c r="U192" i="7"/>
  <c r="R192" i="7"/>
  <c r="O192" i="7"/>
  <c r="N192" i="7"/>
  <c r="L192" i="7"/>
  <c r="H192" i="7"/>
  <c r="I192" i="7" s="1"/>
  <c r="F192" i="7"/>
  <c r="C192" i="7"/>
  <c r="AD191" i="7"/>
  <c r="AC191" i="7"/>
  <c r="AA191" i="7"/>
  <c r="X191" i="7"/>
  <c r="W191" i="7"/>
  <c r="U191" i="7"/>
  <c r="R191" i="7"/>
  <c r="O191" i="7"/>
  <c r="N191" i="7"/>
  <c r="L191" i="7"/>
  <c r="H191" i="7"/>
  <c r="I191" i="7" s="1"/>
  <c r="F191" i="7"/>
  <c r="C191" i="7"/>
  <c r="AC190" i="7"/>
  <c r="AD190" i="7" s="1"/>
  <c r="AA190" i="7"/>
  <c r="X190" i="7"/>
  <c r="W190" i="7"/>
  <c r="U190" i="7"/>
  <c r="R190" i="7"/>
  <c r="O190" i="7"/>
  <c r="N190" i="7"/>
  <c r="L190" i="7"/>
  <c r="I190" i="7"/>
  <c r="H190" i="7"/>
  <c r="F190" i="7"/>
  <c r="C190" i="7"/>
  <c r="AC189" i="7"/>
  <c r="AD189" i="7" s="1"/>
  <c r="AA189" i="7"/>
  <c r="W189" i="7"/>
  <c r="X189" i="7" s="1"/>
  <c r="U189" i="7"/>
  <c r="R189" i="7"/>
  <c r="O189" i="7"/>
  <c r="N189" i="7"/>
  <c r="L189" i="7"/>
  <c r="I189" i="7"/>
  <c r="H189" i="7"/>
  <c r="F189" i="7"/>
  <c r="C189" i="7"/>
  <c r="AC188" i="7"/>
  <c r="AD188" i="7" s="1"/>
  <c r="AA188" i="7"/>
  <c r="W188" i="7"/>
  <c r="X188" i="7" s="1"/>
  <c r="U188" i="7"/>
  <c r="R188" i="7"/>
  <c r="O188" i="7"/>
  <c r="N188" i="7"/>
  <c r="L188" i="7"/>
  <c r="H188" i="7"/>
  <c r="I188" i="7" s="1"/>
  <c r="F188" i="7"/>
  <c r="C188" i="7"/>
  <c r="AD187" i="7"/>
  <c r="AC187" i="7"/>
  <c r="AA187" i="7"/>
  <c r="X187" i="7"/>
  <c r="W187" i="7"/>
  <c r="U187" i="7"/>
  <c r="R187" i="7"/>
  <c r="N187" i="7"/>
  <c r="O187" i="7" s="1"/>
  <c r="L187" i="7"/>
  <c r="H187" i="7"/>
  <c r="I187" i="7" s="1"/>
  <c r="F187" i="7"/>
  <c r="C187" i="7"/>
  <c r="AD186" i="7"/>
  <c r="AC186" i="7"/>
  <c r="AA186" i="7"/>
  <c r="X186" i="7"/>
  <c r="W186" i="7"/>
  <c r="U186" i="7"/>
  <c r="R186" i="7"/>
  <c r="O186" i="7"/>
  <c r="N186" i="7"/>
  <c r="L186" i="7"/>
  <c r="I186" i="7"/>
  <c r="H186" i="7"/>
  <c r="F186" i="7"/>
  <c r="C186" i="7"/>
  <c r="AC184" i="7"/>
  <c r="AD184" i="7" s="1"/>
  <c r="AA184" i="7"/>
  <c r="X184" i="7"/>
  <c r="W184" i="7"/>
  <c r="U184" i="7"/>
  <c r="R184" i="7"/>
  <c r="O184" i="7"/>
  <c r="N184" i="7"/>
  <c r="L184" i="7"/>
  <c r="I184" i="7"/>
  <c r="H184" i="7"/>
  <c r="F184" i="7"/>
  <c r="C184" i="7"/>
  <c r="AC183" i="7"/>
  <c r="AD183" i="7" s="1"/>
  <c r="AA183" i="7"/>
  <c r="W183" i="7"/>
  <c r="X183" i="7" s="1"/>
  <c r="U183" i="7"/>
  <c r="R183" i="7"/>
  <c r="O183" i="7"/>
  <c r="N183" i="7"/>
  <c r="L183" i="7"/>
  <c r="H183" i="7"/>
  <c r="I183" i="7" s="1"/>
  <c r="F183" i="7"/>
  <c r="C183" i="7"/>
  <c r="Z182" i="7"/>
  <c r="AA182" i="7" s="1"/>
  <c r="T182" i="7"/>
  <c r="W182" i="7" s="1"/>
  <c r="X182" i="7" s="1"/>
  <c r="R182" i="7"/>
  <c r="Q182" i="7"/>
  <c r="AC182" i="7" s="1"/>
  <c r="AD182" i="7" s="1"/>
  <c r="N182" i="7"/>
  <c r="O182" i="7" s="1"/>
  <c r="K182" i="7"/>
  <c r="L182" i="7" s="1"/>
  <c r="I182" i="7"/>
  <c r="H182" i="7"/>
  <c r="F182" i="7"/>
  <c r="E182" i="7"/>
  <c r="B182" i="7"/>
  <c r="C182" i="7" s="1"/>
  <c r="AC181" i="7"/>
  <c r="AD181" i="7" s="1"/>
  <c r="AA181" i="7"/>
  <c r="X181" i="7"/>
  <c r="W181" i="7"/>
  <c r="U181" i="7"/>
  <c r="R181" i="7"/>
  <c r="O181" i="7"/>
  <c r="N181" i="7"/>
  <c r="L181" i="7"/>
  <c r="I181" i="7"/>
  <c r="H181" i="7"/>
  <c r="F181" i="7"/>
  <c r="C181" i="7"/>
  <c r="AC180" i="7"/>
  <c r="AD180" i="7" s="1"/>
  <c r="AA180" i="7"/>
  <c r="W180" i="7"/>
  <c r="X180" i="7" s="1"/>
  <c r="U180" i="7"/>
  <c r="R180" i="7"/>
  <c r="O180" i="7"/>
  <c r="N180" i="7"/>
  <c r="L180" i="7"/>
  <c r="H180" i="7"/>
  <c r="I180" i="7" s="1"/>
  <c r="F180" i="7"/>
  <c r="C180" i="7"/>
  <c r="AD179" i="7"/>
  <c r="AC179" i="7"/>
  <c r="AA179" i="7"/>
  <c r="X179" i="7"/>
  <c r="W179" i="7"/>
  <c r="U179" i="7"/>
  <c r="R179" i="7"/>
  <c r="O179" i="7"/>
  <c r="N179" i="7"/>
  <c r="L179" i="7"/>
  <c r="H179" i="7"/>
  <c r="I179" i="7" s="1"/>
  <c r="F179" i="7"/>
  <c r="C179" i="7"/>
  <c r="AD178" i="7"/>
  <c r="AC178" i="7"/>
  <c r="AA178" i="7"/>
  <c r="X178" i="7"/>
  <c r="W178" i="7"/>
  <c r="U178" i="7"/>
  <c r="R178" i="7"/>
  <c r="N178" i="7"/>
  <c r="O178" i="7" s="1"/>
  <c r="L178" i="7"/>
  <c r="I178" i="7"/>
  <c r="H178" i="7"/>
  <c r="F178" i="7"/>
  <c r="C178" i="7"/>
  <c r="AC177" i="7"/>
  <c r="AD177" i="7" s="1"/>
  <c r="AA177" i="7"/>
  <c r="X177" i="7"/>
  <c r="W177" i="7"/>
  <c r="U177" i="7"/>
  <c r="R177" i="7"/>
  <c r="O177" i="7"/>
  <c r="N177" i="7"/>
  <c r="L177" i="7"/>
  <c r="H177" i="7"/>
  <c r="I177" i="7" s="1"/>
  <c r="F177" i="7"/>
  <c r="C177" i="7"/>
  <c r="AC175" i="7"/>
  <c r="AD175" i="7" s="1"/>
  <c r="AA175" i="7"/>
  <c r="X175" i="7"/>
  <c r="W175" i="7"/>
  <c r="U175" i="7"/>
  <c r="R175" i="7"/>
  <c r="O175" i="7"/>
  <c r="N175" i="7"/>
  <c r="L175" i="7"/>
  <c r="H175" i="7"/>
  <c r="I175" i="7" s="1"/>
  <c r="F175" i="7"/>
  <c r="C175" i="7"/>
  <c r="Z172" i="7"/>
  <c r="AA171" i="7"/>
  <c r="Z171" i="7"/>
  <c r="T171" i="7"/>
  <c r="U171" i="7" s="1"/>
  <c r="Q171" i="7"/>
  <c r="AC171" i="7" s="1"/>
  <c r="AD171" i="7" s="1"/>
  <c r="L171" i="7"/>
  <c r="K171" i="7"/>
  <c r="E171" i="7"/>
  <c r="F171" i="7" s="1"/>
  <c r="B171" i="7"/>
  <c r="C171" i="7" s="1"/>
  <c r="Z170" i="7"/>
  <c r="AA170" i="7" s="1"/>
  <c r="W170" i="7"/>
  <c r="X170" i="7" s="1"/>
  <c r="U170" i="7"/>
  <c r="T170" i="7"/>
  <c r="R170" i="7"/>
  <c r="Q170" i="7"/>
  <c r="N170" i="7"/>
  <c r="O170" i="7" s="1"/>
  <c r="K170" i="7"/>
  <c r="L170" i="7" s="1"/>
  <c r="I170" i="7"/>
  <c r="H170" i="7"/>
  <c r="F170" i="7"/>
  <c r="E170" i="7"/>
  <c r="B170" i="7"/>
  <c r="C170" i="7" s="1"/>
  <c r="AC169" i="7"/>
  <c r="AD169" i="7" s="1"/>
  <c r="AA169" i="7"/>
  <c r="W169" i="7"/>
  <c r="X169" i="7" s="1"/>
  <c r="U169" i="7"/>
  <c r="R169" i="7"/>
  <c r="O169" i="7"/>
  <c r="N169" i="7"/>
  <c r="L169" i="7"/>
  <c r="I169" i="7"/>
  <c r="H169" i="7"/>
  <c r="F169" i="7"/>
  <c r="C169" i="7"/>
  <c r="AC168" i="7"/>
  <c r="AD168" i="7" s="1"/>
  <c r="AA168" i="7"/>
  <c r="W168" i="7"/>
  <c r="X168" i="7" s="1"/>
  <c r="U168" i="7"/>
  <c r="R168" i="7"/>
  <c r="O168" i="7"/>
  <c r="N168" i="7"/>
  <c r="L168" i="7"/>
  <c r="H168" i="7"/>
  <c r="I168" i="7" s="1"/>
  <c r="F168" i="7"/>
  <c r="C168" i="7"/>
  <c r="AD167" i="7"/>
  <c r="AC167" i="7"/>
  <c r="AA167" i="7"/>
  <c r="X167" i="7"/>
  <c r="W167" i="7"/>
  <c r="U167" i="7"/>
  <c r="R167" i="7"/>
  <c r="N167" i="7"/>
  <c r="O167" i="7" s="1"/>
  <c r="L167" i="7"/>
  <c r="H167" i="7"/>
  <c r="I167" i="7" s="1"/>
  <c r="F167" i="7"/>
  <c r="C167" i="7"/>
  <c r="AA166" i="7"/>
  <c r="Z166" i="7"/>
  <c r="T166" i="7"/>
  <c r="U166" i="7" s="1"/>
  <c r="Q166" i="7"/>
  <c r="AC166" i="7" s="1"/>
  <c r="AD166" i="7" s="1"/>
  <c r="K166" i="7"/>
  <c r="L166" i="7" s="1"/>
  <c r="H166" i="7"/>
  <c r="I166" i="7" s="1"/>
  <c r="F166" i="7"/>
  <c r="E166" i="7"/>
  <c r="C166" i="7"/>
  <c r="B166" i="7"/>
  <c r="N166" i="7" s="1"/>
  <c r="O166" i="7" s="1"/>
  <c r="AC165" i="7"/>
  <c r="AD165" i="7" s="1"/>
  <c r="AA165" i="7"/>
  <c r="W165" i="7"/>
  <c r="X165" i="7" s="1"/>
  <c r="U165" i="7"/>
  <c r="R165" i="7"/>
  <c r="O165" i="7"/>
  <c r="N165" i="7"/>
  <c r="L165" i="7"/>
  <c r="H165" i="7"/>
  <c r="I165" i="7" s="1"/>
  <c r="F165" i="7"/>
  <c r="C165" i="7"/>
  <c r="AD164" i="7"/>
  <c r="AC164" i="7"/>
  <c r="AA164" i="7"/>
  <c r="X164" i="7"/>
  <c r="W164" i="7"/>
  <c r="U164" i="7"/>
  <c r="R164" i="7"/>
  <c r="N164" i="7"/>
  <c r="O164" i="7" s="1"/>
  <c r="L164" i="7"/>
  <c r="H164" i="7"/>
  <c r="I164" i="7" s="1"/>
  <c r="F164" i="7"/>
  <c r="C164" i="7"/>
  <c r="AD163" i="7"/>
  <c r="AC163" i="7"/>
  <c r="AA163" i="7"/>
  <c r="X163" i="7"/>
  <c r="W163" i="7"/>
  <c r="U163" i="7"/>
  <c r="R163" i="7"/>
  <c r="O163" i="7"/>
  <c r="N163" i="7"/>
  <c r="L163" i="7"/>
  <c r="I163" i="7"/>
  <c r="H163" i="7"/>
  <c r="F163" i="7"/>
  <c r="C163" i="7"/>
  <c r="AC162" i="7"/>
  <c r="AD162" i="7" s="1"/>
  <c r="AA162" i="7"/>
  <c r="X162" i="7"/>
  <c r="W162" i="7"/>
  <c r="U162" i="7"/>
  <c r="R162" i="7"/>
  <c r="O162" i="7"/>
  <c r="N162" i="7"/>
  <c r="L162" i="7"/>
  <c r="I162" i="7"/>
  <c r="H162" i="7"/>
  <c r="F162" i="7"/>
  <c r="C162" i="7"/>
  <c r="AC161" i="7"/>
  <c r="AD161" i="7" s="1"/>
  <c r="AA161" i="7"/>
  <c r="X161" i="7"/>
  <c r="W161" i="7"/>
  <c r="U161" i="7"/>
  <c r="R161" i="7"/>
  <c r="O161" i="7"/>
  <c r="N161" i="7"/>
  <c r="L161" i="7"/>
  <c r="H161" i="7"/>
  <c r="I161" i="7" s="1"/>
  <c r="F161" i="7"/>
  <c r="C161" i="7"/>
  <c r="AD160" i="7"/>
  <c r="AC160" i="7"/>
  <c r="AA160" i="7"/>
  <c r="X160" i="7"/>
  <c r="W160" i="7"/>
  <c r="U160" i="7"/>
  <c r="R160" i="7"/>
  <c r="N160" i="7"/>
  <c r="O160" i="7" s="1"/>
  <c r="L160" i="7"/>
  <c r="H160" i="7"/>
  <c r="I160" i="7" s="1"/>
  <c r="F160" i="7"/>
  <c r="C160" i="7"/>
  <c r="Z158" i="7"/>
  <c r="AA158" i="7" s="1"/>
  <c r="T158" i="7"/>
  <c r="U158" i="7" s="1"/>
  <c r="Q158" i="7"/>
  <c r="R158" i="7" s="1"/>
  <c r="N158" i="7"/>
  <c r="O158" i="7" s="1"/>
  <c r="K158" i="7"/>
  <c r="L158" i="7" s="1"/>
  <c r="I158" i="7"/>
  <c r="H158" i="7"/>
  <c r="E158" i="7"/>
  <c r="F158" i="7" s="1"/>
  <c r="C158" i="7"/>
  <c r="B158" i="7"/>
  <c r="AC157" i="7"/>
  <c r="AD157" i="7" s="1"/>
  <c r="AA157" i="7"/>
  <c r="X157" i="7"/>
  <c r="W157" i="7"/>
  <c r="U157" i="7"/>
  <c r="R157" i="7"/>
  <c r="O157" i="7"/>
  <c r="N157" i="7"/>
  <c r="L157" i="7"/>
  <c r="H157" i="7"/>
  <c r="I157" i="7" s="1"/>
  <c r="F157" i="7"/>
  <c r="C157" i="7"/>
  <c r="AC156" i="7"/>
  <c r="AD156" i="7" s="1"/>
  <c r="AA156" i="7"/>
  <c r="X156" i="7"/>
  <c r="W156" i="7"/>
  <c r="U156" i="7"/>
  <c r="R156" i="7"/>
  <c r="N156" i="7"/>
  <c r="O156" i="7" s="1"/>
  <c r="L156" i="7"/>
  <c r="H156" i="7"/>
  <c r="I156" i="7" s="1"/>
  <c r="F156" i="7"/>
  <c r="C156" i="7"/>
  <c r="AD155" i="7"/>
  <c r="AC155" i="7"/>
  <c r="AA155" i="7"/>
  <c r="X155" i="7"/>
  <c r="W155" i="7"/>
  <c r="U155" i="7"/>
  <c r="R155" i="7"/>
  <c r="N155" i="7"/>
  <c r="O155" i="7" s="1"/>
  <c r="L155" i="7"/>
  <c r="H155" i="7"/>
  <c r="I155" i="7" s="1"/>
  <c r="F155" i="7"/>
  <c r="C155" i="7"/>
  <c r="AD154" i="7"/>
  <c r="AC154" i="7"/>
  <c r="AA154" i="7"/>
  <c r="X154" i="7"/>
  <c r="W154" i="7"/>
  <c r="U154" i="7"/>
  <c r="R154" i="7"/>
  <c r="N154" i="7"/>
  <c r="O154" i="7" s="1"/>
  <c r="L154" i="7"/>
  <c r="I154" i="7"/>
  <c r="H154" i="7"/>
  <c r="F154" i="7"/>
  <c r="C154" i="7"/>
  <c r="AC153" i="7"/>
  <c r="AD153" i="7" s="1"/>
  <c r="AA153" i="7"/>
  <c r="X153" i="7"/>
  <c r="W153" i="7"/>
  <c r="U153" i="7"/>
  <c r="R153" i="7"/>
  <c r="O153" i="7"/>
  <c r="N153" i="7"/>
  <c r="L153" i="7"/>
  <c r="H153" i="7"/>
  <c r="I153" i="7" s="1"/>
  <c r="F153" i="7"/>
  <c r="C153" i="7"/>
  <c r="AD151" i="7"/>
  <c r="AC151" i="7"/>
  <c r="AA151" i="7"/>
  <c r="X151" i="7"/>
  <c r="W151" i="7"/>
  <c r="U151" i="7"/>
  <c r="R151" i="7"/>
  <c r="O151" i="7"/>
  <c r="N151" i="7"/>
  <c r="L151" i="7"/>
  <c r="H151" i="7"/>
  <c r="I151" i="7" s="1"/>
  <c r="F151" i="7"/>
  <c r="C151" i="7"/>
  <c r="AA149" i="7"/>
  <c r="Z149" i="7"/>
  <c r="T149" i="7"/>
  <c r="U149" i="7" s="1"/>
  <c r="Q149" i="7"/>
  <c r="K149" i="7"/>
  <c r="L149" i="7" s="1"/>
  <c r="F149" i="7"/>
  <c r="E149" i="7"/>
  <c r="C149" i="7"/>
  <c r="B149" i="7"/>
  <c r="H149" i="7" s="1"/>
  <c r="I149" i="7" s="1"/>
  <c r="AA148" i="7"/>
  <c r="Z148" i="7"/>
  <c r="W148" i="7"/>
  <c r="X148" i="7" s="1"/>
  <c r="T148" i="7"/>
  <c r="U148" i="7" s="1"/>
  <c r="Q148" i="7"/>
  <c r="R148" i="7" s="1"/>
  <c r="K148" i="7"/>
  <c r="L148" i="7" s="1"/>
  <c r="I148" i="7"/>
  <c r="E148" i="7"/>
  <c r="F148" i="7" s="1"/>
  <c r="C148" i="7"/>
  <c r="B148" i="7"/>
  <c r="H148" i="7" s="1"/>
  <c r="AD147" i="7"/>
  <c r="AC147" i="7"/>
  <c r="AA147" i="7"/>
  <c r="X147" i="7"/>
  <c r="W147" i="7"/>
  <c r="U147" i="7"/>
  <c r="R147" i="7"/>
  <c r="O147" i="7"/>
  <c r="N147" i="7"/>
  <c r="L147" i="7"/>
  <c r="H147" i="7"/>
  <c r="I147" i="7" s="1"/>
  <c r="F147" i="7"/>
  <c r="C147" i="7"/>
  <c r="AD146" i="7"/>
  <c r="AC146" i="7"/>
  <c r="AA146" i="7"/>
  <c r="W146" i="7"/>
  <c r="X146" i="7" s="1"/>
  <c r="U146" i="7"/>
  <c r="R146" i="7"/>
  <c r="O146" i="7"/>
  <c r="N146" i="7"/>
  <c r="L146" i="7"/>
  <c r="I146" i="7"/>
  <c r="H146" i="7"/>
  <c r="F146" i="7"/>
  <c r="C146" i="7"/>
  <c r="AC145" i="7"/>
  <c r="AD145" i="7" s="1"/>
  <c r="AA145" i="7"/>
  <c r="X145" i="7"/>
  <c r="W145" i="7"/>
  <c r="U145" i="7"/>
  <c r="R145" i="7"/>
  <c r="O145" i="7"/>
  <c r="N145" i="7"/>
  <c r="L145" i="7"/>
  <c r="I145" i="7"/>
  <c r="H145" i="7"/>
  <c r="F145" i="7"/>
  <c r="C145" i="7"/>
  <c r="AC144" i="7"/>
  <c r="AD144" i="7" s="1"/>
  <c r="AA144" i="7"/>
  <c r="W144" i="7"/>
  <c r="X144" i="7" s="1"/>
  <c r="U144" i="7"/>
  <c r="R144" i="7"/>
  <c r="O144" i="7"/>
  <c r="N144" i="7"/>
  <c r="L144" i="7"/>
  <c r="H144" i="7"/>
  <c r="I144" i="7" s="1"/>
  <c r="F144" i="7"/>
  <c r="C144" i="7"/>
  <c r="AD143" i="7"/>
  <c r="AC143" i="7"/>
  <c r="AA143" i="7"/>
  <c r="X143" i="7"/>
  <c r="W143" i="7"/>
  <c r="U143" i="7"/>
  <c r="R143" i="7"/>
  <c r="N143" i="7"/>
  <c r="O143" i="7" s="1"/>
  <c r="L143" i="7"/>
  <c r="I143" i="7"/>
  <c r="H143" i="7"/>
  <c r="F143" i="7"/>
  <c r="C143" i="7"/>
  <c r="Z141" i="7"/>
  <c r="AC141" i="7" s="1"/>
  <c r="AD141" i="7" s="1"/>
  <c r="T141" i="7"/>
  <c r="U141" i="7" s="1"/>
  <c r="R141" i="7"/>
  <c r="Q141" i="7"/>
  <c r="L141" i="7"/>
  <c r="K141" i="7"/>
  <c r="E141" i="7"/>
  <c r="F141" i="7" s="1"/>
  <c r="B141" i="7"/>
  <c r="AD140" i="7"/>
  <c r="AC140" i="7"/>
  <c r="AA140" i="7"/>
  <c r="W140" i="7"/>
  <c r="X140" i="7" s="1"/>
  <c r="U140" i="7"/>
  <c r="R140" i="7"/>
  <c r="O140" i="7"/>
  <c r="N140" i="7"/>
  <c r="L140" i="7"/>
  <c r="H140" i="7"/>
  <c r="I140" i="7" s="1"/>
  <c r="F140" i="7"/>
  <c r="C140" i="7"/>
  <c r="AD139" i="7"/>
  <c r="AC139" i="7"/>
  <c r="AA139" i="7"/>
  <c r="X139" i="7"/>
  <c r="W139" i="7"/>
  <c r="U139" i="7"/>
  <c r="R139" i="7"/>
  <c r="N139" i="7"/>
  <c r="O139" i="7" s="1"/>
  <c r="L139" i="7"/>
  <c r="H139" i="7"/>
  <c r="I139" i="7" s="1"/>
  <c r="F139" i="7"/>
  <c r="C139" i="7"/>
  <c r="AC138" i="7"/>
  <c r="AD138" i="7" s="1"/>
  <c r="AA138" i="7"/>
  <c r="W138" i="7"/>
  <c r="X138" i="7" s="1"/>
  <c r="U138" i="7"/>
  <c r="R138" i="7"/>
  <c r="O138" i="7"/>
  <c r="N138" i="7"/>
  <c r="L138" i="7"/>
  <c r="I138" i="7"/>
  <c r="H138" i="7"/>
  <c r="F138" i="7"/>
  <c r="C138" i="7"/>
  <c r="AC137" i="7"/>
  <c r="AD137" i="7" s="1"/>
  <c r="AA137" i="7"/>
  <c r="W137" i="7"/>
  <c r="X137" i="7" s="1"/>
  <c r="U137" i="7"/>
  <c r="R137" i="7"/>
  <c r="O137" i="7"/>
  <c r="N137" i="7"/>
  <c r="L137" i="7"/>
  <c r="I137" i="7"/>
  <c r="H137" i="7"/>
  <c r="F137" i="7"/>
  <c r="C137" i="7"/>
  <c r="AC136" i="7"/>
  <c r="AD136" i="7" s="1"/>
  <c r="AA136" i="7"/>
  <c r="X136" i="7"/>
  <c r="W136" i="7"/>
  <c r="U136" i="7"/>
  <c r="R136" i="7"/>
  <c r="O136" i="7"/>
  <c r="N136" i="7"/>
  <c r="L136" i="7"/>
  <c r="H136" i="7"/>
  <c r="I136" i="7" s="1"/>
  <c r="F136" i="7"/>
  <c r="C136" i="7"/>
  <c r="AC135" i="7"/>
  <c r="AD135" i="7" s="1"/>
  <c r="AA135" i="7"/>
  <c r="X135" i="7"/>
  <c r="W135" i="7"/>
  <c r="U135" i="7"/>
  <c r="R135" i="7"/>
  <c r="O135" i="7"/>
  <c r="N135" i="7"/>
  <c r="L135" i="7"/>
  <c r="I135" i="7"/>
  <c r="H135" i="7"/>
  <c r="F135" i="7"/>
  <c r="C135" i="7"/>
  <c r="AD134" i="7"/>
  <c r="AC134" i="7"/>
  <c r="AA134" i="7"/>
  <c r="W134" i="7"/>
  <c r="X134" i="7" s="1"/>
  <c r="U134" i="7"/>
  <c r="R134" i="7"/>
  <c r="O134" i="7"/>
  <c r="N134" i="7"/>
  <c r="L134" i="7"/>
  <c r="H134" i="7"/>
  <c r="I134" i="7" s="1"/>
  <c r="F134" i="7"/>
  <c r="C134" i="7"/>
  <c r="AC133" i="7"/>
  <c r="AD133" i="7" s="1"/>
  <c r="AA133" i="7"/>
  <c r="X133" i="7"/>
  <c r="W133" i="7"/>
  <c r="U133" i="7"/>
  <c r="R133" i="7"/>
  <c r="O133" i="7"/>
  <c r="N133" i="7"/>
  <c r="L133" i="7"/>
  <c r="H133" i="7"/>
  <c r="I133" i="7" s="1"/>
  <c r="F133" i="7"/>
  <c r="C133" i="7"/>
  <c r="AC132" i="7"/>
  <c r="AD132" i="7" s="1"/>
  <c r="AA132" i="7"/>
  <c r="W132" i="7"/>
  <c r="X132" i="7" s="1"/>
  <c r="U132" i="7"/>
  <c r="R132" i="7"/>
  <c r="N132" i="7"/>
  <c r="O132" i="7" s="1"/>
  <c r="L132" i="7"/>
  <c r="H132" i="7"/>
  <c r="I132" i="7" s="1"/>
  <c r="F132" i="7"/>
  <c r="C132" i="7"/>
  <c r="AD131" i="7"/>
  <c r="AC131" i="7"/>
  <c r="AA131" i="7"/>
  <c r="X131" i="7"/>
  <c r="W131" i="7"/>
  <c r="U131" i="7"/>
  <c r="R131" i="7"/>
  <c r="N131" i="7"/>
  <c r="O131" i="7" s="1"/>
  <c r="L131" i="7"/>
  <c r="H131" i="7"/>
  <c r="I131" i="7" s="1"/>
  <c r="F131" i="7"/>
  <c r="C131" i="7"/>
  <c r="AD130" i="7"/>
  <c r="AC130" i="7"/>
  <c r="AA130" i="7"/>
  <c r="X130" i="7"/>
  <c r="W130" i="7"/>
  <c r="U130" i="7"/>
  <c r="R130" i="7"/>
  <c r="N130" i="7"/>
  <c r="O130" i="7" s="1"/>
  <c r="L130" i="7"/>
  <c r="I130" i="7"/>
  <c r="H130" i="7"/>
  <c r="F130" i="7"/>
  <c r="C130" i="7"/>
  <c r="AC129" i="7"/>
  <c r="AD129" i="7" s="1"/>
  <c r="AA129" i="7"/>
  <c r="W129" i="7"/>
  <c r="X129" i="7" s="1"/>
  <c r="U129" i="7"/>
  <c r="R129" i="7"/>
  <c r="O129" i="7"/>
  <c r="N129" i="7"/>
  <c r="L129" i="7"/>
  <c r="H129" i="7"/>
  <c r="I129" i="7" s="1"/>
  <c r="F129" i="7"/>
  <c r="C129" i="7"/>
  <c r="AD127" i="7"/>
  <c r="AC127" i="7"/>
  <c r="AA127" i="7"/>
  <c r="X127" i="7"/>
  <c r="W127" i="7"/>
  <c r="U127" i="7"/>
  <c r="R127" i="7"/>
  <c r="O127" i="7"/>
  <c r="N127" i="7"/>
  <c r="L127" i="7"/>
  <c r="H127" i="7"/>
  <c r="I127" i="7" s="1"/>
  <c r="F127" i="7"/>
  <c r="C127" i="7"/>
  <c r="AA124" i="7"/>
  <c r="Z124" i="7"/>
  <c r="T124" i="7"/>
  <c r="Q124" i="7"/>
  <c r="K124" i="7"/>
  <c r="L124" i="7" s="1"/>
  <c r="F124" i="7"/>
  <c r="E124" i="7"/>
  <c r="E172" i="7" s="1"/>
  <c r="F172" i="7" s="1"/>
  <c r="B124" i="7"/>
  <c r="N124" i="7" s="1"/>
  <c r="O124" i="7" s="1"/>
  <c r="AC123" i="7"/>
  <c r="AD123" i="7" s="1"/>
  <c r="AA123" i="7"/>
  <c r="W123" i="7"/>
  <c r="X123" i="7" s="1"/>
  <c r="U123" i="7"/>
  <c r="R123" i="7"/>
  <c r="O123" i="7"/>
  <c r="N123" i="7"/>
  <c r="L123" i="7"/>
  <c r="I123" i="7"/>
  <c r="H123" i="7"/>
  <c r="F123" i="7"/>
  <c r="C123" i="7"/>
  <c r="AA122" i="7"/>
  <c r="Z122" i="7"/>
  <c r="T122" i="7"/>
  <c r="U122" i="7" s="1"/>
  <c r="Q122" i="7"/>
  <c r="L122" i="7"/>
  <c r="K122" i="7"/>
  <c r="E122" i="7"/>
  <c r="F122" i="7" s="1"/>
  <c r="B122" i="7"/>
  <c r="H122" i="7" s="1"/>
  <c r="I122" i="7" s="1"/>
  <c r="AD121" i="7"/>
  <c r="AC121" i="7"/>
  <c r="AA121" i="7"/>
  <c r="X121" i="7"/>
  <c r="W121" i="7"/>
  <c r="U121" i="7"/>
  <c r="R121" i="7"/>
  <c r="O121" i="7"/>
  <c r="N121" i="7"/>
  <c r="L121" i="7"/>
  <c r="H121" i="7"/>
  <c r="I121" i="7" s="1"/>
  <c r="F121" i="7"/>
  <c r="C121" i="7"/>
  <c r="AC120" i="7"/>
  <c r="AD120" i="7" s="1"/>
  <c r="AA120" i="7"/>
  <c r="W120" i="7"/>
  <c r="X120" i="7" s="1"/>
  <c r="U120" i="7"/>
  <c r="R120" i="7"/>
  <c r="N120" i="7"/>
  <c r="O120" i="7" s="1"/>
  <c r="L120" i="7"/>
  <c r="I120" i="7"/>
  <c r="H120" i="7"/>
  <c r="F120" i="7"/>
  <c r="C120" i="7"/>
  <c r="AC119" i="7"/>
  <c r="AD119" i="7" s="1"/>
  <c r="AA119" i="7"/>
  <c r="X119" i="7"/>
  <c r="W119" i="7"/>
  <c r="U119" i="7"/>
  <c r="R119" i="7"/>
  <c r="O119" i="7"/>
  <c r="N119" i="7"/>
  <c r="L119" i="7"/>
  <c r="H119" i="7"/>
  <c r="I119" i="7" s="1"/>
  <c r="F119" i="7"/>
  <c r="C119" i="7"/>
  <c r="AC118" i="7"/>
  <c r="AD118" i="7" s="1"/>
  <c r="Z118" i="7"/>
  <c r="AA118" i="7" s="1"/>
  <c r="X118" i="7"/>
  <c r="W118" i="7"/>
  <c r="U118" i="7"/>
  <c r="T118" i="7"/>
  <c r="Q118" i="7"/>
  <c r="R118" i="7" s="1"/>
  <c r="L118" i="7"/>
  <c r="K118" i="7"/>
  <c r="N118" i="7" s="1"/>
  <c r="O118" i="7" s="1"/>
  <c r="E118" i="7"/>
  <c r="F118" i="7" s="1"/>
  <c r="B118" i="7"/>
  <c r="AC117" i="7"/>
  <c r="AD117" i="7" s="1"/>
  <c r="AA117" i="7"/>
  <c r="W117" i="7"/>
  <c r="X117" i="7" s="1"/>
  <c r="U117" i="7"/>
  <c r="R117" i="7"/>
  <c r="O117" i="7"/>
  <c r="N117" i="7"/>
  <c r="L117" i="7"/>
  <c r="I117" i="7"/>
  <c r="H117" i="7"/>
  <c r="F117" i="7"/>
  <c r="C117" i="7"/>
  <c r="AC116" i="7"/>
  <c r="AD116" i="7" s="1"/>
  <c r="AA116" i="7"/>
  <c r="X116" i="7"/>
  <c r="W116" i="7"/>
  <c r="U116" i="7"/>
  <c r="R116" i="7"/>
  <c r="O116" i="7"/>
  <c r="N116" i="7"/>
  <c r="L116" i="7"/>
  <c r="I116" i="7"/>
  <c r="H116" i="7"/>
  <c r="F116" i="7"/>
  <c r="C116" i="7"/>
  <c r="AC115" i="7"/>
  <c r="AD115" i="7" s="1"/>
  <c r="AA115" i="7"/>
  <c r="X115" i="7"/>
  <c r="W115" i="7"/>
  <c r="U115" i="7"/>
  <c r="R115" i="7"/>
  <c r="N115" i="7"/>
  <c r="O115" i="7" s="1"/>
  <c r="L115" i="7"/>
  <c r="H115" i="7"/>
  <c r="I115" i="7" s="1"/>
  <c r="F115" i="7"/>
  <c r="C115" i="7"/>
  <c r="AD114" i="7"/>
  <c r="AC114" i="7"/>
  <c r="AA114" i="7"/>
  <c r="X114" i="7"/>
  <c r="W114" i="7"/>
  <c r="U114" i="7"/>
  <c r="R114" i="7"/>
  <c r="O114" i="7"/>
  <c r="N114" i="7"/>
  <c r="L114" i="7"/>
  <c r="H114" i="7"/>
  <c r="I114" i="7" s="1"/>
  <c r="F114" i="7"/>
  <c r="C114" i="7"/>
  <c r="AC113" i="7"/>
  <c r="AD113" i="7" s="1"/>
  <c r="AA113" i="7"/>
  <c r="W113" i="7"/>
  <c r="X113" i="7" s="1"/>
  <c r="U113" i="7"/>
  <c r="R113" i="7"/>
  <c r="N113" i="7"/>
  <c r="O113" i="7" s="1"/>
  <c r="L113" i="7"/>
  <c r="I113" i="7"/>
  <c r="H113" i="7"/>
  <c r="F113" i="7"/>
  <c r="C113" i="7"/>
  <c r="AC112" i="7"/>
  <c r="AD112" i="7" s="1"/>
  <c r="AA112" i="7"/>
  <c r="X112" i="7"/>
  <c r="W112" i="7"/>
  <c r="U112" i="7"/>
  <c r="R112" i="7"/>
  <c r="O112" i="7"/>
  <c r="N112" i="7"/>
  <c r="L112" i="7"/>
  <c r="H112" i="7"/>
  <c r="I112" i="7" s="1"/>
  <c r="F112" i="7"/>
  <c r="C112" i="7"/>
  <c r="AC111" i="7"/>
  <c r="AD111" i="7" s="1"/>
  <c r="AA111" i="7"/>
  <c r="X111" i="7"/>
  <c r="W111" i="7"/>
  <c r="U111" i="7"/>
  <c r="R111" i="7"/>
  <c r="N111" i="7"/>
  <c r="O111" i="7" s="1"/>
  <c r="L111" i="7"/>
  <c r="H111" i="7"/>
  <c r="I111" i="7" s="1"/>
  <c r="F111" i="7"/>
  <c r="C111" i="7"/>
  <c r="AD110" i="7"/>
  <c r="AC110" i="7"/>
  <c r="AA110" i="7"/>
  <c r="X110" i="7"/>
  <c r="W110" i="7"/>
  <c r="U110" i="7"/>
  <c r="R110" i="7"/>
  <c r="O110" i="7"/>
  <c r="N110" i="7"/>
  <c r="L110" i="7"/>
  <c r="H110" i="7"/>
  <c r="I110" i="7" s="1"/>
  <c r="F110" i="7"/>
  <c r="C110" i="7"/>
  <c r="AD109" i="7"/>
  <c r="AC109" i="7"/>
  <c r="AA109" i="7"/>
  <c r="W109" i="7"/>
  <c r="X109" i="7" s="1"/>
  <c r="U109" i="7"/>
  <c r="R109" i="7"/>
  <c r="N109" i="7"/>
  <c r="O109" i="7" s="1"/>
  <c r="L109" i="7"/>
  <c r="I109" i="7"/>
  <c r="H109" i="7"/>
  <c r="F109" i="7"/>
  <c r="C109" i="7"/>
  <c r="AC108" i="7"/>
  <c r="AD108" i="7" s="1"/>
  <c r="AA108" i="7"/>
  <c r="X108" i="7"/>
  <c r="W108" i="7"/>
  <c r="U108" i="7"/>
  <c r="R108" i="7"/>
  <c r="O108" i="7"/>
  <c r="N108" i="7"/>
  <c r="L108" i="7"/>
  <c r="H108" i="7"/>
  <c r="I108" i="7" s="1"/>
  <c r="F108" i="7"/>
  <c r="C108" i="7"/>
  <c r="AC107" i="7"/>
  <c r="AD107" i="7" s="1"/>
  <c r="AA107" i="7"/>
  <c r="W107" i="7"/>
  <c r="X107" i="7" s="1"/>
  <c r="U107" i="7"/>
  <c r="R107" i="7"/>
  <c r="N107" i="7"/>
  <c r="O107" i="7" s="1"/>
  <c r="L107" i="7"/>
  <c r="H107" i="7"/>
  <c r="I107" i="7" s="1"/>
  <c r="F107" i="7"/>
  <c r="C107" i="7"/>
  <c r="AD106" i="7"/>
  <c r="AC106" i="7"/>
  <c r="AA106" i="7"/>
  <c r="X106" i="7"/>
  <c r="W106" i="7"/>
  <c r="U106" i="7"/>
  <c r="R106" i="7"/>
  <c r="O106" i="7"/>
  <c r="N106" i="7"/>
  <c r="L106" i="7"/>
  <c r="H106" i="7"/>
  <c r="I106" i="7" s="1"/>
  <c r="F106" i="7"/>
  <c r="C106" i="7"/>
  <c r="AD105" i="7"/>
  <c r="AC105" i="7"/>
  <c r="AA105" i="7"/>
  <c r="W105" i="7"/>
  <c r="X105" i="7" s="1"/>
  <c r="U105" i="7"/>
  <c r="R105" i="7"/>
  <c r="O105" i="7"/>
  <c r="N105" i="7"/>
  <c r="L105" i="7"/>
  <c r="I105" i="7"/>
  <c r="H105" i="7"/>
  <c r="F105" i="7"/>
  <c r="C105" i="7"/>
  <c r="AC104" i="7"/>
  <c r="AD104" i="7" s="1"/>
  <c r="AA104" i="7"/>
  <c r="X104" i="7"/>
  <c r="W104" i="7"/>
  <c r="U104" i="7"/>
  <c r="R104" i="7"/>
  <c r="O104" i="7"/>
  <c r="N104" i="7"/>
  <c r="L104" i="7"/>
  <c r="I104" i="7"/>
  <c r="H104" i="7"/>
  <c r="F104" i="7"/>
  <c r="C104" i="7"/>
  <c r="AC103" i="7"/>
  <c r="AD103" i="7" s="1"/>
  <c r="AA103" i="7"/>
  <c r="W103" i="7"/>
  <c r="X103" i="7" s="1"/>
  <c r="U103" i="7"/>
  <c r="R103" i="7"/>
  <c r="N103" i="7"/>
  <c r="O103" i="7" s="1"/>
  <c r="L103" i="7"/>
  <c r="H103" i="7"/>
  <c r="I103" i="7" s="1"/>
  <c r="F103" i="7"/>
  <c r="C103" i="7"/>
  <c r="AD102" i="7"/>
  <c r="AC102" i="7"/>
  <c r="AA102" i="7"/>
  <c r="X102" i="7"/>
  <c r="W102" i="7"/>
  <c r="U102" i="7"/>
  <c r="R102" i="7"/>
  <c r="O102" i="7"/>
  <c r="N102" i="7"/>
  <c r="L102" i="7"/>
  <c r="H102" i="7"/>
  <c r="I102" i="7" s="1"/>
  <c r="F102" i="7"/>
  <c r="C102" i="7"/>
  <c r="AC101" i="7"/>
  <c r="AD101" i="7" s="1"/>
  <c r="AA101" i="7"/>
  <c r="W101" i="7"/>
  <c r="X101" i="7" s="1"/>
  <c r="U101" i="7"/>
  <c r="R101" i="7"/>
  <c r="O101" i="7"/>
  <c r="N101" i="7"/>
  <c r="L101" i="7"/>
  <c r="I101" i="7"/>
  <c r="H101" i="7"/>
  <c r="F101" i="7"/>
  <c r="C101" i="7"/>
  <c r="AC100" i="7"/>
  <c r="AD100" i="7" s="1"/>
  <c r="AA100" i="7"/>
  <c r="X100" i="7"/>
  <c r="W100" i="7"/>
  <c r="U100" i="7"/>
  <c r="R100" i="7"/>
  <c r="O100" i="7"/>
  <c r="N100" i="7"/>
  <c r="L100" i="7"/>
  <c r="I100" i="7"/>
  <c r="H100" i="7"/>
  <c r="F100" i="7"/>
  <c r="C100" i="7"/>
  <c r="AC99" i="7"/>
  <c r="AD99" i="7" s="1"/>
  <c r="AA99" i="7"/>
  <c r="X99" i="7"/>
  <c r="W99" i="7"/>
  <c r="U99" i="7"/>
  <c r="R99" i="7"/>
  <c r="N99" i="7"/>
  <c r="O99" i="7" s="1"/>
  <c r="L99" i="7"/>
  <c r="H99" i="7"/>
  <c r="I99" i="7" s="1"/>
  <c r="F99" i="7"/>
  <c r="C99" i="7"/>
  <c r="AD98" i="7"/>
  <c r="AC98" i="7"/>
  <c r="AA98" i="7"/>
  <c r="X98" i="7"/>
  <c r="W98" i="7"/>
  <c r="U98" i="7"/>
  <c r="R98" i="7"/>
  <c r="O98" i="7"/>
  <c r="N98" i="7"/>
  <c r="L98" i="7"/>
  <c r="H98" i="7"/>
  <c r="I98" i="7" s="1"/>
  <c r="F98" i="7"/>
  <c r="C98" i="7"/>
  <c r="AC97" i="7"/>
  <c r="AD97" i="7" s="1"/>
  <c r="AA97" i="7"/>
  <c r="W97" i="7"/>
  <c r="X97" i="7" s="1"/>
  <c r="U97" i="7"/>
  <c r="R97" i="7"/>
  <c r="N97" i="7"/>
  <c r="O97" i="7" s="1"/>
  <c r="L97" i="7"/>
  <c r="I97" i="7"/>
  <c r="H97" i="7"/>
  <c r="F97" i="7"/>
  <c r="C97" i="7"/>
  <c r="AC96" i="7"/>
  <c r="AD96" i="7" s="1"/>
  <c r="AA96" i="7"/>
  <c r="X96" i="7"/>
  <c r="W96" i="7"/>
  <c r="U96" i="7"/>
  <c r="R96" i="7"/>
  <c r="O96" i="7"/>
  <c r="N96" i="7"/>
  <c r="L96" i="7"/>
  <c r="H96" i="7"/>
  <c r="I96" i="7" s="1"/>
  <c r="F96" i="7"/>
  <c r="C96" i="7"/>
  <c r="AC95" i="7"/>
  <c r="AD95" i="7" s="1"/>
  <c r="AA95" i="7"/>
  <c r="X95" i="7"/>
  <c r="W95" i="7"/>
  <c r="U95" i="7"/>
  <c r="R95" i="7"/>
  <c r="N95" i="7"/>
  <c r="O95" i="7" s="1"/>
  <c r="L95" i="7"/>
  <c r="H95" i="7"/>
  <c r="I95" i="7" s="1"/>
  <c r="F95" i="7"/>
  <c r="C95" i="7"/>
  <c r="AD94" i="7"/>
  <c r="AC94" i="7"/>
  <c r="AA94" i="7"/>
  <c r="X94" i="7"/>
  <c r="W94" i="7"/>
  <c r="U94" i="7"/>
  <c r="R94" i="7"/>
  <c r="O94" i="7"/>
  <c r="N94" i="7"/>
  <c r="L94" i="7"/>
  <c r="H94" i="7"/>
  <c r="I94" i="7" s="1"/>
  <c r="F94" i="7"/>
  <c r="C94" i="7"/>
  <c r="AD92" i="7"/>
  <c r="AC92" i="7"/>
  <c r="AA92" i="7"/>
  <c r="W92" i="7"/>
  <c r="X92" i="7" s="1"/>
  <c r="U92" i="7"/>
  <c r="R92" i="7"/>
  <c r="N92" i="7"/>
  <c r="O92" i="7" s="1"/>
  <c r="L92" i="7"/>
  <c r="I92" i="7"/>
  <c r="H92" i="7"/>
  <c r="F92" i="7"/>
  <c r="C92" i="7"/>
  <c r="AC91" i="7"/>
  <c r="AD91" i="7" s="1"/>
  <c r="AA91" i="7"/>
  <c r="X91" i="7"/>
  <c r="W91" i="7"/>
  <c r="U91" i="7"/>
  <c r="R91" i="7"/>
  <c r="O91" i="7"/>
  <c r="N91" i="7"/>
  <c r="L91" i="7"/>
  <c r="H91" i="7"/>
  <c r="I91" i="7" s="1"/>
  <c r="F91" i="7"/>
  <c r="C91" i="7"/>
  <c r="AC90" i="7"/>
  <c r="AD90" i="7" s="1"/>
  <c r="AA90" i="7"/>
  <c r="W90" i="7"/>
  <c r="X90" i="7" s="1"/>
  <c r="U90" i="7"/>
  <c r="R90" i="7"/>
  <c r="N90" i="7"/>
  <c r="O90" i="7" s="1"/>
  <c r="L90" i="7"/>
  <c r="H90" i="7"/>
  <c r="I90" i="7" s="1"/>
  <c r="F90" i="7"/>
  <c r="C90" i="7"/>
  <c r="AD89" i="7"/>
  <c r="AC89" i="7"/>
  <c r="AA89" i="7"/>
  <c r="X89" i="7"/>
  <c r="W89" i="7"/>
  <c r="U89" i="7"/>
  <c r="R89" i="7"/>
  <c r="O89" i="7"/>
  <c r="N89" i="7"/>
  <c r="L89" i="7"/>
  <c r="H89" i="7"/>
  <c r="I89" i="7" s="1"/>
  <c r="F89" i="7"/>
  <c r="C89" i="7"/>
  <c r="AA88" i="7"/>
  <c r="Z88" i="7"/>
  <c r="T88" i="7"/>
  <c r="U88" i="7" s="1"/>
  <c r="R88" i="7"/>
  <c r="Q88" i="7"/>
  <c r="W88" i="7" s="1"/>
  <c r="X88" i="7" s="1"/>
  <c r="K88" i="7"/>
  <c r="L88" i="7" s="1"/>
  <c r="H88" i="7"/>
  <c r="I88" i="7" s="1"/>
  <c r="E88" i="7"/>
  <c r="F88" i="7" s="1"/>
  <c r="C88" i="7"/>
  <c r="B88" i="7"/>
  <c r="AC87" i="7"/>
  <c r="AD87" i="7" s="1"/>
  <c r="AA87" i="7"/>
  <c r="X87" i="7"/>
  <c r="W87" i="7"/>
  <c r="U87" i="7"/>
  <c r="R87" i="7"/>
  <c r="N87" i="7"/>
  <c r="O87" i="7" s="1"/>
  <c r="L87" i="7"/>
  <c r="H87" i="7"/>
  <c r="I87" i="7" s="1"/>
  <c r="F87" i="7"/>
  <c r="C87" i="7"/>
  <c r="AD86" i="7"/>
  <c r="AC86" i="7"/>
  <c r="AA86" i="7"/>
  <c r="X86" i="7"/>
  <c r="W86" i="7"/>
  <c r="U86" i="7"/>
  <c r="R86" i="7"/>
  <c r="O86" i="7"/>
  <c r="N86" i="7"/>
  <c r="L86" i="7"/>
  <c r="H86" i="7"/>
  <c r="I86" i="7" s="1"/>
  <c r="F86" i="7"/>
  <c r="C86" i="7"/>
  <c r="AD85" i="7"/>
  <c r="AC85" i="7"/>
  <c r="AA85" i="7"/>
  <c r="W85" i="7"/>
  <c r="X85" i="7" s="1"/>
  <c r="U85" i="7"/>
  <c r="R85" i="7"/>
  <c r="N85" i="7"/>
  <c r="O85" i="7" s="1"/>
  <c r="L85" i="7"/>
  <c r="I85" i="7"/>
  <c r="H85" i="7"/>
  <c r="F85" i="7"/>
  <c r="C85" i="7"/>
  <c r="AC84" i="7"/>
  <c r="AD84" i="7" s="1"/>
  <c r="AA84" i="7"/>
  <c r="W84" i="7"/>
  <c r="X84" i="7" s="1"/>
  <c r="U84" i="7"/>
  <c r="R84" i="7"/>
  <c r="O84" i="7"/>
  <c r="N84" i="7"/>
  <c r="L84" i="7"/>
  <c r="H84" i="7"/>
  <c r="I84" i="7" s="1"/>
  <c r="F84" i="7"/>
  <c r="C84" i="7"/>
  <c r="AC83" i="7"/>
  <c r="AD83" i="7" s="1"/>
  <c r="AA83" i="7"/>
  <c r="W83" i="7"/>
  <c r="X83" i="7" s="1"/>
  <c r="U83" i="7"/>
  <c r="R83" i="7"/>
  <c r="N83" i="7"/>
  <c r="O83" i="7" s="1"/>
  <c r="L83" i="7"/>
  <c r="H83" i="7"/>
  <c r="I83" i="7" s="1"/>
  <c r="F83" i="7"/>
  <c r="C83" i="7"/>
  <c r="AD82" i="7"/>
  <c r="AC82" i="7"/>
  <c r="AA82" i="7"/>
  <c r="X82" i="7"/>
  <c r="W82" i="7"/>
  <c r="U82" i="7"/>
  <c r="R82" i="7"/>
  <c r="N82" i="7"/>
  <c r="O82" i="7" s="1"/>
  <c r="L82" i="7"/>
  <c r="H82" i="7"/>
  <c r="I82" i="7" s="1"/>
  <c r="F82" i="7"/>
  <c r="C82" i="7"/>
  <c r="AD81" i="7"/>
  <c r="AC81" i="7"/>
  <c r="AA81" i="7"/>
  <c r="W81" i="7"/>
  <c r="X81" i="7" s="1"/>
  <c r="U81" i="7"/>
  <c r="R81" i="7"/>
  <c r="O81" i="7"/>
  <c r="N81" i="7"/>
  <c r="L81" i="7"/>
  <c r="I81" i="7"/>
  <c r="H81" i="7"/>
  <c r="F81" i="7"/>
  <c r="C81" i="7"/>
  <c r="AC80" i="7"/>
  <c r="AD80" i="7" s="1"/>
  <c r="AA80" i="7"/>
  <c r="W80" i="7"/>
  <c r="X80" i="7" s="1"/>
  <c r="U80" i="7"/>
  <c r="R80" i="7"/>
  <c r="O80" i="7"/>
  <c r="N80" i="7"/>
  <c r="L80" i="7"/>
  <c r="I80" i="7"/>
  <c r="H80" i="7"/>
  <c r="F80" i="7"/>
  <c r="C80" i="7"/>
  <c r="AC79" i="7"/>
  <c r="AD79" i="7" s="1"/>
  <c r="AA79" i="7"/>
  <c r="W79" i="7"/>
  <c r="X79" i="7" s="1"/>
  <c r="U79" i="7"/>
  <c r="R79" i="7"/>
  <c r="N79" i="7"/>
  <c r="O79" i="7" s="1"/>
  <c r="L79" i="7"/>
  <c r="H79" i="7"/>
  <c r="I79" i="7" s="1"/>
  <c r="F79" i="7"/>
  <c r="C79" i="7"/>
  <c r="AD78" i="7"/>
  <c r="AC78" i="7"/>
  <c r="AA78" i="7"/>
  <c r="X78" i="7"/>
  <c r="W78" i="7"/>
  <c r="U78" i="7"/>
  <c r="R78" i="7"/>
  <c r="N78" i="7"/>
  <c r="O78" i="7" s="1"/>
  <c r="L78" i="7"/>
  <c r="H78" i="7"/>
  <c r="I78" i="7" s="1"/>
  <c r="F78" i="7"/>
  <c r="C78" i="7"/>
  <c r="AC77" i="7"/>
  <c r="AD77" i="7" s="1"/>
  <c r="AA77" i="7"/>
  <c r="W77" i="7"/>
  <c r="X77" i="7" s="1"/>
  <c r="U77" i="7"/>
  <c r="R77" i="7"/>
  <c r="O77" i="7"/>
  <c r="N77" i="7"/>
  <c r="L77" i="7"/>
  <c r="I77" i="7"/>
  <c r="H77" i="7"/>
  <c r="F77" i="7"/>
  <c r="C77" i="7"/>
  <c r="AC76" i="7"/>
  <c r="AD76" i="7" s="1"/>
  <c r="AA76" i="7"/>
  <c r="X76" i="7"/>
  <c r="W76" i="7"/>
  <c r="U76" i="7"/>
  <c r="R76" i="7"/>
  <c r="O76" i="7"/>
  <c r="N76" i="7"/>
  <c r="L76" i="7"/>
  <c r="I76" i="7"/>
  <c r="H76" i="7"/>
  <c r="F76" i="7"/>
  <c r="C76" i="7"/>
  <c r="AC75" i="7"/>
  <c r="AD75" i="7" s="1"/>
  <c r="AA75" i="7"/>
  <c r="X75" i="7"/>
  <c r="W75" i="7"/>
  <c r="U75" i="7"/>
  <c r="R75" i="7"/>
  <c r="N75" i="7"/>
  <c r="O75" i="7" s="1"/>
  <c r="L75" i="7"/>
  <c r="H75" i="7"/>
  <c r="I75" i="7" s="1"/>
  <c r="F75" i="7"/>
  <c r="C75" i="7"/>
  <c r="Z73" i="7"/>
  <c r="AA73" i="7" s="1"/>
  <c r="W73" i="7"/>
  <c r="X73" i="7" s="1"/>
  <c r="T73" i="7"/>
  <c r="U73" i="7" s="1"/>
  <c r="R73" i="7"/>
  <c r="Q73" i="7"/>
  <c r="N73" i="7"/>
  <c r="O73" i="7" s="1"/>
  <c r="K73" i="7"/>
  <c r="L73" i="7" s="1"/>
  <c r="I73" i="7"/>
  <c r="H73" i="7"/>
  <c r="F73" i="7"/>
  <c r="E73" i="7"/>
  <c r="B73" i="7"/>
  <c r="C73" i="7" s="1"/>
  <c r="AC72" i="7"/>
  <c r="AD72" i="7" s="1"/>
  <c r="AA72" i="7"/>
  <c r="W72" i="7"/>
  <c r="X72" i="7" s="1"/>
  <c r="U72" i="7"/>
  <c r="R72" i="7"/>
  <c r="O72" i="7"/>
  <c r="N72" i="7"/>
  <c r="L72" i="7"/>
  <c r="I72" i="7"/>
  <c r="H72" i="7"/>
  <c r="F72" i="7"/>
  <c r="C72" i="7"/>
  <c r="AC71" i="7"/>
  <c r="AD71" i="7" s="1"/>
  <c r="AA71" i="7"/>
  <c r="W71" i="7"/>
  <c r="X71" i="7" s="1"/>
  <c r="U71" i="7"/>
  <c r="R71" i="7"/>
  <c r="N71" i="7"/>
  <c r="O71" i="7" s="1"/>
  <c r="L71" i="7"/>
  <c r="H71" i="7"/>
  <c r="I71" i="7" s="1"/>
  <c r="F71" i="7"/>
  <c r="C71" i="7"/>
  <c r="AD70" i="7"/>
  <c r="AC70" i="7"/>
  <c r="AA70" i="7"/>
  <c r="X70" i="7"/>
  <c r="W70" i="7"/>
  <c r="U70" i="7"/>
  <c r="R70" i="7"/>
  <c r="N70" i="7"/>
  <c r="O70" i="7" s="1"/>
  <c r="L70" i="7"/>
  <c r="H70" i="7"/>
  <c r="I70" i="7" s="1"/>
  <c r="F70" i="7"/>
  <c r="C70" i="7"/>
  <c r="AC69" i="7"/>
  <c r="AD69" i="7" s="1"/>
  <c r="AA69" i="7"/>
  <c r="W69" i="7"/>
  <c r="X69" i="7" s="1"/>
  <c r="U69" i="7"/>
  <c r="R69" i="7"/>
  <c r="O69" i="7"/>
  <c r="N69" i="7"/>
  <c r="L69" i="7"/>
  <c r="I69" i="7"/>
  <c r="H69" i="7"/>
  <c r="F69" i="7"/>
  <c r="C69" i="7"/>
  <c r="AC68" i="7"/>
  <c r="AD68" i="7" s="1"/>
  <c r="AA68" i="7"/>
  <c r="X68" i="7"/>
  <c r="W68" i="7"/>
  <c r="U68" i="7"/>
  <c r="R68" i="7"/>
  <c r="O68" i="7"/>
  <c r="N68" i="7"/>
  <c r="L68" i="7"/>
  <c r="I68" i="7"/>
  <c r="H68" i="7"/>
  <c r="F68" i="7"/>
  <c r="C68" i="7"/>
  <c r="AC67" i="7"/>
  <c r="AD67" i="7" s="1"/>
  <c r="AA67" i="7"/>
  <c r="X67" i="7"/>
  <c r="W67" i="7"/>
  <c r="U67" i="7"/>
  <c r="R67" i="7"/>
  <c r="N67" i="7"/>
  <c r="O67" i="7" s="1"/>
  <c r="L67" i="7"/>
  <c r="H67" i="7"/>
  <c r="I67" i="7" s="1"/>
  <c r="F67" i="7"/>
  <c r="C67" i="7"/>
  <c r="AD66" i="7"/>
  <c r="AC66" i="7"/>
  <c r="AA66" i="7"/>
  <c r="X66" i="7"/>
  <c r="W66" i="7"/>
  <c r="U66" i="7"/>
  <c r="R66" i="7"/>
  <c r="O66" i="7"/>
  <c r="N66" i="7"/>
  <c r="L66" i="7"/>
  <c r="H66" i="7"/>
  <c r="I66" i="7" s="1"/>
  <c r="F66" i="7"/>
  <c r="C66" i="7"/>
  <c r="AC65" i="7"/>
  <c r="AD65" i="7" s="1"/>
  <c r="AA65" i="7"/>
  <c r="W65" i="7"/>
  <c r="X65" i="7" s="1"/>
  <c r="U65" i="7"/>
  <c r="R65" i="7"/>
  <c r="N65" i="7"/>
  <c r="O65" i="7" s="1"/>
  <c r="L65" i="7"/>
  <c r="I65" i="7"/>
  <c r="H65" i="7"/>
  <c r="F65" i="7"/>
  <c r="C65" i="7"/>
  <c r="AC64" i="7"/>
  <c r="AD64" i="7" s="1"/>
  <c r="AA64" i="7"/>
  <c r="X64" i="7"/>
  <c r="W64" i="7"/>
  <c r="U64" i="7"/>
  <c r="R64" i="7"/>
  <c r="O64" i="7"/>
  <c r="N64" i="7"/>
  <c r="L64" i="7"/>
  <c r="H64" i="7"/>
  <c r="I64" i="7" s="1"/>
  <c r="F64" i="7"/>
  <c r="C64" i="7"/>
  <c r="AC62" i="7"/>
  <c r="AD62" i="7" s="1"/>
  <c r="Z62" i="7"/>
  <c r="AA62" i="7" s="1"/>
  <c r="X62" i="7"/>
  <c r="W62" i="7"/>
  <c r="U62" i="7"/>
  <c r="T62" i="7"/>
  <c r="Q62" i="7"/>
  <c r="R62" i="7" s="1"/>
  <c r="L62" i="7"/>
  <c r="K62" i="7"/>
  <c r="N62" i="7" s="1"/>
  <c r="O62" i="7" s="1"/>
  <c r="E62" i="7"/>
  <c r="F62" i="7" s="1"/>
  <c r="B62" i="7"/>
  <c r="AD61" i="7"/>
  <c r="AC61" i="7"/>
  <c r="AA61" i="7"/>
  <c r="Z61" i="7"/>
  <c r="W61" i="7"/>
  <c r="X61" i="7" s="1"/>
  <c r="T61" i="7"/>
  <c r="U61" i="7" s="1"/>
  <c r="R61" i="7"/>
  <c r="Q61" i="7"/>
  <c r="K61" i="7"/>
  <c r="L61" i="7" s="1"/>
  <c r="E61" i="7"/>
  <c r="H61" i="7" s="1"/>
  <c r="I61" i="7" s="1"/>
  <c r="C61" i="7"/>
  <c r="B61" i="7"/>
  <c r="N61" i="7" s="1"/>
  <c r="O61" i="7" s="1"/>
  <c r="AC60" i="7"/>
  <c r="AD60" i="7" s="1"/>
  <c r="AA60" i="7"/>
  <c r="W60" i="7"/>
  <c r="X60" i="7" s="1"/>
  <c r="U60" i="7"/>
  <c r="R60" i="7"/>
  <c r="N60" i="7"/>
  <c r="O60" i="7" s="1"/>
  <c r="L60" i="7"/>
  <c r="H60" i="7"/>
  <c r="I60" i="7" s="1"/>
  <c r="F60" i="7"/>
  <c r="C60" i="7"/>
  <c r="AD59" i="7"/>
  <c r="AC59" i="7"/>
  <c r="AA59" i="7"/>
  <c r="X59" i="7"/>
  <c r="W59" i="7"/>
  <c r="U59" i="7"/>
  <c r="R59" i="7"/>
  <c r="N59" i="7"/>
  <c r="O59" i="7" s="1"/>
  <c r="L59" i="7"/>
  <c r="H59" i="7"/>
  <c r="I59" i="7" s="1"/>
  <c r="F59" i="7"/>
  <c r="C59" i="7"/>
  <c r="AC58" i="7"/>
  <c r="AD58" i="7" s="1"/>
  <c r="AA58" i="7"/>
  <c r="W58" i="7"/>
  <c r="X58" i="7" s="1"/>
  <c r="U58" i="7"/>
  <c r="R58" i="7"/>
  <c r="O58" i="7"/>
  <c r="N58" i="7"/>
  <c r="L58" i="7"/>
  <c r="I58" i="7"/>
  <c r="H58" i="7"/>
  <c r="F58" i="7"/>
  <c r="C58" i="7"/>
  <c r="AC57" i="7"/>
  <c r="AD57" i="7" s="1"/>
  <c r="AA57" i="7"/>
  <c r="X57" i="7"/>
  <c r="W57" i="7"/>
  <c r="U57" i="7"/>
  <c r="R57" i="7"/>
  <c r="O57" i="7"/>
  <c r="N57" i="7"/>
  <c r="L57" i="7"/>
  <c r="I57" i="7"/>
  <c r="H57" i="7"/>
  <c r="F57" i="7"/>
  <c r="C57" i="7"/>
  <c r="AC56" i="7"/>
  <c r="AD56" i="7" s="1"/>
  <c r="AA56" i="7"/>
  <c r="W56" i="7"/>
  <c r="X56" i="7" s="1"/>
  <c r="U56" i="7"/>
  <c r="R56" i="7"/>
  <c r="N56" i="7"/>
  <c r="O56" i="7" s="1"/>
  <c r="L56" i="7"/>
  <c r="H56" i="7"/>
  <c r="I56" i="7" s="1"/>
  <c r="F56" i="7"/>
  <c r="C56" i="7"/>
  <c r="AD55" i="7"/>
  <c r="AC55" i="7"/>
  <c r="AA55" i="7"/>
  <c r="X55" i="7"/>
  <c r="W55" i="7"/>
  <c r="U55" i="7"/>
  <c r="R55" i="7"/>
  <c r="N55" i="7"/>
  <c r="O55" i="7" s="1"/>
  <c r="L55" i="7"/>
  <c r="H55" i="7"/>
  <c r="I55" i="7" s="1"/>
  <c r="F55" i="7"/>
  <c r="C55" i="7"/>
  <c r="AC54" i="7"/>
  <c r="AD54" i="7" s="1"/>
  <c r="AA54" i="7"/>
  <c r="X54" i="7"/>
  <c r="W54" i="7"/>
  <c r="U54" i="7"/>
  <c r="R54" i="7"/>
  <c r="N54" i="7"/>
  <c r="O54" i="7" s="1"/>
  <c r="L54" i="7"/>
  <c r="I54" i="7"/>
  <c r="H54" i="7"/>
  <c r="F54" i="7"/>
  <c r="C54" i="7"/>
  <c r="AC53" i="7"/>
  <c r="AD53" i="7" s="1"/>
  <c r="AA53" i="7"/>
  <c r="W53" i="7"/>
  <c r="X53" i="7" s="1"/>
  <c r="U53" i="7"/>
  <c r="R53" i="7"/>
  <c r="O53" i="7"/>
  <c r="N53" i="7"/>
  <c r="L53" i="7"/>
  <c r="H53" i="7"/>
  <c r="I53" i="7" s="1"/>
  <c r="F53" i="7"/>
  <c r="C53" i="7"/>
  <c r="AC52" i="7"/>
  <c r="AD52" i="7" s="1"/>
  <c r="AA52" i="7"/>
  <c r="X52" i="7"/>
  <c r="W52" i="7"/>
  <c r="U52" i="7"/>
  <c r="R52" i="7"/>
  <c r="O52" i="7"/>
  <c r="N52" i="7"/>
  <c r="L52" i="7"/>
  <c r="H52" i="7"/>
  <c r="I52" i="7" s="1"/>
  <c r="F52" i="7"/>
  <c r="C52" i="7"/>
  <c r="AD51" i="7"/>
  <c r="AC51" i="7"/>
  <c r="AA51" i="7"/>
  <c r="X51" i="7"/>
  <c r="W51" i="7"/>
  <c r="U51" i="7"/>
  <c r="R51" i="7"/>
  <c r="N51" i="7"/>
  <c r="O51" i="7" s="1"/>
  <c r="L51" i="7"/>
  <c r="H51" i="7"/>
  <c r="I51" i="7" s="1"/>
  <c r="F51" i="7"/>
  <c r="C51" i="7"/>
  <c r="AD50" i="7"/>
  <c r="AC50" i="7"/>
  <c r="AA50" i="7"/>
  <c r="X50" i="7"/>
  <c r="W50" i="7"/>
  <c r="U50" i="7"/>
  <c r="R50" i="7"/>
  <c r="O50" i="7"/>
  <c r="N50" i="7"/>
  <c r="L50" i="7"/>
  <c r="I50" i="7"/>
  <c r="H50" i="7"/>
  <c r="F50" i="7"/>
  <c r="C50" i="7"/>
  <c r="AC49" i="7"/>
  <c r="AD49" i="7" s="1"/>
  <c r="AA49" i="7"/>
  <c r="X49" i="7"/>
  <c r="W49" i="7"/>
  <c r="U49" i="7"/>
  <c r="R49" i="7"/>
  <c r="O49" i="7"/>
  <c r="N49" i="7"/>
  <c r="L49" i="7"/>
  <c r="I49" i="7"/>
  <c r="H49" i="7"/>
  <c r="F49" i="7"/>
  <c r="C49" i="7"/>
  <c r="AC48" i="7"/>
  <c r="AD48" i="7" s="1"/>
  <c r="AA48" i="7"/>
  <c r="W48" i="7"/>
  <c r="X48" i="7" s="1"/>
  <c r="U48" i="7"/>
  <c r="R48" i="7"/>
  <c r="O48" i="7"/>
  <c r="N48" i="7"/>
  <c r="L48" i="7"/>
  <c r="H48" i="7"/>
  <c r="I48" i="7" s="1"/>
  <c r="F48" i="7"/>
  <c r="C48" i="7"/>
  <c r="AD47" i="7"/>
  <c r="AC47" i="7"/>
  <c r="AA47" i="7"/>
  <c r="X47" i="7"/>
  <c r="W47" i="7"/>
  <c r="U47" i="7"/>
  <c r="R47" i="7"/>
  <c r="N47" i="7"/>
  <c r="O47" i="7" s="1"/>
  <c r="L47" i="7"/>
  <c r="H47" i="7"/>
  <c r="I47" i="7" s="1"/>
  <c r="F47" i="7"/>
  <c r="C47" i="7"/>
  <c r="AC46" i="7"/>
  <c r="AD46" i="7" s="1"/>
  <c r="AA46" i="7"/>
  <c r="X46" i="7"/>
  <c r="W46" i="7"/>
  <c r="U46" i="7"/>
  <c r="R46" i="7"/>
  <c r="N46" i="7"/>
  <c r="O46" i="7" s="1"/>
  <c r="L46" i="7"/>
  <c r="I46" i="7"/>
  <c r="H46" i="7"/>
  <c r="F46" i="7"/>
  <c r="C46" i="7"/>
  <c r="AC44" i="7"/>
  <c r="AD44" i="7" s="1"/>
  <c r="AA44" i="7"/>
  <c r="W44" i="7"/>
  <c r="X44" i="7" s="1"/>
  <c r="U44" i="7"/>
  <c r="R44" i="7"/>
  <c r="O44" i="7"/>
  <c r="N44" i="7"/>
  <c r="L44" i="7"/>
  <c r="H44" i="7"/>
  <c r="I44" i="7" s="1"/>
  <c r="F44" i="7"/>
  <c r="C44" i="7"/>
  <c r="AC43" i="7"/>
  <c r="AD43" i="7" s="1"/>
  <c r="AA43" i="7"/>
  <c r="X43" i="7"/>
  <c r="W43" i="7"/>
  <c r="U43" i="7"/>
  <c r="R43" i="7"/>
  <c r="O43" i="7"/>
  <c r="N43" i="7"/>
  <c r="L43" i="7"/>
  <c r="H43" i="7"/>
  <c r="I43" i="7" s="1"/>
  <c r="F43" i="7"/>
  <c r="C43" i="7"/>
  <c r="AD42" i="7"/>
  <c r="AC42" i="7"/>
  <c r="AA42" i="7"/>
  <c r="X42" i="7"/>
  <c r="W42" i="7"/>
  <c r="U42" i="7"/>
  <c r="R42" i="7"/>
  <c r="N42" i="7"/>
  <c r="O42" i="7" s="1"/>
  <c r="L42" i="7"/>
  <c r="H42" i="7"/>
  <c r="I42" i="7" s="1"/>
  <c r="F42" i="7"/>
  <c r="C42" i="7"/>
  <c r="AA40" i="7"/>
  <c r="Z40" i="7"/>
  <c r="T40" i="7"/>
  <c r="U40" i="7" s="1"/>
  <c r="Q40" i="7"/>
  <c r="W40" i="7" s="1"/>
  <c r="X40" i="7" s="1"/>
  <c r="K40" i="7"/>
  <c r="L40" i="7" s="1"/>
  <c r="E40" i="7"/>
  <c r="H40" i="7" s="1"/>
  <c r="I40" i="7" s="1"/>
  <c r="C40" i="7"/>
  <c r="B40" i="7"/>
  <c r="N40" i="7" s="1"/>
  <c r="O40" i="7" s="1"/>
  <c r="AC39" i="7"/>
  <c r="AD39" i="7" s="1"/>
  <c r="AA39" i="7"/>
  <c r="X39" i="7"/>
  <c r="W39" i="7"/>
  <c r="U39" i="7"/>
  <c r="R39" i="7"/>
  <c r="O39" i="7"/>
  <c r="N39" i="7"/>
  <c r="L39" i="7"/>
  <c r="H39" i="7"/>
  <c r="I39" i="7" s="1"/>
  <c r="F39" i="7"/>
  <c r="C39" i="7"/>
  <c r="AD38" i="7"/>
  <c r="AC38" i="7"/>
  <c r="AA38" i="7"/>
  <c r="X38" i="7"/>
  <c r="W38" i="7"/>
  <c r="U38" i="7"/>
  <c r="R38" i="7"/>
  <c r="N38" i="7"/>
  <c r="O38" i="7" s="1"/>
  <c r="L38" i="7"/>
  <c r="H38" i="7"/>
  <c r="I38" i="7" s="1"/>
  <c r="F38" i="7"/>
  <c r="C38" i="7"/>
  <c r="AD37" i="7"/>
  <c r="AC37" i="7"/>
  <c r="AA37" i="7"/>
  <c r="X37" i="7"/>
  <c r="W37" i="7"/>
  <c r="U37" i="7"/>
  <c r="R37" i="7"/>
  <c r="N37" i="7"/>
  <c r="O37" i="7" s="1"/>
  <c r="L37" i="7"/>
  <c r="I37" i="7"/>
  <c r="H37" i="7"/>
  <c r="F37" i="7"/>
  <c r="C37" i="7"/>
  <c r="AC36" i="7"/>
  <c r="AD36" i="7" s="1"/>
  <c r="AA36" i="7"/>
  <c r="X36" i="7"/>
  <c r="W36" i="7"/>
  <c r="U36" i="7"/>
  <c r="R36" i="7"/>
  <c r="O36" i="7"/>
  <c r="N36" i="7"/>
  <c r="L36" i="7"/>
  <c r="H36" i="7"/>
  <c r="I36" i="7" s="1"/>
  <c r="F36" i="7"/>
  <c r="C36" i="7"/>
  <c r="AC35" i="7"/>
  <c r="AD35" i="7" s="1"/>
  <c r="AA35" i="7"/>
  <c r="X35" i="7"/>
  <c r="W35" i="7"/>
  <c r="U35" i="7"/>
  <c r="R35" i="7"/>
  <c r="O35" i="7"/>
  <c r="N35" i="7"/>
  <c r="L35" i="7"/>
  <c r="H35" i="7"/>
  <c r="I35" i="7" s="1"/>
  <c r="F35" i="7"/>
  <c r="C35" i="7"/>
  <c r="AD34" i="7"/>
  <c r="AC34" i="7"/>
  <c r="AA34" i="7"/>
  <c r="X34" i="7"/>
  <c r="W34" i="7"/>
  <c r="U34" i="7"/>
  <c r="R34" i="7"/>
  <c r="N34" i="7"/>
  <c r="O34" i="7" s="1"/>
  <c r="L34" i="7"/>
  <c r="H34" i="7"/>
  <c r="I34" i="7" s="1"/>
  <c r="F34" i="7"/>
  <c r="C34" i="7"/>
  <c r="AC33" i="7"/>
  <c r="AD33" i="7" s="1"/>
  <c r="AA33" i="7"/>
  <c r="X33" i="7"/>
  <c r="W33" i="7"/>
  <c r="U33" i="7"/>
  <c r="R33" i="7"/>
  <c r="N33" i="7"/>
  <c r="O33" i="7" s="1"/>
  <c r="L33" i="7"/>
  <c r="I33" i="7"/>
  <c r="H33" i="7"/>
  <c r="F33" i="7"/>
  <c r="C33" i="7"/>
  <c r="AC32" i="7"/>
  <c r="AD32" i="7" s="1"/>
  <c r="AA32" i="7"/>
  <c r="W32" i="7"/>
  <c r="X32" i="7" s="1"/>
  <c r="U32" i="7"/>
  <c r="R32" i="7"/>
  <c r="O32" i="7"/>
  <c r="N32" i="7"/>
  <c r="L32" i="7"/>
  <c r="H32" i="7"/>
  <c r="I32" i="7" s="1"/>
  <c r="F32" i="7"/>
  <c r="C32" i="7"/>
  <c r="AC31" i="7"/>
  <c r="AD31" i="7" s="1"/>
  <c r="AA31" i="7"/>
  <c r="X31" i="7"/>
  <c r="W31" i="7"/>
  <c r="U31" i="7"/>
  <c r="R31" i="7"/>
  <c r="O31" i="7"/>
  <c r="N31" i="7"/>
  <c r="L31" i="7"/>
  <c r="H31" i="7"/>
  <c r="I31" i="7" s="1"/>
  <c r="F31" i="7"/>
  <c r="C31" i="7"/>
  <c r="Z29" i="7"/>
  <c r="AA29" i="7" s="1"/>
  <c r="T29" i="7"/>
  <c r="W29" i="7" s="1"/>
  <c r="X29" i="7" s="1"/>
  <c r="R29" i="7"/>
  <c r="Q29" i="7"/>
  <c r="AC29" i="7" s="1"/>
  <c r="AD29" i="7" s="1"/>
  <c r="K29" i="7"/>
  <c r="L29" i="7" s="1"/>
  <c r="H29" i="7"/>
  <c r="I29" i="7" s="1"/>
  <c r="F29" i="7"/>
  <c r="E29" i="7"/>
  <c r="B29" i="7"/>
  <c r="AC28" i="7"/>
  <c r="AD28" i="7" s="1"/>
  <c r="AA28" i="7"/>
  <c r="W28" i="7"/>
  <c r="X28" i="7" s="1"/>
  <c r="U28" i="7"/>
  <c r="R28" i="7"/>
  <c r="O28" i="7"/>
  <c r="N28" i="7"/>
  <c r="L28" i="7"/>
  <c r="H28" i="7"/>
  <c r="I28" i="7" s="1"/>
  <c r="F28" i="7"/>
  <c r="C28" i="7"/>
  <c r="AC27" i="7"/>
  <c r="AD27" i="7" s="1"/>
  <c r="AA27" i="7"/>
  <c r="X27" i="7"/>
  <c r="W27" i="7"/>
  <c r="U27" i="7"/>
  <c r="R27" i="7"/>
  <c r="O27" i="7"/>
  <c r="N27" i="7"/>
  <c r="L27" i="7"/>
  <c r="H27" i="7"/>
  <c r="I27" i="7" s="1"/>
  <c r="F27" i="7"/>
  <c r="C27" i="7"/>
  <c r="AD26" i="7"/>
  <c r="AC26" i="7"/>
  <c r="AA26" i="7"/>
  <c r="X26" i="7"/>
  <c r="W26" i="7"/>
  <c r="U26" i="7"/>
  <c r="R26" i="7"/>
  <c r="O26" i="7"/>
  <c r="N26" i="7"/>
  <c r="L26" i="7"/>
  <c r="H26" i="7"/>
  <c r="I26" i="7" s="1"/>
  <c r="F26" i="7"/>
  <c r="C26" i="7"/>
  <c r="AD25" i="7"/>
  <c r="AC25" i="7"/>
  <c r="AA25" i="7"/>
  <c r="X25" i="7"/>
  <c r="W25" i="7"/>
  <c r="U25" i="7"/>
  <c r="R25" i="7"/>
  <c r="N25" i="7"/>
  <c r="O25" i="7" s="1"/>
  <c r="L25" i="7"/>
  <c r="I25" i="7"/>
  <c r="H25" i="7"/>
  <c r="F25" i="7"/>
  <c r="C25" i="7"/>
  <c r="AC24" i="7"/>
  <c r="AD24" i="7" s="1"/>
  <c r="AA24" i="7"/>
  <c r="X24" i="7"/>
  <c r="W24" i="7"/>
  <c r="U24" i="7"/>
  <c r="R24" i="7"/>
  <c r="O24" i="7"/>
  <c r="N24" i="7"/>
  <c r="L24" i="7"/>
  <c r="H24" i="7"/>
  <c r="I24" i="7" s="1"/>
  <c r="F24" i="7"/>
  <c r="C24" i="7"/>
  <c r="AC23" i="7"/>
  <c r="AD23" i="7" s="1"/>
  <c r="AA23" i="7"/>
  <c r="W23" i="7"/>
  <c r="X23" i="7" s="1"/>
  <c r="U23" i="7"/>
  <c r="R23" i="7"/>
  <c r="O23" i="7"/>
  <c r="N23" i="7"/>
  <c r="L23" i="7"/>
  <c r="H23" i="7"/>
  <c r="I23" i="7" s="1"/>
  <c r="F23" i="7"/>
  <c r="C23" i="7"/>
  <c r="AD22" i="7"/>
  <c r="AC22" i="7"/>
  <c r="AA22" i="7"/>
  <c r="X22" i="7"/>
  <c r="W22" i="7"/>
  <c r="U22" i="7"/>
  <c r="R22" i="7"/>
  <c r="N22" i="7"/>
  <c r="O22" i="7" s="1"/>
  <c r="L22" i="7"/>
  <c r="H22" i="7"/>
  <c r="I22" i="7" s="1"/>
  <c r="F22" i="7"/>
  <c r="C22" i="7"/>
  <c r="AC21" i="7"/>
  <c r="AD21" i="7" s="1"/>
  <c r="AA21" i="7"/>
  <c r="X21" i="7"/>
  <c r="W21" i="7"/>
  <c r="U21" i="7"/>
  <c r="R21" i="7"/>
  <c r="N21" i="7"/>
  <c r="O21" i="7" s="1"/>
  <c r="L21" i="7"/>
  <c r="I21" i="7"/>
  <c r="H21" i="7"/>
  <c r="F21" i="7"/>
  <c r="C21" i="7"/>
  <c r="AC19" i="7"/>
  <c r="AD19" i="7" s="1"/>
  <c r="AA19" i="7"/>
  <c r="W19" i="7"/>
  <c r="X19" i="7" s="1"/>
  <c r="U19" i="7"/>
  <c r="R19" i="7"/>
  <c r="O19" i="7"/>
  <c r="N19" i="7"/>
  <c r="L19" i="7"/>
  <c r="H19" i="7"/>
  <c r="I19" i="7" s="1"/>
  <c r="F19" i="7"/>
  <c r="C19" i="7"/>
  <c r="Z18" i="7"/>
  <c r="AA18" i="7" s="1"/>
  <c r="X18" i="7"/>
  <c r="W18" i="7"/>
  <c r="U18" i="7"/>
  <c r="T18" i="7"/>
  <c r="Q18" i="7"/>
  <c r="R18" i="7" s="1"/>
  <c r="N18" i="7"/>
  <c r="O18" i="7" s="1"/>
  <c r="K18" i="7"/>
  <c r="L18" i="7" s="1"/>
  <c r="E18" i="7"/>
  <c r="F18" i="7" s="1"/>
  <c r="B18" i="7"/>
  <c r="AC17" i="7"/>
  <c r="AD17" i="7" s="1"/>
  <c r="AA17" i="7"/>
  <c r="X17" i="7"/>
  <c r="W17" i="7"/>
  <c r="U17" i="7"/>
  <c r="R17" i="7"/>
  <c r="O17" i="7"/>
  <c r="N17" i="7"/>
  <c r="L17" i="7"/>
  <c r="I17" i="7"/>
  <c r="H17" i="7"/>
  <c r="F17" i="7"/>
  <c r="C17" i="7"/>
  <c r="AC16" i="7"/>
  <c r="AD16" i="7" s="1"/>
  <c r="AA16" i="7"/>
  <c r="W16" i="7"/>
  <c r="X16" i="7" s="1"/>
  <c r="U16" i="7"/>
  <c r="R16" i="7"/>
  <c r="O16" i="7"/>
  <c r="N16" i="7"/>
  <c r="L16" i="7"/>
  <c r="I16" i="7"/>
  <c r="H16" i="7"/>
  <c r="F16" i="7"/>
  <c r="C16" i="7"/>
  <c r="AC15" i="7"/>
  <c r="AD15" i="7" s="1"/>
  <c r="AA15" i="7"/>
  <c r="X15" i="7"/>
  <c r="W15" i="7"/>
  <c r="U15" i="7"/>
  <c r="R15" i="7"/>
  <c r="O15" i="7"/>
  <c r="N15" i="7"/>
  <c r="L15" i="7"/>
  <c r="H15" i="7"/>
  <c r="I15" i="7" s="1"/>
  <c r="F15" i="7"/>
  <c r="C15" i="7"/>
  <c r="AD14" i="7"/>
  <c r="AC14" i="7"/>
  <c r="AA14" i="7"/>
  <c r="X14" i="7"/>
  <c r="W14" i="7"/>
  <c r="U14" i="7"/>
  <c r="R14" i="7"/>
  <c r="O14" i="7"/>
  <c r="N14" i="7"/>
  <c r="L14" i="7"/>
  <c r="H14" i="7"/>
  <c r="I14" i="7" s="1"/>
  <c r="F14" i="7"/>
  <c r="C14" i="7"/>
  <c r="AD13" i="7"/>
  <c r="AC13" i="7"/>
  <c r="AA13" i="7"/>
  <c r="X13" i="7"/>
  <c r="W13" i="7"/>
  <c r="U13" i="7"/>
  <c r="R13" i="7"/>
  <c r="O13" i="7"/>
  <c r="N13" i="7"/>
  <c r="L13" i="7"/>
  <c r="I13" i="7"/>
  <c r="H13" i="7"/>
  <c r="F13" i="7"/>
  <c r="C13" i="7"/>
  <c r="AC12" i="7"/>
  <c r="AD12" i="7" s="1"/>
  <c r="AA12" i="7"/>
  <c r="X12" i="7"/>
  <c r="W12" i="7"/>
  <c r="U12" i="7"/>
  <c r="R12" i="7"/>
  <c r="O12" i="7"/>
  <c r="N12" i="7"/>
  <c r="L12" i="7"/>
  <c r="I12" i="7"/>
  <c r="H12" i="7"/>
  <c r="F12" i="7"/>
  <c r="C12" i="7"/>
  <c r="AC11" i="7"/>
  <c r="AD11" i="7" s="1"/>
  <c r="AA11" i="7"/>
  <c r="W11" i="7"/>
  <c r="X11" i="7" s="1"/>
  <c r="U11" i="7"/>
  <c r="R11" i="7"/>
  <c r="O11" i="7"/>
  <c r="N11" i="7"/>
  <c r="L11" i="7"/>
  <c r="H11" i="7"/>
  <c r="I11" i="7" s="1"/>
  <c r="F11" i="7"/>
  <c r="C11" i="7"/>
  <c r="AD10" i="7"/>
  <c r="AC10" i="7"/>
  <c r="AA10" i="7"/>
  <c r="X10" i="7"/>
  <c r="W10" i="7"/>
  <c r="U10" i="7"/>
  <c r="R10" i="7"/>
  <c r="O10" i="7"/>
  <c r="N10" i="7"/>
  <c r="L10" i="7"/>
  <c r="H10" i="7"/>
  <c r="I10" i="7" s="1"/>
  <c r="F10" i="7"/>
  <c r="C10" i="7"/>
  <c r="AC8" i="7"/>
  <c r="AD8" i="7" s="1"/>
  <c r="AA8" i="7"/>
  <c r="X8" i="7"/>
  <c r="W8" i="7"/>
  <c r="U8" i="7"/>
  <c r="R8" i="7"/>
  <c r="O8" i="7"/>
  <c r="N8" i="7"/>
  <c r="L8" i="7"/>
  <c r="I8" i="7"/>
  <c r="H8" i="7"/>
  <c r="F8" i="7"/>
  <c r="C8" i="7"/>
  <c r="AC444" i="6"/>
  <c r="W444" i="6"/>
  <c r="N444" i="6"/>
  <c r="H444" i="6"/>
  <c r="I437" i="6" s="1"/>
  <c r="AA442" i="6"/>
  <c r="Z442" i="6"/>
  <c r="T442" i="6"/>
  <c r="U442" i="6" s="1"/>
  <c r="Q442" i="6"/>
  <c r="L442" i="6"/>
  <c r="K442" i="6"/>
  <c r="E442" i="6"/>
  <c r="F442" i="6" s="1"/>
  <c r="C442" i="6"/>
  <c r="B442" i="6"/>
  <c r="H442" i="6" s="1"/>
  <c r="I442" i="6" s="1"/>
  <c r="AD441" i="6"/>
  <c r="Z441" i="6"/>
  <c r="AA441" i="6" s="1"/>
  <c r="W441" i="6"/>
  <c r="X441" i="6" s="1"/>
  <c r="U441" i="6"/>
  <c r="T441" i="6"/>
  <c r="R441" i="6"/>
  <c r="Q441" i="6"/>
  <c r="AC441" i="6" s="1"/>
  <c r="K441" i="6"/>
  <c r="L441" i="6" s="1"/>
  <c r="I441" i="6"/>
  <c r="H441" i="6"/>
  <c r="F441" i="6"/>
  <c r="E441" i="6"/>
  <c r="B441" i="6"/>
  <c r="C441" i="6" s="1"/>
  <c r="AC440" i="6"/>
  <c r="AD440" i="6" s="1"/>
  <c r="AA440" i="6"/>
  <c r="X440" i="6"/>
  <c r="W440" i="6"/>
  <c r="U440" i="6"/>
  <c r="R440" i="6"/>
  <c r="O440" i="6"/>
  <c r="N440" i="6"/>
  <c r="L440" i="6"/>
  <c r="H440" i="6"/>
  <c r="I440" i="6" s="1"/>
  <c r="F440" i="6"/>
  <c r="C440" i="6"/>
  <c r="AC439" i="6"/>
  <c r="AD439" i="6" s="1"/>
  <c r="AA439" i="6"/>
  <c r="W439" i="6"/>
  <c r="X439" i="6" s="1"/>
  <c r="U439" i="6"/>
  <c r="R439" i="6"/>
  <c r="N439" i="6"/>
  <c r="L439" i="6"/>
  <c r="H439" i="6"/>
  <c r="I439" i="6" s="1"/>
  <c r="F439" i="6"/>
  <c r="C439" i="6"/>
  <c r="AD438" i="6"/>
  <c r="AC438" i="6"/>
  <c r="AA438" i="6"/>
  <c r="X438" i="6"/>
  <c r="W438" i="6"/>
  <c r="U438" i="6"/>
  <c r="R438" i="6"/>
  <c r="N438" i="6"/>
  <c r="O438" i="6" s="1"/>
  <c r="L438" i="6"/>
  <c r="H438" i="6"/>
  <c r="I438" i="6" s="1"/>
  <c r="F438" i="6"/>
  <c r="C438" i="6"/>
  <c r="AD437" i="6"/>
  <c r="AC437" i="6"/>
  <c r="AA437" i="6"/>
  <c r="W437" i="6"/>
  <c r="U437" i="6"/>
  <c r="R437" i="6"/>
  <c r="O437" i="6"/>
  <c r="N437" i="6"/>
  <c r="L437" i="6"/>
  <c r="H437" i="6"/>
  <c r="F437" i="6"/>
  <c r="C437" i="6"/>
  <c r="AC436" i="6"/>
  <c r="AD436" i="6" s="1"/>
  <c r="AA436" i="6"/>
  <c r="X436" i="6"/>
  <c r="W436" i="6"/>
  <c r="U436" i="6"/>
  <c r="R436" i="6"/>
  <c r="O436" i="6"/>
  <c r="N436" i="6"/>
  <c r="L436" i="6"/>
  <c r="I436" i="6"/>
  <c r="H436" i="6"/>
  <c r="F436" i="6"/>
  <c r="C436" i="6"/>
  <c r="AC435" i="6"/>
  <c r="AD435" i="6" s="1"/>
  <c r="AA435" i="6"/>
  <c r="W435" i="6"/>
  <c r="X435" i="6" s="1"/>
  <c r="U435" i="6"/>
  <c r="R435" i="6"/>
  <c r="N435" i="6"/>
  <c r="L435" i="6"/>
  <c r="H435" i="6"/>
  <c r="I435" i="6" s="1"/>
  <c r="F435" i="6"/>
  <c r="C435" i="6"/>
  <c r="AD434" i="6"/>
  <c r="AC434" i="6"/>
  <c r="AA434" i="6"/>
  <c r="X434" i="6"/>
  <c r="W434" i="6"/>
  <c r="U434" i="6"/>
  <c r="R434" i="6"/>
  <c r="N434" i="6"/>
  <c r="O434" i="6" s="1"/>
  <c r="L434" i="6"/>
  <c r="H434" i="6"/>
  <c r="I434" i="6" s="1"/>
  <c r="F434" i="6"/>
  <c r="C434" i="6"/>
  <c r="AC433" i="6"/>
  <c r="AD433" i="6" s="1"/>
  <c r="AA433" i="6"/>
  <c r="W433" i="6"/>
  <c r="U433" i="6"/>
  <c r="R433" i="6"/>
  <c r="O433" i="6"/>
  <c r="N433" i="6"/>
  <c r="L433" i="6"/>
  <c r="I433" i="6"/>
  <c r="H433" i="6"/>
  <c r="F433" i="6"/>
  <c r="C433" i="6"/>
  <c r="AC432" i="6"/>
  <c r="AD432" i="6" s="1"/>
  <c r="AA432" i="6"/>
  <c r="W432" i="6"/>
  <c r="X432" i="6" s="1"/>
  <c r="U432" i="6"/>
  <c r="R432" i="6"/>
  <c r="O432" i="6"/>
  <c r="N432" i="6"/>
  <c r="L432" i="6"/>
  <c r="I432" i="6"/>
  <c r="H432" i="6"/>
  <c r="F432" i="6"/>
  <c r="C432" i="6"/>
  <c r="Z429" i="6"/>
  <c r="AA429" i="6" s="1"/>
  <c r="X429" i="6"/>
  <c r="W429" i="6"/>
  <c r="U429" i="6"/>
  <c r="T429" i="6"/>
  <c r="Q429" i="6"/>
  <c r="R429" i="6" s="1"/>
  <c r="N429" i="6"/>
  <c r="O429" i="6" s="1"/>
  <c r="K429" i="6"/>
  <c r="L429" i="6" s="1"/>
  <c r="E429" i="6"/>
  <c r="F429" i="6" s="1"/>
  <c r="B429" i="6"/>
  <c r="AC428" i="6"/>
  <c r="AD428" i="6" s="1"/>
  <c r="AA428" i="6"/>
  <c r="Z428" i="6"/>
  <c r="T428" i="6"/>
  <c r="U428" i="6" s="1"/>
  <c r="R428" i="6"/>
  <c r="Q428" i="6"/>
  <c r="K428" i="6"/>
  <c r="L428" i="6" s="1"/>
  <c r="H428" i="6"/>
  <c r="I428" i="6" s="1"/>
  <c r="F428" i="6"/>
  <c r="E428" i="6"/>
  <c r="C428" i="6"/>
  <c r="B428" i="6"/>
  <c r="N428" i="6" s="1"/>
  <c r="O428" i="6" s="1"/>
  <c r="AC427" i="6"/>
  <c r="AD427" i="6" s="1"/>
  <c r="AA427" i="6"/>
  <c r="W427" i="6"/>
  <c r="X427" i="6" s="1"/>
  <c r="U427" i="6"/>
  <c r="R427" i="6"/>
  <c r="N427" i="6"/>
  <c r="L427" i="6"/>
  <c r="H427" i="6"/>
  <c r="I427" i="6" s="1"/>
  <c r="F427" i="6"/>
  <c r="C427" i="6"/>
  <c r="AD426" i="6"/>
  <c r="AC426" i="6"/>
  <c r="AA426" i="6"/>
  <c r="X426" i="6"/>
  <c r="W426" i="6"/>
  <c r="U426" i="6"/>
  <c r="R426" i="6"/>
  <c r="N426" i="6"/>
  <c r="O426" i="6" s="1"/>
  <c r="L426" i="6"/>
  <c r="H426" i="6"/>
  <c r="I426" i="6" s="1"/>
  <c r="F426" i="6"/>
  <c r="C426" i="6"/>
  <c r="AD425" i="6"/>
  <c r="AC425" i="6"/>
  <c r="AA425" i="6"/>
  <c r="W425" i="6"/>
  <c r="U425" i="6"/>
  <c r="R425" i="6"/>
  <c r="O425" i="6"/>
  <c r="N425" i="6"/>
  <c r="L425" i="6"/>
  <c r="I425" i="6"/>
  <c r="H425" i="6"/>
  <c r="F425" i="6"/>
  <c r="C425" i="6"/>
  <c r="AC424" i="6"/>
  <c r="AD424" i="6" s="1"/>
  <c r="AA424" i="6"/>
  <c r="X424" i="6"/>
  <c r="W424" i="6"/>
  <c r="U424" i="6"/>
  <c r="R424" i="6"/>
  <c r="O424" i="6"/>
  <c r="N424" i="6"/>
  <c r="L424" i="6"/>
  <c r="I424" i="6"/>
  <c r="H424" i="6"/>
  <c r="F424" i="6"/>
  <c r="C424" i="6"/>
  <c r="AC423" i="6"/>
  <c r="AD423" i="6" s="1"/>
  <c r="AA423" i="6"/>
  <c r="X423" i="6"/>
  <c r="W423" i="6"/>
  <c r="U423" i="6"/>
  <c r="R423" i="6"/>
  <c r="N423" i="6"/>
  <c r="L423" i="6"/>
  <c r="H423" i="6"/>
  <c r="I423" i="6" s="1"/>
  <c r="F423" i="6"/>
  <c r="C423" i="6"/>
  <c r="AD422" i="6"/>
  <c r="AC422" i="6"/>
  <c r="AA422" i="6"/>
  <c r="X422" i="6"/>
  <c r="W422" i="6"/>
  <c r="U422" i="6"/>
  <c r="R422" i="6"/>
  <c r="O422" i="6"/>
  <c r="N422" i="6"/>
  <c r="L422" i="6"/>
  <c r="H422" i="6"/>
  <c r="I422" i="6" s="1"/>
  <c r="F422" i="6"/>
  <c r="C422" i="6"/>
  <c r="AC421" i="6"/>
  <c r="AD421" i="6" s="1"/>
  <c r="AA421" i="6"/>
  <c r="W421" i="6"/>
  <c r="U421" i="6"/>
  <c r="R421" i="6"/>
  <c r="O421" i="6"/>
  <c r="N421" i="6"/>
  <c r="L421" i="6"/>
  <c r="I421" i="6"/>
  <c r="H421" i="6"/>
  <c r="F421" i="6"/>
  <c r="C421" i="6"/>
  <c r="AC420" i="6"/>
  <c r="AD420" i="6" s="1"/>
  <c r="AA420" i="6"/>
  <c r="W420" i="6"/>
  <c r="X420" i="6" s="1"/>
  <c r="U420" i="6"/>
  <c r="R420" i="6"/>
  <c r="O420" i="6"/>
  <c r="N420" i="6"/>
  <c r="L420" i="6"/>
  <c r="I420" i="6"/>
  <c r="H420" i="6"/>
  <c r="F420" i="6"/>
  <c r="C420" i="6"/>
  <c r="AC419" i="6"/>
  <c r="AD419" i="6" s="1"/>
  <c r="AA419" i="6"/>
  <c r="X419" i="6"/>
  <c r="W419" i="6"/>
  <c r="U419" i="6"/>
  <c r="R419" i="6"/>
  <c r="N419" i="6"/>
  <c r="L419" i="6"/>
  <c r="H419" i="6"/>
  <c r="I419" i="6" s="1"/>
  <c r="F419" i="6"/>
  <c r="C419" i="6"/>
  <c r="AD418" i="6"/>
  <c r="AC418" i="6"/>
  <c r="AA418" i="6"/>
  <c r="X418" i="6"/>
  <c r="W418" i="6"/>
  <c r="U418" i="6"/>
  <c r="R418" i="6"/>
  <c r="O418" i="6"/>
  <c r="N418" i="6"/>
  <c r="L418" i="6"/>
  <c r="H418" i="6"/>
  <c r="I418" i="6" s="1"/>
  <c r="F418" i="6"/>
  <c r="C418" i="6"/>
  <c r="AC417" i="6"/>
  <c r="AD417" i="6" s="1"/>
  <c r="AA417" i="6"/>
  <c r="W417" i="6"/>
  <c r="U417" i="6"/>
  <c r="R417" i="6"/>
  <c r="N417" i="6"/>
  <c r="O417" i="6" s="1"/>
  <c r="L417" i="6"/>
  <c r="I417" i="6"/>
  <c r="H417" i="6"/>
  <c r="F417" i="6"/>
  <c r="C417" i="6"/>
  <c r="AC416" i="6"/>
  <c r="AD416" i="6" s="1"/>
  <c r="AA416" i="6"/>
  <c r="W416" i="6"/>
  <c r="X416" i="6" s="1"/>
  <c r="U416" i="6"/>
  <c r="R416" i="6"/>
  <c r="O416" i="6"/>
  <c r="N416" i="6"/>
  <c r="L416" i="6"/>
  <c r="H416" i="6"/>
  <c r="I416" i="6" s="1"/>
  <c r="F416" i="6"/>
  <c r="C416" i="6"/>
  <c r="AC415" i="6"/>
  <c r="AD415" i="6" s="1"/>
  <c r="AA415" i="6"/>
  <c r="X415" i="6"/>
  <c r="W415" i="6"/>
  <c r="U415" i="6"/>
  <c r="R415" i="6"/>
  <c r="N415" i="6"/>
  <c r="L415" i="6"/>
  <c r="H415" i="6"/>
  <c r="I415" i="6" s="1"/>
  <c r="F415" i="6"/>
  <c r="C415" i="6"/>
  <c r="AD414" i="6"/>
  <c r="AC414" i="6"/>
  <c r="AA414" i="6"/>
  <c r="X414" i="6"/>
  <c r="W414" i="6"/>
  <c r="U414" i="6"/>
  <c r="R414" i="6"/>
  <c r="O414" i="6"/>
  <c r="N414" i="6"/>
  <c r="L414" i="6"/>
  <c r="H414" i="6"/>
  <c r="I414" i="6" s="1"/>
  <c r="F414" i="6"/>
  <c r="C414" i="6"/>
  <c r="AD413" i="6"/>
  <c r="AC413" i="6"/>
  <c r="AA413" i="6"/>
  <c r="W413" i="6"/>
  <c r="U413" i="6"/>
  <c r="R413" i="6"/>
  <c r="N413" i="6"/>
  <c r="O413" i="6" s="1"/>
  <c r="L413" i="6"/>
  <c r="I413" i="6"/>
  <c r="H413" i="6"/>
  <c r="F413" i="6"/>
  <c r="C413" i="6"/>
  <c r="AC412" i="6"/>
  <c r="AD412" i="6" s="1"/>
  <c r="AA412" i="6"/>
  <c r="W412" i="6"/>
  <c r="X412" i="6" s="1"/>
  <c r="U412" i="6"/>
  <c r="R412" i="6"/>
  <c r="O412" i="6"/>
  <c r="N412" i="6"/>
  <c r="L412" i="6"/>
  <c r="H412" i="6"/>
  <c r="I412" i="6" s="1"/>
  <c r="F412" i="6"/>
  <c r="C412" i="6"/>
  <c r="AC411" i="6"/>
  <c r="AD411" i="6" s="1"/>
  <c r="AA411" i="6"/>
  <c r="W411" i="6"/>
  <c r="X411" i="6" s="1"/>
  <c r="U411" i="6"/>
  <c r="R411" i="6"/>
  <c r="N411" i="6"/>
  <c r="L411" i="6"/>
  <c r="H411" i="6"/>
  <c r="I411" i="6" s="1"/>
  <c r="F411" i="6"/>
  <c r="C411" i="6"/>
  <c r="AD410" i="6"/>
  <c r="AC410" i="6"/>
  <c r="AA410" i="6"/>
  <c r="X410" i="6"/>
  <c r="W410" i="6"/>
  <c r="U410" i="6"/>
  <c r="R410" i="6"/>
  <c r="N410" i="6"/>
  <c r="O410" i="6" s="1"/>
  <c r="L410" i="6"/>
  <c r="H410" i="6"/>
  <c r="I410" i="6" s="1"/>
  <c r="F410" i="6"/>
  <c r="C410" i="6"/>
  <c r="AD409" i="6"/>
  <c r="AC409" i="6"/>
  <c r="AA409" i="6"/>
  <c r="W409" i="6"/>
  <c r="U409" i="6"/>
  <c r="R409" i="6"/>
  <c r="O409" i="6"/>
  <c r="N409" i="6"/>
  <c r="L409" i="6"/>
  <c r="I409" i="6"/>
  <c r="H409" i="6"/>
  <c r="F409" i="6"/>
  <c r="C409" i="6"/>
  <c r="AC408" i="6"/>
  <c r="AD408" i="6" s="1"/>
  <c r="AA408" i="6"/>
  <c r="X408" i="6"/>
  <c r="W408" i="6"/>
  <c r="U408" i="6"/>
  <c r="R408" i="6"/>
  <c r="O408" i="6"/>
  <c r="N408" i="6"/>
  <c r="L408" i="6"/>
  <c r="I408" i="6"/>
  <c r="H408" i="6"/>
  <c r="F408" i="6"/>
  <c r="C408" i="6"/>
  <c r="AC407" i="6"/>
  <c r="AD407" i="6" s="1"/>
  <c r="AA407" i="6"/>
  <c r="X407" i="6"/>
  <c r="W407" i="6"/>
  <c r="U407" i="6"/>
  <c r="R407" i="6"/>
  <c r="N407" i="6"/>
  <c r="L407" i="6"/>
  <c r="H407" i="6"/>
  <c r="I407" i="6" s="1"/>
  <c r="F407" i="6"/>
  <c r="C407" i="6"/>
  <c r="Z403" i="6"/>
  <c r="AA403" i="6" s="1"/>
  <c r="T403" i="6"/>
  <c r="U403" i="6" s="1"/>
  <c r="Q403" i="6"/>
  <c r="O403" i="6"/>
  <c r="L403" i="6"/>
  <c r="K403" i="6"/>
  <c r="H403" i="6"/>
  <c r="I403" i="6" s="1"/>
  <c r="E403" i="6"/>
  <c r="F403" i="6" s="1"/>
  <c r="B403" i="6"/>
  <c r="N403" i="6" s="1"/>
  <c r="AD402" i="6"/>
  <c r="AC402" i="6"/>
  <c r="AA402" i="6"/>
  <c r="X402" i="6"/>
  <c r="W402" i="6"/>
  <c r="U402" i="6"/>
  <c r="R402" i="6"/>
  <c r="O402" i="6"/>
  <c r="N402" i="6"/>
  <c r="L402" i="6"/>
  <c r="H402" i="6"/>
  <c r="I402" i="6" s="1"/>
  <c r="F402" i="6"/>
  <c r="C402" i="6"/>
  <c r="AD401" i="6"/>
  <c r="AC401" i="6"/>
  <c r="AA401" i="6"/>
  <c r="W401" i="6"/>
  <c r="U401" i="6"/>
  <c r="R401" i="6"/>
  <c r="N401" i="6"/>
  <c r="O401" i="6" s="1"/>
  <c r="L401" i="6"/>
  <c r="I401" i="6"/>
  <c r="H401" i="6"/>
  <c r="F401" i="6"/>
  <c r="C401" i="6"/>
  <c r="AC400" i="6"/>
  <c r="AD400" i="6" s="1"/>
  <c r="AA400" i="6"/>
  <c r="W400" i="6"/>
  <c r="X400" i="6" s="1"/>
  <c r="U400" i="6"/>
  <c r="R400" i="6"/>
  <c r="O400" i="6"/>
  <c r="N400" i="6"/>
  <c r="L400" i="6"/>
  <c r="H400" i="6"/>
  <c r="I400" i="6" s="1"/>
  <c r="F400" i="6"/>
  <c r="C400" i="6"/>
  <c r="AC399" i="6"/>
  <c r="AD399" i="6" s="1"/>
  <c r="AA399" i="6"/>
  <c r="X399" i="6"/>
  <c r="W399" i="6"/>
  <c r="U399" i="6"/>
  <c r="R399" i="6"/>
  <c r="N399" i="6"/>
  <c r="L399" i="6"/>
  <c r="H399" i="6"/>
  <c r="I399" i="6" s="1"/>
  <c r="F399" i="6"/>
  <c r="C399" i="6"/>
  <c r="AD398" i="6"/>
  <c r="AC398" i="6"/>
  <c r="AA398" i="6"/>
  <c r="X398" i="6"/>
  <c r="W398" i="6"/>
  <c r="U398" i="6"/>
  <c r="R398" i="6"/>
  <c r="O398" i="6"/>
  <c r="N398" i="6"/>
  <c r="L398" i="6"/>
  <c r="H398" i="6"/>
  <c r="I398" i="6" s="1"/>
  <c r="F398" i="6"/>
  <c r="C398" i="6"/>
  <c r="AD397" i="6"/>
  <c r="AC397" i="6"/>
  <c r="AA397" i="6"/>
  <c r="W397" i="6"/>
  <c r="U397" i="6"/>
  <c r="R397" i="6"/>
  <c r="N397" i="6"/>
  <c r="O397" i="6" s="1"/>
  <c r="L397" i="6"/>
  <c r="I397" i="6"/>
  <c r="H397" i="6"/>
  <c r="F397" i="6"/>
  <c r="C397" i="6"/>
  <c r="Z396" i="6"/>
  <c r="AC396" i="6" s="1"/>
  <c r="AD396" i="6" s="1"/>
  <c r="T396" i="6"/>
  <c r="U396" i="6" s="1"/>
  <c r="Q396" i="6"/>
  <c r="L396" i="6"/>
  <c r="K396" i="6"/>
  <c r="E396" i="6"/>
  <c r="F396" i="6" s="1"/>
  <c r="C396" i="6"/>
  <c r="B396" i="6"/>
  <c r="N396" i="6" s="1"/>
  <c r="O396" i="6" s="1"/>
  <c r="AD395" i="6"/>
  <c r="AC395" i="6"/>
  <c r="AA395" i="6"/>
  <c r="X395" i="6"/>
  <c r="W395" i="6"/>
  <c r="U395" i="6"/>
  <c r="R395" i="6"/>
  <c r="O395" i="6"/>
  <c r="N395" i="6"/>
  <c r="L395" i="6"/>
  <c r="H395" i="6"/>
  <c r="I395" i="6" s="1"/>
  <c r="F395" i="6"/>
  <c r="C395" i="6"/>
  <c r="AC394" i="6"/>
  <c r="AD394" i="6" s="1"/>
  <c r="AA394" i="6"/>
  <c r="W394" i="6"/>
  <c r="U394" i="6"/>
  <c r="R394" i="6"/>
  <c r="N394" i="6"/>
  <c r="O394" i="6" s="1"/>
  <c r="L394" i="6"/>
  <c r="I394" i="6"/>
  <c r="H394" i="6"/>
  <c r="F394" i="6"/>
  <c r="C394" i="6"/>
  <c r="Z393" i="6"/>
  <c r="AC393" i="6" s="1"/>
  <c r="AD393" i="6" s="1"/>
  <c r="T393" i="6"/>
  <c r="U393" i="6" s="1"/>
  <c r="Q393" i="6"/>
  <c r="L393" i="6"/>
  <c r="K393" i="6"/>
  <c r="E393" i="6"/>
  <c r="F393" i="6" s="1"/>
  <c r="C393" i="6"/>
  <c r="B393" i="6"/>
  <c r="N393" i="6" s="1"/>
  <c r="O393" i="6" s="1"/>
  <c r="AD392" i="6"/>
  <c r="AC392" i="6"/>
  <c r="AA392" i="6"/>
  <c r="X392" i="6"/>
  <c r="W392" i="6"/>
  <c r="U392" i="6"/>
  <c r="R392" i="6"/>
  <c r="O392" i="6"/>
  <c r="N392" i="6"/>
  <c r="L392" i="6"/>
  <c r="H392" i="6"/>
  <c r="I392" i="6" s="1"/>
  <c r="F392" i="6"/>
  <c r="C392" i="6"/>
  <c r="AC391" i="6"/>
  <c r="AD391" i="6" s="1"/>
  <c r="AA391" i="6"/>
  <c r="W391" i="6"/>
  <c r="U391" i="6"/>
  <c r="R391" i="6"/>
  <c r="O391" i="6"/>
  <c r="N391" i="6"/>
  <c r="L391" i="6"/>
  <c r="I391" i="6"/>
  <c r="H391" i="6"/>
  <c r="F391" i="6"/>
  <c r="C391" i="6"/>
  <c r="AC390" i="6"/>
  <c r="AD390" i="6" s="1"/>
  <c r="AA390" i="6"/>
  <c r="W390" i="6"/>
  <c r="X390" i="6" s="1"/>
  <c r="U390" i="6"/>
  <c r="R390" i="6"/>
  <c r="O390" i="6"/>
  <c r="N390" i="6"/>
  <c r="L390" i="6"/>
  <c r="I390" i="6"/>
  <c r="H390" i="6"/>
  <c r="F390" i="6"/>
  <c r="C390" i="6"/>
  <c r="AC389" i="6"/>
  <c r="AD389" i="6" s="1"/>
  <c r="AA389" i="6"/>
  <c r="W389" i="6"/>
  <c r="X389" i="6" s="1"/>
  <c r="U389" i="6"/>
  <c r="R389" i="6"/>
  <c r="N389" i="6"/>
  <c r="L389" i="6"/>
  <c r="H389" i="6"/>
  <c r="I389" i="6" s="1"/>
  <c r="F389" i="6"/>
  <c r="C389" i="6"/>
  <c r="AD388" i="6"/>
  <c r="AC388" i="6"/>
  <c r="AA388" i="6"/>
  <c r="X388" i="6"/>
  <c r="W388" i="6"/>
  <c r="U388" i="6"/>
  <c r="R388" i="6"/>
  <c r="N388" i="6"/>
  <c r="O388" i="6" s="1"/>
  <c r="L388" i="6"/>
  <c r="H388" i="6"/>
  <c r="I388" i="6" s="1"/>
  <c r="F388" i="6"/>
  <c r="C388" i="6"/>
  <c r="AD386" i="6"/>
  <c r="AC386" i="6"/>
  <c r="AA386" i="6"/>
  <c r="X386" i="6"/>
  <c r="W386" i="6"/>
  <c r="U386" i="6"/>
  <c r="R386" i="6"/>
  <c r="O386" i="6"/>
  <c r="N386" i="6"/>
  <c r="L386" i="6"/>
  <c r="H386" i="6"/>
  <c r="I386" i="6" s="1"/>
  <c r="F386" i="6"/>
  <c r="C386" i="6"/>
  <c r="AC385" i="6"/>
  <c r="AD385" i="6" s="1"/>
  <c r="AA385" i="6"/>
  <c r="X385" i="6"/>
  <c r="W385" i="6"/>
  <c r="U385" i="6"/>
  <c r="R385" i="6"/>
  <c r="O385" i="6"/>
  <c r="N385" i="6"/>
  <c r="L385" i="6"/>
  <c r="I385" i="6"/>
  <c r="H385" i="6"/>
  <c r="F385" i="6"/>
  <c r="C385" i="6"/>
  <c r="AC383" i="6"/>
  <c r="AD383" i="6" s="1"/>
  <c r="AA383" i="6"/>
  <c r="X383" i="6"/>
  <c r="W383" i="6"/>
  <c r="U383" i="6"/>
  <c r="R383" i="6"/>
  <c r="O383" i="6"/>
  <c r="N383" i="6"/>
  <c r="L383" i="6"/>
  <c r="H383" i="6"/>
  <c r="I383" i="6" s="1"/>
  <c r="F383" i="6"/>
  <c r="C383" i="6"/>
  <c r="AD382" i="6"/>
  <c r="AC382" i="6"/>
  <c r="AA382" i="6"/>
  <c r="X382" i="6"/>
  <c r="W382" i="6"/>
  <c r="U382" i="6"/>
  <c r="R382" i="6"/>
  <c r="N382" i="6"/>
  <c r="O382" i="6" s="1"/>
  <c r="L382" i="6"/>
  <c r="H382" i="6"/>
  <c r="I382" i="6" s="1"/>
  <c r="F382" i="6"/>
  <c r="C382" i="6"/>
  <c r="AD381" i="6"/>
  <c r="AC381" i="6"/>
  <c r="AA381" i="6"/>
  <c r="X381" i="6"/>
  <c r="W381" i="6"/>
  <c r="U381" i="6"/>
  <c r="R381" i="6"/>
  <c r="N381" i="6"/>
  <c r="O381" i="6" s="1"/>
  <c r="L381" i="6"/>
  <c r="H381" i="6"/>
  <c r="I381" i="6" s="1"/>
  <c r="F381" i="6"/>
  <c r="C381" i="6"/>
  <c r="AC380" i="6"/>
  <c r="AD380" i="6" s="1"/>
  <c r="AA380" i="6"/>
  <c r="X380" i="6"/>
  <c r="W380" i="6"/>
  <c r="U380" i="6"/>
  <c r="R380" i="6"/>
  <c r="O380" i="6"/>
  <c r="N380" i="6"/>
  <c r="L380" i="6"/>
  <c r="H380" i="6"/>
  <c r="I380" i="6" s="1"/>
  <c r="F380" i="6"/>
  <c r="C380" i="6"/>
  <c r="AC379" i="6"/>
  <c r="AD379" i="6" s="1"/>
  <c r="AA379" i="6"/>
  <c r="W379" i="6"/>
  <c r="X379" i="6" s="1"/>
  <c r="U379" i="6"/>
  <c r="R379" i="6"/>
  <c r="O379" i="6"/>
  <c r="N379" i="6"/>
  <c r="L379" i="6"/>
  <c r="H379" i="6"/>
  <c r="I379" i="6" s="1"/>
  <c r="F379" i="6"/>
  <c r="C379" i="6"/>
  <c r="AC378" i="6"/>
  <c r="AD378" i="6" s="1"/>
  <c r="AA378" i="6"/>
  <c r="X378" i="6"/>
  <c r="W378" i="6"/>
  <c r="U378" i="6"/>
  <c r="R378" i="6"/>
  <c r="N378" i="6"/>
  <c r="O378" i="6" s="1"/>
  <c r="L378" i="6"/>
  <c r="H378" i="6"/>
  <c r="I378" i="6" s="1"/>
  <c r="F378" i="6"/>
  <c r="C378" i="6"/>
  <c r="AD377" i="6"/>
  <c r="AC377" i="6"/>
  <c r="AA377" i="6"/>
  <c r="X377" i="6"/>
  <c r="W377" i="6"/>
  <c r="U377" i="6"/>
  <c r="R377" i="6"/>
  <c r="O377" i="6"/>
  <c r="N377" i="6"/>
  <c r="L377" i="6"/>
  <c r="H377" i="6"/>
  <c r="I377" i="6" s="1"/>
  <c r="F377" i="6"/>
  <c r="C377" i="6"/>
  <c r="AC376" i="6"/>
  <c r="AD376" i="6" s="1"/>
  <c r="AA376" i="6"/>
  <c r="X376" i="6"/>
  <c r="W376" i="6"/>
  <c r="U376" i="6"/>
  <c r="R376" i="6"/>
  <c r="O376" i="6"/>
  <c r="N376" i="6"/>
  <c r="L376" i="6"/>
  <c r="I376" i="6"/>
  <c r="H376" i="6"/>
  <c r="F376" i="6"/>
  <c r="C376" i="6"/>
  <c r="AC375" i="6"/>
  <c r="AD375" i="6" s="1"/>
  <c r="AA375" i="6"/>
  <c r="W375" i="6"/>
  <c r="X375" i="6" s="1"/>
  <c r="U375" i="6"/>
  <c r="R375" i="6"/>
  <c r="O375" i="6"/>
  <c r="N375" i="6"/>
  <c r="L375" i="6"/>
  <c r="H375" i="6"/>
  <c r="I375" i="6" s="1"/>
  <c r="F375" i="6"/>
  <c r="C375" i="6"/>
  <c r="AD374" i="6"/>
  <c r="AC374" i="6"/>
  <c r="AA374" i="6"/>
  <c r="X374" i="6"/>
  <c r="W374" i="6"/>
  <c r="U374" i="6"/>
  <c r="R374" i="6"/>
  <c r="N374" i="6"/>
  <c r="O374" i="6" s="1"/>
  <c r="L374" i="6"/>
  <c r="H374" i="6"/>
  <c r="I374" i="6" s="1"/>
  <c r="F374" i="6"/>
  <c r="C374" i="6"/>
  <c r="AC373" i="6"/>
  <c r="AD373" i="6" s="1"/>
  <c r="AA373" i="6"/>
  <c r="X373" i="6"/>
  <c r="W373" i="6"/>
  <c r="U373" i="6"/>
  <c r="R373" i="6"/>
  <c r="N373" i="6"/>
  <c r="O373" i="6" s="1"/>
  <c r="L373" i="6"/>
  <c r="H373" i="6"/>
  <c r="I373" i="6" s="1"/>
  <c r="F373" i="6"/>
  <c r="C373" i="6"/>
  <c r="AC372" i="6"/>
  <c r="AD372" i="6" s="1"/>
  <c r="AA372" i="6"/>
  <c r="W372" i="6"/>
  <c r="X372" i="6" s="1"/>
  <c r="U372" i="6"/>
  <c r="R372" i="6"/>
  <c r="O372" i="6"/>
  <c r="N372" i="6"/>
  <c r="L372" i="6"/>
  <c r="H372" i="6"/>
  <c r="I372" i="6" s="1"/>
  <c r="F372" i="6"/>
  <c r="C372" i="6"/>
  <c r="AC371" i="6"/>
  <c r="AD371" i="6" s="1"/>
  <c r="AA371" i="6"/>
  <c r="W371" i="6"/>
  <c r="X371" i="6" s="1"/>
  <c r="U371" i="6"/>
  <c r="R371" i="6"/>
  <c r="O371" i="6"/>
  <c r="N371" i="6"/>
  <c r="L371" i="6"/>
  <c r="H371" i="6"/>
  <c r="I371" i="6" s="1"/>
  <c r="F371" i="6"/>
  <c r="C371" i="6"/>
  <c r="AD370" i="6"/>
  <c r="AC370" i="6"/>
  <c r="AA370" i="6"/>
  <c r="X370" i="6"/>
  <c r="W370" i="6"/>
  <c r="U370" i="6"/>
  <c r="R370" i="6"/>
  <c r="N370" i="6"/>
  <c r="O370" i="6" s="1"/>
  <c r="L370" i="6"/>
  <c r="H370" i="6"/>
  <c r="I370" i="6" s="1"/>
  <c r="F370" i="6"/>
  <c r="C370" i="6"/>
  <c r="AD369" i="6"/>
  <c r="AC369" i="6"/>
  <c r="AA369" i="6"/>
  <c r="X369" i="6"/>
  <c r="W369" i="6"/>
  <c r="U369" i="6"/>
  <c r="R369" i="6"/>
  <c r="O369" i="6"/>
  <c r="N369" i="6"/>
  <c r="L369" i="6"/>
  <c r="H369" i="6"/>
  <c r="I369" i="6" s="1"/>
  <c r="F369" i="6"/>
  <c r="C369" i="6"/>
  <c r="AA368" i="6"/>
  <c r="Z368" i="6"/>
  <c r="T368" i="6"/>
  <c r="U368" i="6" s="1"/>
  <c r="Q368" i="6"/>
  <c r="L368" i="6"/>
  <c r="K368" i="6"/>
  <c r="E368" i="6"/>
  <c r="F368" i="6" s="1"/>
  <c r="B368" i="6"/>
  <c r="H368" i="6" s="1"/>
  <c r="I368" i="6" s="1"/>
  <c r="AD367" i="6"/>
  <c r="AC367" i="6"/>
  <c r="AA367" i="6"/>
  <c r="X367" i="6"/>
  <c r="W367" i="6"/>
  <c r="U367" i="6"/>
  <c r="R367" i="6"/>
  <c r="N367" i="6"/>
  <c r="O367" i="6" s="1"/>
  <c r="L367" i="6"/>
  <c r="H367" i="6"/>
  <c r="I367" i="6" s="1"/>
  <c r="F367" i="6"/>
  <c r="C367" i="6"/>
  <c r="AC366" i="6"/>
  <c r="AD366" i="6" s="1"/>
  <c r="AA366" i="6"/>
  <c r="X366" i="6"/>
  <c r="W366" i="6"/>
  <c r="U366" i="6"/>
  <c r="R366" i="6"/>
  <c r="N366" i="6"/>
  <c r="O366" i="6" s="1"/>
  <c r="L366" i="6"/>
  <c r="H366" i="6"/>
  <c r="I366" i="6" s="1"/>
  <c r="F366" i="6"/>
  <c r="C366" i="6"/>
  <c r="AC365" i="6"/>
  <c r="AD365" i="6" s="1"/>
  <c r="AA365" i="6"/>
  <c r="W365" i="6"/>
  <c r="X365" i="6" s="1"/>
  <c r="U365" i="6"/>
  <c r="R365" i="6"/>
  <c r="O365" i="6"/>
  <c r="N365" i="6"/>
  <c r="L365" i="6"/>
  <c r="H365" i="6"/>
  <c r="I365" i="6" s="1"/>
  <c r="F365" i="6"/>
  <c r="C365" i="6"/>
  <c r="AC364" i="6"/>
  <c r="AD364" i="6" s="1"/>
  <c r="AA364" i="6"/>
  <c r="X364" i="6"/>
  <c r="W364" i="6"/>
  <c r="U364" i="6"/>
  <c r="R364" i="6"/>
  <c r="O364" i="6"/>
  <c r="N364" i="6"/>
  <c r="L364" i="6"/>
  <c r="H364" i="6"/>
  <c r="I364" i="6" s="1"/>
  <c r="F364" i="6"/>
  <c r="C364" i="6"/>
  <c r="AC363" i="6"/>
  <c r="AD363" i="6" s="1"/>
  <c r="AA363" i="6"/>
  <c r="X363" i="6"/>
  <c r="W363" i="6"/>
  <c r="U363" i="6"/>
  <c r="R363" i="6"/>
  <c r="O363" i="6"/>
  <c r="N363" i="6"/>
  <c r="L363" i="6"/>
  <c r="H363" i="6"/>
  <c r="I363" i="6" s="1"/>
  <c r="F363" i="6"/>
  <c r="C363" i="6"/>
  <c r="AC362" i="6"/>
  <c r="AD362" i="6" s="1"/>
  <c r="AA362" i="6"/>
  <c r="X362" i="6"/>
  <c r="W362" i="6"/>
  <c r="U362" i="6"/>
  <c r="R362" i="6"/>
  <c r="O362" i="6"/>
  <c r="N362" i="6"/>
  <c r="L362" i="6"/>
  <c r="I362" i="6"/>
  <c r="H362" i="6"/>
  <c r="F362" i="6"/>
  <c r="C362" i="6"/>
  <c r="AC361" i="6"/>
  <c r="AD361" i="6" s="1"/>
  <c r="AA361" i="6"/>
  <c r="W361" i="6"/>
  <c r="X361" i="6" s="1"/>
  <c r="U361" i="6"/>
  <c r="R361" i="6"/>
  <c r="O361" i="6"/>
  <c r="N361" i="6"/>
  <c r="L361" i="6"/>
  <c r="I361" i="6"/>
  <c r="H361" i="6"/>
  <c r="F361" i="6"/>
  <c r="C361" i="6"/>
  <c r="AC360" i="6"/>
  <c r="AD360" i="6" s="1"/>
  <c r="AA360" i="6"/>
  <c r="X360" i="6"/>
  <c r="W360" i="6"/>
  <c r="U360" i="6"/>
  <c r="R360" i="6"/>
  <c r="O360" i="6"/>
  <c r="N360" i="6"/>
  <c r="L360" i="6"/>
  <c r="H360" i="6"/>
  <c r="I360" i="6" s="1"/>
  <c r="F360" i="6"/>
  <c r="C360" i="6"/>
  <c r="Z358" i="6"/>
  <c r="AA358" i="6" s="1"/>
  <c r="T358" i="6"/>
  <c r="U358" i="6" s="1"/>
  <c r="Q358" i="6"/>
  <c r="W358" i="6" s="1"/>
  <c r="X358" i="6" s="1"/>
  <c r="K358" i="6"/>
  <c r="L358" i="6" s="1"/>
  <c r="E358" i="6"/>
  <c r="F358" i="6" s="1"/>
  <c r="B358" i="6"/>
  <c r="N358" i="6" s="1"/>
  <c r="O358" i="6" s="1"/>
  <c r="AC357" i="6"/>
  <c r="AD357" i="6" s="1"/>
  <c r="AA357" i="6"/>
  <c r="X357" i="6"/>
  <c r="W357" i="6"/>
  <c r="U357" i="6"/>
  <c r="R357" i="6"/>
  <c r="O357" i="6"/>
  <c r="N357" i="6"/>
  <c r="L357" i="6"/>
  <c r="H357" i="6"/>
  <c r="I357" i="6" s="1"/>
  <c r="F357" i="6"/>
  <c r="C357" i="6"/>
  <c r="AC356" i="6"/>
  <c r="AD356" i="6" s="1"/>
  <c r="AA356" i="6"/>
  <c r="X356" i="6"/>
  <c r="W356" i="6"/>
  <c r="U356" i="6"/>
  <c r="R356" i="6"/>
  <c r="O356" i="6"/>
  <c r="N356" i="6"/>
  <c r="L356" i="6"/>
  <c r="H356" i="6"/>
  <c r="I356" i="6" s="1"/>
  <c r="F356" i="6"/>
  <c r="C356" i="6"/>
  <c r="AC355" i="6"/>
  <c r="AD355" i="6" s="1"/>
  <c r="AA355" i="6"/>
  <c r="X355" i="6"/>
  <c r="W355" i="6"/>
  <c r="U355" i="6"/>
  <c r="R355" i="6"/>
  <c r="N355" i="6"/>
  <c r="O355" i="6" s="1"/>
  <c r="L355" i="6"/>
  <c r="H355" i="6"/>
  <c r="I355" i="6" s="1"/>
  <c r="F355" i="6"/>
  <c r="C355" i="6"/>
  <c r="AC354" i="6"/>
  <c r="AD354" i="6" s="1"/>
  <c r="AA354" i="6"/>
  <c r="X354" i="6"/>
  <c r="W354" i="6"/>
  <c r="U354" i="6"/>
  <c r="R354" i="6"/>
  <c r="N354" i="6"/>
  <c r="O354" i="6" s="1"/>
  <c r="L354" i="6"/>
  <c r="H354" i="6"/>
  <c r="I354" i="6" s="1"/>
  <c r="F354" i="6"/>
  <c r="C354" i="6"/>
  <c r="AC353" i="6"/>
  <c r="AD353" i="6" s="1"/>
  <c r="AA353" i="6"/>
  <c r="W353" i="6"/>
  <c r="X353" i="6" s="1"/>
  <c r="U353" i="6"/>
  <c r="R353" i="6"/>
  <c r="O353" i="6"/>
  <c r="N353" i="6"/>
  <c r="L353" i="6"/>
  <c r="H353" i="6"/>
  <c r="I353" i="6" s="1"/>
  <c r="F353" i="6"/>
  <c r="C353" i="6"/>
  <c r="AD352" i="6"/>
  <c r="AC352" i="6"/>
  <c r="AA352" i="6"/>
  <c r="X352" i="6"/>
  <c r="W352" i="6"/>
  <c r="U352" i="6"/>
  <c r="R352" i="6"/>
  <c r="N352" i="6"/>
  <c r="O352" i="6" s="1"/>
  <c r="L352" i="6"/>
  <c r="H352" i="6"/>
  <c r="I352" i="6" s="1"/>
  <c r="F352" i="6"/>
  <c r="C352" i="6"/>
  <c r="AC351" i="6"/>
  <c r="AD351" i="6" s="1"/>
  <c r="AA351" i="6"/>
  <c r="X351" i="6"/>
  <c r="W351" i="6"/>
  <c r="U351" i="6"/>
  <c r="R351" i="6"/>
  <c r="N351" i="6"/>
  <c r="O351" i="6" s="1"/>
  <c r="L351" i="6"/>
  <c r="I351" i="6"/>
  <c r="H351" i="6"/>
  <c r="F351" i="6"/>
  <c r="C351" i="6"/>
  <c r="AD350" i="6"/>
  <c r="AC350" i="6"/>
  <c r="AA350" i="6"/>
  <c r="W350" i="6"/>
  <c r="X350" i="6" s="1"/>
  <c r="U350" i="6"/>
  <c r="R350" i="6"/>
  <c r="O350" i="6"/>
  <c r="N350" i="6"/>
  <c r="L350" i="6"/>
  <c r="H350" i="6"/>
  <c r="I350" i="6" s="1"/>
  <c r="F350" i="6"/>
  <c r="C350" i="6"/>
  <c r="AC349" i="6"/>
  <c r="AD349" i="6" s="1"/>
  <c r="AA349" i="6"/>
  <c r="X349" i="6"/>
  <c r="W349" i="6"/>
  <c r="U349" i="6"/>
  <c r="R349" i="6"/>
  <c r="O349" i="6"/>
  <c r="N349" i="6"/>
  <c r="L349" i="6"/>
  <c r="I349" i="6"/>
  <c r="H349" i="6"/>
  <c r="F349" i="6"/>
  <c r="C349" i="6"/>
  <c r="AC347" i="6"/>
  <c r="AD347" i="6" s="1"/>
  <c r="AA347" i="6"/>
  <c r="X347" i="6"/>
  <c r="W347" i="6"/>
  <c r="U347" i="6"/>
  <c r="R347" i="6"/>
  <c r="N347" i="6"/>
  <c r="O347" i="6" s="1"/>
  <c r="L347" i="6"/>
  <c r="H347" i="6"/>
  <c r="I347" i="6" s="1"/>
  <c r="F347" i="6"/>
  <c r="C347" i="6"/>
  <c r="Z344" i="6"/>
  <c r="AC344" i="6" s="1"/>
  <c r="AD344" i="6" s="1"/>
  <c r="T344" i="6"/>
  <c r="U344" i="6" s="1"/>
  <c r="Q344" i="6"/>
  <c r="N344" i="6"/>
  <c r="O344" i="6" s="1"/>
  <c r="L344" i="6"/>
  <c r="K344" i="6"/>
  <c r="H344" i="6"/>
  <c r="I344" i="6" s="1"/>
  <c r="F344" i="6"/>
  <c r="E344" i="6"/>
  <c r="C344" i="6"/>
  <c r="B344" i="6"/>
  <c r="Z343" i="6"/>
  <c r="AA343" i="6" s="1"/>
  <c r="W343" i="6"/>
  <c r="X343" i="6" s="1"/>
  <c r="U343" i="6"/>
  <c r="T343" i="6"/>
  <c r="R343" i="6"/>
  <c r="Q343" i="6"/>
  <c r="L343" i="6"/>
  <c r="K343" i="6"/>
  <c r="H343" i="6"/>
  <c r="I343" i="6" s="1"/>
  <c r="F343" i="6"/>
  <c r="E343" i="6"/>
  <c r="B343" i="6"/>
  <c r="C343" i="6" s="1"/>
  <c r="AC342" i="6"/>
  <c r="AD342" i="6" s="1"/>
  <c r="AA342" i="6"/>
  <c r="Z342" i="6"/>
  <c r="T342" i="6"/>
  <c r="U342" i="6" s="1"/>
  <c r="R342" i="6"/>
  <c r="Q342" i="6"/>
  <c r="L342" i="6"/>
  <c r="K342" i="6"/>
  <c r="H342" i="6"/>
  <c r="I342" i="6" s="1"/>
  <c r="F342" i="6"/>
  <c r="E342" i="6"/>
  <c r="B342" i="6"/>
  <c r="C342" i="6" s="1"/>
  <c r="AD341" i="6"/>
  <c r="AC341" i="6"/>
  <c r="AA341" i="6"/>
  <c r="W341" i="6"/>
  <c r="X341" i="6" s="1"/>
  <c r="U341" i="6"/>
  <c r="R341" i="6"/>
  <c r="O341" i="6"/>
  <c r="N341" i="6"/>
  <c r="L341" i="6"/>
  <c r="H341" i="6"/>
  <c r="I341" i="6" s="1"/>
  <c r="F341" i="6"/>
  <c r="C341" i="6"/>
  <c r="AD340" i="6"/>
  <c r="AC340" i="6"/>
  <c r="AA340" i="6"/>
  <c r="W340" i="6"/>
  <c r="X340" i="6" s="1"/>
  <c r="U340" i="6"/>
  <c r="R340" i="6"/>
  <c r="N340" i="6"/>
  <c r="O340" i="6" s="1"/>
  <c r="L340" i="6"/>
  <c r="I340" i="6"/>
  <c r="H340" i="6"/>
  <c r="F340" i="6"/>
  <c r="C340" i="6"/>
  <c r="AD339" i="6"/>
  <c r="AC339" i="6"/>
  <c r="AA339" i="6"/>
  <c r="X339" i="6"/>
  <c r="W339" i="6"/>
  <c r="U339" i="6"/>
  <c r="R339" i="6"/>
  <c r="N339" i="6"/>
  <c r="O339" i="6" s="1"/>
  <c r="L339" i="6"/>
  <c r="I339" i="6"/>
  <c r="H339" i="6"/>
  <c r="F339" i="6"/>
  <c r="C339" i="6"/>
  <c r="AC338" i="6"/>
  <c r="AD338" i="6" s="1"/>
  <c r="AA338" i="6"/>
  <c r="W338" i="6"/>
  <c r="X338" i="6" s="1"/>
  <c r="U338" i="6"/>
  <c r="R338" i="6"/>
  <c r="N338" i="6"/>
  <c r="O338" i="6" s="1"/>
  <c r="L338" i="6"/>
  <c r="H338" i="6"/>
  <c r="I338" i="6" s="1"/>
  <c r="F338" i="6"/>
  <c r="C338" i="6"/>
  <c r="AD337" i="6"/>
  <c r="AC337" i="6"/>
  <c r="AA337" i="6"/>
  <c r="X337" i="6"/>
  <c r="W337" i="6"/>
  <c r="U337" i="6"/>
  <c r="R337" i="6"/>
  <c r="O337" i="6"/>
  <c r="N337" i="6"/>
  <c r="L337" i="6"/>
  <c r="H337" i="6"/>
  <c r="I337" i="6" s="1"/>
  <c r="F337" i="6"/>
  <c r="C337" i="6"/>
  <c r="AC335" i="6"/>
  <c r="AD335" i="6" s="1"/>
  <c r="AA335" i="6"/>
  <c r="W335" i="6"/>
  <c r="X335" i="6" s="1"/>
  <c r="U335" i="6"/>
  <c r="R335" i="6"/>
  <c r="O335" i="6"/>
  <c r="N335" i="6"/>
  <c r="L335" i="6"/>
  <c r="I335" i="6"/>
  <c r="H335" i="6"/>
  <c r="F335" i="6"/>
  <c r="C335" i="6"/>
  <c r="AC334" i="6"/>
  <c r="AD334" i="6" s="1"/>
  <c r="AA334" i="6"/>
  <c r="X334" i="6"/>
  <c r="W334" i="6"/>
  <c r="U334" i="6"/>
  <c r="R334" i="6"/>
  <c r="O334" i="6"/>
  <c r="N334" i="6"/>
  <c r="L334" i="6"/>
  <c r="H334" i="6"/>
  <c r="I334" i="6" s="1"/>
  <c r="F334" i="6"/>
  <c r="C334" i="6"/>
  <c r="AC333" i="6"/>
  <c r="AD333" i="6" s="1"/>
  <c r="AA333" i="6"/>
  <c r="W333" i="6"/>
  <c r="X333" i="6" s="1"/>
  <c r="U333" i="6"/>
  <c r="R333" i="6"/>
  <c r="N333" i="6"/>
  <c r="O333" i="6" s="1"/>
  <c r="L333" i="6"/>
  <c r="I333" i="6"/>
  <c r="H333" i="6"/>
  <c r="F333" i="6"/>
  <c r="C333" i="6"/>
  <c r="AD332" i="6"/>
  <c r="AC332" i="6"/>
  <c r="AA332" i="6"/>
  <c r="W332" i="6"/>
  <c r="X332" i="6" s="1"/>
  <c r="U332" i="6"/>
  <c r="R332" i="6"/>
  <c r="O332" i="6"/>
  <c r="N332" i="6"/>
  <c r="L332" i="6"/>
  <c r="H332" i="6"/>
  <c r="I332" i="6" s="1"/>
  <c r="F332" i="6"/>
  <c r="C332" i="6"/>
  <c r="AD331" i="6"/>
  <c r="AC331" i="6"/>
  <c r="AA331" i="6"/>
  <c r="W331" i="6"/>
  <c r="X331" i="6" s="1"/>
  <c r="U331" i="6"/>
  <c r="R331" i="6"/>
  <c r="N331" i="6"/>
  <c r="O331" i="6" s="1"/>
  <c r="L331" i="6"/>
  <c r="I331" i="6"/>
  <c r="H331" i="6"/>
  <c r="F331" i="6"/>
  <c r="C331" i="6"/>
  <c r="AD330" i="6"/>
  <c r="AC330" i="6"/>
  <c r="AA330" i="6"/>
  <c r="X330" i="6"/>
  <c r="W330" i="6"/>
  <c r="U330" i="6"/>
  <c r="R330" i="6"/>
  <c r="N330" i="6"/>
  <c r="O330" i="6" s="1"/>
  <c r="L330" i="6"/>
  <c r="I330" i="6"/>
  <c r="H330" i="6"/>
  <c r="F330" i="6"/>
  <c r="C330" i="6"/>
  <c r="AC329" i="6"/>
  <c r="AD329" i="6" s="1"/>
  <c r="AA329" i="6"/>
  <c r="W329" i="6"/>
  <c r="X329" i="6" s="1"/>
  <c r="U329" i="6"/>
  <c r="R329" i="6"/>
  <c r="N329" i="6"/>
  <c r="O329" i="6" s="1"/>
  <c r="L329" i="6"/>
  <c r="H329" i="6"/>
  <c r="I329" i="6" s="1"/>
  <c r="F329" i="6"/>
  <c r="C329" i="6"/>
  <c r="AD328" i="6"/>
  <c r="AC328" i="6"/>
  <c r="AA328" i="6"/>
  <c r="X328" i="6"/>
  <c r="W328" i="6"/>
  <c r="U328" i="6"/>
  <c r="R328" i="6"/>
  <c r="N328" i="6"/>
  <c r="O328" i="6" s="1"/>
  <c r="L328" i="6"/>
  <c r="H328" i="6"/>
  <c r="I328" i="6" s="1"/>
  <c r="F328" i="6"/>
  <c r="C328" i="6"/>
  <c r="AA325" i="6"/>
  <c r="Z325" i="6"/>
  <c r="T325" i="6"/>
  <c r="U325" i="6" s="1"/>
  <c r="Q325" i="6"/>
  <c r="R325" i="6" s="1"/>
  <c r="K325" i="6"/>
  <c r="L325" i="6" s="1"/>
  <c r="I325" i="6"/>
  <c r="H325" i="6"/>
  <c r="E325" i="6"/>
  <c r="F325" i="6" s="1"/>
  <c r="C325" i="6"/>
  <c r="B325" i="6"/>
  <c r="N325" i="6" s="1"/>
  <c r="O325" i="6" s="1"/>
  <c r="AA324" i="6"/>
  <c r="Z324" i="6"/>
  <c r="U324" i="6"/>
  <c r="T324" i="6"/>
  <c r="Q324" i="6"/>
  <c r="R324" i="6" s="1"/>
  <c r="N324" i="6"/>
  <c r="O324" i="6" s="1"/>
  <c r="L324" i="6"/>
  <c r="K324" i="6"/>
  <c r="F324" i="6"/>
  <c r="E324" i="6"/>
  <c r="C324" i="6"/>
  <c r="B324" i="6"/>
  <c r="H324" i="6" s="1"/>
  <c r="I324" i="6" s="1"/>
  <c r="AD323" i="6"/>
  <c r="AC323" i="6"/>
  <c r="AA323" i="6"/>
  <c r="W323" i="6"/>
  <c r="X323" i="6" s="1"/>
  <c r="U323" i="6"/>
  <c r="R323" i="6"/>
  <c r="O323" i="6"/>
  <c r="N323" i="6"/>
  <c r="L323" i="6"/>
  <c r="I323" i="6"/>
  <c r="H323" i="6"/>
  <c r="F323" i="6"/>
  <c r="C323" i="6"/>
  <c r="AC322" i="6"/>
  <c r="AD322" i="6" s="1"/>
  <c r="AA322" i="6"/>
  <c r="X322" i="6"/>
  <c r="W322" i="6"/>
  <c r="U322" i="6"/>
  <c r="R322" i="6"/>
  <c r="O322" i="6"/>
  <c r="N322" i="6"/>
  <c r="L322" i="6"/>
  <c r="H322" i="6"/>
  <c r="I322" i="6" s="1"/>
  <c r="F322" i="6"/>
  <c r="C322" i="6"/>
  <c r="AC321" i="6"/>
  <c r="AD321" i="6" s="1"/>
  <c r="AA321" i="6"/>
  <c r="X321" i="6"/>
  <c r="W321" i="6"/>
  <c r="U321" i="6"/>
  <c r="R321" i="6"/>
  <c r="N321" i="6"/>
  <c r="O321" i="6" s="1"/>
  <c r="L321" i="6"/>
  <c r="I321" i="6"/>
  <c r="H321" i="6"/>
  <c r="F321" i="6"/>
  <c r="C321" i="6"/>
  <c r="AD320" i="6"/>
  <c r="AC320" i="6"/>
  <c r="AA320" i="6"/>
  <c r="W320" i="6"/>
  <c r="X320" i="6" s="1"/>
  <c r="U320" i="6"/>
  <c r="R320" i="6"/>
  <c r="N320" i="6"/>
  <c r="O320" i="6" s="1"/>
  <c r="L320" i="6"/>
  <c r="I320" i="6"/>
  <c r="H320" i="6"/>
  <c r="F320" i="6"/>
  <c r="C320" i="6"/>
  <c r="AD319" i="6"/>
  <c r="AC319" i="6"/>
  <c r="AA319" i="6"/>
  <c r="W319" i="6"/>
  <c r="X319" i="6" s="1"/>
  <c r="U319" i="6"/>
  <c r="R319" i="6"/>
  <c r="O319" i="6"/>
  <c r="N319" i="6"/>
  <c r="L319" i="6"/>
  <c r="I319" i="6"/>
  <c r="H319" i="6"/>
  <c r="F319" i="6"/>
  <c r="C319" i="6"/>
  <c r="AC318" i="6"/>
  <c r="AD318" i="6" s="1"/>
  <c r="AA318" i="6"/>
  <c r="X318" i="6"/>
  <c r="W318" i="6"/>
  <c r="U318" i="6"/>
  <c r="R318" i="6"/>
  <c r="O318" i="6"/>
  <c r="N318" i="6"/>
  <c r="L318" i="6"/>
  <c r="H318" i="6"/>
  <c r="I318" i="6" s="1"/>
  <c r="F318" i="6"/>
  <c r="C318" i="6"/>
  <c r="AD317" i="6"/>
  <c r="AC317" i="6"/>
  <c r="AA317" i="6"/>
  <c r="X317" i="6"/>
  <c r="W317" i="6"/>
  <c r="U317" i="6"/>
  <c r="R317" i="6"/>
  <c r="N317" i="6"/>
  <c r="O317" i="6" s="1"/>
  <c r="L317" i="6"/>
  <c r="I317" i="6"/>
  <c r="H317" i="6"/>
  <c r="F317" i="6"/>
  <c r="C317" i="6"/>
  <c r="AD316" i="6"/>
  <c r="AC316" i="6"/>
  <c r="AA316" i="6"/>
  <c r="X316" i="6"/>
  <c r="W316" i="6"/>
  <c r="U316" i="6"/>
  <c r="R316" i="6"/>
  <c r="N316" i="6"/>
  <c r="O316" i="6" s="1"/>
  <c r="L316" i="6"/>
  <c r="H316" i="6"/>
  <c r="I316" i="6" s="1"/>
  <c r="F316" i="6"/>
  <c r="C316" i="6"/>
  <c r="AD315" i="6"/>
  <c r="AC315" i="6"/>
  <c r="AA315" i="6"/>
  <c r="W315" i="6"/>
  <c r="X315" i="6" s="1"/>
  <c r="U315" i="6"/>
  <c r="R315" i="6"/>
  <c r="O315" i="6"/>
  <c r="N315" i="6"/>
  <c r="L315" i="6"/>
  <c r="I315" i="6"/>
  <c r="H315" i="6"/>
  <c r="F315" i="6"/>
  <c r="C315" i="6"/>
  <c r="AD314" i="6"/>
  <c r="AC314" i="6"/>
  <c r="AA314" i="6"/>
  <c r="X314" i="6"/>
  <c r="W314" i="6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X313" i="6"/>
  <c r="W313" i="6"/>
  <c r="U313" i="6"/>
  <c r="R313" i="6"/>
  <c r="N313" i="6"/>
  <c r="O313" i="6" s="1"/>
  <c r="L313" i="6"/>
  <c r="H313" i="6"/>
  <c r="I313" i="6" s="1"/>
  <c r="F313" i="6"/>
  <c r="C313" i="6"/>
  <c r="AD312" i="6"/>
  <c r="AC312" i="6"/>
  <c r="AA312" i="6"/>
  <c r="X312" i="6"/>
  <c r="W312" i="6"/>
  <c r="U312" i="6"/>
  <c r="R312" i="6"/>
  <c r="N312" i="6"/>
  <c r="O312" i="6" s="1"/>
  <c r="L312" i="6"/>
  <c r="H312" i="6"/>
  <c r="I312" i="6" s="1"/>
  <c r="F312" i="6"/>
  <c r="C312" i="6"/>
  <c r="AD311" i="6"/>
  <c r="AC311" i="6"/>
  <c r="AA311" i="6"/>
  <c r="W311" i="6"/>
  <c r="X311" i="6" s="1"/>
  <c r="U311" i="6"/>
  <c r="R311" i="6"/>
  <c r="N311" i="6"/>
  <c r="O311" i="6" s="1"/>
  <c r="L311" i="6"/>
  <c r="I311" i="6"/>
  <c r="H311" i="6"/>
  <c r="F311" i="6"/>
  <c r="C311" i="6"/>
  <c r="AD310" i="6"/>
  <c r="AC310" i="6"/>
  <c r="AA310" i="6"/>
  <c r="X310" i="6"/>
  <c r="W310" i="6"/>
  <c r="U310" i="6"/>
  <c r="R310" i="6"/>
  <c r="N310" i="6"/>
  <c r="O310" i="6" s="1"/>
  <c r="L310" i="6"/>
  <c r="I310" i="6"/>
  <c r="H310" i="6"/>
  <c r="F310" i="6"/>
  <c r="C310" i="6"/>
  <c r="AC309" i="6"/>
  <c r="AD309" i="6" s="1"/>
  <c r="AA309" i="6"/>
  <c r="W309" i="6"/>
  <c r="X309" i="6" s="1"/>
  <c r="U309" i="6"/>
  <c r="R309" i="6"/>
  <c r="N309" i="6"/>
  <c r="O309" i="6" s="1"/>
  <c r="L309" i="6"/>
  <c r="H309" i="6"/>
  <c r="I309" i="6" s="1"/>
  <c r="F309" i="6"/>
  <c r="C309" i="6"/>
  <c r="AD308" i="6"/>
  <c r="AC308" i="6"/>
  <c r="AA308" i="6"/>
  <c r="W308" i="6"/>
  <c r="X308" i="6" s="1"/>
  <c r="U308" i="6"/>
  <c r="R308" i="6"/>
  <c r="O308" i="6"/>
  <c r="N308" i="6"/>
  <c r="L308" i="6"/>
  <c r="I308" i="6"/>
  <c r="H308" i="6"/>
  <c r="F308" i="6"/>
  <c r="C308" i="6"/>
  <c r="AC307" i="6"/>
  <c r="AD307" i="6" s="1"/>
  <c r="AA307" i="6"/>
  <c r="W307" i="6"/>
  <c r="X307" i="6" s="1"/>
  <c r="U307" i="6"/>
  <c r="R307" i="6"/>
  <c r="N307" i="6"/>
  <c r="O307" i="6" s="1"/>
  <c r="L307" i="6"/>
  <c r="I307" i="6"/>
  <c r="H307" i="6"/>
  <c r="F307" i="6"/>
  <c r="C307" i="6"/>
  <c r="AC306" i="6"/>
  <c r="AD306" i="6" s="1"/>
  <c r="AA306" i="6"/>
  <c r="W306" i="6"/>
  <c r="X306" i="6" s="1"/>
  <c r="U306" i="6"/>
  <c r="R306" i="6"/>
  <c r="O306" i="6"/>
  <c r="N306" i="6"/>
  <c r="L306" i="6"/>
  <c r="I306" i="6"/>
  <c r="H306" i="6"/>
  <c r="F306" i="6"/>
  <c r="C306" i="6"/>
  <c r="AC305" i="6"/>
  <c r="AD305" i="6" s="1"/>
  <c r="AA305" i="6"/>
  <c r="W305" i="6"/>
  <c r="X305" i="6" s="1"/>
  <c r="U305" i="6"/>
  <c r="R305" i="6"/>
  <c r="N305" i="6"/>
  <c r="O305" i="6" s="1"/>
  <c r="L305" i="6"/>
  <c r="I305" i="6"/>
  <c r="H305" i="6"/>
  <c r="F305" i="6"/>
  <c r="C305" i="6"/>
  <c r="AD304" i="6"/>
  <c r="AC304" i="6"/>
  <c r="AA304" i="6"/>
  <c r="W304" i="6"/>
  <c r="X304" i="6" s="1"/>
  <c r="U304" i="6"/>
  <c r="R304" i="6"/>
  <c r="N304" i="6"/>
  <c r="O304" i="6" s="1"/>
  <c r="L304" i="6"/>
  <c r="I304" i="6"/>
  <c r="H304" i="6"/>
  <c r="F304" i="6"/>
  <c r="C304" i="6"/>
  <c r="AC303" i="6"/>
  <c r="AD303" i="6" s="1"/>
  <c r="AA303" i="6"/>
  <c r="W303" i="6"/>
  <c r="X303" i="6" s="1"/>
  <c r="U303" i="6"/>
  <c r="R303" i="6"/>
  <c r="O303" i="6"/>
  <c r="N303" i="6"/>
  <c r="L303" i="6"/>
  <c r="I303" i="6"/>
  <c r="H303" i="6"/>
  <c r="F303" i="6"/>
  <c r="C303" i="6"/>
  <c r="AC302" i="6"/>
  <c r="AD302" i="6" s="1"/>
  <c r="AA302" i="6"/>
  <c r="X302" i="6"/>
  <c r="W302" i="6"/>
  <c r="U302" i="6"/>
  <c r="R302" i="6"/>
  <c r="O302" i="6"/>
  <c r="N302" i="6"/>
  <c r="L302" i="6"/>
  <c r="H302" i="6"/>
  <c r="I302" i="6" s="1"/>
  <c r="F302" i="6"/>
  <c r="C302" i="6"/>
  <c r="AD301" i="6"/>
  <c r="AC301" i="6"/>
  <c r="AA301" i="6"/>
  <c r="X301" i="6"/>
  <c r="W301" i="6"/>
  <c r="U301" i="6"/>
  <c r="R301" i="6"/>
  <c r="N301" i="6"/>
  <c r="O301" i="6" s="1"/>
  <c r="L301" i="6"/>
  <c r="I301" i="6"/>
  <c r="H301" i="6"/>
  <c r="F301" i="6"/>
  <c r="C301" i="6"/>
  <c r="AD300" i="6"/>
  <c r="AC300" i="6"/>
  <c r="AA300" i="6"/>
  <c r="X300" i="6"/>
  <c r="W300" i="6"/>
  <c r="U300" i="6"/>
  <c r="R300" i="6"/>
  <c r="N300" i="6"/>
  <c r="O300" i="6" s="1"/>
  <c r="L300" i="6"/>
  <c r="I300" i="6"/>
  <c r="H300" i="6"/>
  <c r="F300" i="6"/>
  <c r="C300" i="6"/>
  <c r="AD299" i="6"/>
  <c r="AC299" i="6"/>
  <c r="AA299" i="6"/>
  <c r="X299" i="6"/>
  <c r="W299" i="6"/>
  <c r="U299" i="6"/>
  <c r="R299" i="6"/>
  <c r="N299" i="6"/>
  <c r="O299" i="6" s="1"/>
  <c r="L299" i="6"/>
  <c r="H299" i="6"/>
  <c r="I299" i="6" s="1"/>
  <c r="F299" i="6"/>
  <c r="C299" i="6"/>
  <c r="AD298" i="6"/>
  <c r="AC298" i="6"/>
  <c r="AA298" i="6"/>
  <c r="W298" i="6"/>
  <c r="X298" i="6" s="1"/>
  <c r="U298" i="6"/>
  <c r="R298" i="6"/>
  <c r="O298" i="6"/>
  <c r="N298" i="6"/>
  <c r="L298" i="6"/>
  <c r="I298" i="6"/>
  <c r="H298" i="6"/>
  <c r="F298" i="6"/>
  <c r="C298" i="6"/>
  <c r="AD297" i="6"/>
  <c r="AC297" i="6"/>
  <c r="AA297" i="6"/>
  <c r="W297" i="6"/>
  <c r="X297" i="6" s="1"/>
  <c r="U297" i="6"/>
  <c r="R297" i="6"/>
  <c r="O297" i="6"/>
  <c r="N297" i="6"/>
  <c r="L297" i="6"/>
  <c r="I297" i="6"/>
  <c r="H297" i="6"/>
  <c r="F297" i="6"/>
  <c r="C297" i="6"/>
  <c r="Z295" i="6"/>
  <c r="AC295" i="6" s="1"/>
  <c r="AD295" i="6" s="1"/>
  <c r="U295" i="6"/>
  <c r="T295" i="6"/>
  <c r="Q295" i="6"/>
  <c r="W295" i="6" s="1"/>
  <c r="X295" i="6" s="1"/>
  <c r="N295" i="6"/>
  <c r="O295" i="6" s="1"/>
  <c r="L295" i="6"/>
  <c r="K295" i="6"/>
  <c r="F295" i="6"/>
  <c r="E295" i="6"/>
  <c r="B295" i="6"/>
  <c r="H295" i="6" s="1"/>
  <c r="I295" i="6" s="1"/>
  <c r="AD294" i="6"/>
  <c r="AC294" i="6"/>
  <c r="AA294" i="6"/>
  <c r="W294" i="6"/>
  <c r="X294" i="6" s="1"/>
  <c r="U294" i="6"/>
  <c r="R294" i="6"/>
  <c r="O294" i="6"/>
  <c r="N294" i="6"/>
  <c r="L294" i="6"/>
  <c r="I294" i="6"/>
  <c r="H294" i="6"/>
  <c r="F294" i="6"/>
  <c r="C294" i="6"/>
  <c r="AC293" i="6"/>
  <c r="AD293" i="6" s="1"/>
  <c r="AA293" i="6"/>
  <c r="W293" i="6"/>
  <c r="X293" i="6" s="1"/>
  <c r="U293" i="6"/>
  <c r="R293" i="6"/>
  <c r="O293" i="6"/>
  <c r="N293" i="6"/>
  <c r="L293" i="6"/>
  <c r="I293" i="6"/>
  <c r="H293" i="6"/>
  <c r="F293" i="6"/>
  <c r="C293" i="6"/>
  <c r="AC292" i="6"/>
  <c r="AD292" i="6" s="1"/>
  <c r="AA292" i="6"/>
  <c r="X292" i="6"/>
  <c r="W292" i="6"/>
  <c r="U292" i="6"/>
  <c r="R292" i="6"/>
  <c r="N292" i="6"/>
  <c r="O292" i="6" s="1"/>
  <c r="L292" i="6"/>
  <c r="I292" i="6"/>
  <c r="H292" i="6"/>
  <c r="F292" i="6"/>
  <c r="C292" i="6"/>
  <c r="AD291" i="6"/>
  <c r="AC291" i="6"/>
  <c r="AA291" i="6"/>
  <c r="W291" i="6"/>
  <c r="X291" i="6" s="1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O290" i="6"/>
  <c r="N290" i="6"/>
  <c r="L290" i="6"/>
  <c r="I290" i="6"/>
  <c r="H290" i="6"/>
  <c r="F290" i="6"/>
  <c r="C290" i="6"/>
  <c r="AD289" i="6"/>
  <c r="AC289" i="6"/>
  <c r="AA289" i="6"/>
  <c r="W289" i="6"/>
  <c r="X289" i="6" s="1"/>
  <c r="U289" i="6"/>
  <c r="R289" i="6"/>
  <c r="O289" i="6"/>
  <c r="N289" i="6"/>
  <c r="L289" i="6"/>
  <c r="I289" i="6"/>
  <c r="H289" i="6"/>
  <c r="F289" i="6"/>
  <c r="C289" i="6"/>
  <c r="AC288" i="6"/>
  <c r="AD288" i="6" s="1"/>
  <c r="AA288" i="6"/>
  <c r="X288" i="6"/>
  <c r="W288" i="6"/>
  <c r="U288" i="6"/>
  <c r="R288" i="6"/>
  <c r="N288" i="6"/>
  <c r="O288" i="6" s="1"/>
  <c r="L288" i="6"/>
  <c r="I288" i="6"/>
  <c r="H288" i="6"/>
  <c r="F288" i="6"/>
  <c r="C288" i="6"/>
  <c r="AD287" i="6"/>
  <c r="AC287" i="6"/>
  <c r="AA287" i="6"/>
  <c r="W287" i="6"/>
  <c r="X287" i="6" s="1"/>
  <c r="U287" i="6"/>
  <c r="R287" i="6"/>
  <c r="N287" i="6"/>
  <c r="O287" i="6" s="1"/>
  <c r="L287" i="6"/>
  <c r="I287" i="6"/>
  <c r="H287" i="6"/>
  <c r="F287" i="6"/>
  <c r="C287" i="6"/>
  <c r="AD286" i="6"/>
  <c r="AC286" i="6"/>
  <c r="AA286" i="6"/>
  <c r="W286" i="6"/>
  <c r="X286" i="6" s="1"/>
  <c r="U286" i="6"/>
  <c r="R286" i="6"/>
  <c r="O286" i="6"/>
  <c r="N286" i="6"/>
  <c r="L286" i="6"/>
  <c r="I286" i="6"/>
  <c r="H286" i="6"/>
  <c r="F286" i="6"/>
  <c r="C286" i="6"/>
  <c r="AA284" i="6"/>
  <c r="Z284" i="6"/>
  <c r="U284" i="6"/>
  <c r="T284" i="6"/>
  <c r="R284" i="6"/>
  <c r="Q284" i="6"/>
  <c r="W284" i="6" s="1"/>
  <c r="X284" i="6" s="1"/>
  <c r="L284" i="6"/>
  <c r="K284" i="6"/>
  <c r="F284" i="6"/>
  <c r="E284" i="6"/>
  <c r="H284" i="6" s="1"/>
  <c r="I284" i="6" s="1"/>
  <c r="C284" i="6"/>
  <c r="B284" i="6"/>
  <c r="N284" i="6" s="1"/>
  <c r="O284" i="6" s="1"/>
  <c r="AD283" i="6"/>
  <c r="AC283" i="6"/>
  <c r="AA283" i="6"/>
  <c r="W283" i="6"/>
  <c r="X283" i="6" s="1"/>
  <c r="U283" i="6"/>
  <c r="R283" i="6"/>
  <c r="N283" i="6"/>
  <c r="O283" i="6" s="1"/>
  <c r="L283" i="6"/>
  <c r="H283" i="6"/>
  <c r="I283" i="6" s="1"/>
  <c r="F283" i="6"/>
  <c r="C283" i="6"/>
  <c r="AD282" i="6"/>
  <c r="AC282" i="6"/>
  <c r="AA282" i="6"/>
  <c r="W282" i="6"/>
  <c r="X282" i="6" s="1"/>
  <c r="U282" i="6"/>
  <c r="R282" i="6"/>
  <c r="O282" i="6"/>
  <c r="N282" i="6"/>
  <c r="L282" i="6"/>
  <c r="I282" i="6"/>
  <c r="H282" i="6"/>
  <c r="F282" i="6"/>
  <c r="C282" i="6"/>
  <c r="AD281" i="6"/>
  <c r="AC281" i="6"/>
  <c r="AA281" i="6"/>
  <c r="W281" i="6"/>
  <c r="X281" i="6" s="1"/>
  <c r="U281" i="6"/>
  <c r="R281" i="6"/>
  <c r="N281" i="6"/>
  <c r="O281" i="6" s="1"/>
  <c r="L281" i="6"/>
  <c r="I281" i="6"/>
  <c r="H281" i="6"/>
  <c r="F281" i="6"/>
  <c r="C281" i="6"/>
  <c r="AD280" i="6"/>
  <c r="AC280" i="6"/>
  <c r="AA280" i="6"/>
  <c r="X280" i="6"/>
  <c r="W280" i="6"/>
  <c r="U280" i="6"/>
  <c r="R280" i="6"/>
  <c r="N280" i="6"/>
  <c r="O280" i="6" s="1"/>
  <c r="L280" i="6"/>
  <c r="H280" i="6"/>
  <c r="I280" i="6" s="1"/>
  <c r="F280" i="6"/>
  <c r="C280" i="6"/>
  <c r="AD279" i="6"/>
  <c r="AC279" i="6"/>
  <c r="AA279" i="6"/>
  <c r="X279" i="6"/>
  <c r="W279" i="6"/>
  <c r="U279" i="6"/>
  <c r="R279" i="6"/>
  <c r="N279" i="6"/>
  <c r="O279" i="6" s="1"/>
  <c r="L279" i="6"/>
  <c r="H279" i="6"/>
  <c r="I279" i="6" s="1"/>
  <c r="F279" i="6"/>
  <c r="C279" i="6"/>
  <c r="AD278" i="6"/>
  <c r="AC278" i="6"/>
  <c r="AA278" i="6"/>
  <c r="W278" i="6"/>
  <c r="X278" i="6" s="1"/>
  <c r="U278" i="6"/>
  <c r="R278" i="6"/>
  <c r="O278" i="6"/>
  <c r="N278" i="6"/>
  <c r="L278" i="6"/>
  <c r="I278" i="6"/>
  <c r="H278" i="6"/>
  <c r="F278" i="6"/>
  <c r="C278" i="6"/>
  <c r="AC277" i="6"/>
  <c r="AD277" i="6" s="1"/>
  <c r="AA277" i="6"/>
  <c r="W277" i="6"/>
  <c r="X277" i="6" s="1"/>
  <c r="U277" i="6"/>
  <c r="R277" i="6"/>
  <c r="O277" i="6"/>
  <c r="N277" i="6"/>
  <c r="L277" i="6"/>
  <c r="I277" i="6"/>
  <c r="H277" i="6"/>
  <c r="F277" i="6"/>
  <c r="C277" i="6"/>
  <c r="AC276" i="6"/>
  <c r="AD276" i="6" s="1"/>
  <c r="AA276" i="6"/>
  <c r="X276" i="6"/>
  <c r="W276" i="6"/>
  <c r="U276" i="6"/>
  <c r="R276" i="6"/>
  <c r="N276" i="6"/>
  <c r="O276" i="6" s="1"/>
  <c r="L276" i="6"/>
  <c r="I276" i="6"/>
  <c r="H276" i="6"/>
  <c r="F276" i="6"/>
  <c r="C276" i="6"/>
  <c r="AD275" i="6"/>
  <c r="AC275" i="6"/>
  <c r="AA275" i="6"/>
  <c r="W275" i="6"/>
  <c r="X275" i="6" s="1"/>
  <c r="U275" i="6"/>
  <c r="R275" i="6"/>
  <c r="N275" i="6"/>
  <c r="O275" i="6" s="1"/>
  <c r="L275" i="6"/>
  <c r="H275" i="6"/>
  <c r="I275" i="6" s="1"/>
  <c r="F275" i="6"/>
  <c r="C275" i="6"/>
  <c r="AA273" i="6"/>
  <c r="Z273" i="6"/>
  <c r="T273" i="6"/>
  <c r="U273" i="6" s="1"/>
  <c r="R273" i="6"/>
  <c r="Q273" i="6"/>
  <c r="AC273" i="6" s="1"/>
  <c r="AD273" i="6" s="1"/>
  <c r="K273" i="6"/>
  <c r="L273" i="6" s="1"/>
  <c r="I273" i="6"/>
  <c r="H273" i="6"/>
  <c r="F273" i="6"/>
  <c r="E273" i="6"/>
  <c r="C273" i="6"/>
  <c r="B273" i="6"/>
  <c r="AC272" i="6"/>
  <c r="AD272" i="6" s="1"/>
  <c r="AA272" i="6"/>
  <c r="X272" i="6"/>
  <c r="W272" i="6"/>
  <c r="U272" i="6"/>
  <c r="R272" i="6"/>
  <c r="N272" i="6"/>
  <c r="O272" i="6" s="1"/>
  <c r="L272" i="6"/>
  <c r="H272" i="6"/>
  <c r="I272" i="6" s="1"/>
  <c r="F272" i="6"/>
  <c r="C272" i="6"/>
  <c r="AD271" i="6"/>
  <c r="AC271" i="6"/>
  <c r="AA271" i="6"/>
  <c r="W271" i="6"/>
  <c r="X271" i="6" s="1"/>
  <c r="U271" i="6"/>
  <c r="R271" i="6"/>
  <c r="N271" i="6"/>
  <c r="O271" i="6" s="1"/>
  <c r="L271" i="6"/>
  <c r="H271" i="6"/>
  <c r="I271" i="6" s="1"/>
  <c r="F271" i="6"/>
  <c r="C271" i="6"/>
  <c r="AD270" i="6"/>
  <c r="AC270" i="6"/>
  <c r="AA270" i="6"/>
  <c r="W270" i="6"/>
  <c r="X270" i="6" s="1"/>
  <c r="U270" i="6"/>
  <c r="R270" i="6"/>
  <c r="O270" i="6"/>
  <c r="N270" i="6"/>
  <c r="L270" i="6"/>
  <c r="I270" i="6"/>
  <c r="H270" i="6"/>
  <c r="F270" i="6"/>
  <c r="C270" i="6"/>
  <c r="AD269" i="6"/>
  <c r="AC269" i="6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Z267" i="6"/>
  <c r="AC267" i="6" s="1"/>
  <c r="AD267" i="6" s="1"/>
  <c r="U267" i="6"/>
  <c r="T267" i="6"/>
  <c r="R267" i="6"/>
  <c r="Q267" i="6"/>
  <c r="W267" i="6" s="1"/>
  <c r="X267" i="6" s="1"/>
  <c r="N267" i="6"/>
  <c r="O267" i="6" s="1"/>
  <c r="L267" i="6"/>
  <c r="K267" i="6"/>
  <c r="E267" i="6"/>
  <c r="F267" i="6" s="1"/>
  <c r="C267" i="6"/>
  <c r="B267" i="6"/>
  <c r="AD266" i="6"/>
  <c r="AC266" i="6"/>
  <c r="AA266" i="6"/>
  <c r="W266" i="6"/>
  <c r="X266" i="6" s="1"/>
  <c r="U266" i="6"/>
  <c r="R266" i="6"/>
  <c r="O266" i="6"/>
  <c r="N266" i="6"/>
  <c r="L266" i="6"/>
  <c r="I266" i="6"/>
  <c r="H266" i="6"/>
  <c r="F266" i="6"/>
  <c r="C266" i="6"/>
  <c r="AC265" i="6"/>
  <c r="AD265" i="6" s="1"/>
  <c r="AA265" i="6"/>
  <c r="W265" i="6"/>
  <c r="X265" i="6" s="1"/>
  <c r="U265" i="6"/>
  <c r="R265" i="6"/>
  <c r="O265" i="6"/>
  <c r="N265" i="6"/>
  <c r="L265" i="6"/>
  <c r="I265" i="6"/>
  <c r="H265" i="6"/>
  <c r="F265" i="6"/>
  <c r="C265" i="6"/>
  <c r="Z263" i="6"/>
  <c r="AC263" i="6" s="1"/>
  <c r="AD263" i="6" s="1"/>
  <c r="U263" i="6"/>
  <c r="T263" i="6"/>
  <c r="Q263" i="6"/>
  <c r="W263" i="6" s="1"/>
  <c r="X263" i="6" s="1"/>
  <c r="N263" i="6"/>
  <c r="O263" i="6" s="1"/>
  <c r="L263" i="6"/>
  <c r="K263" i="6"/>
  <c r="F263" i="6"/>
  <c r="E263" i="6"/>
  <c r="B263" i="6"/>
  <c r="H263" i="6" s="1"/>
  <c r="I263" i="6" s="1"/>
  <c r="AA262" i="6"/>
  <c r="Z262" i="6"/>
  <c r="W262" i="6"/>
  <c r="X262" i="6" s="1"/>
  <c r="U262" i="6"/>
  <c r="T262" i="6"/>
  <c r="R262" i="6"/>
  <c r="Q262" i="6"/>
  <c r="AC262" i="6" s="1"/>
  <c r="AD262" i="6" s="1"/>
  <c r="K262" i="6"/>
  <c r="L262" i="6" s="1"/>
  <c r="H262" i="6"/>
  <c r="I262" i="6" s="1"/>
  <c r="F262" i="6"/>
  <c r="E262" i="6"/>
  <c r="C262" i="6"/>
  <c r="B262" i="6"/>
  <c r="AC261" i="6"/>
  <c r="AD261" i="6" s="1"/>
  <c r="AA261" i="6"/>
  <c r="X261" i="6"/>
  <c r="W261" i="6"/>
  <c r="U261" i="6"/>
  <c r="R261" i="6"/>
  <c r="N261" i="6"/>
  <c r="O261" i="6" s="1"/>
  <c r="L261" i="6"/>
  <c r="I261" i="6"/>
  <c r="H261" i="6"/>
  <c r="F261" i="6"/>
  <c r="C261" i="6"/>
  <c r="AD260" i="6"/>
  <c r="AC260" i="6"/>
  <c r="AA260" i="6"/>
  <c r="W260" i="6"/>
  <c r="X260" i="6" s="1"/>
  <c r="U260" i="6"/>
  <c r="R260" i="6"/>
  <c r="N260" i="6"/>
  <c r="O260" i="6" s="1"/>
  <c r="L260" i="6"/>
  <c r="H260" i="6"/>
  <c r="I260" i="6" s="1"/>
  <c r="F260" i="6"/>
  <c r="C260" i="6"/>
  <c r="AD259" i="6"/>
  <c r="AC259" i="6"/>
  <c r="AA259" i="6"/>
  <c r="W259" i="6"/>
  <c r="X259" i="6" s="1"/>
  <c r="U259" i="6"/>
  <c r="R259" i="6"/>
  <c r="O259" i="6"/>
  <c r="N259" i="6"/>
  <c r="L259" i="6"/>
  <c r="I259" i="6"/>
  <c r="H259" i="6"/>
  <c r="F259" i="6"/>
  <c r="C259" i="6"/>
  <c r="AD258" i="6"/>
  <c r="AC258" i="6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D257" i="6"/>
  <c r="AC257" i="6"/>
  <c r="AA257" i="6"/>
  <c r="X257" i="6"/>
  <c r="W257" i="6"/>
  <c r="U257" i="6"/>
  <c r="R257" i="6"/>
  <c r="N257" i="6"/>
  <c r="O257" i="6" s="1"/>
  <c r="L257" i="6"/>
  <c r="I257" i="6"/>
  <c r="H257" i="6"/>
  <c r="F257" i="6"/>
  <c r="C257" i="6"/>
  <c r="AD256" i="6"/>
  <c r="AC256" i="6"/>
  <c r="AA256" i="6"/>
  <c r="X256" i="6"/>
  <c r="W256" i="6"/>
  <c r="U256" i="6"/>
  <c r="R256" i="6"/>
  <c r="N256" i="6"/>
  <c r="O256" i="6" s="1"/>
  <c r="L256" i="6"/>
  <c r="H256" i="6"/>
  <c r="I256" i="6" s="1"/>
  <c r="F256" i="6"/>
  <c r="C256" i="6"/>
  <c r="AD255" i="6"/>
  <c r="AC255" i="6"/>
  <c r="AA255" i="6"/>
  <c r="W255" i="6"/>
  <c r="X255" i="6" s="1"/>
  <c r="U255" i="6"/>
  <c r="R255" i="6"/>
  <c r="O255" i="6"/>
  <c r="N255" i="6"/>
  <c r="L255" i="6"/>
  <c r="I255" i="6"/>
  <c r="H255" i="6"/>
  <c r="F255" i="6"/>
  <c r="C255" i="6"/>
  <c r="AC254" i="6"/>
  <c r="AD254" i="6" s="1"/>
  <c r="AA254" i="6"/>
  <c r="W254" i="6"/>
  <c r="X254" i="6" s="1"/>
  <c r="U254" i="6"/>
  <c r="R254" i="6"/>
  <c r="O254" i="6"/>
  <c r="N254" i="6"/>
  <c r="L254" i="6"/>
  <c r="I254" i="6"/>
  <c r="H254" i="6"/>
  <c r="F254" i="6"/>
  <c r="C254" i="6"/>
  <c r="AC253" i="6"/>
  <c r="AD253" i="6" s="1"/>
  <c r="AA253" i="6"/>
  <c r="X253" i="6"/>
  <c r="W253" i="6"/>
  <c r="U253" i="6"/>
  <c r="R253" i="6"/>
  <c r="N253" i="6"/>
  <c r="O253" i="6" s="1"/>
  <c r="L253" i="6"/>
  <c r="I253" i="6"/>
  <c r="H253" i="6"/>
  <c r="F253" i="6"/>
  <c r="C253" i="6"/>
  <c r="AD252" i="6"/>
  <c r="AC252" i="6"/>
  <c r="AA252" i="6"/>
  <c r="W252" i="6"/>
  <c r="X252" i="6" s="1"/>
  <c r="U252" i="6"/>
  <c r="R252" i="6"/>
  <c r="N252" i="6"/>
  <c r="O252" i="6" s="1"/>
  <c r="L252" i="6"/>
  <c r="H252" i="6"/>
  <c r="I252" i="6" s="1"/>
  <c r="F252" i="6"/>
  <c r="C252" i="6"/>
  <c r="AD251" i="6"/>
  <c r="AC251" i="6"/>
  <c r="AA251" i="6"/>
  <c r="W251" i="6"/>
  <c r="X251" i="6" s="1"/>
  <c r="U251" i="6"/>
  <c r="R251" i="6"/>
  <c r="O251" i="6"/>
  <c r="N251" i="6"/>
  <c r="L251" i="6"/>
  <c r="I251" i="6"/>
  <c r="H251" i="6"/>
  <c r="F251" i="6"/>
  <c r="C251" i="6"/>
  <c r="AD250" i="6"/>
  <c r="AC250" i="6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D249" i="6"/>
  <c r="AC249" i="6"/>
  <c r="AA249" i="6"/>
  <c r="X249" i="6"/>
  <c r="W249" i="6"/>
  <c r="U249" i="6"/>
  <c r="R249" i="6"/>
  <c r="N249" i="6"/>
  <c r="O249" i="6" s="1"/>
  <c r="L249" i="6"/>
  <c r="I249" i="6"/>
  <c r="H249" i="6"/>
  <c r="F249" i="6"/>
  <c r="C249" i="6"/>
  <c r="AD248" i="6"/>
  <c r="AC248" i="6"/>
  <c r="AA248" i="6"/>
  <c r="X248" i="6"/>
  <c r="W248" i="6"/>
  <c r="U248" i="6"/>
  <c r="R248" i="6"/>
  <c r="N248" i="6"/>
  <c r="O248" i="6" s="1"/>
  <c r="L248" i="6"/>
  <c r="H248" i="6"/>
  <c r="I248" i="6" s="1"/>
  <c r="F248" i="6"/>
  <c r="C248" i="6"/>
  <c r="AD247" i="6"/>
  <c r="AC247" i="6"/>
  <c r="AA247" i="6"/>
  <c r="W247" i="6"/>
  <c r="X247" i="6" s="1"/>
  <c r="U247" i="6"/>
  <c r="R247" i="6"/>
  <c r="O247" i="6"/>
  <c r="N247" i="6"/>
  <c r="L247" i="6"/>
  <c r="I247" i="6"/>
  <c r="H247" i="6"/>
  <c r="F247" i="6"/>
  <c r="C247" i="6"/>
  <c r="AC246" i="6"/>
  <c r="AD246" i="6" s="1"/>
  <c r="AA246" i="6"/>
  <c r="W246" i="6"/>
  <c r="X246" i="6" s="1"/>
  <c r="U246" i="6"/>
  <c r="R246" i="6"/>
  <c r="O246" i="6"/>
  <c r="N246" i="6"/>
  <c r="L246" i="6"/>
  <c r="I246" i="6"/>
  <c r="H246" i="6"/>
  <c r="F246" i="6"/>
  <c r="C246" i="6"/>
  <c r="AC245" i="6"/>
  <c r="AD245" i="6" s="1"/>
  <c r="AA245" i="6"/>
  <c r="X245" i="6"/>
  <c r="W245" i="6"/>
  <c r="U245" i="6"/>
  <c r="R245" i="6"/>
  <c r="N245" i="6"/>
  <c r="O245" i="6" s="1"/>
  <c r="L245" i="6"/>
  <c r="I245" i="6"/>
  <c r="H245" i="6"/>
  <c r="F245" i="6"/>
  <c r="C245" i="6"/>
  <c r="AD244" i="6"/>
  <c r="AC244" i="6"/>
  <c r="AA244" i="6"/>
  <c r="W244" i="6"/>
  <c r="X244" i="6" s="1"/>
  <c r="U244" i="6"/>
  <c r="R244" i="6"/>
  <c r="N244" i="6"/>
  <c r="O244" i="6" s="1"/>
  <c r="L244" i="6"/>
  <c r="H244" i="6"/>
  <c r="I244" i="6" s="1"/>
  <c r="F244" i="6"/>
  <c r="C244" i="6"/>
  <c r="AD243" i="6"/>
  <c r="AC243" i="6"/>
  <c r="AA243" i="6"/>
  <c r="W243" i="6"/>
  <c r="X243" i="6" s="1"/>
  <c r="U243" i="6"/>
  <c r="R243" i="6"/>
  <c r="O243" i="6"/>
  <c r="N243" i="6"/>
  <c r="L243" i="6"/>
  <c r="I243" i="6"/>
  <c r="H243" i="6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D241" i="6"/>
  <c r="AC241" i="6"/>
  <c r="AA241" i="6"/>
  <c r="X241" i="6"/>
  <c r="W241" i="6"/>
  <c r="U241" i="6"/>
  <c r="R241" i="6"/>
  <c r="N241" i="6"/>
  <c r="O241" i="6" s="1"/>
  <c r="L241" i="6"/>
  <c r="I241" i="6"/>
  <c r="H241" i="6"/>
  <c r="F241" i="6"/>
  <c r="C241" i="6"/>
  <c r="AD240" i="6"/>
  <c r="AC240" i="6"/>
  <c r="AA240" i="6"/>
  <c r="X240" i="6"/>
  <c r="W240" i="6"/>
  <c r="U240" i="6"/>
  <c r="R240" i="6"/>
  <c r="N240" i="6"/>
  <c r="O240" i="6" s="1"/>
  <c r="L240" i="6"/>
  <c r="H240" i="6"/>
  <c r="I240" i="6" s="1"/>
  <c r="F240" i="6"/>
  <c r="C240" i="6"/>
  <c r="AD238" i="6"/>
  <c r="AC238" i="6"/>
  <c r="AA238" i="6"/>
  <c r="W238" i="6"/>
  <c r="X238" i="6" s="1"/>
  <c r="U238" i="6"/>
  <c r="R238" i="6"/>
  <c r="O238" i="6"/>
  <c r="N238" i="6"/>
  <c r="L238" i="6"/>
  <c r="I238" i="6"/>
  <c r="H238" i="6"/>
  <c r="F238" i="6"/>
  <c r="C238" i="6"/>
  <c r="AC236" i="6"/>
  <c r="AD236" i="6" s="1"/>
  <c r="AA236" i="6"/>
  <c r="Z236" i="6"/>
  <c r="U236" i="6"/>
  <c r="T236" i="6"/>
  <c r="R236" i="6"/>
  <c r="Q236" i="6"/>
  <c r="W236" i="6" s="1"/>
  <c r="X236" i="6" s="1"/>
  <c r="L236" i="6"/>
  <c r="K236" i="6"/>
  <c r="F236" i="6"/>
  <c r="E236" i="6"/>
  <c r="H236" i="6" s="1"/>
  <c r="I236" i="6" s="1"/>
  <c r="C236" i="6"/>
  <c r="B236" i="6"/>
  <c r="N236" i="6" s="1"/>
  <c r="O236" i="6" s="1"/>
  <c r="AD235" i="6"/>
  <c r="AC235" i="6"/>
  <c r="AA235" i="6"/>
  <c r="W235" i="6"/>
  <c r="X235" i="6" s="1"/>
  <c r="U235" i="6"/>
  <c r="R235" i="6"/>
  <c r="N235" i="6"/>
  <c r="O235" i="6" s="1"/>
  <c r="L235" i="6"/>
  <c r="I235" i="6"/>
  <c r="H235" i="6"/>
  <c r="F235" i="6"/>
  <c r="C235" i="6"/>
  <c r="AD234" i="6"/>
  <c r="AC234" i="6"/>
  <c r="AA234" i="6"/>
  <c r="W234" i="6"/>
  <c r="X234" i="6" s="1"/>
  <c r="U234" i="6"/>
  <c r="R234" i="6"/>
  <c r="O234" i="6"/>
  <c r="N234" i="6"/>
  <c r="L234" i="6"/>
  <c r="I234" i="6"/>
  <c r="H234" i="6"/>
  <c r="F234" i="6"/>
  <c r="C234" i="6"/>
  <c r="AD233" i="6"/>
  <c r="AC233" i="6"/>
  <c r="AA233" i="6"/>
  <c r="W233" i="6"/>
  <c r="X233" i="6" s="1"/>
  <c r="U233" i="6"/>
  <c r="R233" i="6"/>
  <c r="N233" i="6"/>
  <c r="O233" i="6" s="1"/>
  <c r="L233" i="6"/>
  <c r="I233" i="6"/>
  <c r="H233" i="6"/>
  <c r="F233" i="6"/>
  <c r="C233" i="6"/>
  <c r="AC232" i="6"/>
  <c r="AD232" i="6" s="1"/>
  <c r="AA232" i="6"/>
  <c r="X232" i="6"/>
  <c r="W232" i="6"/>
  <c r="U232" i="6"/>
  <c r="R232" i="6"/>
  <c r="N232" i="6"/>
  <c r="O232" i="6" s="1"/>
  <c r="L232" i="6"/>
  <c r="H232" i="6"/>
  <c r="I232" i="6" s="1"/>
  <c r="F232" i="6"/>
  <c r="C232" i="6"/>
  <c r="AD231" i="6"/>
  <c r="AC231" i="6"/>
  <c r="AA231" i="6"/>
  <c r="W231" i="6"/>
  <c r="X231" i="6" s="1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I230" i="6"/>
  <c r="H230" i="6"/>
  <c r="F230" i="6"/>
  <c r="C230" i="6"/>
  <c r="AD229" i="6"/>
  <c r="AC229" i="6"/>
  <c r="AA229" i="6"/>
  <c r="W229" i="6"/>
  <c r="X229" i="6" s="1"/>
  <c r="U229" i="6"/>
  <c r="R229" i="6"/>
  <c r="O229" i="6"/>
  <c r="N229" i="6"/>
  <c r="L229" i="6"/>
  <c r="I229" i="6"/>
  <c r="H229" i="6"/>
  <c r="F229" i="6"/>
  <c r="C229" i="6"/>
  <c r="Z227" i="6"/>
  <c r="AC227" i="6" s="1"/>
  <c r="AD227" i="6" s="1"/>
  <c r="X227" i="6"/>
  <c r="U227" i="6"/>
  <c r="T227" i="6"/>
  <c r="R227" i="6"/>
  <c r="Q227" i="6"/>
  <c r="W227" i="6" s="1"/>
  <c r="O227" i="6"/>
  <c r="N227" i="6"/>
  <c r="L227" i="6"/>
  <c r="K227" i="6"/>
  <c r="E227" i="6"/>
  <c r="F227" i="6" s="1"/>
  <c r="C227" i="6"/>
  <c r="B227" i="6"/>
  <c r="AD226" i="6"/>
  <c r="AC226" i="6"/>
  <c r="AA226" i="6"/>
  <c r="W226" i="6"/>
  <c r="X226" i="6" s="1"/>
  <c r="U226" i="6"/>
  <c r="R226" i="6"/>
  <c r="O226" i="6"/>
  <c r="N226" i="6"/>
  <c r="L226" i="6"/>
  <c r="I226" i="6"/>
  <c r="H226" i="6"/>
  <c r="F226" i="6"/>
  <c r="C226" i="6"/>
  <c r="AD225" i="6"/>
  <c r="AC225" i="6"/>
  <c r="AA225" i="6"/>
  <c r="W225" i="6"/>
  <c r="X225" i="6" s="1"/>
  <c r="U225" i="6"/>
  <c r="R225" i="6"/>
  <c r="N225" i="6"/>
  <c r="O225" i="6" s="1"/>
  <c r="L225" i="6"/>
  <c r="I225" i="6"/>
  <c r="H225" i="6"/>
  <c r="F225" i="6"/>
  <c r="C225" i="6"/>
  <c r="AD224" i="6"/>
  <c r="AC224" i="6"/>
  <c r="AA224" i="6"/>
  <c r="X224" i="6"/>
  <c r="W224" i="6"/>
  <c r="U224" i="6"/>
  <c r="R224" i="6"/>
  <c r="N224" i="6"/>
  <c r="O224" i="6" s="1"/>
  <c r="L224" i="6"/>
  <c r="H224" i="6"/>
  <c r="I224" i="6" s="1"/>
  <c r="F224" i="6"/>
  <c r="C224" i="6"/>
  <c r="AD223" i="6"/>
  <c r="AC223" i="6"/>
  <c r="AA223" i="6"/>
  <c r="X223" i="6"/>
  <c r="W223" i="6"/>
  <c r="U223" i="6"/>
  <c r="R223" i="6"/>
  <c r="N223" i="6"/>
  <c r="O223" i="6" s="1"/>
  <c r="L223" i="6"/>
  <c r="I223" i="6"/>
  <c r="H223" i="6"/>
  <c r="F223" i="6"/>
  <c r="C223" i="6"/>
  <c r="AD222" i="6"/>
  <c r="AC222" i="6"/>
  <c r="AA222" i="6"/>
  <c r="W222" i="6"/>
  <c r="X222" i="6" s="1"/>
  <c r="U222" i="6"/>
  <c r="R222" i="6"/>
  <c r="O222" i="6"/>
  <c r="N222" i="6"/>
  <c r="L222" i="6"/>
  <c r="I222" i="6"/>
  <c r="H222" i="6"/>
  <c r="F222" i="6"/>
  <c r="C222" i="6"/>
  <c r="AC221" i="6"/>
  <c r="AD221" i="6" s="1"/>
  <c r="AA221" i="6"/>
  <c r="W221" i="6"/>
  <c r="X221" i="6" s="1"/>
  <c r="U221" i="6"/>
  <c r="R221" i="6"/>
  <c r="N221" i="6"/>
  <c r="O221" i="6" s="1"/>
  <c r="L221" i="6"/>
  <c r="I221" i="6"/>
  <c r="H221" i="6"/>
  <c r="F221" i="6"/>
  <c r="C221" i="6"/>
  <c r="AD220" i="6"/>
  <c r="AC220" i="6"/>
  <c r="AA220" i="6"/>
  <c r="W220" i="6"/>
  <c r="X220" i="6" s="1"/>
  <c r="U220" i="6"/>
  <c r="R220" i="6"/>
  <c r="N220" i="6"/>
  <c r="O220" i="6" s="1"/>
  <c r="L220" i="6"/>
  <c r="H220" i="6"/>
  <c r="I220" i="6" s="1"/>
  <c r="F220" i="6"/>
  <c r="C220" i="6"/>
  <c r="AD219" i="6"/>
  <c r="AC219" i="6"/>
  <c r="AA219" i="6"/>
  <c r="X219" i="6"/>
  <c r="W219" i="6"/>
  <c r="U219" i="6"/>
  <c r="R219" i="6"/>
  <c r="N219" i="6"/>
  <c r="O219" i="6" s="1"/>
  <c r="L219" i="6"/>
  <c r="H219" i="6"/>
  <c r="I219" i="6" s="1"/>
  <c r="F219" i="6"/>
  <c r="C219" i="6"/>
  <c r="AA218" i="6"/>
  <c r="Z218" i="6"/>
  <c r="W218" i="6"/>
  <c r="X218" i="6" s="1"/>
  <c r="U218" i="6"/>
  <c r="T218" i="6"/>
  <c r="R218" i="6"/>
  <c r="Q218" i="6"/>
  <c r="AC218" i="6" s="1"/>
  <c r="AD218" i="6" s="1"/>
  <c r="K218" i="6"/>
  <c r="L218" i="6" s="1"/>
  <c r="H218" i="6"/>
  <c r="I218" i="6" s="1"/>
  <c r="F218" i="6"/>
  <c r="E218" i="6"/>
  <c r="C218" i="6"/>
  <c r="B218" i="6"/>
  <c r="AC217" i="6"/>
  <c r="AD217" i="6" s="1"/>
  <c r="AA217" i="6"/>
  <c r="W217" i="6"/>
  <c r="X217" i="6" s="1"/>
  <c r="U217" i="6"/>
  <c r="R217" i="6"/>
  <c r="N217" i="6"/>
  <c r="O217" i="6" s="1"/>
  <c r="L217" i="6"/>
  <c r="I217" i="6"/>
  <c r="H217" i="6"/>
  <c r="F217" i="6"/>
  <c r="C217" i="6"/>
  <c r="AD216" i="6"/>
  <c r="AC216" i="6"/>
  <c r="AA216" i="6"/>
  <c r="W216" i="6"/>
  <c r="X216" i="6" s="1"/>
  <c r="U216" i="6"/>
  <c r="R216" i="6"/>
  <c r="N216" i="6"/>
  <c r="O216" i="6" s="1"/>
  <c r="L216" i="6"/>
  <c r="H216" i="6"/>
  <c r="I216" i="6" s="1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I215" i="6"/>
  <c r="H215" i="6"/>
  <c r="F215" i="6"/>
  <c r="C215" i="6"/>
  <c r="AD214" i="6"/>
  <c r="AC214" i="6"/>
  <c r="AA214" i="6"/>
  <c r="W214" i="6"/>
  <c r="X214" i="6" s="1"/>
  <c r="U214" i="6"/>
  <c r="R214" i="6"/>
  <c r="O214" i="6"/>
  <c r="N214" i="6"/>
  <c r="L214" i="6"/>
  <c r="I214" i="6"/>
  <c r="H214" i="6"/>
  <c r="F214" i="6"/>
  <c r="C214" i="6"/>
  <c r="AD213" i="6"/>
  <c r="AC213" i="6"/>
  <c r="AA213" i="6"/>
  <c r="X213" i="6"/>
  <c r="W213" i="6"/>
  <c r="U213" i="6"/>
  <c r="R213" i="6"/>
  <c r="N213" i="6"/>
  <c r="O213" i="6" s="1"/>
  <c r="L213" i="6"/>
  <c r="I213" i="6"/>
  <c r="H213" i="6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AA209" i="6"/>
  <c r="Z209" i="6"/>
  <c r="T209" i="6"/>
  <c r="W209" i="6" s="1"/>
  <c r="X209" i="6" s="1"/>
  <c r="R209" i="6"/>
  <c r="Q209" i="6"/>
  <c r="AC209" i="6" s="1"/>
  <c r="AD209" i="6" s="1"/>
  <c r="L209" i="6"/>
  <c r="K209" i="6"/>
  <c r="I209" i="6"/>
  <c r="H209" i="6"/>
  <c r="F209" i="6"/>
  <c r="E209" i="6"/>
  <c r="C209" i="6"/>
  <c r="B209" i="6"/>
  <c r="AD208" i="6"/>
  <c r="AC208" i="6"/>
  <c r="AA208" i="6"/>
  <c r="W208" i="6"/>
  <c r="X208" i="6" s="1"/>
  <c r="U208" i="6"/>
  <c r="R208" i="6"/>
  <c r="N208" i="6"/>
  <c r="O208" i="6" s="1"/>
  <c r="L208" i="6"/>
  <c r="H208" i="6"/>
  <c r="I208" i="6" s="1"/>
  <c r="F208" i="6"/>
  <c r="C208" i="6"/>
  <c r="AD207" i="6"/>
  <c r="AC207" i="6"/>
  <c r="AA207" i="6"/>
  <c r="X207" i="6"/>
  <c r="W207" i="6"/>
  <c r="U207" i="6"/>
  <c r="R207" i="6"/>
  <c r="N207" i="6"/>
  <c r="O207" i="6" s="1"/>
  <c r="L207" i="6"/>
  <c r="I207" i="6"/>
  <c r="H207" i="6"/>
  <c r="F207" i="6"/>
  <c r="C207" i="6"/>
  <c r="AD206" i="6"/>
  <c r="AC206" i="6"/>
  <c r="AA206" i="6"/>
  <c r="W206" i="6"/>
  <c r="X206" i="6" s="1"/>
  <c r="U206" i="6"/>
  <c r="R206" i="6"/>
  <c r="O206" i="6"/>
  <c r="N206" i="6"/>
  <c r="L206" i="6"/>
  <c r="I206" i="6"/>
  <c r="H206" i="6"/>
  <c r="F206" i="6"/>
  <c r="C206" i="6"/>
  <c r="AC205" i="6"/>
  <c r="AD205" i="6" s="1"/>
  <c r="AA205" i="6"/>
  <c r="W205" i="6"/>
  <c r="X205" i="6" s="1"/>
  <c r="U205" i="6"/>
  <c r="R205" i="6"/>
  <c r="O205" i="6"/>
  <c r="N205" i="6"/>
  <c r="L205" i="6"/>
  <c r="I205" i="6"/>
  <c r="H205" i="6"/>
  <c r="F205" i="6"/>
  <c r="C205" i="6"/>
  <c r="AC204" i="6"/>
  <c r="AD204" i="6" s="1"/>
  <c r="AA204" i="6"/>
  <c r="W204" i="6"/>
  <c r="X204" i="6" s="1"/>
  <c r="U204" i="6"/>
  <c r="R204" i="6"/>
  <c r="N204" i="6"/>
  <c r="O204" i="6" s="1"/>
  <c r="L204" i="6"/>
  <c r="I204" i="6"/>
  <c r="H204" i="6"/>
  <c r="F204" i="6"/>
  <c r="C204" i="6"/>
  <c r="AD203" i="6"/>
  <c r="AC203" i="6"/>
  <c r="AA203" i="6"/>
  <c r="W203" i="6"/>
  <c r="X203" i="6" s="1"/>
  <c r="U203" i="6"/>
  <c r="R203" i="6"/>
  <c r="N203" i="6"/>
  <c r="O203" i="6" s="1"/>
  <c r="L203" i="6"/>
  <c r="I203" i="6"/>
  <c r="H203" i="6"/>
  <c r="F203" i="6"/>
  <c r="C203" i="6"/>
  <c r="AD202" i="6"/>
  <c r="AC202" i="6"/>
  <c r="AA202" i="6"/>
  <c r="W202" i="6"/>
  <c r="X202" i="6" s="1"/>
  <c r="U202" i="6"/>
  <c r="R202" i="6"/>
  <c r="N202" i="6"/>
  <c r="O202" i="6" s="1"/>
  <c r="L202" i="6"/>
  <c r="I202" i="6"/>
  <c r="H202" i="6"/>
  <c r="F202" i="6"/>
  <c r="C202" i="6"/>
  <c r="AD201" i="6"/>
  <c r="AC201" i="6"/>
  <c r="AA201" i="6"/>
  <c r="W201" i="6"/>
  <c r="X201" i="6" s="1"/>
  <c r="U201" i="6"/>
  <c r="R201" i="6"/>
  <c r="N201" i="6"/>
  <c r="O201" i="6" s="1"/>
  <c r="L201" i="6"/>
  <c r="I201" i="6"/>
  <c r="H201" i="6"/>
  <c r="F201" i="6"/>
  <c r="C201" i="6"/>
  <c r="AA197" i="6"/>
  <c r="Z197" i="6"/>
  <c r="T197" i="6"/>
  <c r="W197" i="6" s="1"/>
  <c r="X197" i="6" s="1"/>
  <c r="R197" i="6"/>
  <c r="Q197" i="6"/>
  <c r="AC197" i="6" s="1"/>
  <c r="AD197" i="6" s="1"/>
  <c r="K197" i="6"/>
  <c r="L197" i="6" s="1"/>
  <c r="H197" i="6"/>
  <c r="I197" i="6" s="1"/>
  <c r="F197" i="6"/>
  <c r="E197" i="6"/>
  <c r="C197" i="6"/>
  <c r="B197" i="6"/>
  <c r="Z196" i="6"/>
  <c r="AC196" i="6" s="1"/>
  <c r="AD196" i="6" s="1"/>
  <c r="X196" i="6"/>
  <c r="U196" i="6"/>
  <c r="T196" i="6"/>
  <c r="R196" i="6"/>
  <c r="Q196" i="6"/>
  <c r="W196" i="6" s="1"/>
  <c r="O196" i="6"/>
  <c r="N196" i="6"/>
  <c r="L196" i="6"/>
  <c r="K196" i="6"/>
  <c r="E196" i="6"/>
  <c r="F196" i="6" s="1"/>
  <c r="C196" i="6"/>
  <c r="B196" i="6"/>
  <c r="AD195" i="6"/>
  <c r="AC195" i="6"/>
  <c r="AA195" i="6"/>
  <c r="W195" i="6"/>
  <c r="X195" i="6" s="1"/>
  <c r="U195" i="6"/>
  <c r="R195" i="6"/>
  <c r="O195" i="6"/>
  <c r="N195" i="6"/>
  <c r="L195" i="6"/>
  <c r="I195" i="6"/>
  <c r="H195" i="6"/>
  <c r="F195" i="6"/>
  <c r="C195" i="6"/>
  <c r="AD194" i="6"/>
  <c r="AC194" i="6"/>
  <c r="AA194" i="6"/>
  <c r="W194" i="6"/>
  <c r="X194" i="6" s="1"/>
  <c r="U194" i="6"/>
  <c r="R194" i="6"/>
  <c r="N194" i="6"/>
  <c r="O194" i="6" s="1"/>
  <c r="L194" i="6"/>
  <c r="I194" i="6"/>
  <c r="H194" i="6"/>
  <c r="F194" i="6"/>
  <c r="C194" i="6"/>
  <c r="Z193" i="6"/>
  <c r="AA193" i="6" s="1"/>
  <c r="U193" i="6"/>
  <c r="T193" i="6"/>
  <c r="Q193" i="6"/>
  <c r="W193" i="6" s="1"/>
  <c r="X193" i="6" s="1"/>
  <c r="L193" i="6"/>
  <c r="K193" i="6"/>
  <c r="E193" i="6"/>
  <c r="F193" i="6" s="1"/>
  <c r="B193" i="6"/>
  <c r="H193" i="6" s="1"/>
  <c r="I193" i="6" s="1"/>
  <c r="AD192" i="6"/>
  <c r="AC192" i="6"/>
  <c r="AA192" i="6"/>
  <c r="W192" i="6"/>
  <c r="X192" i="6" s="1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W191" i="6"/>
  <c r="X191" i="6" s="1"/>
  <c r="U191" i="6"/>
  <c r="R191" i="6"/>
  <c r="O191" i="6"/>
  <c r="N191" i="6"/>
  <c r="L191" i="6"/>
  <c r="I191" i="6"/>
  <c r="H191" i="6"/>
  <c r="F191" i="6"/>
  <c r="C191" i="6"/>
  <c r="AD190" i="6"/>
  <c r="AC190" i="6"/>
  <c r="AA190" i="6"/>
  <c r="X190" i="6"/>
  <c r="W190" i="6"/>
  <c r="U190" i="6"/>
  <c r="R190" i="6"/>
  <c r="N190" i="6"/>
  <c r="O190" i="6" s="1"/>
  <c r="L190" i="6"/>
  <c r="I190" i="6"/>
  <c r="H190" i="6"/>
  <c r="F190" i="6"/>
  <c r="C190" i="6"/>
  <c r="AD189" i="6"/>
  <c r="AC189" i="6"/>
  <c r="AA189" i="6"/>
  <c r="X189" i="6"/>
  <c r="W189" i="6"/>
  <c r="U189" i="6"/>
  <c r="R189" i="6"/>
  <c r="N189" i="6"/>
  <c r="O189" i="6" s="1"/>
  <c r="L189" i="6"/>
  <c r="H189" i="6"/>
  <c r="I189" i="6" s="1"/>
  <c r="F189" i="6"/>
  <c r="C189" i="6"/>
  <c r="AD188" i="6"/>
  <c r="AC188" i="6"/>
  <c r="AA188" i="6"/>
  <c r="W188" i="6"/>
  <c r="X188" i="6" s="1"/>
  <c r="U188" i="6"/>
  <c r="R188" i="6"/>
  <c r="O188" i="6"/>
  <c r="N188" i="6"/>
  <c r="L188" i="6"/>
  <c r="I188" i="6"/>
  <c r="H188" i="6"/>
  <c r="F188" i="6"/>
  <c r="C188" i="6"/>
  <c r="AC187" i="6"/>
  <c r="AD187" i="6" s="1"/>
  <c r="AA187" i="6"/>
  <c r="W187" i="6"/>
  <c r="X187" i="6" s="1"/>
  <c r="U187" i="6"/>
  <c r="R187" i="6"/>
  <c r="O187" i="6"/>
  <c r="N187" i="6"/>
  <c r="L187" i="6"/>
  <c r="I187" i="6"/>
  <c r="H187" i="6"/>
  <c r="F187" i="6"/>
  <c r="C187" i="6"/>
  <c r="AC186" i="6"/>
  <c r="AD186" i="6" s="1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D184" i="6"/>
  <c r="AC184" i="6"/>
  <c r="AA184" i="6"/>
  <c r="W184" i="6"/>
  <c r="X184" i="6" s="1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W183" i="6"/>
  <c r="X183" i="6" s="1"/>
  <c r="U183" i="6"/>
  <c r="R183" i="6"/>
  <c r="N183" i="6"/>
  <c r="O183" i="6" s="1"/>
  <c r="L183" i="6"/>
  <c r="I183" i="6"/>
  <c r="H183" i="6"/>
  <c r="F183" i="6"/>
  <c r="C183" i="6"/>
  <c r="AD182" i="6"/>
  <c r="AC182" i="6"/>
  <c r="AA182" i="6"/>
  <c r="Z182" i="6"/>
  <c r="T182" i="6"/>
  <c r="U182" i="6" s="1"/>
  <c r="R182" i="6"/>
  <c r="Q182" i="6"/>
  <c r="L182" i="6"/>
  <c r="K182" i="6"/>
  <c r="H182" i="6"/>
  <c r="I182" i="6" s="1"/>
  <c r="F182" i="6"/>
  <c r="E182" i="6"/>
  <c r="C182" i="6"/>
  <c r="B182" i="6"/>
  <c r="N182" i="6" s="1"/>
  <c r="O182" i="6" s="1"/>
  <c r="AD181" i="6"/>
  <c r="AC181" i="6"/>
  <c r="AA181" i="6"/>
  <c r="W181" i="6"/>
  <c r="X181" i="6" s="1"/>
  <c r="U181" i="6"/>
  <c r="R181" i="6"/>
  <c r="N181" i="6"/>
  <c r="O181" i="6" s="1"/>
  <c r="L181" i="6"/>
  <c r="I181" i="6"/>
  <c r="H181" i="6"/>
  <c r="F181" i="6"/>
  <c r="C181" i="6"/>
  <c r="AD180" i="6"/>
  <c r="AC180" i="6"/>
  <c r="AA180" i="6"/>
  <c r="W180" i="6"/>
  <c r="X180" i="6" s="1"/>
  <c r="U180" i="6"/>
  <c r="R180" i="6"/>
  <c r="N180" i="6"/>
  <c r="O180" i="6" s="1"/>
  <c r="L180" i="6"/>
  <c r="I180" i="6"/>
  <c r="H180" i="6"/>
  <c r="F180" i="6"/>
  <c r="C180" i="6"/>
  <c r="AC179" i="6"/>
  <c r="AD179" i="6" s="1"/>
  <c r="AA179" i="6"/>
  <c r="W179" i="6"/>
  <c r="X179" i="6" s="1"/>
  <c r="U179" i="6"/>
  <c r="R179" i="6"/>
  <c r="N179" i="6"/>
  <c r="O179" i="6" s="1"/>
  <c r="L179" i="6"/>
  <c r="I179" i="6"/>
  <c r="H179" i="6"/>
  <c r="F179" i="6"/>
  <c r="C179" i="6"/>
  <c r="AD178" i="6"/>
  <c r="AC178" i="6"/>
  <c r="AA178" i="6"/>
  <c r="W178" i="6"/>
  <c r="X178" i="6" s="1"/>
  <c r="U178" i="6"/>
  <c r="R178" i="6"/>
  <c r="N178" i="6"/>
  <c r="O178" i="6" s="1"/>
  <c r="L178" i="6"/>
  <c r="H178" i="6"/>
  <c r="I178" i="6" s="1"/>
  <c r="F178" i="6"/>
  <c r="C178" i="6"/>
  <c r="AD177" i="6"/>
  <c r="AC177" i="6"/>
  <c r="AA177" i="6"/>
  <c r="X177" i="6"/>
  <c r="W177" i="6"/>
  <c r="U177" i="6"/>
  <c r="R177" i="6"/>
  <c r="N177" i="6"/>
  <c r="O177" i="6" s="1"/>
  <c r="L177" i="6"/>
  <c r="I177" i="6"/>
  <c r="H177" i="6"/>
  <c r="F177" i="6"/>
  <c r="C177" i="6"/>
  <c r="AD175" i="6"/>
  <c r="AC175" i="6"/>
  <c r="AA175" i="6"/>
  <c r="W175" i="6"/>
  <c r="X175" i="6" s="1"/>
  <c r="U175" i="6"/>
  <c r="R175" i="6"/>
  <c r="O175" i="6"/>
  <c r="N175" i="6"/>
  <c r="L175" i="6"/>
  <c r="I175" i="6"/>
  <c r="H175" i="6"/>
  <c r="F175" i="6"/>
  <c r="C175" i="6"/>
  <c r="U172" i="6"/>
  <c r="T172" i="6"/>
  <c r="T198" i="6" s="1"/>
  <c r="Z171" i="6"/>
  <c r="AA171" i="6" s="1"/>
  <c r="X171" i="6"/>
  <c r="W171" i="6"/>
  <c r="U171" i="6"/>
  <c r="T171" i="6"/>
  <c r="R171" i="6"/>
  <c r="Q171" i="6"/>
  <c r="N171" i="6"/>
  <c r="O171" i="6" s="1"/>
  <c r="L171" i="6"/>
  <c r="K171" i="6"/>
  <c r="F171" i="6"/>
  <c r="E171" i="6"/>
  <c r="B171" i="6"/>
  <c r="H171" i="6" s="1"/>
  <c r="I171" i="6" s="1"/>
  <c r="AA170" i="6"/>
  <c r="Z170" i="6"/>
  <c r="T170" i="6"/>
  <c r="U170" i="6" s="1"/>
  <c r="Q170" i="6"/>
  <c r="W170" i="6" s="1"/>
  <c r="X170" i="6" s="1"/>
  <c r="L170" i="6"/>
  <c r="K170" i="6"/>
  <c r="F170" i="6"/>
  <c r="E170" i="6"/>
  <c r="H170" i="6" s="1"/>
  <c r="I170" i="6" s="1"/>
  <c r="C170" i="6"/>
  <c r="B170" i="6"/>
  <c r="N170" i="6" s="1"/>
  <c r="O170" i="6" s="1"/>
  <c r="AD169" i="6"/>
  <c r="AC169" i="6"/>
  <c r="AA169" i="6"/>
  <c r="W169" i="6"/>
  <c r="X169" i="6" s="1"/>
  <c r="U169" i="6"/>
  <c r="R169" i="6"/>
  <c r="N169" i="6"/>
  <c r="O169" i="6" s="1"/>
  <c r="L169" i="6"/>
  <c r="H169" i="6"/>
  <c r="I169" i="6" s="1"/>
  <c r="F169" i="6"/>
  <c r="C169" i="6"/>
  <c r="AD168" i="6"/>
  <c r="AC168" i="6"/>
  <c r="AA168" i="6"/>
  <c r="W168" i="6"/>
  <c r="X168" i="6" s="1"/>
  <c r="U168" i="6"/>
  <c r="R168" i="6"/>
  <c r="N168" i="6"/>
  <c r="O168" i="6" s="1"/>
  <c r="L168" i="6"/>
  <c r="I168" i="6"/>
  <c r="H168" i="6"/>
  <c r="F168" i="6"/>
  <c r="C168" i="6"/>
  <c r="AD167" i="6"/>
  <c r="AC167" i="6"/>
  <c r="AA167" i="6"/>
  <c r="W167" i="6"/>
  <c r="X167" i="6" s="1"/>
  <c r="U167" i="6"/>
  <c r="R167" i="6"/>
  <c r="O167" i="6"/>
  <c r="N167" i="6"/>
  <c r="L167" i="6"/>
  <c r="I167" i="6"/>
  <c r="H167" i="6"/>
  <c r="F167" i="6"/>
  <c r="C167" i="6"/>
  <c r="Z166" i="6"/>
  <c r="AA166" i="6" s="1"/>
  <c r="U166" i="6"/>
  <c r="T166" i="6"/>
  <c r="Q166" i="6"/>
  <c r="W166" i="6" s="1"/>
  <c r="X166" i="6" s="1"/>
  <c r="L166" i="6"/>
  <c r="K166" i="6"/>
  <c r="F166" i="6"/>
  <c r="E166" i="6"/>
  <c r="B166" i="6"/>
  <c r="H166" i="6" s="1"/>
  <c r="I166" i="6" s="1"/>
  <c r="AD165" i="6"/>
  <c r="AC165" i="6"/>
  <c r="AA165" i="6"/>
  <c r="W165" i="6"/>
  <c r="X165" i="6" s="1"/>
  <c r="U165" i="6"/>
  <c r="R165" i="6"/>
  <c r="N165" i="6"/>
  <c r="O165" i="6" s="1"/>
  <c r="L165" i="6"/>
  <c r="I165" i="6"/>
  <c r="H165" i="6"/>
  <c r="F165" i="6"/>
  <c r="C165" i="6"/>
  <c r="AC164" i="6"/>
  <c r="AD164" i="6" s="1"/>
  <c r="AA164" i="6"/>
  <c r="W164" i="6"/>
  <c r="X164" i="6" s="1"/>
  <c r="U164" i="6"/>
  <c r="R164" i="6"/>
  <c r="N164" i="6"/>
  <c r="O164" i="6" s="1"/>
  <c r="L164" i="6"/>
  <c r="I164" i="6"/>
  <c r="H164" i="6"/>
  <c r="F164" i="6"/>
  <c r="C164" i="6"/>
  <c r="AD163" i="6"/>
  <c r="AC163" i="6"/>
  <c r="AA163" i="6"/>
  <c r="W163" i="6"/>
  <c r="X163" i="6" s="1"/>
  <c r="U163" i="6"/>
  <c r="R163" i="6"/>
  <c r="N163" i="6"/>
  <c r="O163" i="6" s="1"/>
  <c r="L163" i="6"/>
  <c r="H163" i="6"/>
  <c r="I163" i="6" s="1"/>
  <c r="F163" i="6"/>
  <c r="C163" i="6"/>
  <c r="AD162" i="6"/>
  <c r="AC162" i="6"/>
  <c r="AA162" i="6"/>
  <c r="X162" i="6"/>
  <c r="W162" i="6"/>
  <c r="U162" i="6"/>
  <c r="R162" i="6"/>
  <c r="N162" i="6"/>
  <c r="O162" i="6" s="1"/>
  <c r="L162" i="6"/>
  <c r="I162" i="6"/>
  <c r="H162" i="6"/>
  <c r="F162" i="6"/>
  <c r="C162" i="6"/>
  <c r="AD161" i="6"/>
  <c r="AC161" i="6"/>
  <c r="AA161" i="6"/>
  <c r="W161" i="6"/>
  <c r="X161" i="6" s="1"/>
  <c r="U161" i="6"/>
  <c r="R161" i="6"/>
  <c r="O161" i="6"/>
  <c r="N161" i="6"/>
  <c r="L161" i="6"/>
  <c r="I161" i="6"/>
  <c r="H161" i="6"/>
  <c r="F161" i="6"/>
  <c r="C161" i="6"/>
  <c r="AC160" i="6"/>
  <c r="AD160" i="6" s="1"/>
  <c r="AA160" i="6"/>
  <c r="W160" i="6"/>
  <c r="X160" i="6" s="1"/>
  <c r="U160" i="6"/>
  <c r="R160" i="6"/>
  <c r="O160" i="6"/>
  <c r="N160" i="6"/>
  <c r="L160" i="6"/>
  <c r="I160" i="6"/>
  <c r="H160" i="6"/>
  <c r="F160" i="6"/>
  <c r="C160" i="6"/>
  <c r="AC158" i="6"/>
  <c r="AD158" i="6" s="1"/>
  <c r="AA158" i="6"/>
  <c r="Z158" i="6"/>
  <c r="U158" i="6"/>
  <c r="T158" i="6"/>
  <c r="Q158" i="6"/>
  <c r="W158" i="6" s="1"/>
  <c r="X158" i="6" s="1"/>
  <c r="L158" i="6"/>
  <c r="K158" i="6"/>
  <c r="F158" i="6"/>
  <c r="E158" i="6"/>
  <c r="B158" i="6"/>
  <c r="H158" i="6" s="1"/>
  <c r="I158" i="6" s="1"/>
  <c r="AD157" i="6"/>
  <c r="AC157" i="6"/>
  <c r="AA157" i="6"/>
  <c r="W157" i="6"/>
  <c r="X157" i="6" s="1"/>
  <c r="U157" i="6"/>
  <c r="R157" i="6"/>
  <c r="N157" i="6"/>
  <c r="O157" i="6" s="1"/>
  <c r="L157" i="6"/>
  <c r="I157" i="6"/>
  <c r="H157" i="6"/>
  <c r="F157" i="6"/>
  <c r="C157" i="6"/>
  <c r="AC156" i="6"/>
  <c r="AD156" i="6" s="1"/>
  <c r="AA156" i="6"/>
  <c r="W156" i="6"/>
  <c r="X156" i="6" s="1"/>
  <c r="U156" i="6"/>
  <c r="R156" i="6"/>
  <c r="N156" i="6"/>
  <c r="O156" i="6" s="1"/>
  <c r="L156" i="6"/>
  <c r="I156" i="6"/>
  <c r="H156" i="6"/>
  <c r="F156" i="6"/>
  <c r="C156" i="6"/>
  <c r="AD155" i="6"/>
  <c r="AC155" i="6"/>
  <c r="AA155" i="6"/>
  <c r="W155" i="6"/>
  <c r="X155" i="6" s="1"/>
  <c r="U155" i="6"/>
  <c r="R155" i="6"/>
  <c r="N155" i="6"/>
  <c r="O155" i="6" s="1"/>
  <c r="L155" i="6"/>
  <c r="H155" i="6"/>
  <c r="I155" i="6" s="1"/>
  <c r="F155" i="6"/>
  <c r="C155" i="6"/>
  <c r="AD154" i="6"/>
  <c r="AC154" i="6"/>
  <c r="AA154" i="6"/>
  <c r="X154" i="6"/>
  <c r="W154" i="6"/>
  <c r="U154" i="6"/>
  <c r="R154" i="6"/>
  <c r="N154" i="6"/>
  <c r="O154" i="6" s="1"/>
  <c r="L154" i="6"/>
  <c r="I154" i="6"/>
  <c r="H154" i="6"/>
  <c r="F154" i="6"/>
  <c r="C154" i="6"/>
  <c r="AD153" i="6"/>
  <c r="AC153" i="6"/>
  <c r="AA153" i="6"/>
  <c r="W153" i="6"/>
  <c r="X153" i="6" s="1"/>
  <c r="U153" i="6"/>
  <c r="R153" i="6"/>
  <c r="O153" i="6"/>
  <c r="N153" i="6"/>
  <c r="L153" i="6"/>
  <c r="I153" i="6"/>
  <c r="H153" i="6"/>
  <c r="F153" i="6"/>
  <c r="C153" i="6"/>
  <c r="AC151" i="6"/>
  <c r="AD151" i="6" s="1"/>
  <c r="AA151" i="6"/>
  <c r="W151" i="6"/>
  <c r="X151" i="6" s="1"/>
  <c r="U151" i="6"/>
  <c r="R151" i="6"/>
  <c r="O151" i="6"/>
  <c r="N151" i="6"/>
  <c r="L151" i="6"/>
  <c r="I151" i="6"/>
  <c r="H151" i="6"/>
  <c r="F151" i="6"/>
  <c r="C151" i="6"/>
  <c r="AA149" i="6"/>
  <c r="Z149" i="6"/>
  <c r="U149" i="6"/>
  <c r="T149" i="6"/>
  <c r="Q149" i="6"/>
  <c r="W149" i="6" s="1"/>
  <c r="X149" i="6" s="1"/>
  <c r="L149" i="6"/>
  <c r="K149" i="6"/>
  <c r="E149" i="6"/>
  <c r="F149" i="6" s="1"/>
  <c r="B149" i="6"/>
  <c r="H149" i="6" s="1"/>
  <c r="I149" i="6" s="1"/>
  <c r="AA148" i="6"/>
  <c r="Z148" i="6"/>
  <c r="T148" i="6"/>
  <c r="W148" i="6" s="1"/>
  <c r="X148" i="6" s="1"/>
  <c r="R148" i="6"/>
  <c r="Q148" i="6"/>
  <c r="AC148" i="6" s="1"/>
  <c r="AD148" i="6" s="1"/>
  <c r="L148" i="6"/>
  <c r="K148" i="6"/>
  <c r="H148" i="6"/>
  <c r="I148" i="6" s="1"/>
  <c r="F148" i="6"/>
  <c r="E148" i="6"/>
  <c r="C148" i="6"/>
  <c r="B148" i="6"/>
  <c r="AD147" i="6"/>
  <c r="AC147" i="6"/>
  <c r="AA147" i="6"/>
  <c r="W147" i="6"/>
  <c r="X147" i="6" s="1"/>
  <c r="U147" i="6"/>
  <c r="R147" i="6"/>
  <c r="N147" i="6"/>
  <c r="O147" i="6" s="1"/>
  <c r="L147" i="6"/>
  <c r="H147" i="6"/>
  <c r="I147" i="6" s="1"/>
  <c r="F147" i="6"/>
  <c r="C147" i="6"/>
  <c r="AD146" i="6"/>
  <c r="AC146" i="6"/>
  <c r="AA146" i="6"/>
  <c r="X146" i="6"/>
  <c r="W146" i="6"/>
  <c r="U146" i="6"/>
  <c r="R146" i="6"/>
  <c r="N146" i="6"/>
  <c r="O146" i="6" s="1"/>
  <c r="L146" i="6"/>
  <c r="I146" i="6"/>
  <c r="H146" i="6"/>
  <c r="F146" i="6"/>
  <c r="C146" i="6"/>
  <c r="AD145" i="6"/>
  <c r="AC145" i="6"/>
  <c r="AA145" i="6"/>
  <c r="W145" i="6"/>
  <c r="X145" i="6" s="1"/>
  <c r="U145" i="6"/>
  <c r="R145" i="6"/>
  <c r="O145" i="6"/>
  <c r="N145" i="6"/>
  <c r="L145" i="6"/>
  <c r="I145" i="6"/>
  <c r="H145" i="6"/>
  <c r="F145" i="6"/>
  <c r="C145" i="6"/>
  <c r="AC144" i="6"/>
  <c r="AD144" i="6" s="1"/>
  <c r="AA144" i="6"/>
  <c r="W144" i="6"/>
  <c r="X144" i="6" s="1"/>
  <c r="U144" i="6"/>
  <c r="R144" i="6"/>
  <c r="O144" i="6"/>
  <c r="N144" i="6"/>
  <c r="L144" i="6"/>
  <c r="I144" i="6"/>
  <c r="H144" i="6"/>
  <c r="F144" i="6"/>
  <c r="C144" i="6"/>
  <c r="AC143" i="6"/>
  <c r="AD143" i="6" s="1"/>
  <c r="AA143" i="6"/>
  <c r="W143" i="6"/>
  <c r="X143" i="6" s="1"/>
  <c r="U143" i="6"/>
  <c r="R143" i="6"/>
  <c r="N143" i="6"/>
  <c r="O143" i="6" s="1"/>
  <c r="L143" i="6"/>
  <c r="I143" i="6"/>
  <c r="H143" i="6"/>
  <c r="F143" i="6"/>
  <c r="C143" i="6"/>
  <c r="Z141" i="6"/>
  <c r="AA141" i="6" s="1"/>
  <c r="W141" i="6"/>
  <c r="X141" i="6" s="1"/>
  <c r="U141" i="6"/>
  <c r="T141" i="6"/>
  <c r="R141" i="6"/>
  <c r="Q141" i="6"/>
  <c r="K141" i="6"/>
  <c r="N141" i="6" s="1"/>
  <c r="O141" i="6" s="1"/>
  <c r="F141" i="6"/>
  <c r="E141" i="6"/>
  <c r="B141" i="6"/>
  <c r="H141" i="6" s="1"/>
  <c r="I141" i="6" s="1"/>
  <c r="AC140" i="6"/>
  <c r="AD140" i="6" s="1"/>
  <c r="AA140" i="6"/>
  <c r="W140" i="6"/>
  <c r="X140" i="6" s="1"/>
  <c r="U140" i="6"/>
  <c r="R140" i="6"/>
  <c r="N140" i="6"/>
  <c r="O140" i="6" s="1"/>
  <c r="L140" i="6"/>
  <c r="I140" i="6"/>
  <c r="H140" i="6"/>
  <c r="F140" i="6"/>
  <c r="C140" i="6"/>
  <c r="AD139" i="6"/>
  <c r="AC139" i="6"/>
  <c r="AA139" i="6"/>
  <c r="W139" i="6"/>
  <c r="X139" i="6" s="1"/>
  <c r="U139" i="6"/>
  <c r="R139" i="6"/>
  <c r="N139" i="6"/>
  <c r="O139" i="6" s="1"/>
  <c r="L139" i="6"/>
  <c r="H139" i="6"/>
  <c r="I139" i="6" s="1"/>
  <c r="F139" i="6"/>
  <c r="C139" i="6"/>
  <c r="AD138" i="6"/>
  <c r="AC138" i="6"/>
  <c r="AA138" i="6"/>
  <c r="X138" i="6"/>
  <c r="W138" i="6"/>
  <c r="U138" i="6"/>
  <c r="R138" i="6"/>
  <c r="N138" i="6"/>
  <c r="O138" i="6" s="1"/>
  <c r="L138" i="6"/>
  <c r="I138" i="6"/>
  <c r="H138" i="6"/>
  <c r="F138" i="6"/>
  <c r="C138" i="6"/>
  <c r="AD137" i="6"/>
  <c r="AC137" i="6"/>
  <c r="AA137" i="6"/>
  <c r="W137" i="6"/>
  <c r="X137" i="6" s="1"/>
  <c r="U137" i="6"/>
  <c r="R137" i="6"/>
  <c r="O137" i="6"/>
  <c r="N137" i="6"/>
  <c r="L137" i="6"/>
  <c r="I137" i="6"/>
  <c r="H137" i="6"/>
  <c r="F137" i="6"/>
  <c r="C137" i="6"/>
  <c r="AC136" i="6"/>
  <c r="AD136" i="6" s="1"/>
  <c r="AA136" i="6"/>
  <c r="W136" i="6"/>
  <c r="X136" i="6" s="1"/>
  <c r="U136" i="6"/>
  <c r="R136" i="6"/>
  <c r="O136" i="6"/>
  <c r="N136" i="6"/>
  <c r="L136" i="6"/>
  <c r="I136" i="6"/>
  <c r="H136" i="6"/>
  <c r="F136" i="6"/>
  <c r="C136" i="6"/>
  <c r="AC135" i="6"/>
  <c r="AD135" i="6" s="1"/>
  <c r="AA135" i="6"/>
  <c r="W135" i="6"/>
  <c r="X135" i="6" s="1"/>
  <c r="U135" i="6"/>
  <c r="R135" i="6"/>
  <c r="N135" i="6"/>
  <c r="O135" i="6" s="1"/>
  <c r="L135" i="6"/>
  <c r="I135" i="6"/>
  <c r="H135" i="6"/>
  <c r="F135" i="6"/>
  <c r="C135" i="6"/>
  <c r="AD134" i="6"/>
  <c r="AC134" i="6"/>
  <c r="AA134" i="6"/>
  <c r="W134" i="6"/>
  <c r="X134" i="6" s="1"/>
  <c r="U134" i="6"/>
  <c r="R134" i="6"/>
  <c r="N134" i="6"/>
  <c r="O134" i="6" s="1"/>
  <c r="L134" i="6"/>
  <c r="H134" i="6"/>
  <c r="I134" i="6" s="1"/>
  <c r="F134" i="6"/>
  <c r="C134" i="6"/>
  <c r="AD133" i="6"/>
  <c r="AC133" i="6"/>
  <c r="AA133" i="6"/>
  <c r="W133" i="6"/>
  <c r="X133" i="6" s="1"/>
  <c r="U133" i="6"/>
  <c r="R133" i="6"/>
  <c r="N133" i="6"/>
  <c r="O133" i="6" s="1"/>
  <c r="L133" i="6"/>
  <c r="I133" i="6"/>
  <c r="H133" i="6"/>
  <c r="F133" i="6"/>
  <c r="C133" i="6"/>
  <c r="AD132" i="6"/>
  <c r="AC132" i="6"/>
  <c r="AA132" i="6"/>
  <c r="W132" i="6"/>
  <c r="X132" i="6" s="1"/>
  <c r="U132" i="6"/>
  <c r="R132" i="6"/>
  <c r="N132" i="6"/>
  <c r="O132" i="6" s="1"/>
  <c r="L132" i="6"/>
  <c r="I132" i="6"/>
  <c r="H132" i="6"/>
  <c r="F132" i="6"/>
  <c r="C132" i="6"/>
  <c r="AD131" i="6"/>
  <c r="AC131" i="6"/>
  <c r="AA131" i="6"/>
  <c r="X131" i="6"/>
  <c r="W131" i="6"/>
  <c r="U131" i="6"/>
  <c r="R131" i="6"/>
  <c r="N131" i="6"/>
  <c r="O131" i="6" s="1"/>
  <c r="L131" i="6"/>
  <c r="H131" i="6"/>
  <c r="I131" i="6" s="1"/>
  <c r="F131" i="6"/>
  <c r="C131" i="6"/>
  <c r="AD130" i="6"/>
  <c r="AC130" i="6"/>
  <c r="AA130" i="6"/>
  <c r="X130" i="6"/>
  <c r="W130" i="6"/>
  <c r="U130" i="6"/>
  <c r="R130" i="6"/>
  <c r="N130" i="6"/>
  <c r="O130" i="6" s="1"/>
  <c r="L130" i="6"/>
  <c r="I130" i="6"/>
  <c r="H130" i="6"/>
  <c r="F130" i="6"/>
  <c r="C130" i="6"/>
  <c r="AD129" i="6"/>
  <c r="AC129" i="6"/>
  <c r="AA129" i="6"/>
  <c r="W129" i="6"/>
  <c r="X129" i="6" s="1"/>
  <c r="U129" i="6"/>
  <c r="R129" i="6"/>
  <c r="O129" i="6"/>
  <c r="N129" i="6"/>
  <c r="L129" i="6"/>
  <c r="I129" i="6"/>
  <c r="H129" i="6"/>
  <c r="F129" i="6"/>
  <c r="C129" i="6"/>
  <c r="AC127" i="6"/>
  <c r="AD127" i="6" s="1"/>
  <c r="AA127" i="6"/>
  <c r="W127" i="6"/>
  <c r="X127" i="6" s="1"/>
  <c r="U127" i="6"/>
  <c r="R127" i="6"/>
  <c r="O127" i="6"/>
  <c r="N127" i="6"/>
  <c r="L127" i="6"/>
  <c r="I127" i="6"/>
  <c r="H127" i="6"/>
  <c r="F127" i="6"/>
  <c r="C127" i="6"/>
  <c r="AC124" i="6"/>
  <c r="AD124" i="6" s="1"/>
  <c r="AA124" i="6"/>
  <c r="Z124" i="6"/>
  <c r="U124" i="6"/>
  <c r="T124" i="6"/>
  <c r="R124" i="6"/>
  <c r="Q124" i="6"/>
  <c r="W124" i="6" s="1"/>
  <c r="X124" i="6" s="1"/>
  <c r="L124" i="6"/>
  <c r="K124" i="6"/>
  <c r="K172" i="6" s="1"/>
  <c r="E124" i="6"/>
  <c r="B124" i="6"/>
  <c r="AD123" i="6"/>
  <c r="AC123" i="6"/>
  <c r="AA123" i="6"/>
  <c r="W123" i="6"/>
  <c r="X123" i="6" s="1"/>
  <c r="U123" i="6"/>
  <c r="R123" i="6"/>
  <c r="N123" i="6"/>
  <c r="O123" i="6" s="1"/>
  <c r="L123" i="6"/>
  <c r="I123" i="6"/>
  <c r="H123" i="6"/>
  <c r="F123" i="6"/>
  <c r="C123" i="6"/>
  <c r="AC122" i="6"/>
  <c r="AD122" i="6" s="1"/>
  <c r="AA122" i="6"/>
  <c r="Z122" i="6"/>
  <c r="U122" i="6"/>
  <c r="T122" i="6"/>
  <c r="Q122" i="6"/>
  <c r="L122" i="6"/>
  <c r="K122" i="6"/>
  <c r="E122" i="6"/>
  <c r="H122" i="6" s="1"/>
  <c r="I122" i="6" s="1"/>
  <c r="C122" i="6"/>
  <c r="B122" i="6"/>
  <c r="N122" i="6" s="1"/>
  <c r="O122" i="6" s="1"/>
  <c r="AD121" i="6"/>
  <c r="AC121" i="6"/>
  <c r="AA121" i="6"/>
  <c r="X121" i="6"/>
  <c r="W121" i="6"/>
  <c r="U121" i="6"/>
  <c r="R121" i="6"/>
  <c r="N121" i="6"/>
  <c r="O121" i="6" s="1"/>
  <c r="L121" i="6"/>
  <c r="I121" i="6"/>
  <c r="H121" i="6"/>
  <c r="F121" i="6"/>
  <c r="C121" i="6"/>
  <c r="AD120" i="6"/>
  <c r="AC120" i="6"/>
  <c r="AA120" i="6"/>
  <c r="W120" i="6"/>
  <c r="X120" i="6" s="1"/>
  <c r="U120" i="6"/>
  <c r="R120" i="6"/>
  <c r="O120" i="6"/>
  <c r="N120" i="6"/>
  <c r="L120" i="6"/>
  <c r="I120" i="6"/>
  <c r="H120" i="6"/>
  <c r="F120" i="6"/>
  <c r="C120" i="6"/>
  <c r="AC119" i="6"/>
  <c r="AD119" i="6" s="1"/>
  <c r="AA119" i="6"/>
  <c r="W119" i="6"/>
  <c r="X119" i="6" s="1"/>
  <c r="U119" i="6"/>
  <c r="R119" i="6"/>
  <c r="O119" i="6"/>
  <c r="N119" i="6"/>
  <c r="L119" i="6"/>
  <c r="I119" i="6"/>
  <c r="H119" i="6"/>
  <c r="F119" i="6"/>
  <c r="C119" i="6"/>
  <c r="AA118" i="6"/>
  <c r="Z118" i="6"/>
  <c r="U118" i="6"/>
  <c r="T118" i="6"/>
  <c r="Q118" i="6"/>
  <c r="W118" i="6" s="1"/>
  <c r="X118" i="6" s="1"/>
  <c r="L118" i="6"/>
  <c r="K118" i="6"/>
  <c r="F118" i="6"/>
  <c r="E118" i="6"/>
  <c r="B118" i="6"/>
  <c r="AD117" i="6"/>
  <c r="AC117" i="6"/>
  <c r="AA117" i="6"/>
  <c r="W117" i="6"/>
  <c r="X117" i="6" s="1"/>
  <c r="U117" i="6"/>
  <c r="R117" i="6"/>
  <c r="N117" i="6"/>
  <c r="O117" i="6" s="1"/>
  <c r="L117" i="6"/>
  <c r="I117" i="6"/>
  <c r="H117" i="6"/>
  <c r="F117" i="6"/>
  <c r="C117" i="6"/>
  <c r="AD116" i="6"/>
  <c r="AC116" i="6"/>
  <c r="AA116" i="6"/>
  <c r="W116" i="6"/>
  <c r="X116" i="6" s="1"/>
  <c r="U116" i="6"/>
  <c r="R116" i="6"/>
  <c r="N116" i="6"/>
  <c r="O116" i="6" s="1"/>
  <c r="L116" i="6"/>
  <c r="I116" i="6"/>
  <c r="H116" i="6"/>
  <c r="F116" i="6"/>
  <c r="C116" i="6"/>
  <c r="AD115" i="6"/>
  <c r="AC115" i="6"/>
  <c r="AA115" i="6"/>
  <c r="X115" i="6"/>
  <c r="W115" i="6"/>
  <c r="U115" i="6"/>
  <c r="R115" i="6"/>
  <c r="N115" i="6"/>
  <c r="O115" i="6" s="1"/>
  <c r="L115" i="6"/>
  <c r="H115" i="6"/>
  <c r="I115" i="6" s="1"/>
  <c r="F115" i="6"/>
  <c r="C115" i="6"/>
  <c r="AD114" i="6"/>
  <c r="AC114" i="6"/>
  <c r="AA114" i="6"/>
  <c r="X114" i="6"/>
  <c r="W114" i="6"/>
  <c r="U114" i="6"/>
  <c r="R114" i="6"/>
  <c r="N114" i="6"/>
  <c r="O114" i="6" s="1"/>
  <c r="L114" i="6"/>
  <c r="I114" i="6"/>
  <c r="H114" i="6"/>
  <c r="F114" i="6"/>
  <c r="C114" i="6"/>
  <c r="AD113" i="6"/>
  <c r="AC113" i="6"/>
  <c r="AA113" i="6"/>
  <c r="W113" i="6"/>
  <c r="X113" i="6" s="1"/>
  <c r="U113" i="6"/>
  <c r="R113" i="6"/>
  <c r="O113" i="6"/>
  <c r="N113" i="6"/>
  <c r="L113" i="6"/>
  <c r="I113" i="6"/>
  <c r="H113" i="6"/>
  <c r="F113" i="6"/>
  <c r="C113" i="6"/>
  <c r="AC112" i="6"/>
  <c r="AD112" i="6" s="1"/>
  <c r="AA112" i="6"/>
  <c r="W112" i="6"/>
  <c r="X112" i="6" s="1"/>
  <c r="U112" i="6"/>
  <c r="R112" i="6"/>
  <c r="O112" i="6"/>
  <c r="N112" i="6"/>
  <c r="L112" i="6"/>
  <c r="I112" i="6"/>
  <c r="H112" i="6"/>
  <c r="F112" i="6"/>
  <c r="C112" i="6"/>
  <c r="AC111" i="6"/>
  <c r="AD111" i="6" s="1"/>
  <c r="AA111" i="6"/>
  <c r="W111" i="6"/>
  <c r="X111" i="6" s="1"/>
  <c r="U111" i="6"/>
  <c r="R111" i="6"/>
  <c r="N111" i="6"/>
  <c r="O111" i="6" s="1"/>
  <c r="L111" i="6"/>
  <c r="I111" i="6"/>
  <c r="H111" i="6"/>
  <c r="F111" i="6"/>
  <c r="C111" i="6"/>
  <c r="AD110" i="6"/>
  <c r="AC110" i="6"/>
  <c r="AA110" i="6"/>
  <c r="X110" i="6"/>
  <c r="W110" i="6"/>
  <c r="U110" i="6"/>
  <c r="R110" i="6"/>
  <c r="N110" i="6"/>
  <c r="O110" i="6" s="1"/>
  <c r="L110" i="6"/>
  <c r="I110" i="6"/>
  <c r="H110" i="6"/>
  <c r="F110" i="6"/>
  <c r="C110" i="6"/>
  <c r="AD109" i="6"/>
  <c r="AC109" i="6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C108" i="6"/>
  <c r="AD108" i="6" s="1"/>
  <c r="AA108" i="6"/>
  <c r="W108" i="6"/>
  <c r="X108" i="6" s="1"/>
  <c r="U108" i="6"/>
  <c r="R108" i="6"/>
  <c r="N108" i="6"/>
  <c r="O108" i="6" s="1"/>
  <c r="L108" i="6"/>
  <c r="I108" i="6"/>
  <c r="H108" i="6"/>
  <c r="F108" i="6"/>
  <c r="C108" i="6"/>
  <c r="AD107" i="6"/>
  <c r="AC107" i="6"/>
  <c r="AA107" i="6"/>
  <c r="X107" i="6"/>
  <c r="W107" i="6"/>
  <c r="U107" i="6"/>
  <c r="R107" i="6"/>
  <c r="N107" i="6"/>
  <c r="O107" i="6" s="1"/>
  <c r="L107" i="6"/>
  <c r="H107" i="6"/>
  <c r="I107" i="6" s="1"/>
  <c r="F107" i="6"/>
  <c r="C107" i="6"/>
  <c r="AD106" i="6"/>
  <c r="AC106" i="6"/>
  <c r="AA106" i="6"/>
  <c r="X106" i="6"/>
  <c r="W106" i="6"/>
  <c r="U106" i="6"/>
  <c r="R106" i="6"/>
  <c r="N106" i="6"/>
  <c r="O106" i="6" s="1"/>
  <c r="L106" i="6"/>
  <c r="I106" i="6"/>
  <c r="H106" i="6"/>
  <c r="F106" i="6"/>
  <c r="C106" i="6"/>
  <c r="AD105" i="6"/>
  <c r="AC105" i="6"/>
  <c r="AA105" i="6"/>
  <c r="W105" i="6"/>
  <c r="X105" i="6" s="1"/>
  <c r="U105" i="6"/>
  <c r="R105" i="6"/>
  <c r="O105" i="6"/>
  <c r="N105" i="6"/>
  <c r="L105" i="6"/>
  <c r="I105" i="6"/>
  <c r="H105" i="6"/>
  <c r="F105" i="6"/>
  <c r="C105" i="6"/>
  <c r="AC104" i="6"/>
  <c r="AD104" i="6" s="1"/>
  <c r="AA104" i="6"/>
  <c r="W104" i="6"/>
  <c r="X104" i="6" s="1"/>
  <c r="U104" i="6"/>
  <c r="R104" i="6"/>
  <c r="O104" i="6"/>
  <c r="N104" i="6"/>
  <c r="L104" i="6"/>
  <c r="I104" i="6"/>
  <c r="H104" i="6"/>
  <c r="F104" i="6"/>
  <c r="C104" i="6"/>
  <c r="AC103" i="6"/>
  <c r="AD103" i="6" s="1"/>
  <c r="AA103" i="6"/>
  <c r="W103" i="6"/>
  <c r="X103" i="6" s="1"/>
  <c r="U103" i="6"/>
  <c r="R103" i="6"/>
  <c r="N103" i="6"/>
  <c r="O103" i="6" s="1"/>
  <c r="L103" i="6"/>
  <c r="I103" i="6"/>
  <c r="H103" i="6"/>
  <c r="F103" i="6"/>
  <c r="C103" i="6"/>
  <c r="AD102" i="6"/>
  <c r="AC102" i="6"/>
  <c r="AA102" i="6"/>
  <c r="W102" i="6"/>
  <c r="X102" i="6" s="1"/>
  <c r="U102" i="6"/>
  <c r="R102" i="6"/>
  <c r="N102" i="6"/>
  <c r="O102" i="6" s="1"/>
  <c r="L102" i="6"/>
  <c r="H102" i="6"/>
  <c r="I102" i="6" s="1"/>
  <c r="F102" i="6"/>
  <c r="C102" i="6"/>
  <c r="AD101" i="6"/>
  <c r="AC101" i="6"/>
  <c r="AA101" i="6"/>
  <c r="W101" i="6"/>
  <c r="X101" i="6" s="1"/>
  <c r="U101" i="6"/>
  <c r="R101" i="6"/>
  <c r="N101" i="6"/>
  <c r="O101" i="6" s="1"/>
  <c r="L101" i="6"/>
  <c r="I101" i="6"/>
  <c r="H101" i="6"/>
  <c r="F101" i="6"/>
  <c r="C101" i="6"/>
  <c r="AD100" i="6"/>
  <c r="AC100" i="6"/>
  <c r="AA100" i="6"/>
  <c r="W100" i="6"/>
  <c r="X100" i="6" s="1"/>
  <c r="U100" i="6"/>
  <c r="R100" i="6"/>
  <c r="N100" i="6"/>
  <c r="O100" i="6" s="1"/>
  <c r="L100" i="6"/>
  <c r="I100" i="6"/>
  <c r="H100" i="6"/>
  <c r="F100" i="6"/>
  <c r="C100" i="6"/>
  <c r="AD99" i="6"/>
  <c r="AC99" i="6"/>
  <c r="AA99" i="6"/>
  <c r="W99" i="6"/>
  <c r="X99" i="6" s="1"/>
  <c r="U99" i="6"/>
  <c r="R99" i="6"/>
  <c r="N99" i="6"/>
  <c r="O99" i="6" s="1"/>
  <c r="L99" i="6"/>
  <c r="H99" i="6"/>
  <c r="I99" i="6" s="1"/>
  <c r="F99" i="6"/>
  <c r="C99" i="6"/>
  <c r="AD98" i="6"/>
  <c r="AC98" i="6"/>
  <c r="AA98" i="6"/>
  <c r="X98" i="6"/>
  <c r="W98" i="6"/>
  <c r="U98" i="6"/>
  <c r="R98" i="6"/>
  <c r="N98" i="6"/>
  <c r="O98" i="6" s="1"/>
  <c r="L98" i="6"/>
  <c r="I98" i="6"/>
  <c r="H98" i="6"/>
  <c r="F98" i="6"/>
  <c r="C98" i="6"/>
  <c r="AD97" i="6"/>
  <c r="AC97" i="6"/>
  <c r="AA97" i="6"/>
  <c r="W97" i="6"/>
  <c r="X97" i="6" s="1"/>
  <c r="U97" i="6"/>
  <c r="R97" i="6"/>
  <c r="O97" i="6"/>
  <c r="N97" i="6"/>
  <c r="L97" i="6"/>
  <c r="I97" i="6"/>
  <c r="H97" i="6"/>
  <c r="F97" i="6"/>
  <c r="C97" i="6"/>
  <c r="AC96" i="6"/>
  <c r="AD96" i="6" s="1"/>
  <c r="AA96" i="6"/>
  <c r="W96" i="6"/>
  <c r="X96" i="6" s="1"/>
  <c r="U96" i="6"/>
  <c r="R96" i="6"/>
  <c r="O96" i="6"/>
  <c r="N96" i="6"/>
  <c r="L96" i="6"/>
  <c r="I96" i="6"/>
  <c r="H96" i="6"/>
  <c r="F96" i="6"/>
  <c r="C96" i="6"/>
  <c r="AC95" i="6"/>
  <c r="AD95" i="6" s="1"/>
  <c r="AA95" i="6"/>
  <c r="W95" i="6"/>
  <c r="X95" i="6" s="1"/>
  <c r="U95" i="6"/>
  <c r="R95" i="6"/>
  <c r="N95" i="6"/>
  <c r="O95" i="6" s="1"/>
  <c r="L95" i="6"/>
  <c r="I95" i="6"/>
  <c r="H95" i="6"/>
  <c r="F95" i="6"/>
  <c r="C95" i="6"/>
  <c r="AD94" i="6"/>
  <c r="AC94" i="6"/>
  <c r="AA94" i="6"/>
  <c r="X94" i="6"/>
  <c r="W94" i="6"/>
  <c r="U94" i="6"/>
  <c r="R94" i="6"/>
  <c r="N94" i="6"/>
  <c r="O94" i="6" s="1"/>
  <c r="L94" i="6"/>
  <c r="I94" i="6"/>
  <c r="H94" i="6"/>
  <c r="F94" i="6"/>
  <c r="C94" i="6"/>
  <c r="AD92" i="6"/>
  <c r="AC92" i="6"/>
  <c r="AA92" i="6"/>
  <c r="W92" i="6"/>
  <c r="X92" i="6" s="1"/>
  <c r="U92" i="6"/>
  <c r="R92" i="6"/>
  <c r="O92" i="6"/>
  <c r="N92" i="6"/>
  <c r="L92" i="6"/>
  <c r="I92" i="6"/>
  <c r="H92" i="6"/>
  <c r="F92" i="6"/>
  <c r="C92" i="6"/>
  <c r="AC91" i="6"/>
  <c r="AD91" i="6" s="1"/>
  <c r="AA91" i="6"/>
  <c r="W91" i="6"/>
  <c r="X91" i="6" s="1"/>
  <c r="U91" i="6"/>
  <c r="R91" i="6"/>
  <c r="N91" i="6"/>
  <c r="O91" i="6" s="1"/>
  <c r="L91" i="6"/>
  <c r="I91" i="6"/>
  <c r="H91" i="6"/>
  <c r="F91" i="6"/>
  <c r="C91" i="6"/>
  <c r="AD90" i="6"/>
  <c r="AC90" i="6"/>
  <c r="AA90" i="6"/>
  <c r="X90" i="6"/>
  <c r="W90" i="6"/>
  <c r="U90" i="6"/>
  <c r="R90" i="6"/>
  <c r="N90" i="6"/>
  <c r="O90" i="6" s="1"/>
  <c r="L90" i="6"/>
  <c r="H90" i="6"/>
  <c r="I90" i="6" s="1"/>
  <c r="F90" i="6"/>
  <c r="C90" i="6"/>
  <c r="AD89" i="6"/>
  <c r="AC89" i="6"/>
  <c r="AA89" i="6"/>
  <c r="X89" i="6"/>
  <c r="W89" i="6"/>
  <c r="U89" i="6"/>
  <c r="R89" i="6"/>
  <c r="N89" i="6"/>
  <c r="O89" i="6" s="1"/>
  <c r="L89" i="6"/>
  <c r="I89" i="6"/>
  <c r="H89" i="6"/>
  <c r="F89" i="6"/>
  <c r="C89" i="6"/>
  <c r="AA88" i="6"/>
  <c r="Z88" i="6"/>
  <c r="T88" i="6"/>
  <c r="U88" i="6" s="1"/>
  <c r="R88" i="6"/>
  <c r="Q88" i="6"/>
  <c r="AC88" i="6" s="1"/>
  <c r="AD88" i="6" s="1"/>
  <c r="K88" i="6"/>
  <c r="L88" i="6" s="1"/>
  <c r="I88" i="6"/>
  <c r="H88" i="6"/>
  <c r="F88" i="6"/>
  <c r="E88" i="6"/>
  <c r="C88" i="6"/>
  <c r="B88" i="6"/>
  <c r="AC87" i="6"/>
  <c r="AD87" i="6" s="1"/>
  <c r="AA87" i="6"/>
  <c r="W87" i="6"/>
  <c r="X87" i="6" s="1"/>
  <c r="U87" i="6"/>
  <c r="R87" i="6"/>
  <c r="N87" i="6"/>
  <c r="O87" i="6" s="1"/>
  <c r="L87" i="6"/>
  <c r="I87" i="6"/>
  <c r="H87" i="6"/>
  <c r="F87" i="6"/>
  <c r="C87" i="6"/>
  <c r="AD86" i="6"/>
  <c r="AC86" i="6"/>
  <c r="AA86" i="6"/>
  <c r="X86" i="6"/>
  <c r="W86" i="6"/>
  <c r="U86" i="6"/>
  <c r="R86" i="6"/>
  <c r="N86" i="6"/>
  <c r="O86" i="6" s="1"/>
  <c r="L86" i="6"/>
  <c r="H86" i="6"/>
  <c r="I86" i="6" s="1"/>
  <c r="F86" i="6"/>
  <c r="C86" i="6"/>
  <c r="AD85" i="6"/>
  <c r="AC85" i="6"/>
  <c r="AA85" i="6"/>
  <c r="W85" i="6"/>
  <c r="X85" i="6" s="1"/>
  <c r="U85" i="6"/>
  <c r="R85" i="6"/>
  <c r="O85" i="6"/>
  <c r="N85" i="6"/>
  <c r="L85" i="6"/>
  <c r="I85" i="6"/>
  <c r="H85" i="6"/>
  <c r="F85" i="6"/>
  <c r="C85" i="6"/>
  <c r="AD84" i="6"/>
  <c r="AC84" i="6"/>
  <c r="AA84" i="6"/>
  <c r="W84" i="6"/>
  <c r="X84" i="6" s="1"/>
  <c r="U84" i="6"/>
  <c r="R84" i="6"/>
  <c r="N84" i="6"/>
  <c r="O84" i="6" s="1"/>
  <c r="L84" i="6"/>
  <c r="I84" i="6"/>
  <c r="H84" i="6"/>
  <c r="F84" i="6"/>
  <c r="C84" i="6"/>
  <c r="AD83" i="6"/>
  <c r="AC83" i="6"/>
  <c r="AA83" i="6"/>
  <c r="W83" i="6"/>
  <c r="X83" i="6" s="1"/>
  <c r="U83" i="6"/>
  <c r="R83" i="6"/>
  <c r="N83" i="6"/>
  <c r="O83" i="6" s="1"/>
  <c r="L83" i="6"/>
  <c r="H83" i="6"/>
  <c r="I83" i="6" s="1"/>
  <c r="F83" i="6"/>
  <c r="C83" i="6"/>
  <c r="AD82" i="6"/>
  <c r="AC82" i="6"/>
  <c r="AA82" i="6"/>
  <c r="X82" i="6"/>
  <c r="W82" i="6"/>
  <c r="U82" i="6"/>
  <c r="R82" i="6"/>
  <c r="N82" i="6"/>
  <c r="O82" i="6" s="1"/>
  <c r="L82" i="6"/>
  <c r="I82" i="6"/>
  <c r="H82" i="6"/>
  <c r="F82" i="6"/>
  <c r="C82" i="6"/>
  <c r="AD81" i="6"/>
  <c r="AC81" i="6"/>
  <c r="AA81" i="6"/>
  <c r="W81" i="6"/>
  <c r="X81" i="6" s="1"/>
  <c r="U81" i="6"/>
  <c r="R81" i="6"/>
  <c r="O81" i="6"/>
  <c r="N81" i="6"/>
  <c r="L81" i="6"/>
  <c r="I81" i="6"/>
  <c r="H81" i="6"/>
  <c r="F81" i="6"/>
  <c r="C81" i="6"/>
  <c r="AC80" i="6"/>
  <c r="AD80" i="6" s="1"/>
  <c r="AA80" i="6"/>
  <c r="W80" i="6"/>
  <c r="X80" i="6" s="1"/>
  <c r="U80" i="6"/>
  <c r="R80" i="6"/>
  <c r="O80" i="6"/>
  <c r="N80" i="6"/>
  <c r="L80" i="6"/>
  <c r="I80" i="6"/>
  <c r="H80" i="6"/>
  <c r="F80" i="6"/>
  <c r="C80" i="6"/>
  <c r="AD79" i="6"/>
  <c r="AC79" i="6"/>
  <c r="AA79" i="6"/>
  <c r="W79" i="6"/>
  <c r="X79" i="6" s="1"/>
  <c r="U79" i="6"/>
  <c r="R79" i="6"/>
  <c r="N79" i="6"/>
  <c r="O79" i="6" s="1"/>
  <c r="L79" i="6"/>
  <c r="I79" i="6"/>
  <c r="H79" i="6"/>
  <c r="F79" i="6"/>
  <c r="C79" i="6"/>
  <c r="AD78" i="6"/>
  <c r="AC78" i="6"/>
  <c r="AA78" i="6"/>
  <c r="W78" i="6"/>
  <c r="X78" i="6" s="1"/>
  <c r="U78" i="6"/>
  <c r="R78" i="6"/>
  <c r="N78" i="6"/>
  <c r="O78" i="6" s="1"/>
  <c r="L78" i="6"/>
  <c r="H78" i="6"/>
  <c r="I78" i="6" s="1"/>
  <c r="F78" i="6"/>
  <c r="C78" i="6"/>
  <c r="AD77" i="6"/>
  <c r="AC77" i="6"/>
  <c r="AA77" i="6"/>
  <c r="W77" i="6"/>
  <c r="X77" i="6" s="1"/>
  <c r="U77" i="6"/>
  <c r="R77" i="6"/>
  <c r="N77" i="6"/>
  <c r="O77" i="6" s="1"/>
  <c r="L77" i="6"/>
  <c r="I77" i="6"/>
  <c r="H77" i="6"/>
  <c r="F77" i="6"/>
  <c r="C77" i="6"/>
  <c r="AD76" i="6"/>
  <c r="AC76" i="6"/>
  <c r="AA76" i="6"/>
  <c r="W76" i="6"/>
  <c r="X76" i="6" s="1"/>
  <c r="U76" i="6"/>
  <c r="R76" i="6"/>
  <c r="N76" i="6"/>
  <c r="O76" i="6" s="1"/>
  <c r="L76" i="6"/>
  <c r="I76" i="6"/>
  <c r="H76" i="6"/>
  <c r="F76" i="6"/>
  <c r="C76" i="6"/>
  <c r="AD75" i="6"/>
  <c r="AC75" i="6"/>
  <c r="AA75" i="6"/>
  <c r="W75" i="6"/>
  <c r="X75" i="6" s="1"/>
  <c r="U75" i="6"/>
  <c r="R75" i="6"/>
  <c r="N75" i="6"/>
  <c r="O75" i="6" s="1"/>
  <c r="L75" i="6"/>
  <c r="H75" i="6"/>
  <c r="I75" i="6" s="1"/>
  <c r="F75" i="6"/>
  <c r="C75" i="6"/>
  <c r="AA73" i="6"/>
  <c r="Z73" i="6"/>
  <c r="X73" i="6"/>
  <c r="W73" i="6"/>
  <c r="U73" i="6"/>
  <c r="T73" i="6"/>
  <c r="R73" i="6"/>
  <c r="Q73" i="6"/>
  <c r="AC73" i="6" s="1"/>
  <c r="AD73" i="6" s="1"/>
  <c r="L73" i="6"/>
  <c r="K73" i="6"/>
  <c r="I73" i="6"/>
  <c r="F73" i="6"/>
  <c r="E73" i="6"/>
  <c r="C73" i="6"/>
  <c r="B73" i="6"/>
  <c r="H73" i="6" s="1"/>
  <c r="AC72" i="6"/>
  <c r="AD72" i="6" s="1"/>
  <c r="AA72" i="6"/>
  <c r="W72" i="6"/>
  <c r="X72" i="6" s="1"/>
  <c r="U72" i="6"/>
  <c r="R72" i="6"/>
  <c r="O72" i="6"/>
  <c r="N72" i="6"/>
  <c r="L72" i="6"/>
  <c r="I72" i="6"/>
  <c r="H72" i="6"/>
  <c r="F72" i="6"/>
  <c r="C72" i="6"/>
  <c r="AD71" i="6"/>
  <c r="AC71" i="6"/>
  <c r="AA71" i="6"/>
  <c r="W71" i="6"/>
  <c r="X71" i="6" s="1"/>
  <c r="U71" i="6"/>
  <c r="R71" i="6"/>
  <c r="N71" i="6"/>
  <c r="O71" i="6" s="1"/>
  <c r="L71" i="6"/>
  <c r="I71" i="6"/>
  <c r="H71" i="6"/>
  <c r="F71" i="6"/>
  <c r="C71" i="6"/>
  <c r="AD70" i="6"/>
  <c r="AC70" i="6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W69" i="6"/>
  <c r="X69" i="6" s="1"/>
  <c r="U69" i="6"/>
  <c r="R69" i="6"/>
  <c r="O69" i="6"/>
  <c r="N69" i="6"/>
  <c r="L69" i="6"/>
  <c r="I69" i="6"/>
  <c r="H69" i="6"/>
  <c r="F69" i="6"/>
  <c r="C69" i="6"/>
  <c r="AD68" i="6"/>
  <c r="AC68" i="6"/>
  <c r="AA68" i="6"/>
  <c r="W68" i="6"/>
  <c r="X68" i="6" s="1"/>
  <c r="U68" i="6"/>
  <c r="R68" i="6"/>
  <c r="O68" i="6"/>
  <c r="N68" i="6"/>
  <c r="L68" i="6"/>
  <c r="I68" i="6"/>
  <c r="H68" i="6"/>
  <c r="F68" i="6"/>
  <c r="C68" i="6"/>
  <c r="AC67" i="6"/>
  <c r="AD67" i="6" s="1"/>
  <c r="AA67" i="6"/>
  <c r="X67" i="6"/>
  <c r="W67" i="6"/>
  <c r="U67" i="6"/>
  <c r="R67" i="6"/>
  <c r="N67" i="6"/>
  <c r="O67" i="6" s="1"/>
  <c r="L67" i="6"/>
  <c r="H67" i="6"/>
  <c r="I67" i="6" s="1"/>
  <c r="F67" i="6"/>
  <c r="C67" i="6"/>
  <c r="AD66" i="6"/>
  <c r="AC66" i="6"/>
  <c r="AA66" i="6"/>
  <c r="W66" i="6"/>
  <c r="X66" i="6" s="1"/>
  <c r="U66" i="6"/>
  <c r="R66" i="6"/>
  <c r="O66" i="6"/>
  <c r="N66" i="6"/>
  <c r="L66" i="6"/>
  <c r="H66" i="6"/>
  <c r="I66" i="6" s="1"/>
  <c r="F66" i="6"/>
  <c r="C66" i="6"/>
  <c r="AD65" i="6"/>
  <c r="AC65" i="6"/>
  <c r="AA65" i="6"/>
  <c r="W65" i="6"/>
  <c r="X65" i="6" s="1"/>
  <c r="U65" i="6"/>
  <c r="R65" i="6"/>
  <c r="N65" i="6"/>
  <c r="O65" i="6" s="1"/>
  <c r="L65" i="6"/>
  <c r="I65" i="6"/>
  <c r="H65" i="6"/>
  <c r="F65" i="6"/>
  <c r="C65" i="6"/>
  <c r="AC64" i="6"/>
  <c r="AD64" i="6" s="1"/>
  <c r="AA64" i="6"/>
  <c r="X64" i="6"/>
  <c r="W64" i="6"/>
  <c r="U64" i="6"/>
  <c r="R64" i="6"/>
  <c r="N64" i="6"/>
  <c r="O64" i="6" s="1"/>
  <c r="L64" i="6"/>
  <c r="H64" i="6"/>
  <c r="I64" i="6" s="1"/>
  <c r="F64" i="6"/>
  <c r="C64" i="6"/>
  <c r="Z62" i="6"/>
  <c r="AA62" i="6" s="1"/>
  <c r="X62" i="6"/>
  <c r="W62" i="6"/>
  <c r="U62" i="6"/>
  <c r="T62" i="6"/>
  <c r="R62" i="6"/>
  <c r="Q62" i="6"/>
  <c r="AC62" i="6" s="1"/>
  <c r="AD62" i="6" s="1"/>
  <c r="L62" i="6"/>
  <c r="K62" i="6"/>
  <c r="E62" i="6"/>
  <c r="F62" i="6" s="1"/>
  <c r="B62" i="6"/>
  <c r="AA61" i="6"/>
  <c r="Z61" i="6"/>
  <c r="T61" i="6"/>
  <c r="U61" i="6" s="1"/>
  <c r="Q61" i="6"/>
  <c r="O61" i="6"/>
  <c r="L61" i="6"/>
  <c r="K61" i="6"/>
  <c r="E61" i="6"/>
  <c r="H61" i="6" s="1"/>
  <c r="I61" i="6" s="1"/>
  <c r="C61" i="6"/>
  <c r="B61" i="6"/>
  <c r="N61" i="6" s="1"/>
  <c r="AD60" i="6"/>
  <c r="AC60" i="6"/>
  <c r="AA60" i="6"/>
  <c r="W60" i="6"/>
  <c r="X60" i="6" s="1"/>
  <c r="U60" i="6"/>
  <c r="R60" i="6"/>
  <c r="N60" i="6"/>
  <c r="O60" i="6" s="1"/>
  <c r="L60" i="6"/>
  <c r="H60" i="6"/>
  <c r="I60" i="6" s="1"/>
  <c r="F60" i="6"/>
  <c r="C60" i="6"/>
  <c r="AD59" i="6"/>
  <c r="AC59" i="6"/>
  <c r="AA59" i="6"/>
  <c r="X59" i="6"/>
  <c r="W59" i="6"/>
  <c r="U59" i="6"/>
  <c r="R59" i="6"/>
  <c r="N59" i="6"/>
  <c r="O59" i="6" s="1"/>
  <c r="L59" i="6"/>
  <c r="I59" i="6"/>
  <c r="H59" i="6"/>
  <c r="F59" i="6"/>
  <c r="C59" i="6"/>
  <c r="AC58" i="6"/>
  <c r="AD58" i="6" s="1"/>
  <c r="AA58" i="6"/>
  <c r="W58" i="6"/>
  <c r="X58" i="6" s="1"/>
  <c r="U58" i="6"/>
  <c r="R58" i="6"/>
  <c r="N58" i="6"/>
  <c r="O58" i="6" s="1"/>
  <c r="L58" i="6"/>
  <c r="I58" i="6"/>
  <c r="H58" i="6"/>
  <c r="F58" i="6"/>
  <c r="C58" i="6"/>
  <c r="AD57" i="6"/>
  <c r="AC57" i="6"/>
  <c r="AA57" i="6"/>
  <c r="W57" i="6"/>
  <c r="X57" i="6" s="1"/>
  <c r="U57" i="6"/>
  <c r="R57" i="6"/>
  <c r="O57" i="6"/>
  <c r="N57" i="6"/>
  <c r="L57" i="6"/>
  <c r="I57" i="6"/>
  <c r="H57" i="6"/>
  <c r="F57" i="6"/>
  <c r="C57" i="6"/>
  <c r="AC56" i="6"/>
  <c r="AD56" i="6" s="1"/>
  <c r="AA56" i="6"/>
  <c r="W56" i="6"/>
  <c r="X56" i="6" s="1"/>
  <c r="U56" i="6"/>
  <c r="R56" i="6"/>
  <c r="N56" i="6"/>
  <c r="O56" i="6" s="1"/>
  <c r="L56" i="6"/>
  <c r="I56" i="6"/>
  <c r="H56" i="6"/>
  <c r="F56" i="6"/>
  <c r="C56" i="6"/>
  <c r="AD55" i="6"/>
  <c r="AC55" i="6"/>
  <c r="AA55" i="6"/>
  <c r="W55" i="6"/>
  <c r="X55" i="6" s="1"/>
  <c r="U55" i="6"/>
  <c r="R55" i="6"/>
  <c r="O55" i="6"/>
  <c r="N55" i="6"/>
  <c r="L55" i="6"/>
  <c r="H55" i="6"/>
  <c r="I55" i="6" s="1"/>
  <c r="F55" i="6"/>
  <c r="C55" i="6"/>
  <c r="AC54" i="6"/>
  <c r="AD54" i="6" s="1"/>
  <c r="AA54" i="6"/>
  <c r="W54" i="6"/>
  <c r="X54" i="6" s="1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O53" i="6"/>
  <c r="N53" i="6"/>
  <c r="L53" i="6"/>
  <c r="I53" i="6"/>
  <c r="H53" i="6"/>
  <c r="F53" i="6"/>
  <c r="C53" i="6"/>
  <c r="AC52" i="6"/>
  <c r="AD52" i="6" s="1"/>
  <c r="AA52" i="6"/>
  <c r="X52" i="6"/>
  <c r="W52" i="6"/>
  <c r="U52" i="6"/>
  <c r="R52" i="6"/>
  <c r="N52" i="6"/>
  <c r="O52" i="6" s="1"/>
  <c r="L52" i="6"/>
  <c r="I52" i="6"/>
  <c r="H52" i="6"/>
  <c r="F52" i="6"/>
  <c r="C52" i="6"/>
  <c r="AD51" i="6"/>
  <c r="AC51" i="6"/>
  <c r="AA51" i="6"/>
  <c r="W51" i="6"/>
  <c r="X51" i="6" s="1"/>
  <c r="U51" i="6"/>
  <c r="R51" i="6"/>
  <c r="O51" i="6"/>
  <c r="N51" i="6"/>
  <c r="L51" i="6"/>
  <c r="H51" i="6"/>
  <c r="I51" i="6" s="1"/>
  <c r="F51" i="6"/>
  <c r="C51" i="6"/>
  <c r="AD50" i="6"/>
  <c r="AC50" i="6"/>
  <c r="AA50" i="6"/>
  <c r="W50" i="6"/>
  <c r="X50" i="6" s="1"/>
  <c r="U50" i="6"/>
  <c r="R50" i="6"/>
  <c r="N50" i="6"/>
  <c r="O50" i="6" s="1"/>
  <c r="L50" i="6"/>
  <c r="I50" i="6"/>
  <c r="H50" i="6"/>
  <c r="F50" i="6"/>
  <c r="C50" i="6"/>
  <c r="AD49" i="6"/>
  <c r="AC49" i="6"/>
  <c r="AA49" i="6"/>
  <c r="X49" i="6"/>
  <c r="W49" i="6"/>
  <c r="U49" i="6"/>
  <c r="R49" i="6"/>
  <c r="N49" i="6"/>
  <c r="O49" i="6" s="1"/>
  <c r="L49" i="6"/>
  <c r="H49" i="6"/>
  <c r="I49" i="6" s="1"/>
  <c r="F49" i="6"/>
  <c r="C49" i="6"/>
  <c r="AD48" i="6"/>
  <c r="AC48" i="6"/>
  <c r="AA48" i="6"/>
  <c r="X48" i="6"/>
  <c r="W48" i="6"/>
  <c r="U48" i="6"/>
  <c r="R48" i="6"/>
  <c r="N48" i="6"/>
  <c r="O48" i="6" s="1"/>
  <c r="L48" i="6"/>
  <c r="H48" i="6"/>
  <c r="I48" i="6" s="1"/>
  <c r="F48" i="6"/>
  <c r="C48" i="6"/>
  <c r="AD47" i="6"/>
  <c r="AC47" i="6"/>
  <c r="AA47" i="6"/>
  <c r="X47" i="6"/>
  <c r="W47" i="6"/>
  <c r="U47" i="6"/>
  <c r="R47" i="6"/>
  <c r="O47" i="6"/>
  <c r="N47" i="6"/>
  <c r="L47" i="6"/>
  <c r="H47" i="6"/>
  <c r="I47" i="6" s="1"/>
  <c r="F47" i="6"/>
  <c r="C47" i="6"/>
  <c r="AD46" i="6"/>
  <c r="AC46" i="6"/>
  <c r="AA46" i="6"/>
  <c r="W46" i="6"/>
  <c r="X46" i="6" s="1"/>
  <c r="U46" i="6"/>
  <c r="R46" i="6"/>
  <c r="N46" i="6"/>
  <c r="O46" i="6" s="1"/>
  <c r="L46" i="6"/>
  <c r="I46" i="6"/>
  <c r="H46" i="6"/>
  <c r="F46" i="6"/>
  <c r="C46" i="6"/>
  <c r="AD44" i="6"/>
  <c r="AC44" i="6"/>
  <c r="AA44" i="6"/>
  <c r="W44" i="6"/>
  <c r="X44" i="6" s="1"/>
  <c r="U44" i="6"/>
  <c r="R44" i="6"/>
  <c r="N44" i="6"/>
  <c r="O44" i="6" s="1"/>
  <c r="L44" i="6"/>
  <c r="I44" i="6"/>
  <c r="H44" i="6"/>
  <c r="F44" i="6"/>
  <c r="C44" i="6"/>
  <c r="AD43" i="6"/>
  <c r="AC43" i="6"/>
  <c r="AA43" i="6"/>
  <c r="W43" i="6"/>
  <c r="X43" i="6" s="1"/>
  <c r="U43" i="6"/>
  <c r="R43" i="6"/>
  <c r="N43" i="6"/>
  <c r="O43" i="6" s="1"/>
  <c r="L43" i="6"/>
  <c r="H43" i="6"/>
  <c r="I43" i="6" s="1"/>
  <c r="F43" i="6"/>
  <c r="C43" i="6"/>
  <c r="AD42" i="6"/>
  <c r="AC42" i="6"/>
  <c r="AA42" i="6"/>
  <c r="X42" i="6"/>
  <c r="W42" i="6"/>
  <c r="U42" i="6"/>
  <c r="R42" i="6"/>
  <c r="N42" i="6"/>
  <c r="O42" i="6" s="1"/>
  <c r="L42" i="6"/>
  <c r="I42" i="6"/>
  <c r="H42" i="6"/>
  <c r="F42" i="6"/>
  <c r="C42" i="6"/>
  <c r="AA40" i="6"/>
  <c r="Z40" i="6"/>
  <c r="T40" i="6"/>
  <c r="U40" i="6" s="1"/>
  <c r="Q40" i="6"/>
  <c r="AC40" i="6" s="1"/>
  <c r="AD40" i="6" s="1"/>
  <c r="K40" i="6"/>
  <c r="L40" i="6" s="1"/>
  <c r="F40" i="6"/>
  <c r="E40" i="6"/>
  <c r="H40" i="6" s="1"/>
  <c r="I40" i="6" s="1"/>
  <c r="C40" i="6"/>
  <c r="B40" i="6"/>
  <c r="AC39" i="6"/>
  <c r="AD39" i="6" s="1"/>
  <c r="AA39" i="6"/>
  <c r="W39" i="6"/>
  <c r="X39" i="6" s="1"/>
  <c r="U39" i="6"/>
  <c r="R39" i="6"/>
  <c r="N39" i="6"/>
  <c r="O39" i="6" s="1"/>
  <c r="L39" i="6"/>
  <c r="I39" i="6"/>
  <c r="H39" i="6"/>
  <c r="F39" i="6"/>
  <c r="C39" i="6"/>
  <c r="AD38" i="6"/>
  <c r="AC38" i="6"/>
  <c r="AA38" i="6"/>
  <c r="W38" i="6"/>
  <c r="X38" i="6" s="1"/>
  <c r="U38" i="6"/>
  <c r="R38" i="6"/>
  <c r="O38" i="6"/>
  <c r="N38" i="6"/>
  <c r="L38" i="6"/>
  <c r="I38" i="6"/>
  <c r="H38" i="6"/>
  <c r="F38" i="6"/>
  <c r="C38" i="6"/>
  <c r="AC37" i="6"/>
  <c r="AD37" i="6" s="1"/>
  <c r="AA37" i="6"/>
  <c r="W37" i="6"/>
  <c r="X37" i="6" s="1"/>
  <c r="U37" i="6"/>
  <c r="R37" i="6"/>
  <c r="O37" i="6"/>
  <c r="N37" i="6"/>
  <c r="L37" i="6"/>
  <c r="I37" i="6"/>
  <c r="H37" i="6"/>
  <c r="F37" i="6"/>
  <c r="C37" i="6"/>
  <c r="AD36" i="6"/>
  <c r="AC36" i="6"/>
  <c r="AA36" i="6"/>
  <c r="W36" i="6"/>
  <c r="X36" i="6" s="1"/>
  <c r="U36" i="6"/>
  <c r="R36" i="6"/>
  <c r="N36" i="6"/>
  <c r="O36" i="6" s="1"/>
  <c r="L36" i="6"/>
  <c r="I36" i="6"/>
  <c r="H36" i="6"/>
  <c r="F36" i="6"/>
  <c r="C36" i="6"/>
  <c r="AD35" i="6"/>
  <c r="AC35" i="6"/>
  <c r="AA35" i="6"/>
  <c r="X35" i="6"/>
  <c r="W35" i="6"/>
  <c r="U35" i="6"/>
  <c r="R35" i="6"/>
  <c r="N35" i="6"/>
  <c r="O35" i="6" s="1"/>
  <c r="L35" i="6"/>
  <c r="H35" i="6"/>
  <c r="I35" i="6" s="1"/>
  <c r="F35" i="6"/>
  <c r="C35" i="6"/>
  <c r="AD34" i="6"/>
  <c r="AC34" i="6"/>
  <c r="AA34" i="6"/>
  <c r="X34" i="6"/>
  <c r="W34" i="6"/>
  <c r="U34" i="6"/>
  <c r="R34" i="6"/>
  <c r="N34" i="6"/>
  <c r="O34" i="6" s="1"/>
  <c r="L34" i="6"/>
  <c r="H34" i="6"/>
  <c r="I34" i="6" s="1"/>
  <c r="F34" i="6"/>
  <c r="C34" i="6"/>
  <c r="AD33" i="6"/>
  <c r="AC33" i="6"/>
  <c r="AA33" i="6"/>
  <c r="W33" i="6"/>
  <c r="X33" i="6" s="1"/>
  <c r="U33" i="6"/>
  <c r="R33" i="6"/>
  <c r="O33" i="6"/>
  <c r="N33" i="6"/>
  <c r="L33" i="6"/>
  <c r="I33" i="6"/>
  <c r="H33" i="6"/>
  <c r="F33" i="6"/>
  <c r="C33" i="6"/>
  <c r="AC32" i="6"/>
  <c r="AD32" i="6" s="1"/>
  <c r="AA32" i="6"/>
  <c r="W32" i="6"/>
  <c r="X32" i="6" s="1"/>
  <c r="U32" i="6"/>
  <c r="R32" i="6"/>
  <c r="N32" i="6"/>
  <c r="O32" i="6" s="1"/>
  <c r="L32" i="6"/>
  <c r="I32" i="6"/>
  <c r="H32" i="6"/>
  <c r="F32" i="6"/>
  <c r="C32" i="6"/>
  <c r="AC31" i="6"/>
  <c r="AD31" i="6" s="1"/>
  <c r="AA31" i="6"/>
  <c r="X31" i="6"/>
  <c r="W31" i="6"/>
  <c r="U31" i="6"/>
  <c r="R31" i="6"/>
  <c r="N31" i="6"/>
  <c r="O31" i="6" s="1"/>
  <c r="L31" i="6"/>
  <c r="I31" i="6"/>
  <c r="H31" i="6"/>
  <c r="F31" i="6"/>
  <c r="C31" i="6"/>
  <c r="Z29" i="6"/>
  <c r="AA29" i="6" s="1"/>
  <c r="X29" i="6"/>
  <c r="W29" i="6"/>
  <c r="U29" i="6"/>
  <c r="T29" i="6"/>
  <c r="R29" i="6"/>
  <c r="Q29" i="6"/>
  <c r="AC29" i="6" s="1"/>
  <c r="AD29" i="6" s="1"/>
  <c r="L29" i="6"/>
  <c r="K29" i="6"/>
  <c r="F29" i="6"/>
  <c r="E29" i="6"/>
  <c r="C29" i="6"/>
  <c r="B29" i="6"/>
  <c r="AC28" i="6"/>
  <c r="AD28" i="6" s="1"/>
  <c r="AA28" i="6"/>
  <c r="W28" i="6"/>
  <c r="X28" i="6" s="1"/>
  <c r="U28" i="6"/>
  <c r="R28" i="6"/>
  <c r="N28" i="6"/>
  <c r="O28" i="6" s="1"/>
  <c r="L28" i="6"/>
  <c r="I28" i="6"/>
  <c r="H28" i="6"/>
  <c r="F28" i="6"/>
  <c r="C28" i="6"/>
  <c r="AC27" i="6"/>
  <c r="AD27" i="6" s="1"/>
  <c r="AA27" i="6"/>
  <c r="X27" i="6"/>
  <c r="W27" i="6"/>
  <c r="U27" i="6"/>
  <c r="R27" i="6"/>
  <c r="N27" i="6"/>
  <c r="O27" i="6" s="1"/>
  <c r="L27" i="6"/>
  <c r="H27" i="6"/>
  <c r="I27" i="6" s="1"/>
  <c r="F27" i="6"/>
  <c r="C27" i="6"/>
  <c r="AD26" i="6"/>
  <c r="AC26" i="6"/>
  <c r="AA26" i="6"/>
  <c r="W26" i="6"/>
  <c r="X26" i="6" s="1"/>
  <c r="U26" i="6"/>
  <c r="R26" i="6"/>
  <c r="N26" i="6"/>
  <c r="O26" i="6" s="1"/>
  <c r="L26" i="6"/>
  <c r="H26" i="6"/>
  <c r="I26" i="6" s="1"/>
  <c r="F26" i="6"/>
  <c r="C26" i="6"/>
  <c r="AD25" i="6"/>
  <c r="AC25" i="6"/>
  <c r="AA25" i="6"/>
  <c r="W25" i="6"/>
  <c r="X25" i="6" s="1"/>
  <c r="U25" i="6"/>
  <c r="R25" i="6"/>
  <c r="O25" i="6"/>
  <c r="N25" i="6"/>
  <c r="L25" i="6"/>
  <c r="I25" i="6"/>
  <c r="H25" i="6"/>
  <c r="F25" i="6"/>
  <c r="C25" i="6"/>
  <c r="AC24" i="6"/>
  <c r="AD24" i="6" s="1"/>
  <c r="AA24" i="6"/>
  <c r="W24" i="6"/>
  <c r="X24" i="6" s="1"/>
  <c r="U24" i="6"/>
  <c r="R24" i="6"/>
  <c r="O24" i="6"/>
  <c r="N24" i="6"/>
  <c r="L24" i="6"/>
  <c r="I24" i="6"/>
  <c r="H24" i="6"/>
  <c r="F24" i="6"/>
  <c r="C24" i="6"/>
  <c r="AD23" i="6"/>
  <c r="AC23" i="6"/>
  <c r="AA23" i="6"/>
  <c r="X23" i="6"/>
  <c r="W23" i="6"/>
  <c r="U23" i="6"/>
  <c r="R23" i="6"/>
  <c r="N23" i="6"/>
  <c r="O23" i="6" s="1"/>
  <c r="L23" i="6"/>
  <c r="I23" i="6"/>
  <c r="H23" i="6"/>
  <c r="F23" i="6"/>
  <c r="C23" i="6"/>
  <c r="AD22" i="6"/>
  <c r="AC22" i="6"/>
  <c r="AA22" i="6"/>
  <c r="X22" i="6"/>
  <c r="W22" i="6"/>
  <c r="U22" i="6"/>
  <c r="R22" i="6"/>
  <c r="N22" i="6"/>
  <c r="O22" i="6" s="1"/>
  <c r="L22" i="6"/>
  <c r="I22" i="6"/>
  <c r="H22" i="6"/>
  <c r="F22" i="6"/>
  <c r="C22" i="6"/>
  <c r="AD21" i="6"/>
  <c r="AC21" i="6"/>
  <c r="AA21" i="6"/>
  <c r="W21" i="6"/>
  <c r="X21" i="6" s="1"/>
  <c r="U21" i="6"/>
  <c r="R21" i="6"/>
  <c r="O21" i="6"/>
  <c r="N21" i="6"/>
  <c r="L21" i="6"/>
  <c r="I21" i="6"/>
  <c r="H21" i="6"/>
  <c r="F21" i="6"/>
  <c r="C21" i="6"/>
  <c r="AC19" i="6"/>
  <c r="AD19" i="6" s="1"/>
  <c r="AA19" i="6"/>
  <c r="W19" i="6"/>
  <c r="X19" i="6" s="1"/>
  <c r="U19" i="6"/>
  <c r="R19" i="6"/>
  <c r="O19" i="6"/>
  <c r="N19" i="6"/>
  <c r="L19" i="6"/>
  <c r="I19" i="6"/>
  <c r="H19" i="6"/>
  <c r="F19" i="6"/>
  <c r="C19" i="6"/>
  <c r="AC18" i="6"/>
  <c r="AD18" i="6" s="1"/>
  <c r="AA18" i="6"/>
  <c r="Z18" i="6"/>
  <c r="U18" i="6"/>
  <c r="T18" i="6"/>
  <c r="Q18" i="6"/>
  <c r="N18" i="6"/>
  <c r="O18" i="6" s="1"/>
  <c r="L18" i="6"/>
  <c r="K18" i="6"/>
  <c r="F18" i="6"/>
  <c r="E18" i="6"/>
  <c r="C18" i="6"/>
  <c r="B18" i="6"/>
  <c r="H18" i="6" s="1"/>
  <c r="I18" i="6" s="1"/>
  <c r="AD17" i="6"/>
  <c r="AC17" i="6"/>
  <c r="AA17" i="6"/>
  <c r="W17" i="6"/>
  <c r="X17" i="6" s="1"/>
  <c r="U17" i="6"/>
  <c r="R17" i="6"/>
  <c r="O17" i="6"/>
  <c r="N17" i="6"/>
  <c r="L17" i="6"/>
  <c r="I17" i="6"/>
  <c r="H17" i="6"/>
  <c r="F17" i="6"/>
  <c r="C17" i="6"/>
  <c r="AC16" i="6"/>
  <c r="AD16" i="6" s="1"/>
  <c r="AA16" i="6"/>
  <c r="W16" i="6"/>
  <c r="X16" i="6" s="1"/>
  <c r="U16" i="6"/>
  <c r="R16" i="6"/>
  <c r="O16" i="6"/>
  <c r="N16" i="6"/>
  <c r="L16" i="6"/>
  <c r="I16" i="6"/>
  <c r="H16" i="6"/>
  <c r="F16" i="6"/>
  <c r="C16" i="6"/>
  <c r="AC15" i="6"/>
  <c r="AD15" i="6" s="1"/>
  <c r="AA15" i="6"/>
  <c r="X15" i="6"/>
  <c r="W15" i="6"/>
  <c r="U15" i="6"/>
  <c r="R15" i="6"/>
  <c r="N15" i="6"/>
  <c r="O15" i="6" s="1"/>
  <c r="L15" i="6"/>
  <c r="I15" i="6"/>
  <c r="H15" i="6"/>
  <c r="F15" i="6"/>
  <c r="C15" i="6"/>
  <c r="AD14" i="6"/>
  <c r="AC14" i="6"/>
  <c r="AA14" i="6"/>
  <c r="W14" i="6"/>
  <c r="X14" i="6" s="1"/>
  <c r="U14" i="6"/>
  <c r="R14" i="6"/>
  <c r="N14" i="6"/>
  <c r="O14" i="6" s="1"/>
  <c r="L14" i="6"/>
  <c r="I14" i="6"/>
  <c r="H14" i="6"/>
  <c r="F14" i="6"/>
  <c r="C14" i="6"/>
  <c r="AD13" i="6"/>
  <c r="AC13" i="6"/>
  <c r="AA13" i="6"/>
  <c r="W13" i="6"/>
  <c r="X13" i="6" s="1"/>
  <c r="U13" i="6"/>
  <c r="R13" i="6"/>
  <c r="O13" i="6"/>
  <c r="N13" i="6"/>
  <c r="L13" i="6"/>
  <c r="I13" i="6"/>
  <c r="H13" i="6"/>
  <c r="F13" i="6"/>
  <c r="C13" i="6"/>
  <c r="AD12" i="6"/>
  <c r="AC12" i="6"/>
  <c r="AA12" i="6"/>
  <c r="W12" i="6"/>
  <c r="X12" i="6" s="1"/>
  <c r="U12" i="6"/>
  <c r="R12" i="6"/>
  <c r="N12" i="6"/>
  <c r="O12" i="6" s="1"/>
  <c r="L12" i="6"/>
  <c r="I12" i="6"/>
  <c r="H12" i="6"/>
  <c r="F12" i="6"/>
  <c r="C12" i="6"/>
  <c r="AC11" i="6"/>
  <c r="AD11" i="6" s="1"/>
  <c r="AA11" i="6"/>
  <c r="X11" i="6"/>
  <c r="W11" i="6"/>
  <c r="U11" i="6"/>
  <c r="R11" i="6"/>
  <c r="N11" i="6"/>
  <c r="O11" i="6" s="1"/>
  <c r="L11" i="6"/>
  <c r="H11" i="6"/>
  <c r="I11" i="6" s="1"/>
  <c r="F11" i="6"/>
  <c r="C11" i="6"/>
  <c r="AD10" i="6"/>
  <c r="AC10" i="6"/>
  <c r="AA10" i="6"/>
  <c r="W10" i="6"/>
  <c r="X10" i="6" s="1"/>
  <c r="U10" i="6"/>
  <c r="R10" i="6"/>
  <c r="N10" i="6"/>
  <c r="O10" i="6" s="1"/>
  <c r="L10" i="6"/>
  <c r="I10" i="6"/>
  <c r="H10" i="6"/>
  <c r="F10" i="6"/>
  <c r="C10" i="6"/>
  <c r="AD8" i="6"/>
  <c r="AC8" i="6"/>
  <c r="AA8" i="6"/>
  <c r="W8" i="6"/>
  <c r="X8" i="6" s="1"/>
  <c r="U8" i="6"/>
  <c r="R8" i="6"/>
  <c r="O8" i="6"/>
  <c r="N8" i="6"/>
  <c r="L8" i="6"/>
  <c r="I8" i="6"/>
  <c r="H8" i="6"/>
  <c r="F8" i="6"/>
  <c r="C8" i="6"/>
  <c r="AC444" i="5"/>
  <c r="AD438" i="5" s="1"/>
  <c r="W444" i="5"/>
  <c r="X421" i="5" s="1"/>
  <c r="N444" i="5"/>
  <c r="H444" i="5"/>
  <c r="AC442" i="5"/>
  <c r="AD442" i="5" s="1"/>
  <c r="AA442" i="5"/>
  <c r="Z442" i="5"/>
  <c r="U442" i="5"/>
  <c r="T442" i="5"/>
  <c r="Q442" i="5"/>
  <c r="L442" i="5"/>
  <c r="K442" i="5"/>
  <c r="I442" i="5"/>
  <c r="F442" i="5"/>
  <c r="E442" i="5"/>
  <c r="H442" i="5" s="1"/>
  <c r="C442" i="5"/>
  <c r="B442" i="5"/>
  <c r="N442" i="5" s="1"/>
  <c r="O442" i="5" s="1"/>
  <c r="Z441" i="5"/>
  <c r="AA441" i="5" s="1"/>
  <c r="W441" i="5"/>
  <c r="X441" i="5" s="1"/>
  <c r="U441" i="5"/>
  <c r="T441" i="5"/>
  <c r="R441" i="5"/>
  <c r="Q441" i="5"/>
  <c r="N441" i="5"/>
  <c r="O441" i="5" s="1"/>
  <c r="K441" i="5"/>
  <c r="L441" i="5" s="1"/>
  <c r="F441" i="5"/>
  <c r="E441" i="5"/>
  <c r="C441" i="5"/>
  <c r="B441" i="5"/>
  <c r="H441" i="5" s="1"/>
  <c r="I441" i="5" s="1"/>
  <c r="AC440" i="5"/>
  <c r="AD440" i="5" s="1"/>
  <c r="AA440" i="5"/>
  <c r="W440" i="5"/>
  <c r="U440" i="5"/>
  <c r="R440" i="5"/>
  <c r="O440" i="5"/>
  <c r="N440" i="5"/>
  <c r="L440" i="5"/>
  <c r="I440" i="5"/>
  <c r="H440" i="5"/>
  <c r="F440" i="5"/>
  <c r="C440" i="5"/>
  <c r="AC439" i="5"/>
  <c r="AD439" i="5" s="1"/>
  <c r="AA439" i="5"/>
  <c r="W439" i="5"/>
  <c r="U439" i="5"/>
  <c r="R439" i="5"/>
  <c r="N439" i="5"/>
  <c r="O439" i="5" s="1"/>
  <c r="L439" i="5"/>
  <c r="I439" i="5"/>
  <c r="H439" i="5"/>
  <c r="F439" i="5"/>
  <c r="C439" i="5"/>
  <c r="AC438" i="5"/>
  <c r="AA438" i="5"/>
  <c r="W438" i="5"/>
  <c r="X438" i="5" s="1"/>
  <c r="U438" i="5"/>
  <c r="R438" i="5"/>
  <c r="N438" i="5"/>
  <c r="O438" i="5" s="1"/>
  <c r="L438" i="5"/>
  <c r="I438" i="5"/>
  <c r="H438" i="5"/>
  <c r="F438" i="5"/>
  <c r="C438" i="5"/>
  <c r="AC437" i="5"/>
  <c r="AA437" i="5"/>
  <c r="W437" i="5"/>
  <c r="U437" i="5"/>
  <c r="R437" i="5"/>
  <c r="O437" i="5"/>
  <c r="N437" i="5"/>
  <c r="L437" i="5"/>
  <c r="I437" i="5"/>
  <c r="H437" i="5"/>
  <c r="F437" i="5"/>
  <c r="C437" i="5"/>
  <c r="AD436" i="5"/>
  <c r="AC436" i="5"/>
  <c r="AA436" i="5"/>
  <c r="W436" i="5"/>
  <c r="X436" i="5" s="1"/>
  <c r="U436" i="5"/>
  <c r="R436" i="5"/>
  <c r="O436" i="5"/>
  <c r="N436" i="5"/>
  <c r="L436" i="5"/>
  <c r="I436" i="5"/>
  <c r="H436" i="5"/>
  <c r="F436" i="5"/>
  <c r="C436" i="5"/>
  <c r="AD435" i="5"/>
  <c r="AC435" i="5"/>
  <c r="AA435" i="5"/>
  <c r="W435" i="5"/>
  <c r="U435" i="5"/>
  <c r="R435" i="5"/>
  <c r="N435" i="5"/>
  <c r="O435" i="5" s="1"/>
  <c r="L435" i="5"/>
  <c r="I435" i="5"/>
  <c r="H435" i="5"/>
  <c r="F435" i="5"/>
  <c r="C435" i="5"/>
  <c r="AD434" i="5"/>
  <c r="AC434" i="5"/>
  <c r="AA434" i="5"/>
  <c r="W434" i="5"/>
  <c r="X434" i="5" s="1"/>
  <c r="U434" i="5"/>
  <c r="R434" i="5"/>
  <c r="N434" i="5"/>
  <c r="O434" i="5" s="1"/>
  <c r="L434" i="5"/>
  <c r="H434" i="5"/>
  <c r="I434" i="5" s="1"/>
  <c r="F434" i="5"/>
  <c r="C434" i="5"/>
  <c r="AC433" i="5"/>
  <c r="AA433" i="5"/>
  <c r="W433" i="5"/>
  <c r="U433" i="5"/>
  <c r="R433" i="5"/>
  <c r="O433" i="5"/>
  <c r="N433" i="5"/>
  <c r="L433" i="5"/>
  <c r="I433" i="5"/>
  <c r="H433" i="5"/>
  <c r="F433" i="5"/>
  <c r="C433" i="5"/>
  <c r="AC432" i="5"/>
  <c r="AD432" i="5" s="1"/>
  <c r="AA432" i="5"/>
  <c r="W432" i="5"/>
  <c r="X432" i="5" s="1"/>
  <c r="U432" i="5"/>
  <c r="R432" i="5"/>
  <c r="O432" i="5"/>
  <c r="N432" i="5"/>
  <c r="L432" i="5"/>
  <c r="I432" i="5"/>
  <c r="H432" i="5"/>
  <c r="F432" i="5"/>
  <c r="C432" i="5"/>
  <c r="Z429" i="5"/>
  <c r="U429" i="5"/>
  <c r="T429" i="5"/>
  <c r="R429" i="5"/>
  <c r="Q429" i="5"/>
  <c r="W429" i="5" s="1"/>
  <c r="L429" i="5"/>
  <c r="K429" i="5"/>
  <c r="F429" i="5"/>
  <c r="E429" i="5"/>
  <c r="B429" i="5"/>
  <c r="N429" i="5" s="1"/>
  <c r="O429" i="5" s="1"/>
  <c r="AA428" i="5"/>
  <c r="Z428" i="5"/>
  <c r="W428" i="5"/>
  <c r="X428" i="5" s="1"/>
  <c r="U428" i="5"/>
  <c r="T428" i="5"/>
  <c r="R428" i="5"/>
  <c r="Q428" i="5"/>
  <c r="AC428" i="5" s="1"/>
  <c r="AD428" i="5" s="1"/>
  <c r="K428" i="5"/>
  <c r="L428" i="5" s="1"/>
  <c r="I428" i="5"/>
  <c r="H428" i="5"/>
  <c r="F428" i="5"/>
  <c r="E428" i="5"/>
  <c r="C428" i="5"/>
  <c r="B428" i="5"/>
  <c r="AC427" i="5"/>
  <c r="AD427" i="5" s="1"/>
  <c r="AA427" i="5"/>
  <c r="X427" i="5"/>
  <c r="W427" i="5"/>
  <c r="U427" i="5"/>
  <c r="R427" i="5"/>
  <c r="O427" i="5"/>
  <c r="N427" i="5"/>
  <c r="L427" i="5"/>
  <c r="H427" i="5"/>
  <c r="I427" i="5" s="1"/>
  <c r="F427" i="5"/>
  <c r="C427" i="5"/>
  <c r="AD426" i="5"/>
  <c r="AC426" i="5"/>
  <c r="AA426" i="5"/>
  <c r="W426" i="5"/>
  <c r="X426" i="5" s="1"/>
  <c r="U426" i="5"/>
  <c r="R426" i="5"/>
  <c r="N426" i="5"/>
  <c r="O426" i="5" s="1"/>
  <c r="L426" i="5"/>
  <c r="I426" i="5"/>
  <c r="H426" i="5"/>
  <c r="F426" i="5"/>
  <c r="C426" i="5"/>
  <c r="AD425" i="5"/>
  <c r="AC425" i="5"/>
  <c r="AA425" i="5"/>
  <c r="W425" i="5"/>
  <c r="U425" i="5"/>
  <c r="R425" i="5"/>
  <c r="N425" i="5"/>
  <c r="O425" i="5" s="1"/>
  <c r="L425" i="5"/>
  <c r="H425" i="5"/>
  <c r="I425" i="5" s="1"/>
  <c r="F425" i="5"/>
  <c r="C425" i="5"/>
  <c r="AD424" i="5"/>
  <c r="AC424" i="5"/>
  <c r="AA424" i="5"/>
  <c r="W424" i="5"/>
  <c r="X424" i="5" s="1"/>
  <c r="U424" i="5"/>
  <c r="R424" i="5"/>
  <c r="O424" i="5"/>
  <c r="N424" i="5"/>
  <c r="L424" i="5"/>
  <c r="I424" i="5"/>
  <c r="H424" i="5"/>
  <c r="F424" i="5"/>
  <c r="C424" i="5"/>
  <c r="AD423" i="5"/>
  <c r="AC423" i="5"/>
  <c r="AA423" i="5"/>
  <c r="W423" i="5"/>
  <c r="U423" i="5"/>
  <c r="R423" i="5"/>
  <c r="N423" i="5"/>
  <c r="O423" i="5" s="1"/>
  <c r="L423" i="5"/>
  <c r="H423" i="5"/>
  <c r="I423" i="5" s="1"/>
  <c r="F423" i="5"/>
  <c r="C423" i="5"/>
  <c r="AD422" i="5"/>
  <c r="AC422" i="5"/>
  <c r="AA422" i="5"/>
  <c r="W422" i="5"/>
  <c r="U422" i="5"/>
  <c r="R422" i="5"/>
  <c r="N422" i="5"/>
  <c r="O422" i="5" s="1"/>
  <c r="L422" i="5"/>
  <c r="H422" i="5"/>
  <c r="I422" i="5" s="1"/>
  <c r="F422" i="5"/>
  <c r="C422" i="5"/>
  <c r="AD421" i="5"/>
  <c r="AC421" i="5"/>
  <c r="AA421" i="5"/>
  <c r="W421" i="5"/>
  <c r="U421" i="5"/>
  <c r="R421" i="5"/>
  <c r="N421" i="5"/>
  <c r="O421" i="5" s="1"/>
  <c r="L421" i="5"/>
  <c r="H421" i="5"/>
  <c r="I421" i="5" s="1"/>
  <c r="F421" i="5"/>
  <c r="C421" i="5"/>
  <c r="AD420" i="5"/>
  <c r="AC420" i="5"/>
  <c r="AA420" i="5"/>
  <c r="W420" i="5"/>
  <c r="X420" i="5" s="1"/>
  <c r="U420" i="5"/>
  <c r="R420" i="5"/>
  <c r="N420" i="5"/>
  <c r="O420" i="5" s="1"/>
  <c r="L420" i="5"/>
  <c r="I420" i="5"/>
  <c r="H420" i="5"/>
  <c r="F420" i="5"/>
  <c r="C420" i="5"/>
  <c r="AD419" i="5"/>
  <c r="AC419" i="5"/>
  <c r="AA419" i="5"/>
  <c r="W419" i="5"/>
  <c r="U419" i="5"/>
  <c r="R419" i="5"/>
  <c r="N419" i="5"/>
  <c r="O419" i="5" s="1"/>
  <c r="L419" i="5"/>
  <c r="I419" i="5"/>
  <c r="H419" i="5"/>
  <c r="F419" i="5"/>
  <c r="C419" i="5"/>
  <c r="AC418" i="5"/>
  <c r="AD418" i="5" s="1"/>
  <c r="AA418" i="5"/>
  <c r="W418" i="5"/>
  <c r="X418" i="5" s="1"/>
  <c r="U418" i="5"/>
  <c r="R418" i="5"/>
  <c r="N418" i="5"/>
  <c r="O418" i="5" s="1"/>
  <c r="L418" i="5"/>
  <c r="H418" i="5"/>
  <c r="I418" i="5" s="1"/>
  <c r="F418" i="5"/>
  <c r="C418" i="5"/>
  <c r="AD417" i="5"/>
  <c r="AC417" i="5"/>
  <c r="AA417" i="5"/>
  <c r="W417" i="5"/>
  <c r="X417" i="5" s="1"/>
  <c r="U417" i="5"/>
  <c r="R417" i="5"/>
  <c r="O417" i="5"/>
  <c r="N417" i="5"/>
  <c r="L417" i="5"/>
  <c r="I417" i="5"/>
  <c r="H417" i="5"/>
  <c r="F417" i="5"/>
  <c r="C417" i="5"/>
  <c r="AC416" i="5"/>
  <c r="AD416" i="5" s="1"/>
  <c r="AA416" i="5"/>
  <c r="W416" i="5"/>
  <c r="U416" i="5"/>
  <c r="R416" i="5"/>
  <c r="N416" i="5"/>
  <c r="O416" i="5" s="1"/>
  <c r="L416" i="5"/>
  <c r="I416" i="5"/>
  <c r="H416" i="5"/>
  <c r="F416" i="5"/>
  <c r="C416" i="5"/>
  <c r="AD415" i="5"/>
  <c r="AC415" i="5"/>
  <c r="AA415" i="5"/>
  <c r="W415" i="5"/>
  <c r="X415" i="5" s="1"/>
  <c r="U415" i="5"/>
  <c r="R415" i="5"/>
  <c r="O415" i="5"/>
  <c r="N415" i="5"/>
  <c r="L415" i="5"/>
  <c r="I415" i="5"/>
  <c r="H415" i="5"/>
  <c r="F415" i="5"/>
  <c r="C415" i="5"/>
  <c r="AC414" i="5"/>
  <c r="AD414" i="5" s="1"/>
  <c r="AA414" i="5"/>
  <c r="W414" i="5"/>
  <c r="U414" i="5"/>
  <c r="R414" i="5"/>
  <c r="N414" i="5"/>
  <c r="O414" i="5" s="1"/>
  <c r="L414" i="5"/>
  <c r="I414" i="5"/>
  <c r="H414" i="5"/>
  <c r="F414" i="5"/>
  <c r="C414" i="5"/>
  <c r="AD413" i="5"/>
  <c r="AC413" i="5"/>
  <c r="AA413" i="5"/>
  <c r="W413" i="5"/>
  <c r="X413" i="5" s="1"/>
  <c r="U413" i="5"/>
  <c r="R413" i="5"/>
  <c r="O413" i="5"/>
  <c r="N413" i="5"/>
  <c r="L413" i="5"/>
  <c r="I413" i="5"/>
  <c r="H413" i="5"/>
  <c r="F413" i="5"/>
  <c r="C413" i="5"/>
  <c r="AD412" i="5"/>
  <c r="AC412" i="5"/>
  <c r="AA412" i="5"/>
  <c r="W412" i="5"/>
  <c r="U412" i="5"/>
  <c r="R412" i="5"/>
  <c r="O412" i="5"/>
  <c r="N412" i="5"/>
  <c r="L412" i="5"/>
  <c r="I412" i="5"/>
  <c r="H412" i="5"/>
  <c r="F412" i="5"/>
  <c r="C412" i="5"/>
  <c r="AC411" i="5"/>
  <c r="AD411" i="5" s="1"/>
  <c r="AA411" i="5"/>
  <c r="X411" i="5"/>
  <c r="W411" i="5"/>
  <c r="U411" i="5"/>
  <c r="R411" i="5"/>
  <c r="O411" i="5"/>
  <c r="N411" i="5"/>
  <c r="L411" i="5"/>
  <c r="I411" i="5"/>
  <c r="H411" i="5"/>
  <c r="F411" i="5"/>
  <c r="C411" i="5"/>
  <c r="AD410" i="5"/>
  <c r="AC410" i="5"/>
  <c r="AA410" i="5"/>
  <c r="W410" i="5"/>
  <c r="X410" i="5" s="1"/>
  <c r="U410" i="5"/>
  <c r="R410" i="5"/>
  <c r="N410" i="5"/>
  <c r="O410" i="5" s="1"/>
  <c r="L410" i="5"/>
  <c r="I410" i="5"/>
  <c r="H410" i="5"/>
  <c r="F410" i="5"/>
  <c r="C410" i="5"/>
  <c r="AD409" i="5"/>
  <c r="AC409" i="5"/>
  <c r="AA409" i="5"/>
  <c r="W409" i="5"/>
  <c r="U409" i="5"/>
  <c r="R409" i="5"/>
  <c r="O409" i="5"/>
  <c r="N409" i="5"/>
  <c r="L409" i="5"/>
  <c r="H409" i="5"/>
  <c r="I409" i="5" s="1"/>
  <c r="F409" i="5"/>
  <c r="C409" i="5"/>
  <c r="AC408" i="5"/>
  <c r="AD408" i="5" s="1"/>
  <c r="AA408" i="5"/>
  <c r="W408" i="5"/>
  <c r="X408" i="5" s="1"/>
  <c r="U408" i="5"/>
  <c r="R408" i="5"/>
  <c r="O408" i="5"/>
  <c r="N408" i="5"/>
  <c r="L408" i="5"/>
  <c r="I408" i="5"/>
  <c r="H408" i="5"/>
  <c r="F408" i="5"/>
  <c r="C408" i="5"/>
  <c r="AD407" i="5"/>
  <c r="AC407" i="5"/>
  <c r="AA407" i="5"/>
  <c r="W407" i="5"/>
  <c r="X407" i="5" s="1"/>
  <c r="U407" i="5"/>
  <c r="R407" i="5"/>
  <c r="N407" i="5"/>
  <c r="O407" i="5" s="1"/>
  <c r="L407" i="5"/>
  <c r="H407" i="5"/>
  <c r="I407" i="5" s="1"/>
  <c r="F407" i="5"/>
  <c r="C407" i="5"/>
  <c r="AA403" i="5"/>
  <c r="Z403" i="5"/>
  <c r="W403" i="5"/>
  <c r="X403" i="5" s="1"/>
  <c r="U403" i="5"/>
  <c r="T403" i="5"/>
  <c r="R403" i="5"/>
  <c r="Q403" i="5"/>
  <c r="AC403" i="5" s="1"/>
  <c r="AD403" i="5" s="1"/>
  <c r="L403" i="5"/>
  <c r="K403" i="5"/>
  <c r="E403" i="5"/>
  <c r="F403" i="5" s="1"/>
  <c r="C403" i="5"/>
  <c r="B403" i="5"/>
  <c r="AD402" i="5"/>
  <c r="AC402" i="5"/>
  <c r="AA402" i="5"/>
  <c r="W402" i="5"/>
  <c r="U402" i="5"/>
  <c r="R402" i="5"/>
  <c r="N402" i="5"/>
  <c r="O402" i="5" s="1"/>
  <c r="L402" i="5"/>
  <c r="I402" i="5"/>
  <c r="H402" i="5"/>
  <c r="F402" i="5"/>
  <c r="C402" i="5"/>
  <c r="AD401" i="5"/>
  <c r="AC401" i="5"/>
  <c r="AA401" i="5"/>
  <c r="X401" i="5"/>
  <c r="W401" i="5"/>
  <c r="U401" i="5"/>
  <c r="R401" i="5"/>
  <c r="N401" i="5"/>
  <c r="O401" i="5" s="1"/>
  <c r="L401" i="5"/>
  <c r="H401" i="5"/>
  <c r="I401" i="5" s="1"/>
  <c r="F401" i="5"/>
  <c r="C401" i="5"/>
  <c r="AD400" i="5"/>
  <c r="AC400" i="5"/>
  <c r="AA400" i="5"/>
  <c r="W400" i="5"/>
  <c r="U400" i="5"/>
  <c r="R400" i="5"/>
  <c r="O400" i="5"/>
  <c r="N400" i="5"/>
  <c r="L400" i="5"/>
  <c r="I400" i="5"/>
  <c r="H400" i="5"/>
  <c r="F400" i="5"/>
  <c r="C400" i="5"/>
  <c r="AC399" i="5"/>
  <c r="AD399" i="5" s="1"/>
  <c r="AA399" i="5"/>
  <c r="W399" i="5"/>
  <c r="U399" i="5"/>
  <c r="R399" i="5"/>
  <c r="N399" i="5"/>
  <c r="O399" i="5" s="1"/>
  <c r="L399" i="5"/>
  <c r="I399" i="5"/>
  <c r="H399" i="5"/>
  <c r="F399" i="5"/>
  <c r="C399" i="5"/>
  <c r="AD398" i="5"/>
  <c r="AC398" i="5"/>
  <c r="AA398" i="5"/>
  <c r="W398" i="5"/>
  <c r="X398" i="5" s="1"/>
  <c r="U398" i="5"/>
  <c r="R398" i="5"/>
  <c r="N398" i="5"/>
  <c r="O398" i="5" s="1"/>
  <c r="L398" i="5"/>
  <c r="H398" i="5"/>
  <c r="I398" i="5" s="1"/>
  <c r="F398" i="5"/>
  <c r="C398" i="5"/>
  <c r="AD397" i="5"/>
  <c r="AC397" i="5"/>
  <c r="AA397" i="5"/>
  <c r="W397" i="5"/>
  <c r="U397" i="5"/>
  <c r="R397" i="5"/>
  <c r="O397" i="5"/>
  <c r="N397" i="5"/>
  <c r="L397" i="5"/>
  <c r="I397" i="5"/>
  <c r="H397" i="5"/>
  <c r="F397" i="5"/>
  <c r="C397" i="5"/>
  <c r="AC396" i="5"/>
  <c r="AD396" i="5" s="1"/>
  <c r="AA396" i="5"/>
  <c r="Z396" i="5"/>
  <c r="T396" i="5"/>
  <c r="U396" i="5" s="1"/>
  <c r="R396" i="5"/>
  <c r="Q396" i="5"/>
  <c r="K396" i="5"/>
  <c r="L396" i="5" s="1"/>
  <c r="E396" i="5"/>
  <c r="C396" i="5"/>
  <c r="B396" i="5"/>
  <c r="AC395" i="5"/>
  <c r="AD395" i="5" s="1"/>
  <c r="AA395" i="5"/>
  <c r="W395" i="5"/>
  <c r="U395" i="5"/>
  <c r="R395" i="5"/>
  <c r="N395" i="5"/>
  <c r="O395" i="5" s="1"/>
  <c r="L395" i="5"/>
  <c r="I395" i="5"/>
  <c r="H395" i="5"/>
  <c r="F395" i="5"/>
  <c r="C395" i="5"/>
  <c r="AD394" i="5"/>
  <c r="AC394" i="5"/>
  <c r="AA394" i="5"/>
  <c r="W394" i="5"/>
  <c r="X394" i="5" s="1"/>
  <c r="U394" i="5"/>
  <c r="R394" i="5"/>
  <c r="N394" i="5"/>
  <c r="O394" i="5" s="1"/>
  <c r="L394" i="5"/>
  <c r="I394" i="5"/>
  <c r="H394" i="5"/>
  <c r="F394" i="5"/>
  <c r="C394" i="5"/>
  <c r="AA393" i="5"/>
  <c r="Z393" i="5"/>
  <c r="U393" i="5"/>
  <c r="T393" i="5"/>
  <c r="Q393" i="5"/>
  <c r="L393" i="5"/>
  <c r="K393" i="5"/>
  <c r="H393" i="5"/>
  <c r="I393" i="5" s="1"/>
  <c r="F393" i="5"/>
  <c r="E393" i="5"/>
  <c r="C393" i="5"/>
  <c r="B393" i="5"/>
  <c r="N393" i="5" s="1"/>
  <c r="O393" i="5" s="1"/>
  <c r="AD392" i="5"/>
  <c r="AC392" i="5"/>
  <c r="AA392" i="5"/>
  <c r="W392" i="5"/>
  <c r="U392" i="5"/>
  <c r="R392" i="5"/>
  <c r="N392" i="5"/>
  <c r="O392" i="5" s="1"/>
  <c r="L392" i="5"/>
  <c r="I392" i="5"/>
  <c r="H392" i="5"/>
  <c r="F392" i="5"/>
  <c r="C392" i="5"/>
  <c r="AD391" i="5"/>
  <c r="AC391" i="5"/>
  <c r="AA391" i="5"/>
  <c r="W391" i="5"/>
  <c r="U391" i="5"/>
  <c r="R391" i="5"/>
  <c r="O391" i="5"/>
  <c r="N391" i="5"/>
  <c r="L391" i="5"/>
  <c r="I391" i="5"/>
  <c r="H391" i="5"/>
  <c r="F391" i="5"/>
  <c r="C391" i="5"/>
  <c r="AD390" i="5"/>
  <c r="AC390" i="5"/>
  <c r="AA390" i="5"/>
  <c r="W390" i="5"/>
  <c r="X390" i="5" s="1"/>
  <c r="U390" i="5"/>
  <c r="R390" i="5"/>
  <c r="O390" i="5"/>
  <c r="N390" i="5"/>
  <c r="L390" i="5"/>
  <c r="I390" i="5"/>
  <c r="H390" i="5"/>
  <c r="F390" i="5"/>
  <c r="C390" i="5"/>
  <c r="AD389" i="5"/>
  <c r="AC389" i="5"/>
  <c r="AA389" i="5"/>
  <c r="W389" i="5"/>
  <c r="U389" i="5"/>
  <c r="R389" i="5"/>
  <c r="O389" i="5"/>
  <c r="N389" i="5"/>
  <c r="L389" i="5"/>
  <c r="H389" i="5"/>
  <c r="I389" i="5" s="1"/>
  <c r="F389" i="5"/>
  <c r="C389" i="5"/>
  <c r="AC388" i="5"/>
  <c r="AD388" i="5" s="1"/>
  <c r="AA388" i="5"/>
  <c r="X388" i="5"/>
  <c r="W388" i="5"/>
  <c r="U388" i="5"/>
  <c r="R388" i="5"/>
  <c r="N388" i="5"/>
  <c r="O388" i="5" s="1"/>
  <c r="L388" i="5"/>
  <c r="H388" i="5"/>
  <c r="I388" i="5" s="1"/>
  <c r="F388" i="5"/>
  <c r="C388" i="5"/>
  <c r="AD386" i="5"/>
  <c r="AC386" i="5"/>
  <c r="AA386" i="5"/>
  <c r="W386" i="5"/>
  <c r="X386" i="5" s="1"/>
  <c r="U386" i="5"/>
  <c r="R386" i="5"/>
  <c r="N386" i="5"/>
  <c r="O386" i="5" s="1"/>
  <c r="L386" i="5"/>
  <c r="H386" i="5"/>
  <c r="I386" i="5" s="1"/>
  <c r="F386" i="5"/>
  <c r="C386" i="5"/>
  <c r="AD385" i="5"/>
  <c r="AC385" i="5"/>
  <c r="AA385" i="5"/>
  <c r="W385" i="5"/>
  <c r="U385" i="5"/>
  <c r="R385" i="5"/>
  <c r="N385" i="5"/>
  <c r="O385" i="5" s="1"/>
  <c r="L385" i="5"/>
  <c r="I385" i="5"/>
  <c r="H385" i="5"/>
  <c r="F385" i="5"/>
  <c r="C385" i="5"/>
  <c r="AC383" i="5"/>
  <c r="AD383" i="5" s="1"/>
  <c r="AA383" i="5"/>
  <c r="X383" i="5"/>
  <c r="W383" i="5"/>
  <c r="U383" i="5"/>
  <c r="R383" i="5"/>
  <c r="N383" i="5"/>
  <c r="O383" i="5" s="1"/>
  <c r="L383" i="5"/>
  <c r="I383" i="5"/>
  <c r="H383" i="5"/>
  <c r="F383" i="5"/>
  <c r="C383" i="5"/>
  <c r="AD382" i="5"/>
  <c r="AC382" i="5"/>
  <c r="AA382" i="5"/>
  <c r="W382" i="5"/>
  <c r="X382" i="5" s="1"/>
  <c r="U382" i="5"/>
  <c r="R382" i="5"/>
  <c r="N382" i="5"/>
  <c r="O382" i="5" s="1"/>
  <c r="L382" i="5"/>
  <c r="H382" i="5"/>
  <c r="I382" i="5" s="1"/>
  <c r="F382" i="5"/>
  <c r="C382" i="5"/>
  <c r="AD381" i="5"/>
  <c r="AC381" i="5"/>
  <c r="AA381" i="5"/>
  <c r="X381" i="5"/>
  <c r="W381" i="5"/>
  <c r="U381" i="5"/>
  <c r="R381" i="5"/>
  <c r="N381" i="5"/>
  <c r="O381" i="5" s="1"/>
  <c r="L381" i="5"/>
  <c r="I381" i="5"/>
  <c r="H381" i="5"/>
  <c r="F381" i="5"/>
  <c r="C381" i="5"/>
  <c r="AC380" i="5"/>
  <c r="AD380" i="5" s="1"/>
  <c r="AA380" i="5"/>
  <c r="W380" i="5"/>
  <c r="U380" i="5"/>
  <c r="R380" i="5"/>
  <c r="N380" i="5"/>
  <c r="O380" i="5" s="1"/>
  <c r="L380" i="5"/>
  <c r="I380" i="5"/>
  <c r="H380" i="5"/>
  <c r="F380" i="5"/>
  <c r="C380" i="5"/>
  <c r="AD379" i="5"/>
  <c r="AC379" i="5"/>
  <c r="AA379" i="5"/>
  <c r="W379" i="5"/>
  <c r="U379" i="5"/>
  <c r="R379" i="5"/>
  <c r="O379" i="5"/>
  <c r="N379" i="5"/>
  <c r="L379" i="5"/>
  <c r="I379" i="5"/>
  <c r="H379" i="5"/>
  <c r="F379" i="5"/>
  <c r="C379" i="5"/>
  <c r="AC378" i="5"/>
  <c r="AD378" i="5" s="1"/>
  <c r="AA378" i="5"/>
  <c r="W378" i="5"/>
  <c r="X378" i="5" s="1"/>
  <c r="U378" i="5"/>
  <c r="R378" i="5"/>
  <c r="N378" i="5"/>
  <c r="O378" i="5" s="1"/>
  <c r="L378" i="5"/>
  <c r="H378" i="5"/>
  <c r="I378" i="5" s="1"/>
  <c r="F378" i="5"/>
  <c r="C378" i="5"/>
  <c r="AD377" i="5"/>
  <c r="AC377" i="5"/>
  <c r="AA377" i="5"/>
  <c r="W377" i="5"/>
  <c r="U377" i="5"/>
  <c r="R377" i="5"/>
  <c r="N377" i="5"/>
  <c r="O377" i="5" s="1"/>
  <c r="L377" i="5"/>
  <c r="I377" i="5"/>
  <c r="H377" i="5"/>
  <c r="F377" i="5"/>
  <c r="C377" i="5"/>
  <c r="AC376" i="5"/>
  <c r="AD376" i="5" s="1"/>
  <c r="AA376" i="5"/>
  <c r="W376" i="5"/>
  <c r="X376" i="5" s="1"/>
  <c r="U376" i="5"/>
  <c r="R376" i="5"/>
  <c r="O376" i="5"/>
  <c r="N376" i="5"/>
  <c r="L376" i="5"/>
  <c r="I376" i="5"/>
  <c r="H376" i="5"/>
  <c r="F376" i="5"/>
  <c r="C376" i="5"/>
  <c r="AC375" i="5"/>
  <c r="AD375" i="5" s="1"/>
  <c r="AA375" i="5"/>
  <c r="W375" i="5"/>
  <c r="U375" i="5"/>
  <c r="R375" i="5"/>
  <c r="O375" i="5"/>
  <c r="N375" i="5"/>
  <c r="L375" i="5"/>
  <c r="I375" i="5"/>
  <c r="H375" i="5"/>
  <c r="F375" i="5"/>
  <c r="C375" i="5"/>
  <c r="AC374" i="5"/>
  <c r="AD374" i="5" s="1"/>
  <c r="AA374" i="5"/>
  <c r="X374" i="5"/>
  <c r="W374" i="5"/>
  <c r="U374" i="5"/>
  <c r="R374" i="5"/>
  <c r="N374" i="5"/>
  <c r="O374" i="5" s="1"/>
  <c r="L374" i="5"/>
  <c r="I374" i="5"/>
  <c r="H374" i="5"/>
  <c r="F374" i="5"/>
  <c r="C374" i="5"/>
  <c r="AD373" i="5"/>
  <c r="AC373" i="5"/>
  <c r="AA373" i="5"/>
  <c r="W373" i="5"/>
  <c r="X373" i="5" s="1"/>
  <c r="U373" i="5"/>
  <c r="R373" i="5"/>
  <c r="O373" i="5"/>
  <c r="N373" i="5"/>
  <c r="L373" i="5"/>
  <c r="H373" i="5"/>
  <c r="I373" i="5" s="1"/>
  <c r="F373" i="5"/>
  <c r="C373" i="5"/>
  <c r="AD372" i="5"/>
  <c r="AC372" i="5"/>
  <c r="AA372" i="5"/>
  <c r="W372" i="5"/>
  <c r="U372" i="5"/>
  <c r="R372" i="5"/>
  <c r="O372" i="5"/>
  <c r="N372" i="5"/>
  <c r="L372" i="5"/>
  <c r="I372" i="5"/>
  <c r="H372" i="5"/>
  <c r="F372" i="5"/>
  <c r="C372" i="5"/>
  <c r="AC371" i="5"/>
  <c r="AD371" i="5" s="1"/>
  <c r="AA371" i="5"/>
  <c r="X371" i="5"/>
  <c r="W371" i="5"/>
  <c r="U371" i="5"/>
  <c r="R371" i="5"/>
  <c r="N371" i="5"/>
  <c r="O371" i="5" s="1"/>
  <c r="L371" i="5"/>
  <c r="H371" i="5"/>
  <c r="I371" i="5" s="1"/>
  <c r="F371" i="5"/>
  <c r="C371" i="5"/>
  <c r="AD370" i="5"/>
  <c r="AC370" i="5"/>
  <c r="AA370" i="5"/>
  <c r="X370" i="5"/>
  <c r="W370" i="5"/>
  <c r="U370" i="5"/>
  <c r="R370" i="5"/>
  <c r="N370" i="5"/>
  <c r="O370" i="5" s="1"/>
  <c r="L370" i="5"/>
  <c r="H370" i="5"/>
  <c r="I370" i="5" s="1"/>
  <c r="F370" i="5"/>
  <c r="C370" i="5"/>
  <c r="AD369" i="5"/>
  <c r="AC369" i="5"/>
  <c r="AA369" i="5"/>
  <c r="W369" i="5"/>
  <c r="U369" i="5"/>
  <c r="R369" i="5"/>
  <c r="N369" i="5"/>
  <c r="O369" i="5" s="1"/>
  <c r="L369" i="5"/>
  <c r="H369" i="5"/>
  <c r="I369" i="5" s="1"/>
  <c r="F369" i="5"/>
  <c r="C369" i="5"/>
  <c r="AA368" i="5"/>
  <c r="Z368" i="5"/>
  <c r="U368" i="5"/>
  <c r="T368" i="5"/>
  <c r="W368" i="5" s="1"/>
  <c r="X368" i="5" s="1"/>
  <c r="R368" i="5"/>
  <c r="Q368" i="5"/>
  <c r="AC368" i="5" s="1"/>
  <c r="AD368" i="5" s="1"/>
  <c r="L368" i="5"/>
  <c r="K368" i="5"/>
  <c r="I368" i="5"/>
  <c r="H368" i="5"/>
  <c r="F368" i="5"/>
  <c r="E368" i="5"/>
  <c r="C368" i="5"/>
  <c r="B368" i="5"/>
  <c r="N368" i="5" s="1"/>
  <c r="O368" i="5" s="1"/>
  <c r="AD367" i="5"/>
  <c r="AC367" i="5"/>
  <c r="AA367" i="5"/>
  <c r="W367" i="5"/>
  <c r="X367" i="5" s="1"/>
  <c r="U367" i="5"/>
  <c r="R367" i="5"/>
  <c r="N367" i="5"/>
  <c r="O367" i="5" s="1"/>
  <c r="L367" i="5"/>
  <c r="H367" i="5"/>
  <c r="I367" i="5" s="1"/>
  <c r="F367" i="5"/>
  <c r="C367" i="5"/>
  <c r="AD366" i="5"/>
  <c r="AC366" i="5"/>
  <c r="AA366" i="5"/>
  <c r="W366" i="5"/>
  <c r="U366" i="5"/>
  <c r="R366" i="5"/>
  <c r="N366" i="5"/>
  <c r="O366" i="5" s="1"/>
  <c r="L366" i="5"/>
  <c r="I366" i="5"/>
  <c r="H366" i="5"/>
  <c r="F366" i="5"/>
  <c r="C366" i="5"/>
  <c r="AD365" i="5"/>
  <c r="AC365" i="5"/>
  <c r="AA365" i="5"/>
  <c r="W365" i="5"/>
  <c r="U365" i="5"/>
  <c r="R365" i="5"/>
  <c r="N365" i="5"/>
  <c r="O365" i="5" s="1"/>
  <c r="L365" i="5"/>
  <c r="I365" i="5"/>
  <c r="H365" i="5"/>
  <c r="F365" i="5"/>
  <c r="C365" i="5"/>
  <c r="AD364" i="5"/>
  <c r="AC364" i="5"/>
  <c r="AA364" i="5"/>
  <c r="W364" i="5"/>
  <c r="X364" i="5" s="1"/>
  <c r="U364" i="5"/>
  <c r="R364" i="5"/>
  <c r="O364" i="5"/>
  <c r="N364" i="5"/>
  <c r="L364" i="5"/>
  <c r="H364" i="5"/>
  <c r="I364" i="5" s="1"/>
  <c r="F364" i="5"/>
  <c r="C364" i="5"/>
  <c r="AC363" i="5"/>
  <c r="AD363" i="5" s="1"/>
  <c r="AA363" i="5"/>
  <c r="W363" i="5"/>
  <c r="U363" i="5"/>
  <c r="R363" i="5"/>
  <c r="N363" i="5"/>
  <c r="O363" i="5" s="1"/>
  <c r="L363" i="5"/>
  <c r="I363" i="5"/>
  <c r="H363" i="5"/>
  <c r="F363" i="5"/>
  <c r="C363" i="5"/>
  <c r="AD362" i="5"/>
  <c r="AC362" i="5"/>
  <c r="AA362" i="5"/>
  <c r="W362" i="5"/>
  <c r="X362" i="5" s="1"/>
  <c r="U362" i="5"/>
  <c r="R362" i="5"/>
  <c r="O362" i="5"/>
  <c r="N362" i="5"/>
  <c r="L362" i="5"/>
  <c r="I362" i="5"/>
  <c r="H362" i="5"/>
  <c r="F362" i="5"/>
  <c r="C362" i="5"/>
  <c r="AC361" i="5"/>
  <c r="AD361" i="5" s="1"/>
  <c r="AA361" i="5"/>
  <c r="W361" i="5"/>
  <c r="X361" i="5" s="1"/>
  <c r="U361" i="5"/>
  <c r="R361" i="5"/>
  <c r="O361" i="5"/>
  <c r="N361" i="5"/>
  <c r="L361" i="5"/>
  <c r="I361" i="5"/>
  <c r="H361" i="5"/>
  <c r="F361" i="5"/>
  <c r="C361" i="5"/>
  <c r="AC360" i="5"/>
  <c r="AD360" i="5" s="1"/>
  <c r="AA360" i="5"/>
  <c r="W360" i="5"/>
  <c r="X360" i="5" s="1"/>
  <c r="U360" i="5"/>
  <c r="R360" i="5"/>
  <c r="O360" i="5"/>
  <c r="N360" i="5"/>
  <c r="L360" i="5"/>
  <c r="I360" i="5"/>
  <c r="H360" i="5"/>
  <c r="F360" i="5"/>
  <c r="C360" i="5"/>
  <c r="Z358" i="5"/>
  <c r="AA358" i="5" s="1"/>
  <c r="U358" i="5"/>
  <c r="T358" i="5"/>
  <c r="Q358" i="5"/>
  <c r="N358" i="5"/>
  <c r="O358" i="5" s="1"/>
  <c r="L358" i="5"/>
  <c r="K358" i="5"/>
  <c r="E358" i="5"/>
  <c r="F358" i="5" s="1"/>
  <c r="C358" i="5"/>
  <c r="B358" i="5"/>
  <c r="AD357" i="5"/>
  <c r="AC357" i="5"/>
  <c r="AA357" i="5"/>
  <c r="W357" i="5"/>
  <c r="U357" i="5"/>
  <c r="R357" i="5"/>
  <c r="O357" i="5"/>
  <c r="N357" i="5"/>
  <c r="L357" i="5"/>
  <c r="I357" i="5"/>
  <c r="H357" i="5"/>
  <c r="F357" i="5"/>
  <c r="C357" i="5"/>
  <c r="AC356" i="5"/>
  <c r="AD356" i="5" s="1"/>
  <c r="AA356" i="5"/>
  <c r="X356" i="5"/>
  <c r="W356" i="5"/>
  <c r="U356" i="5"/>
  <c r="R356" i="5"/>
  <c r="N356" i="5"/>
  <c r="O356" i="5" s="1"/>
  <c r="L356" i="5"/>
  <c r="H356" i="5"/>
  <c r="I356" i="5" s="1"/>
  <c r="F356" i="5"/>
  <c r="C356" i="5"/>
  <c r="AD355" i="5"/>
  <c r="AC355" i="5"/>
  <c r="AA355" i="5"/>
  <c r="X355" i="5"/>
  <c r="W355" i="5"/>
  <c r="U355" i="5"/>
  <c r="R355" i="5"/>
  <c r="N355" i="5"/>
  <c r="O355" i="5" s="1"/>
  <c r="L355" i="5"/>
  <c r="H355" i="5"/>
  <c r="I355" i="5" s="1"/>
  <c r="F355" i="5"/>
  <c r="C355" i="5"/>
  <c r="AD354" i="5"/>
  <c r="AC354" i="5"/>
  <c r="AA354" i="5"/>
  <c r="X354" i="5"/>
  <c r="W354" i="5"/>
  <c r="U354" i="5"/>
  <c r="R354" i="5"/>
  <c r="N354" i="5"/>
  <c r="O354" i="5" s="1"/>
  <c r="L354" i="5"/>
  <c r="H354" i="5"/>
  <c r="I354" i="5" s="1"/>
  <c r="F354" i="5"/>
  <c r="C354" i="5"/>
  <c r="AD353" i="5"/>
  <c r="AC353" i="5"/>
  <c r="AA353" i="5"/>
  <c r="W353" i="5"/>
  <c r="X353" i="5" s="1"/>
  <c r="U353" i="5"/>
  <c r="R353" i="5"/>
  <c r="O353" i="5"/>
  <c r="N353" i="5"/>
  <c r="L353" i="5"/>
  <c r="I353" i="5"/>
  <c r="H353" i="5"/>
  <c r="F353" i="5"/>
  <c r="C353" i="5"/>
  <c r="AD352" i="5"/>
  <c r="AC352" i="5"/>
  <c r="AA352" i="5"/>
  <c r="W352" i="5"/>
  <c r="U352" i="5"/>
  <c r="R352" i="5"/>
  <c r="N352" i="5"/>
  <c r="O352" i="5" s="1"/>
  <c r="L352" i="5"/>
  <c r="I352" i="5"/>
  <c r="H352" i="5"/>
  <c r="F352" i="5"/>
  <c r="C352" i="5"/>
  <c r="AD351" i="5"/>
  <c r="AC351" i="5"/>
  <c r="AA351" i="5"/>
  <c r="X351" i="5"/>
  <c r="W351" i="5"/>
  <c r="U351" i="5"/>
  <c r="R351" i="5"/>
  <c r="N351" i="5"/>
  <c r="O351" i="5" s="1"/>
  <c r="L351" i="5"/>
  <c r="H351" i="5"/>
  <c r="I351" i="5" s="1"/>
  <c r="F351" i="5"/>
  <c r="C351" i="5"/>
  <c r="AD350" i="5"/>
  <c r="AC350" i="5"/>
  <c r="AA350" i="5"/>
  <c r="X350" i="5"/>
  <c r="W350" i="5"/>
  <c r="U350" i="5"/>
  <c r="R350" i="5"/>
  <c r="O350" i="5"/>
  <c r="N350" i="5"/>
  <c r="L350" i="5"/>
  <c r="H350" i="5"/>
  <c r="I350" i="5" s="1"/>
  <c r="F350" i="5"/>
  <c r="C350" i="5"/>
  <c r="AD349" i="5"/>
  <c r="AC349" i="5"/>
  <c r="AA349" i="5"/>
  <c r="W349" i="5"/>
  <c r="U349" i="5"/>
  <c r="R349" i="5"/>
  <c r="N349" i="5"/>
  <c r="O349" i="5" s="1"/>
  <c r="L349" i="5"/>
  <c r="I349" i="5"/>
  <c r="H349" i="5"/>
  <c r="F349" i="5"/>
  <c r="C349" i="5"/>
  <c r="AD347" i="5"/>
  <c r="AC347" i="5"/>
  <c r="AA347" i="5"/>
  <c r="W347" i="5"/>
  <c r="X347" i="5" s="1"/>
  <c r="U347" i="5"/>
  <c r="R347" i="5"/>
  <c r="O347" i="5"/>
  <c r="N347" i="5"/>
  <c r="L347" i="5"/>
  <c r="H347" i="5"/>
  <c r="I347" i="5" s="1"/>
  <c r="F347" i="5"/>
  <c r="C347" i="5"/>
  <c r="AD344" i="5"/>
  <c r="AA344" i="5"/>
  <c r="Z344" i="5"/>
  <c r="X344" i="5"/>
  <c r="W344" i="5"/>
  <c r="T344" i="5"/>
  <c r="U344" i="5" s="1"/>
  <c r="R344" i="5"/>
  <c r="Q344" i="5"/>
  <c r="AC344" i="5" s="1"/>
  <c r="O344" i="5"/>
  <c r="L344" i="5"/>
  <c r="K344" i="5"/>
  <c r="I344" i="5"/>
  <c r="F344" i="5"/>
  <c r="E344" i="5"/>
  <c r="H344" i="5" s="1"/>
  <c r="C344" i="5"/>
  <c r="B344" i="5"/>
  <c r="N344" i="5" s="1"/>
  <c r="AC343" i="5"/>
  <c r="AD343" i="5" s="1"/>
  <c r="AA343" i="5"/>
  <c r="Z343" i="5"/>
  <c r="U343" i="5"/>
  <c r="T343" i="5"/>
  <c r="Q343" i="5"/>
  <c r="W343" i="5" s="1"/>
  <c r="X343" i="5" s="1"/>
  <c r="L343" i="5"/>
  <c r="K343" i="5"/>
  <c r="E343" i="5"/>
  <c r="F343" i="5" s="1"/>
  <c r="C343" i="5"/>
  <c r="B343" i="5"/>
  <c r="AC342" i="5"/>
  <c r="AD342" i="5" s="1"/>
  <c r="AA342" i="5"/>
  <c r="Z342" i="5"/>
  <c r="T342" i="5"/>
  <c r="U342" i="5" s="1"/>
  <c r="Q342" i="5"/>
  <c r="K342" i="5"/>
  <c r="L342" i="5" s="1"/>
  <c r="I342" i="5"/>
  <c r="H342" i="5"/>
  <c r="F342" i="5"/>
  <c r="E342" i="5"/>
  <c r="C342" i="5"/>
  <c r="B342" i="5"/>
  <c r="AC341" i="5"/>
  <c r="AD341" i="5" s="1"/>
  <c r="AA341" i="5"/>
  <c r="X341" i="5"/>
  <c r="W341" i="5"/>
  <c r="U341" i="5"/>
  <c r="R341" i="5"/>
  <c r="N341" i="5"/>
  <c r="O341" i="5" s="1"/>
  <c r="L341" i="5"/>
  <c r="H341" i="5"/>
  <c r="I341" i="5" s="1"/>
  <c r="F341" i="5"/>
  <c r="C341" i="5"/>
  <c r="AD340" i="5"/>
  <c r="AC340" i="5"/>
  <c r="AA340" i="5"/>
  <c r="W340" i="5"/>
  <c r="X340" i="5" s="1"/>
  <c r="U340" i="5"/>
  <c r="R340" i="5"/>
  <c r="O340" i="5"/>
  <c r="N340" i="5"/>
  <c r="L340" i="5"/>
  <c r="I340" i="5"/>
  <c r="H340" i="5"/>
  <c r="F340" i="5"/>
  <c r="C340" i="5"/>
  <c r="AD339" i="5"/>
  <c r="AC339" i="5"/>
  <c r="AA339" i="5"/>
  <c r="W339" i="5"/>
  <c r="U339" i="5"/>
  <c r="R339" i="5"/>
  <c r="O339" i="5"/>
  <c r="N339" i="5"/>
  <c r="L339" i="5"/>
  <c r="I339" i="5"/>
  <c r="H339" i="5"/>
  <c r="F339" i="5"/>
  <c r="C339" i="5"/>
  <c r="AC338" i="5"/>
  <c r="AD338" i="5" s="1"/>
  <c r="AA338" i="5"/>
  <c r="W338" i="5"/>
  <c r="X338" i="5" s="1"/>
  <c r="U338" i="5"/>
  <c r="R338" i="5"/>
  <c r="O338" i="5"/>
  <c r="N338" i="5"/>
  <c r="L338" i="5"/>
  <c r="I338" i="5"/>
  <c r="H338" i="5"/>
  <c r="F338" i="5"/>
  <c r="C338" i="5"/>
  <c r="AD337" i="5"/>
  <c r="AC337" i="5"/>
  <c r="AA337" i="5"/>
  <c r="X337" i="5"/>
  <c r="W337" i="5"/>
  <c r="U337" i="5"/>
  <c r="R337" i="5"/>
  <c r="N337" i="5"/>
  <c r="O337" i="5" s="1"/>
  <c r="L337" i="5"/>
  <c r="I337" i="5"/>
  <c r="H337" i="5"/>
  <c r="F337" i="5"/>
  <c r="C337" i="5"/>
  <c r="AD335" i="5"/>
  <c r="AC335" i="5"/>
  <c r="AA335" i="5"/>
  <c r="X335" i="5"/>
  <c r="W335" i="5"/>
  <c r="U335" i="5"/>
  <c r="R335" i="5"/>
  <c r="O335" i="5"/>
  <c r="N335" i="5"/>
  <c r="L335" i="5"/>
  <c r="H335" i="5"/>
  <c r="I335" i="5" s="1"/>
  <c r="F335" i="5"/>
  <c r="C335" i="5"/>
  <c r="AC334" i="5"/>
  <c r="AD334" i="5" s="1"/>
  <c r="AA334" i="5"/>
  <c r="W334" i="5"/>
  <c r="X334" i="5" s="1"/>
  <c r="U334" i="5"/>
  <c r="R334" i="5"/>
  <c r="O334" i="5"/>
  <c r="N334" i="5"/>
  <c r="L334" i="5"/>
  <c r="I334" i="5"/>
  <c r="H334" i="5"/>
  <c r="F334" i="5"/>
  <c r="C334" i="5"/>
  <c r="AD333" i="5"/>
  <c r="AC333" i="5"/>
  <c r="AA333" i="5"/>
  <c r="W333" i="5"/>
  <c r="X333" i="5" s="1"/>
  <c r="U333" i="5"/>
  <c r="R333" i="5"/>
  <c r="N333" i="5"/>
  <c r="O333" i="5" s="1"/>
  <c r="L333" i="5"/>
  <c r="H333" i="5"/>
  <c r="I333" i="5" s="1"/>
  <c r="F333" i="5"/>
  <c r="C333" i="5"/>
  <c r="AD332" i="5"/>
  <c r="AC332" i="5"/>
  <c r="AA332" i="5"/>
  <c r="X332" i="5"/>
  <c r="W332" i="5"/>
  <c r="U332" i="5"/>
  <c r="R332" i="5"/>
  <c r="N332" i="5"/>
  <c r="O332" i="5" s="1"/>
  <c r="L332" i="5"/>
  <c r="H332" i="5"/>
  <c r="I332" i="5" s="1"/>
  <c r="F332" i="5"/>
  <c r="C332" i="5"/>
  <c r="AD331" i="5"/>
  <c r="AC331" i="5"/>
  <c r="AA331" i="5"/>
  <c r="X331" i="5"/>
  <c r="W331" i="5"/>
  <c r="U331" i="5"/>
  <c r="R331" i="5"/>
  <c r="N331" i="5"/>
  <c r="O331" i="5" s="1"/>
  <c r="L331" i="5"/>
  <c r="I331" i="5"/>
  <c r="H331" i="5"/>
  <c r="F331" i="5"/>
  <c r="C331" i="5"/>
  <c r="AD330" i="5"/>
  <c r="AC330" i="5"/>
  <c r="AA330" i="5"/>
  <c r="W330" i="5"/>
  <c r="X330" i="5" s="1"/>
  <c r="U330" i="5"/>
  <c r="R330" i="5"/>
  <c r="N330" i="5"/>
  <c r="O330" i="5" s="1"/>
  <c r="L330" i="5"/>
  <c r="I330" i="5"/>
  <c r="H330" i="5"/>
  <c r="F330" i="5"/>
  <c r="C330" i="5"/>
  <c r="AD329" i="5"/>
  <c r="AC329" i="5"/>
  <c r="AA329" i="5"/>
  <c r="X329" i="5"/>
  <c r="W329" i="5"/>
  <c r="U329" i="5"/>
  <c r="R329" i="5"/>
  <c r="O329" i="5"/>
  <c r="N329" i="5"/>
  <c r="L329" i="5"/>
  <c r="H329" i="5"/>
  <c r="I329" i="5" s="1"/>
  <c r="F329" i="5"/>
  <c r="C329" i="5"/>
  <c r="AD328" i="5"/>
  <c r="AC328" i="5"/>
  <c r="AA328" i="5"/>
  <c r="W328" i="5"/>
  <c r="U328" i="5"/>
  <c r="R328" i="5"/>
  <c r="N328" i="5"/>
  <c r="O328" i="5" s="1"/>
  <c r="L328" i="5"/>
  <c r="I328" i="5"/>
  <c r="H328" i="5"/>
  <c r="F328" i="5"/>
  <c r="C328" i="5"/>
  <c r="Z325" i="5"/>
  <c r="AA325" i="5" s="1"/>
  <c r="X325" i="5"/>
  <c r="W325" i="5"/>
  <c r="U325" i="5"/>
  <c r="T325" i="5"/>
  <c r="R325" i="5"/>
  <c r="Q325" i="5"/>
  <c r="K325" i="5"/>
  <c r="N325" i="5" s="1"/>
  <c r="O325" i="5" s="1"/>
  <c r="F325" i="5"/>
  <c r="E325" i="5"/>
  <c r="B325" i="5"/>
  <c r="AA324" i="5"/>
  <c r="Z324" i="5"/>
  <c r="T324" i="5"/>
  <c r="U324" i="5" s="1"/>
  <c r="R324" i="5"/>
  <c r="Q324" i="5"/>
  <c r="W324" i="5" s="1"/>
  <c r="X324" i="5" s="1"/>
  <c r="N324" i="5"/>
  <c r="O324" i="5" s="1"/>
  <c r="L324" i="5"/>
  <c r="K324" i="5"/>
  <c r="E324" i="5"/>
  <c r="F324" i="5" s="1"/>
  <c r="C324" i="5"/>
  <c r="B324" i="5"/>
  <c r="AD323" i="5"/>
  <c r="AC323" i="5"/>
  <c r="AA323" i="5"/>
  <c r="W323" i="5"/>
  <c r="X323" i="5" s="1"/>
  <c r="U323" i="5"/>
  <c r="R323" i="5"/>
  <c r="O323" i="5"/>
  <c r="N323" i="5"/>
  <c r="L323" i="5"/>
  <c r="H323" i="5"/>
  <c r="I323" i="5" s="1"/>
  <c r="F323" i="5"/>
  <c r="C323" i="5"/>
  <c r="AC322" i="5"/>
  <c r="AD322" i="5" s="1"/>
  <c r="AA322" i="5"/>
  <c r="W322" i="5"/>
  <c r="X322" i="5" s="1"/>
  <c r="U322" i="5"/>
  <c r="R322" i="5"/>
  <c r="N322" i="5"/>
  <c r="O322" i="5" s="1"/>
  <c r="L322" i="5"/>
  <c r="I322" i="5"/>
  <c r="H322" i="5"/>
  <c r="F322" i="5"/>
  <c r="C322" i="5"/>
  <c r="AC321" i="5"/>
  <c r="AD321" i="5" s="1"/>
  <c r="AA321" i="5"/>
  <c r="W321" i="5"/>
  <c r="X321" i="5" s="1"/>
  <c r="U321" i="5"/>
  <c r="R321" i="5"/>
  <c r="N321" i="5"/>
  <c r="O321" i="5" s="1"/>
  <c r="L321" i="5"/>
  <c r="I321" i="5"/>
  <c r="H321" i="5"/>
  <c r="F321" i="5"/>
  <c r="C321" i="5"/>
  <c r="AD320" i="5"/>
  <c r="AC320" i="5"/>
  <c r="AA320" i="5"/>
  <c r="W320" i="5"/>
  <c r="X320" i="5" s="1"/>
  <c r="U320" i="5"/>
  <c r="R320" i="5"/>
  <c r="N320" i="5"/>
  <c r="O320" i="5" s="1"/>
  <c r="L320" i="5"/>
  <c r="H320" i="5"/>
  <c r="I320" i="5" s="1"/>
  <c r="F320" i="5"/>
  <c r="C320" i="5"/>
  <c r="AD319" i="5"/>
  <c r="AC319" i="5"/>
  <c r="AA319" i="5"/>
  <c r="X319" i="5"/>
  <c r="W319" i="5"/>
  <c r="U319" i="5"/>
  <c r="R319" i="5"/>
  <c r="N319" i="5"/>
  <c r="O319" i="5" s="1"/>
  <c r="L319" i="5"/>
  <c r="H319" i="5"/>
  <c r="I319" i="5" s="1"/>
  <c r="F319" i="5"/>
  <c r="C319" i="5"/>
  <c r="AC318" i="5"/>
  <c r="AD318" i="5" s="1"/>
  <c r="AA318" i="5"/>
  <c r="W318" i="5"/>
  <c r="X318" i="5" s="1"/>
  <c r="U318" i="5"/>
  <c r="R318" i="5"/>
  <c r="O318" i="5"/>
  <c r="N318" i="5"/>
  <c r="L318" i="5"/>
  <c r="I318" i="5"/>
  <c r="H318" i="5"/>
  <c r="F318" i="5"/>
  <c r="C318" i="5"/>
  <c r="AD317" i="5"/>
  <c r="AC317" i="5"/>
  <c r="AA317" i="5"/>
  <c r="W317" i="5"/>
  <c r="X317" i="5" s="1"/>
  <c r="U317" i="5"/>
  <c r="R317" i="5"/>
  <c r="N317" i="5"/>
  <c r="O317" i="5" s="1"/>
  <c r="L317" i="5"/>
  <c r="I317" i="5"/>
  <c r="H317" i="5"/>
  <c r="F317" i="5"/>
  <c r="C317" i="5"/>
  <c r="AD316" i="5"/>
  <c r="AC316" i="5"/>
  <c r="AA316" i="5"/>
  <c r="X316" i="5"/>
  <c r="W316" i="5"/>
  <c r="U316" i="5"/>
  <c r="R316" i="5"/>
  <c r="N316" i="5"/>
  <c r="O316" i="5" s="1"/>
  <c r="L316" i="5"/>
  <c r="I316" i="5"/>
  <c r="H316" i="5"/>
  <c r="F316" i="5"/>
  <c r="C316" i="5"/>
  <c r="AD315" i="5"/>
  <c r="AC315" i="5"/>
  <c r="AA315" i="5"/>
  <c r="X315" i="5"/>
  <c r="W315" i="5"/>
  <c r="U315" i="5"/>
  <c r="R315" i="5"/>
  <c r="O315" i="5"/>
  <c r="N315" i="5"/>
  <c r="L315" i="5"/>
  <c r="H315" i="5"/>
  <c r="I315" i="5" s="1"/>
  <c r="F315" i="5"/>
  <c r="C315" i="5"/>
  <c r="AD314" i="5"/>
  <c r="AC314" i="5"/>
  <c r="AA314" i="5"/>
  <c r="W314" i="5"/>
  <c r="X314" i="5" s="1"/>
  <c r="U314" i="5"/>
  <c r="R314" i="5"/>
  <c r="O314" i="5"/>
  <c r="N314" i="5"/>
  <c r="L314" i="5"/>
  <c r="I314" i="5"/>
  <c r="H314" i="5"/>
  <c r="F314" i="5"/>
  <c r="C314" i="5"/>
  <c r="AD313" i="5"/>
  <c r="AC313" i="5"/>
  <c r="AA313" i="5"/>
  <c r="X313" i="5"/>
  <c r="W313" i="5"/>
  <c r="U313" i="5"/>
  <c r="R313" i="5"/>
  <c r="N313" i="5"/>
  <c r="O313" i="5" s="1"/>
  <c r="L313" i="5"/>
  <c r="I313" i="5"/>
  <c r="H313" i="5"/>
  <c r="F313" i="5"/>
  <c r="C313" i="5"/>
  <c r="AC312" i="5"/>
  <c r="AD312" i="5" s="1"/>
  <c r="AA312" i="5"/>
  <c r="X312" i="5"/>
  <c r="W312" i="5"/>
  <c r="U312" i="5"/>
  <c r="R312" i="5"/>
  <c r="N312" i="5"/>
  <c r="O312" i="5" s="1"/>
  <c r="L312" i="5"/>
  <c r="H312" i="5"/>
  <c r="I312" i="5" s="1"/>
  <c r="F312" i="5"/>
  <c r="C312" i="5"/>
  <c r="AD311" i="5"/>
  <c r="AC311" i="5"/>
  <c r="AA311" i="5"/>
  <c r="W311" i="5"/>
  <c r="X311" i="5" s="1"/>
  <c r="U311" i="5"/>
  <c r="R311" i="5"/>
  <c r="O311" i="5"/>
  <c r="N311" i="5"/>
  <c r="L311" i="5"/>
  <c r="H311" i="5"/>
  <c r="I311" i="5" s="1"/>
  <c r="F311" i="5"/>
  <c r="C311" i="5"/>
  <c r="AC310" i="5"/>
  <c r="AD310" i="5" s="1"/>
  <c r="AA310" i="5"/>
  <c r="W310" i="5"/>
  <c r="X310" i="5" s="1"/>
  <c r="U310" i="5"/>
  <c r="R310" i="5"/>
  <c r="N310" i="5"/>
  <c r="O310" i="5" s="1"/>
  <c r="L310" i="5"/>
  <c r="I310" i="5"/>
  <c r="H310" i="5"/>
  <c r="F310" i="5"/>
  <c r="C310" i="5"/>
  <c r="AC309" i="5"/>
  <c r="AD309" i="5" s="1"/>
  <c r="AA309" i="5"/>
  <c r="W309" i="5"/>
  <c r="X309" i="5" s="1"/>
  <c r="U309" i="5"/>
  <c r="R309" i="5"/>
  <c r="N309" i="5"/>
  <c r="O309" i="5" s="1"/>
  <c r="L309" i="5"/>
  <c r="I309" i="5"/>
  <c r="H309" i="5"/>
  <c r="F309" i="5"/>
  <c r="C309" i="5"/>
  <c r="AD308" i="5"/>
  <c r="AC308" i="5"/>
  <c r="AA308" i="5"/>
  <c r="W308" i="5"/>
  <c r="X308" i="5" s="1"/>
  <c r="U308" i="5"/>
  <c r="R308" i="5"/>
  <c r="N308" i="5"/>
  <c r="O308" i="5" s="1"/>
  <c r="L308" i="5"/>
  <c r="H308" i="5"/>
  <c r="I308" i="5" s="1"/>
  <c r="F308" i="5"/>
  <c r="C308" i="5"/>
  <c r="AD307" i="5"/>
  <c r="AC307" i="5"/>
  <c r="AA307" i="5"/>
  <c r="X307" i="5"/>
  <c r="W307" i="5"/>
  <c r="U307" i="5"/>
  <c r="R307" i="5"/>
  <c r="N307" i="5"/>
  <c r="O307" i="5" s="1"/>
  <c r="L307" i="5"/>
  <c r="I307" i="5"/>
  <c r="H307" i="5"/>
  <c r="F307" i="5"/>
  <c r="C307" i="5"/>
  <c r="AD306" i="5"/>
  <c r="AC306" i="5"/>
  <c r="AA306" i="5"/>
  <c r="W306" i="5"/>
  <c r="X306" i="5" s="1"/>
  <c r="U306" i="5"/>
  <c r="R306" i="5"/>
  <c r="N306" i="5"/>
  <c r="O306" i="5" s="1"/>
  <c r="L306" i="5"/>
  <c r="I306" i="5"/>
  <c r="H306" i="5"/>
  <c r="F306" i="5"/>
  <c r="C306" i="5"/>
  <c r="AD305" i="5"/>
  <c r="AC305" i="5"/>
  <c r="AA305" i="5"/>
  <c r="X305" i="5"/>
  <c r="W305" i="5"/>
  <c r="U305" i="5"/>
  <c r="R305" i="5"/>
  <c r="O305" i="5"/>
  <c r="N305" i="5"/>
  <c r="L305" i="5"/>
  <c r="H305" i="5"/>
  <c r="I305" i="5" s="1"/>
  <c r="F305" i="5"/>
  <c r="C305" i="5"/>
  <c r="AD304" i="5"/>
  <c r="AC304" i="5"/>
  <c r="AA304" i="5"/>
  <c r="W304" i="5"/>
  <c r="X304" i="5" s="1"/>
  <c r="U304" i="5"/>
  <c r="R304" i="5"/>
  <c r="O304" i="5"/>
  <c r="N304" i="5"/>
  <c r="L304" i="5"/>
  <c r="I304" i="5"/>
  <c r="H304" i="5"/>
  <c r="F304" i="5"/>
  <c r="C304" i="5"/>
  <c r="AC303" i="5"/>
  <c r="AD303" i="5" s="1"/>
  <c r="AA303" i="5"/>
  <c r="X303" i="5"/>
  <c r="W303" i="5"/>
  <c r="U303" i="5"/>
  <c r="R303" i="5"/>
  <c r="N303" i="5"/>
  <c r="O303" i="5" s="1"/>
  <c r="L303" i="5"/>
  <c r="I303" i="5"/>
  <c r="H303" i="5"/>
  <c r="F303" i="5"/>
  <c r="C303" i="5"/>
  <c r="AC302" i="5"/>
  <c r="AD302" i="5" s="1"/>
  <c r="AA302" i="5"/>
  <c r="W302" i="5"/>
  <c r="X302" i="5" s="1"/>
  <c r="U302" i="5"/>
  <c r="R302" i="5"/>
  <c r="N302" i="5"/>
  <c r="O302" i="5" s="1"/>
  <c r="L302" i="5"/>
  <c r="H302" i="5"/>
  <c r="I302" i="5" s="1"/>
  <c r="F302" i="5"/>
  <c r="C302" i="5"/>
  <c r="AD301" i="5"/>
  <c r="AC301" i="5"/>
  <c r="AA301" i="5"/>
  <c r="W301" i="5"/>
  <c r="X301" i="5" s="1"/>
  <c r="U301" i="5"/>
  <c r="R301" i="5"/>
  <c r="O301" i="5"/>
  <c r="N301" i="5"/>
  <c r="L301" i="5"/>
  <c r="H301" i="5"/>
  <c r="I301" i="5" s="1"/>
  <c r="F301" i="5"/>
  <c r="C301" i="5"/>
  <c r="AD300" i="5"/>
  <c r="AC300" i="5"/>
  <c r="AA300" i="5"/>
  <c r="W300" i="5"/>
  <c r="X300" i="5" s="1"/>
  <c r="U300" i="5"/>
  <c r="R300" i="5"/>
  <c r="N300" i="5"/>
  <c r="O300" i="5" s="1"/>
  <c r="L300" i="5"/>
  <c r="I300" i="5"/>
  <c r="H300" i="5"/>
  <c r="F300" i="5"/>
  <c r="C300" i="5"/>
  <c r="AD299" i="5"/>
  <c r="AC299" i="5"/>
  <c r="AA299" i="5"/>
  <c r="X299" i="5"/>
  <c r="W299" i="5"/>
  <c r="U299" i="5"/>
  <c r="R299" i="5"/>
  <c r="N299" i="5"/>
  <c r="O299" i="5" s="1"/>
  <c r="L299" i="5"/>
  <c r="I299" i="5"/>
  <c r="H299" i="5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D297" i="5"/>
  <c r="AC297" i="5"/>
  <c r="AA297" i="5"/>
  <c r="X297" i="5"/>
  <c r="W297" i="5"/>
  <c r="U297" i="5"/>
  <c r="R297" i="5"/>
  <c r="O297" i="5"/>
  <c r="N297" i="5"/>
  <c r="L297" i="5"/>
  <c r="H297" i="5"/>
  <c r="I297" i="5" s="1"/>
  <c r="F297" i="5"/>
  <c r="C297" i="5"/>
  <c r="AA295" i="5"/>
  <c r="Z295" i="5"/>
  <c r="T295" i="5"/>
  <c r="W295" i="5" s="1"/>
  <c r="X295" i="5" s="1"/>
  <c r="R295" i="5"/>
  <c r="Q295" i="5"/>
  <c r="AC295" i="5" s="1"/>
  <c r="AD295" i="5" s="1"/>
  <c r="K295" i="5"/>
  <c r="L295" i="5" s="1"/>
  <c r="I295" i="5"/>
  <c r="H295" i="5"/>
  <c r="F295" i="5"/>
  <c r="E295" i="5"/>
  <c r="C295" i="5"/>
  <c r="B295" i="5"/>
  <c r="N295" i="5" s="1"/>
  <c r="O295" i="5" s="1"/>
  <c r="AC294" i="5"/>
  <c r="AD294" i="5" s="1"/>
  <c r="AA294" i="5"/>
  <c r="X294" i="5"/>
  <c r="W294" i="5"/>
  <c r="U294" i="5"/>
  <c r="R294" i="5"/>
  <c r="N294" i="5"/>
  <c r="O294" i="5" s="1"/>
  <c r="L294" i="5"/>
  <c r="I294" i="5"/>
  <c r="H294" i="5"/>
  <c r="F294" i="5"/>
  <c r="C294" i="5"/>
  <c r="AD293" i="5"/>
  <c r="AC293" i="5"/>
  <c r="AA293" i="5"/>
  <c r="X293" i="5"/>
  <c r="W293" i="5"/>
  <c r="U293" i="5"/>
  <c r="R293" i="5"/>
  <c r="O293" i="5"/>
  <c r="N293" i="5"/>
  <c r="L293" i="5"/>
  <c r="H293" i="5"/>
  <c r="I293" i="5" s="1"/>
  <c r="F293" i="5"/>
  <c r="C293" i="5"/>
  <c r="AC292" i="5"/>
  <c r="AD292" i="5" s="1"/>
  <c r="AA292" i="5"/>
  <c r="W292" i="5"/>
  <c r="X292" i="5" s="1"/>
  <c r="U292" i="5"/>
  <c r="R292" i="5"/>
  <c r="O292" i="5"/>
  <c r="N292" i="5"/>
  <c r="L292" i="5"/>
  <c r="I292" i="5"/>
  <c r="H292" i="5"/>
  <c r="F292" i="5"/>
  <c r="C292" i="5"/>
  <c r="AD291" i="5"/>
  <c r="AC291" i="5"/>
  <c r="AA291" i="5"/>
  <c r="X291" i="5"/>
  <c r="W291" i="5"/>
  <c r="U291" i="5"/>
  <c r="R291" i="5"/>
  <c r="N291" i="5"/>
  <c r="O291" i="5" s="1"/>
  <c r="L291" i="5"/>
  <c r="I291" i="5"/>
  <c r="H291" i="5"/>
  <c r="F291" i="5"/>
  <c r="C291" i="5"/>
  <c r="AC290" i="5"/>
  <c r="AD290" i="5" s="1"/>
  <c r="AA290" i="5"/>
  <c r="X290" i="5"/>
  <c r="W290" i="5"/>
  <c r="U290" i="5"/>
  <c r="R290" i="5"/>
  <c r="N290" i="5"/>
  <c r="O290" i="5" s="1"/>
  <c r="L290" i="5"/>
  <c r="H290" i="5"/>
  <c r="I290" i="5" s="1"/>
  <c r="F290" i="5"/>
  <c r="C290" i="5"/>
  <c r="AD289" i="5"/>
  <c r="AC289" i="5"/>
  <c r="AA289" i="5"/>
  <c r="W289" i="5"/>
  <c r="X289" i="5" s="1"/>
  <c r="U289" i="5"/>
  <c r="R289" i="5"/>
  <c r="O289" i="5"/>
  <c r="N289" i="5"/>
  <c r="L289" i="5"/>
  <c r="H289" i="5"/>
  <c r="I289" i="5" s="1"/>
  <c r="F289" i="5"/>
  <c r="C289" i="5"/>
  <c r="AC288" i="5"/>
  <c r="AD288" i="5" s="1"/>
  <c r="AA288" i="5"/>
  <c r="W288" i="5"/>
  <c r="X288" i="5" s="1"/>
  <c r="U288" i="5"/>
  <c r="R288" i="5"/>
  <c r="N288" i="5"/>
  <c r="O288" i="5" s="1"/>
  <c r="L288" i="5"/>
  <c r="I288" i="5"/>
  <c r="H288" i="5"/>
  <c r="F288" i="5"/>
  <c r="C288" i="5"/>
  <c r="AD287" i="5"/>
  <c r="AC287" i="5"/>
  <c r="AA287" i="5"/>
  <c r="X287" i="5"/>
  <c r="W287" i="5"/>
  <c r="U287" i="5"/>
  <c r="R287" i="5"/>
  <c r="N287" i="5"/>
  <c r="O287" i="5" s="1"/>
  <c r="L287" i="5"/>
  <c r="H287" i="5"/>
  <c r="I287" i="5" s="1"/>
  <c r="F287" i="5"/>
  <c r="C287" i="5"/>
  <c r="AC286" i="5"/>
  <c r="AD286" i="5" s="1"/>
  <c r="AA286" i="5"/>
  <c r="X286" i="5"/>
  <c r="W286" i="5"/>
  <c r="U286" i="5"/>
  <c r="R286" i="5"/>
  <c r="N286" i="5"/>
  <c r="O286" i="5" s="1"/>
  <c r="L286" i="5"/>
  <c r="I286" i="5"/>
  <c r="H286" i="5"/>
  <c r="F286" i="5"/>
  <c r="C286" i="5"/>
  <c r="Z284" i="5"/>
  <c r="AA284" i="5" s="1"/>
  <c r="W284" i="5"/>
  <c r="X284" i="5" s="1"/>
  <c r="U284" i="5"/>
  <c r="T284" i="5"/>
  <c r="R284" i="5"/>
  <c r="Q284" i="5"/>
  <c r="AC284" i="5" s="1"/>
  <c r="AD284" i="5" s="1"/>
  <c r="L284" i="5"/>
  <c r="K284" i="5"/>
  <c r="F284" i="5"/>
  <c r="E284" i="5"/>
  <c r="B284" i="5"/>
  <c r="AC283" i="5"/>
  <c r="AD283" i="5" s="1"/>
  <c r="AA283" i="5"/>
  <c r="X283" i="5"/>
  <c r="W283" i="5"/>
  <c r="U283" i="5"/>
  <c r="R283" i="5"/>
  <c r="O283" i="5"/>
  <c r="N283" i="5"/>
  <c r="L283" i="5"/>
  <c r="H283" i="5"/>
  <c r="I283" i="5" s="1"/>
  <c r="F283" i="5"/>
  <c r="C283" i="5"/>
  <c r="AC282" i="5"/>
  <c r="AD282" i="5" s="1"/>
  <c r="AA282" i="5"/>
  <c r="W282" i="5"/>
  <c r="X282" i="5" s="1"/>
  <c r="U282" i="5"/>
  <c r="R282" i="5"/>
  <c r="N282" i="5"/>
  <c r="O282" i="5" s="1"/>
  <c r="L282" i="5"/>
  <c r="I282" i="5"/>
  <c r="H282" i="5"/>
  <c r="F282" i="5"/>
  <c r="C282" i="5"/>
  <c r="AD281" i="5"/>
  <c r="AC281" i="5"/>
  <c r="AA281" i="5"/>
  <c r="W281" i="5"/>
  <c r="X281" i="5" s="1"/>
  <c r="U281" i="5"/>
  <c r="R281" i="5"/>
  <c r="O281" i="5"/>
  <c r="N281" i="5"/>
  <c r="L281" i="5"/>
  <c r="H281" i="5"/>
  <c r="I281" i="5" s="1"/>
  <c r="F281" i="5"/>
  <c r="C281" i="5"/>
  <c r="AD280" i="5"/>
  <c r="AC280" i="5"/>
  <c r="AA280" i="5"/>
  <c r="W280" i="5"/>
  <c r="X280" i="5" s="1"/>
  <c r="U280" i="5"/>
  <c r="R280" i="5"/>
  <c r="N280" i="5"/>
  <c r="O280" i="5" s="1"/>
  <c r="L280" i="5"/>
  <c r="I280" i="5"/>
  <c r="H280" i="5"/>
  <c r="F280" i="5"/>
  <c r="C280" i="5"/>
  <c r="AD279" i="5"/>
  <c r="AC279" i="5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C278" i="5"/>
  <c r="AD278" i="5" s="1"/>
  <c r="AA278" i="5"/>
  <c r="X278" i="5"/>
  <c r="W278" i="5"/>
  <c r="U278" i="5"/>
  <c r="R278" i="5"/>
  <c r="N278" i="5"/>
  <c r="O278" i="5" s="1"/>
  <c r="L278" i="5"/>
  <c r="H278" i="5"/>
  <c r="I278" i="5" s="1"/>
  <c r="F278" i="5"/>
  <c r="C278" i="5"/>
  <c r="AD277" i="5"/>
  <c r="AC277" i="5"/>
  <c r="AA277" i="5"/>
  <c r="W277" i="5"/>
  <c r="X277" i="5" s="1"/>
  <c r="U277" i="5"/>
  <c r="R277" i="5"/>
  <c r="O277" i="5"/>
  <c r="N277" i="5"/>
  <c r="L277" i="5"/>
  <c r="H277" i="5"/>
  <c r="I277" i="5" s="1"/>
  <c r="F277" i="5"/>
  <c r="C277" i="5"/>
  <c r="AC276" i="5"/>
  <c r="AD276" i="5" s="1"/>
  <c r="AA276" i="5"/>
  <c r="W276" i="5"/>
  <c r="X276" i="5" s="1"/>
  <c r="U276" i="5"/>
  <c r="R276" i="5"/>
  <c r="N276" i="5"/>
  <c r="O276" i="5" s="1"/>
  <c r="L276" i="5"/>
  <c r="I276" i="5"/>
  <c r="H276" i="5"/>
  <c r="F276" i="5"/>
  <c r="C276" i="5"/>
  <c r="AC275" i="5"/>
  <c r="AD275" i="5" s="1"/>
  <c r="AA275" i="5"/>
  <c r="X275" i="5"/>
  <c r="W275" i="5"/>
  <c r="U275" i="5"/>
  <c r="R275" i="5"/>
  <c r="O275" i="5"/>
  <c r="N275" i="5"/>
  <c r="L275" i="5"/>
  <c r="H275" i="5"/>
  <c r="I275" i="5" s="1"/>
  <c r="F275" i="5"/>
  <c r="C275" i="5"/>
  <c r="AC273" i="5"/>
  <c r="AD273" i="5" s="1"/>
  <c r="AA273" i="5"/>
  <c r="Z273" i="5"/>
  <c r="W273" i="5"/>
  <c r="X273" i="5" s="1"/>
  <c r="U273" i="5"/>
  <c r="T273" i="5"/>
  <c r="Q273" i="5"/>
  <c r="R273" i="5" s="1"/>
  <c r="O273" i="5"/>
  <c r="N273" i="5"/>
  <c r="K273" i="5"/>
  <c r="L273" i="5" s="1"/>
  <c r="E273" i="5"/>
  <c r="F273" i="5" s="1"/>
  <c r="C273" i="5"/>
  <c r="B273" i="5"/>
  <c r="H273" i="5" s="1"/>
  <c r="I273" i="5" s="1"/>
  <c r="AC272" i="5"/>
  <c r="AD272" i="5" s="1"/>
  <c r="AA272" i="5"/>
  <c r="W272" i="5"/>
  <c r="X272" i="5" s="1"/>
  <c r="U272" i="5"/>
  <c r="R272" i="5"/>
  <c r="N272" i="5"/>
  <c r="O272" i="5" s="1"/>
  <c r="L272" i="5"/>
  <c r="I272" i="5"/>
  <c r="H272" i="5"/>
  <c r="F272" i="5"/>
  <c r="C272" i="5"/>
  <c r="AC271" i="5"/>
  <c r="AD271" i="5" s="1"/>
  <c r="AA271" i="5"/>
  <c r="X271" i="5"/>
  <c r="W271" i="5"/>
  <c r="U271" i="5"/>
  <c r="R271" i="5"/>
  <c r="N271" i="5"/>
  <c r="O271" i="5" s="1"/>
  <c r="L271" i="5"/>
  <c r="I271" i="5"/>
  <c r="H271" i="5"/>
  <c r="F271" i="5"/>
  <c r="C271" i="5"/>
  <c r="AC270" i="5"/>
  <c r="AD270" i="5" s="1"/>
  <c r="AA270" i="5"/>
  <c r="W270" i="5"/>
  <c r="X270" i="5" s="1"/>
  <c r="U270" i="5"/>
  <c r="R270" i="5"/>
  <c r="N270" i="5"/>
  <c r="O270" i="5" s="1"/>
  <c r="L270" i="5"/>
  <c r="H270" i="5"/>
  <c r="I270" i="5" s="1"/>
  <c r="F270" i="5"/>
  <c r="C270" i="5"/>
  <c r="AD269" i="5"/>
  <c r="AC269" i="5"/>
  <c r="AA269" i="5"/>
  <c r="X269" i="5"/>
  <c r="W269" i="5"/>
  <c r="U269" i="5"/>
  <c r="R269" i="5"/>
  <c r="O269" i="5"/>
  <c r="N269" i="5"/>
  <c r="L269" i="5"/>
  <c r="H269" i="5"/>
  <c r="I269" i="5" s="1"/>
  <c r="F269" i="5"/>
  <c r="C269" i="5"/>
  <c r="AA267" i="5"/>
  <c r="Z267" i="5"/>
  <c r="T267" i="5"/>
  <c r="U267" i="5" s="1"/>
  <c r="Q267" i="5"/>
  <c r="R267" i="5" s="1"/>
  <c r="K267" i="5"/>
  <c r="L267" i="5" s="1"/>
  <c r="F267" i="5"/>
  <c r="E267" i="5"/>
  <c r="H267" i="5" s="1"/>
  <c r="I267" i="5" s="1"/>
  <c r="C267" i="5"/>
  <c r="B267" i="5"/>
  <c r="AC266" i="5"/>
  <c r="AD266" i="5" s="1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D265" i="5"/>
  <c r="AC265" i="5"/>
  <c r="AA265" i="5"/>
  <c r="W265" i="5"/>
  <c r="X265" i="5" s="1"/>
  <c r="U265" i="5"/>
  <c r="R265" i="5"/>
  <c r="N265" i="5"/>
  <c r="O265" i="5" s="1"/>
  <c r="L265" i="5"/>
  <c r="H265" i="5"/>
  <c r="I265" i="5" s="1"/>
  <c r="F265" i="5"/>
  <c r="C265" i="5"/>
  <c r="AA263" i="5"/>
  <c r="Z263" i="5"/>
  <c r="W263" i="5"/>
  <c r="X263" i="5" s="1"/>
  <c r="U263" i="5"/>
  <c r="T263" i="5"/>
  <c r="Q263" i="5"/>
  <c r="R263" i="5" s="1"/>
  <c r="K263" i="5"/>
  <c r="L263" i="5" s="1"/>
  <c r="H263" i="5"/>
  <c r="I263" i="5" s="1"/>
  <c r="F263" i="5"/>
  <c r="E263" i="5"/>
  <c r="C263" i="5"/>
  <c r="B263" i="5"/>
  <c r="N263" i="5" s="1"/>
  <c r="O263" i="5" s="1"/>
  <c r="Z262" i="5"/>
  <c r="AA262" i="5" s="1"/>
  <c r="X262" i="5"/>
  <c r="W262" i="5"/>
  <c r="U262" i="5"/>
  <c r="T262" i="5"/>
  <c r="Q262" i="5"/>
  <c r="R262" i="5" s="1"/>
  <c r="K262" i="5"/>
  <c r="L262" i="5" s="1"/>
  <c r="I262" i="5"/>
  <c r="E262" i="5"/>
  <c r="F262" i="5" s="1"/>
  <c r="B262" i="5"/>
  <c r="H262" i="5" s="1"/>
  <c r="AD261" i="5"/>
  <c r="AC261" i="5"/>
  <c r="AA261" i="5"/>
  <c r="W261" i="5"/>
  <c r="X261" i="5" s="1"/>
  <c r="U261" i="5"/>
  <c r="R261" i="5"/>
  <c r="N261" i="5"/>
  <c r="O261" i="5" s="1"/>
  <c r="L261" i="5"/>
  <c r="I261" i="5"/>
  <c r="H261" i="5"/>
  <c r="F261" i="5"/>
  <c r="C261" i="5"/>
  <c r="AD260" i="5"/>
  <c r="AC260" i="5"/>
  <c r="AA260" i="5"/>
  <c r="X260" i="5"/>
  <c r="W260" i="5"/>
  <c r="U260" i="5"/>
  <c r="R260" i="5"/>
  <c r="O260" i="5"/>
  <c r="N260" i="5"/>
  <c r="L260" i="5"/>
  <c r="I260" i="5"/>
  <c r="H260" i="5"/>
  <c r="F260" i="5"/>
  <c r="C260" i="5"/>
  <c r="AC259" i="5"/>
  <c r="AD259" i="5" s="1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D258" i="5"/>
  <c r="AC258" i="5"/>
  <c r="AA258" i="5"/>
  <c r="W258" i="5"/>
  <c r="X258" i="5" s="1"/>
  <c r="U258" i="5"/>
  <c r="R258" i="5"/>
  <c r="N258" i="5"/>
  <c r="O258" i="5" s="1"/>
  <c r="L258" i="5"/>
  <c r="H258" i="5"/>
  <c r="I258" i="5" s="1"/>
  <c r="F258" i="5"/>
  <c r="C258" i="5"/>
  <c r="AD257" i="5"/>
  <c r="AC257" i="5"/>
  <c r="AA257" i="5"/>
  <c r="W257" i="5"/>
  <c r="X257" i="5" s="1"/>
  <c r="U257" i="5"/>
  <c r="R257" i="5"/>
  <c r="O257" i="5"/>
  <c r="N257" i="5"/>
  <c r="L257" i="5"/>
  <c r="I257" i="5"/>
  <c r="H257" i="5"/>
  <c r="F257" i="5"/>
  <c r="C257" i="5"/>
  <c r="AC256" i="5"/>
  <c r="AD256" i="5" s="1"/>
  <c r="AA256" i="5"/>
  <c r="X256" i="5"/>
  <c r="W256" i="5"/>
  <c r="U256" i="5"/>
  <c r="R256" i="5"/>
  <c r="O256" i="5"/>
  <c r="N256" i="5"/>
  <c r="L256" i="5"/>
  <c r="I256" i="5"/>
  <c r="H256" i="5"/>
  <c r="F256" i="5"/>
  <c r="C256" i="5"/>
  <c r="AC255" i="5"/>
  <c r="AD255" i="5" s="1"/>
  <c r="AA255" i="5"/>
  <c r="W255" i="5"/>
  <c r="X255" i="5" s="1"/>
  <c r="U255" i="5"/>
  <c r="R255" i="5"/>
  <c r="N255" i="5"/>
  <c r="O255" i="5" s="1"/>
  <c r="L255" i="5"/>
  <c r="I255" i="5"/>
  <c r="H255" i="5"/>
  <c r="F255" i="5"/>
  <c r="C255" i="5"/>
  <c r="AD254" i="5"/>
  <c r="AC254" i="5"/>
  <c r="AA254" i="5"/>
  <c r="W254" i="5"/>
  <c r="X254" i="5" s="1"/>
  <c r="U254" i="5"/>
  <c r="R254" i="5"/>
  <c r="N254" i="5"/>
  <c r="O254" i="5" s="1"/>
  <c r="L254" i="5"/>
  <c r="H254" i="5"/>
  <c r="I254" i="5" s="1"/>
  <c r="F254" i="5"/>
  <c r="C254" i="5"/>
  <c r="AD253" i="5"/>
  <c r="AC253" i="5"/>
  <c r="AA253" i="5"/>
  <c r="W253" i="5"/>
  <c r="X253" i="5" s="1"/>
  <c r="U253" i="5"/>
  <c r="R253" i="5"/>
  <c r="N253" i="5"/>
  <c r="O253" i="5" s="1"/>
  <c r="L253" i="5"/>
  <c r="I253" i="5"/>
  <c r="H253" i="5"/>
  <c r="F253" i="5"/>
  <c r="C253" i="5"/>
  <c r="AD252" i="5"/>
  <c r="AC252" i="5"/>
  <c r="AA252" i="5"/>
  <c r="X252" i="5"/>
  <c r="W252" i="5"/>
  <c r="U252" i="5"/>
  <c r="R252" i="5"/>
  <c r="O252" i="5"/>
  <c r="N252" i="5"/>
  <c r="L252" i="5"/>
  <c r="I252" i="5"/>
  <c r="H252" i="5"/>
  <c r="F252" i="5"/>
  <c r="C252" i="5"/>
  <c r="AC251" i="5"/>
  <c r="AD251" i="5" s="1"/>
  <c r="AA251" i="5"/>
  <c r="X251" i="5"/>
  <c r="W251" i="5"/>
  <c r="U251" i="5"/>
  <c r="R251" i="5"/>
  <c r="N251" i="5"/>
  <c r="O251" i="5" s="1"/>
  <c r="L251" i="5"/>
  <c r="H251" i="5"/>
  <c r="I251" i="5" s="1"/>
  <c r="F251" i="5"/>
  <c r="C251" i="5"/>
  <c r="AD250" i="5"/>
  <c r="AC250" i="5"/>
  <c r="AA250" i="5"/>
  <c r="X250" i="5"/>
  <c r="W250" i="5"/>
  <c r="U250" i="5"/>
  <c r="R250" i="5"/>
  <c r="N250" i="5"/>
  <c r="O250" i="5" s="1"/>
  <c r="L250" i="5"/>
  <c r="H250" i="5"/>
  <c r="I250" i="5" s="1"/>
  <c r="F250" i="5"/>
  <c r="C250" i="5"/>
  <c r="AD249" i="5"/>
  <c r="AC249" i="5"/>
  <c r="AA249" i="5"/>
  <c r="W249" i="5"/>
  <c r="X249" i="5" s="1"/>
  <c r="U249" i="5"/>
  <c r="R249" i="5"/>
  <c r="N249" i="5"/>
  <c r="O249" i="5" s="1"/>
  <c r="L249" i="5"/>
  <c r="I249" i="5"/>
  <c r="H249" i="5"/>
  <c r="F249" i="5"/>
  <c r="C249" i="5"/>
  <c r="AC248" i="5"/>
  <c r="AD248" i="5" s="1"/>
  <c r="AA248" i="5"/>
  <c r="X248" i="5"/>
  <c r="W248" i="5"/>
  <c r="U248" i="5"/>
  <c r="R248" i="5"/>
  <c r="O248" i="5"/>
  <c r="N248" i="5"/>
  <c r="L248" i="5"/>
  <c r="H248" i="5"/>
  <c r="I248" i="5" s="1"/>
  <c r="F248" i="5"/>
  <c r="C248" i="5"/>
  <c r="AC247" i="5"/>
  <c r="AD247" i="5" s="1"/>
  <c r="AA247" i="5"/>
  <c r="W247" i="5"/>
  <c r="X247" i="5" s="1"/>
  <c r="U247" i="5"/>
  <c r="R247" i="5"/>
  <c r="N247" i="5"/>
  <c r="O247" i="5" s="1"/>
  <c r="L247" i="5"/>
  <c r="I247" i="5"/>
  <c r="H247" i="5"/>
  <c r="F247" i="5"/>
  <c r="C247" i="5"/>
  <c r="AD246" i="5"/>
  <c r="AC246" i="5"/>
  <c r="AA246" i="5"/>
  <c r="W246" i="5"/>
  <c r="X246" i="5" s="1"/>
  <c r="U246" i="5"/>
  <c r="R246" i="5"/>
  <c r="O246" i="5"/>
  <c r="N246" i="5"/>
  <c r="L246" i="5"/>
  <c r="H246" i="5"/>
  <c r="I246" i="5" s="1"/>
  <c r="F246" i="5"/>
  <c r="C246" i="5"/>
  <c r="AD245" i="5"/>
  <c r="AC245" i="5"/>
  <c r="AA245" i="5"/>
  <c r="W245" i="5"/>
  <c r="X245" i="5" s="1"/>
  <c r="U245" i="5"/>
  <c r="R245" i="5"/>
  <c r="N245" i="5"/>
  <c r="O245" i="5" s="1"/>
  <c r="L245" i="5"/>
  <c r="I245" i="5"/>
  <c r="H245" i="5"/>
  <c r="F245" i="5"/>
  <c r="C245" i="5"/>
  <c r="AD244" i="5"/>
  <c r="AC244" i="5"/>
  <c r="AA244" i="5"/>
  <c r="X244" i="5"/>
  <c r="W244" i="5"/>
  <c r="U244" i="5"/>
  <c r="R244" i="5"/>
  <c r="O244" i="5"/>
  <c r="N244" i="5"/>
  <c r="L244" i="5"/>
  <c r="I244" i="5"/>
  <c r="H244" i="5"/>
  <c r="F244" i="5"/>
  <c r="C244" i="5"/>
  <c r="AC243" i="5"/>
  <c r="AD243" i="5" s="1"/>
  <c r="AA243" i="5"/>
  <c r="X243" i="5"/>
  <c r="W243" i="5"/>
  <c r="U243" i="5"/>
  <c r="R243" i="5"/>
  <c r="N243" i="5"/>
  <c r="O243" i="5" s="1"/>
  <c r="L243" i="5"/>
  <c r="I243" i="5"/>
  <c r="H243" i="5"/>
  <c r="F243" i="5"/>
  <c r="C243" i="5"/>
  <c r="AD242" i="5"/>
  <c r="AC242" i="5"/>
  <c r="AA242" i="5"/>
  <c r="W242" i="5"/>
  <c r="X242" i="5" s="1"/>
  <c r="U242" i="5"/>
  <c r="R242" i="5"/>
  <c r="N242" i="5"/>
  <c r="O242" i="5" s="1"/>
  <c r="L242" i="5"/>
  <c r="H242" i="5"/>
  <c r="I242" i="5" s="1"/>
  <c r="F242" i="5"/>
  <c r="C242" i="5"/>
  <c r="AD241" i="5"/>
  <c r="AC241" i="5"/>
  <c r="AA241" i="5"/>
  <c r="W241" i="5"/>
  <c r="X241" i="5" s="1"/>
  <c r="U241" i="5"/>
  <c r="R241" i="5"/>
  <c r="O241" i="5"/>
  <c r="N241" i="5"/>
  <c r="L241" i="5"/>
  <c r="I241" i="5"/>
  <c r="H241" i="5"/>
  <c r="F241" i="5"/>
  <c r="C241" i="5"/>
  <c r="AC240" i="5"/>
  <c r="AD240" i="5" s="1"/>
  <c r="AA240" i="5"/>
  <c r="X240" i="5"/>
  <c r="W240" i="5"/>
  <c r="U240" i="5"/>
  <c r="R240" i="5"/>
  <c r="O240" i="5"/>
  <c r="N240" i="5"/>
  <c r="L240" i="5"/>
  <c r="I240" i="5"/>
  <c r="H240" i="5"/>
  <c r="F240" i="5"/>
  <c r="C240" i="5"/>
  <c r="AC238" i="5"/>
  <c r="AD238" i="5" s="1"/>
  <c r="AA238" i="5"/>
  <c r="W238" i="5"/>
  <c r="X238" i="5" s="1"/>
  <c r="U238" i="5"/>
  <c r="R238" i="5"/>
  <c r="N238" i="5"/>
  <c r="O238" i="5" s="1"/>
  <c r="L238" i="5"/>
  <c r="I238" i="5"/>
  <c r="H238" i="5"/>
  <c r="F238" i="5"/>
  <c r="C238" i="5"/>
  <c r="Z236" i="5"/>
  <c r="AA236" i="5" s="1"/>
  <c r="U236" i="5"/>
  <c r="T236" i="5"/>
  <c r="W236" i="5" s="1"/>
  <c r="X236" i="5" s="1"/>
  <c r="R236" i="5"/>
  <c r="Q236" i="5"/>
  <c r="L236" i="5"/>
  <c r="K236" i="5"/>
  <c r="F236" i="5"/>
  <c r="E236" i="5"/>
  <c r="B236" i="5"/>
  <c r="N236" i="5" s="1"/>
  <c r="O236" i="5" s="1"/>
  <c r="AC235" i="5"/>
  <c r="AD235" i="5" s="1"/>
  <c r="AA235" i="5"/>
  <c r="W235" i="5"/>
  <c r="X235" i="5" s="1"/>
  <c r="U235" i="5"/>
  <c r="R235" i="5"/>
  <c r="N235" i="5"/>
  <c r="O235" i="5" s="1"/>
  <c r="L235" i="5"/>
  <c r="I235" i="5"/>
  <c r="H235" i="5"/>
  <c r="F235" i="5"/>
  <c r="C235" i="5"/>
  <c r="AC234" i="5"/>
  <c r="AD234" i="5" s="1"/>
  <c r="AA234" i="5"/>
  <c r="X234" i="5"/>
  <c r="W234" i="5"/>
  <c r="U234" i="5"/>
  <c r="R234" i="5"/>
  <c r="N234" i="5"/>
  <c r="O234" i="5" s="1"/>
  <c r="L234" i="5"/>
  <c r="H234" i="5"/>
  <c r="I234" i="5" s="1"/>
  <c r="F234" i="5"/>
  <c r="C234" i="5"/>
  <c r="AD233" i="5"/>
  <c r="AC233" i="5"/>
  <c r="AA233" i="5"/>
  <c r="X233" i="5"/>
  <c r="W233" i="5"/>
  <c r="U233" i="5"/>
  <c r="R233" i="5"/>
  <c r="O233" i="5"/>
  <c r="N233" i="5"/>
  <c r="L233" i="5"/>
  <c r="H233" i="5"/>
  <c r="I233" i="5" s="1"/>
  <c r="F233" i="5"/>
  <c r="C233" i="5"/>
  <c r="AD232" i="5"/>
  <c r="AC232" i="5"/>
  <c r="AA232" i="5"/>
  <c r="W232" i="5"/>
  <c r="X232" i="5" s="1"/>
  <c r="U232" i="5"/>
  <c r="R232" i="5"/>
  <c r="O232" i="5"/>
  <c r="N232" i="5"/>
  <c r="L232" i="5"/>
  <c r="I232" i="5"/>
  <c r="H232" i="5"/>
  <c r="F232" i="5"/>
  <c r="C232" i="5"/>
  <c r="AD231" i="5"/>
  <c r="AC231" i="5"/>
  <c r="AA231" i="5"/>
  <c r="X231" i="5"/>
  <c r="W231" i="5"/>
  <c r="U231" i="5"/>
  <c r="R231" i="5"/>
  <c r="N231" i="5"/>
  <c r="O231" i="5" s="1"/>
  <c r="L231" i="5"/>
  <c r="H231" i="5"/>
  <c r="I231" i="5" s="1"/>
  <c r="F231" i="5"/>
  <c r="C231" i="5"/>
  <c r="AC230" i="5"/>
  <c r="AD230" i="5" s="1"/>
  <c r="AA230" i="5"/>
  <c r="X230" i="5"/>
  <c r="W230" i="5"/>
  <c r="U230" i="5"/>
  <c r="R230" i="5"/>
  <c r="N230" i="5"/>
  <c r="O230" i="5" s="1"/>
  <c r="L230" i="5"/>
  <c r="I230" i="5"/>
  <c r="H230" i="5"/>
  <c r="F230" i="5"/>
  <c r="C230" i="5"/>
  <c r="AD229" i="5"/>
  <c r="AC229" i="5"/>
  <c r="AA229" i="5"/>
  <c r="X229" i="5"/>
  <c r="W229" i="5"/>
  <c r="U229" i="5"/>
  <c r="R229" i="5"/>
  <c r="O229" i="5"/>
  <c r="N229" i="5"/>
  <c r="L229" i="5"/>
  <c r="H229" i="5"/>
  <c r="I229" i="5" s="1"/>
  <c r="F229" i="5"/>
  <c r="C229" i="5"/>
  <c r="AC227" i="5"/>
  <c r="AD227" i="5" s="1"/>
  <c r="AA227" i="5"/>
  <c r="Z227" i="5"/>
  <c r="W227" i="5"/>
  <c r="X227" i="5" s="1"/>
  <c r="U227" i="5"/>
  <c r="T227" i="5"/>
  <c r="R227" i="5"/>
  <c r="Q227" i="5"/>
  <c r="K227" i="5"/>
  <c r="L227" i="5" s="1"/>
  <c r="H227" i="5"/>
  <c r="I227" i="5" s="1"/>
  <c r="F227" i="5"/>
  <c r="E227" i="5"/>
  <c r="C227" i="5"/>
  <c r="B227" i="5"/>
  <c r="AC226" i="5"/>
  <c r="AD226" i="5" s="1"/>
  <c r="AA226" i="5"/>
  <c r="W226" i="5"/>
  <c r="X226" i="5" s="1"/>
  <c r="U226" i="5"/>
  <c r="R226" i="5"/>
  <c r="N226" i="5"/>
  <c r="O226" i="5" s="1"/>
  <c r="L226" i="5"/>
  <c r="I226" i="5"/>
  <c r="H226" i="5"/>
  <c r="F226" i="5"/>
  <c r="C226" i="5"/>
  <c r="AD225" i="5"/>
  <c r="AC225" i="5"/>
  <c r="AA225" i="5"/>
  <c r="W225" i="5"/>
  <c r="X225" i="5" s="1"/>
  <c r="U225" i="5"/>
  <c r="R225" i="5"/>
  <c r="N225" i="5"/>
  <c r="O225" i="5" s="1"/>
  <c r="L225" i="5"/>
  <c r="H225" i="5"/>
  <c r="I225" i="5" s="1"/>
  <c r="F225" i="5"/>
  <c r="C225" i="5"/>
  <c r="AD224" i="5"/>
  <c r="AC224" i="5"/>
  <c r="AA224" i="5"/>
  <c r="W224" i="5"/>
  <c r="X224" i="5" s="1"/>
  <c r="U224" i="5"/>
  <c r="R224" i="5"/>
  <c r="N224" i="5"/>
  <c r="O224" i="5" s="1"/>
  <c r="L224" i="5"/>
  <c r="I224" i="5"/>
  <c r="H224" i="5"/>
  <c r="F224" i="5"/>
  <c r="C224" i="5"/>
  <c r="AC223" i="5"/>
  <c r="AD223" i="5" s="1"/>
  <c r="AA223" i="5"/>
  <c r="X223" i="5"/>
  <c r="W223" i="5"/>
  <c r="U223" i="5"/>
  <c r="R223" i="5"/>
  <c r="O223" i="5"/>
  <c r="N223" i="5"/>
  <c r="L223" i="5"/>
  <c r="I223" i="5"/>
  <c r="H223" i="5"/>
  <c r="F223" i="5"/>
  <c r="C223" i="5"/>
  <c r="AC222" i="5"/>
  <c r="AD222" i="5" s="1"/>
  <c r="AA222" i="5"/>
  <c r="W222" i="5"/>
  <c r="X222" i="5" s="1"/>
  <c r="U222" i="5"/>
  <c r="R222" i="5"/>
  <c r="N222" i="5"/>
  <c r="O222" i="5" s="1"/>
  <c r="L222" i="5"/>
  <c r="H222" i="5"/>
  <c r="I222" i="5" s="1"/>
  <c r="F222" i="5"/>
  <c r="C222" i="5"/>
  <c r="AD221" i="5"/>
  <c r="AC221" i="5"/>
  <c r="AA221" i="5"/>
  <c r="X221" i="5"/>
  <c r="W221" i="5"/>
  <c r="U221" i="5"/>
  <c r="R221" i="5"/>
  <c r="N221" i="5"/>
  <c r="O221" i="5" s="1"/>
  <c r="L221" i="5"/>
  <c r="H221" i="5"/>
  <c r="I221" i="5" s="1"/>
  <c r="F221" i="5"/>
  <c r="C221" i="5"/>
  <c r="AD220" i="5"/>
  <c r="AC220" i="5"/>
  <c r="AA220" i="5"/>
  <c r="W220" i="5"/>
  <c r="X220" i="5" s="1"/>
  <c r="U220" i="5"/>
  <c r="R220" i="5"/>
  <c r="N220" i="5"/>
  <c r="O220" i="5" s="1"/>
  <c r="L220" i="5"/>
  <c r="I220" i="5"/>
  <c r="H220" i="5"/>
  <c r="F220" i="5"/>
  <c r="C220" i="5"/>
  <c r="AC219" i="5"/>
  <c r="AD219" i="5" s="1"/>
  <c r="AA219" i="5"/>
  <c r="X219" i="5"/>
  <c r="W219" i="5"/>
  <c r="U219" i="5"/>
  <c r="R219" i="5"/>
  <c r="O219" i="5"/>
  <c r="N219" i="5"/>
  <c r="L219" i="5"/>
  <c r="H219" i="5"/>
  <c r="I219" i="5" s="1"/>
  <c r="F219" i="5"/>
  <c r="C219" i="5"/>
  <c r="AC218" i="5"/>
  <c r="AD218" i="5" s="1"/>
  <c r="AA218" i="5"/>
  <c r="Z218" i="5"/>
  <c r="X218" i="5"/>
  <c r="W218" i="5"/>
  <c r="U218" i="5"/>
  <c r="T218" i="5"/>
  <c r="Q218" i="5"/>
  <c r="R218" i="5" s="1"/>
  <c r="K218" i="5"/>
  <c r="L218" i="5" s="1"/>
  <c r="E218" i="5"/>
  <c r="F218" i="5" s="1"/>
  <c r="C218" i="5"/>
  <c r="B218" i="5"/>
  <c r="N218" i="5" s="1"/>
  <c r="O218" i="5" s="1"/>
  <c r="AD217" i="5"/>
  <c r="AC217" i="5"/>
  <c r="AA217" i="5"/>
  <c r="W217" i="5"/>
  <c r="X217" i="5" s="1"/>
  <c r="U217" i="5"/>
  <c r="R217" i="5"/>
  <c r="N217" i="5"/>
  <c r="O217" i="5" s="1"/>
  <c r="L217" i="5"/>
  <c r="I217" i="5"/>
  <c r="H217" i="5"/>
  <c r="F217" i="5"/>
  <c r="C217" i="5"/>
  <c r="AD216" i="5"/>
  <c r="AC216" i="5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C215" i="5"/>
  <c r="AD215" i="5" s="1"/>
  <c r="AA215" i="5"/>
  <c r="X215" i="5"/>
  <c r="W215" i="5"/>
  <c r="U215" i="5"/>
  <c r="R215" i="5"/>
  <c r="N215" i="5"/>
  <c r="O215" i="5" s="1"/>
  <c r="L215" i="5"/>
  <c r="H215" i="5"/>
  <c r="I215" i="5" s="1"/>
  <c r="F215" i="5"/>
  <c r="C215" i="5"/>
  <c r="AD214" i="5"/>
  <c r="AC214" i="5"/>
  <c r="AA214" i="5"/>
  <c r="W214" i="5"/>
  <c r="X214" i="5" s="1"/>
  <c r="U214" i="5"/>
  <c r="R214" i="5"/>
  <c r="N214" i="5"/>
  <c r="O214" i="5" s="1"/>
  <c r="L214" i="5"/>
  <c r="H214" i="5"/>
  <c r="I214" i="5" s="1"/>
  <c r="F214" i="5"/>
  <c r="C214" i="5"/>
  <c r="AD213" i="5"/>
  <c r="AC213" i="5"/>
  <c r="AA213" i="5"/>
  <c r="W213" i="5"/>
  <c r="X213" i="5" s="1"/>
  <c r="U213" i="5"/>
  <c r="R213" i="5"/>
  <c r="N213" i="5"/>
  <c r="O213" i="5" s="1"/>
  <c r="L213" i="5"/>
  <c r="I213" i="5"/>
  <c r="H213" i="5"/>
  <c r="F213" i="5"/>
  <c r="C213" i="5"/>
  <c r="AD211" i="5"/>
  <c r="AC211" i="5"/>
  <c r="AA211" i="5"/>
  <c r="W211" i="5"/>
  <c r="X211" i="5" s="1"/>
  <c r="U211" i="5"/>
  <c r="R211" i="5"/>
  <c r="N211" i="5"/>
  <c r="O211" i="5" s="1"/>
  <c r="L211" i="5"/>
  <c r="H211" i="5"/>
  <c r="I211" i="5" s="1"/>
  <c r="F211" i="5"/>
  <c r="C211" i="5"/>
  <c r="Z209" i="5"/>
  <c r="AA209" i="5" s="1"/>
  <c r="W209" i="5"/>
  <c r="X209" i="5" s="1"/>
  <c r="U209" i="5"/>
  <c r="T209" i="5"/>
  <c r="Q209" i="5"/>
  <c r="R209" i="5" s="1"/>
  <c r="L209" i="5"/>
  <c r="K209" i="5"/>
  <c r="E209" i="5"/>
  <c r="F209" i="5" s="1"/>
  <c r="C209" i="5"/>
  <c r="B209" i="5"/>
  <c r="N209" i="5" s="1"/>
  <c r="O209" i="5" s="1"/>
  <c r="AC208" i="5"/>
  <c r="AD208" i="5" s="1"/>
  <c r="AA208" i="5"/>
  <c r="W208" i="5"/>
  <c r="X208" i="5" s="1"/>
  <c r="U208" i="5"/>
  <c r="R208" i="5"/>
  <c r="O208" i="5"/>
  <c r="N208" i="5"/>
  <c r="L208" i="5"/>
  <c r="I208" i="5"/>
  <c r="H208" i="5"/>
  <c r="F208" i="5"/>
  <c r="C208" i="5"/>
  <c r="AD207" i="5"/>
  <c r="AC207" i="5"/>
  <c r="AA207" i="5"/>
  <c r="W207" i="5"/>
  <c r="X207" i="5" s="1"/>
  <c r="U207" i="5"/>
  <c r="R207" i="5"/>
  <c r="O207" i="5"/>
  <c r="N207" i="5"/>
  <c r="L207" i="5"/>
  <c r="I207" i="5"/>
  <c r="H207" i="5"/>
  <c r="F207" i="5"/>
  <c r="C207" i="5"/>
  <c r="AC206" i="5"/>
  <c r="AD206" i="5" s="1"/>
  <c r="AA206" i="5"/>
  <c r="W206" i="5"/>
  <c r="X206" i="5" s="1"/>
  <c r="U206" i="5"/>
  <c r="R206" i="5"/>
  <c r="N206" i="5"/>
  <c r="O206" i="5" s="1"/>
  <c r="L206" i="5"/>
  <c r="H206" i="5"/>
  <c r="I206" i="5" s="1"/>
  <c r="F206" i="5"/>
  <c r="C206" i="5"/>
  <c r="AD205" i="5"/>
  <c r="AC205" i="5"/>
  <c r="AA205" i="5"/>
  <c r="X205" i="5"/>
  <c r="W205" i="5"/>
  <c r="U205" i="5"/>
  <c r="R205" i="5"/>
  <c r="O205" i="5"/>
  <c r="N205" i="5"/>
  <c r="L205" i="5"/>
  <c r="H205" i="5"/>
  <c r="I205" i="5" s="1"/>
  <c r="F205" i="5"/>
  <c r="C205" i="5"/>
  <c r="AC204" i="5"/>
  <c r="AD204" i="5" s="1"/>
  <c r="AA204" i="5"/>
  <c r="W204" i="5"/>
  <c r="X204" i="5" s="1"/>
  <c r="U204" i="5"/>
  <c r="R204" i="5"/>
  <c r="O204" i="5"/>
  <c r="N204" i="5"/>
  <c r="L204" i="5"/>
  <c r="I204" i="5"/>
  <c r="H204" i="5"/>
  <c r="F204" i="5"/>
  <c r="C204" i="5"/>
  <c r="AC203" i="5"/>
  <c r="AD203" i="5" s="1"/>
  <c r="AA203" i="5"/>
  <c r="X203" i="5"/>
  <c r="W203" i="5"/>
  <c r="U203" i="5"/>
  <c r="R203" i="5"/>
  <c r="N203" i="5"/>
  <c r="O203" i="5" s="1"/>
  <c r="L203" i="5"/>
  <c r="H203" i="5"/>
  <c r="I203" i="5" s="1"/>
  <c r="F203" i="5"/>
  <c r="C203" i="5"/>
  <c r="AC202" i="5"/>
  <c r="AD202" i="5" s="1"/>
  <c r="AA202" i="5"/>
  <c r="W202" i="5"/>
  <c r="X202" i="5" s="1"/>
  <c r="U202" i="5"/>
  <c r="R202" i="5"/>
  <c r="N202" i="5"/>
  <c r="O202" i="5" s="1"/>
  <c r="L202" i="5"/>
  <c r="I202" i="5"/>
  <c r="H202" i="5"/>
  <c r="F202" i="5"/>
  <c r="C202" i="5"/>
  <c r="AD201" i="5"/>
  <c r="AC201" i="5"/>
  <c r="AA201" i="5"/>
  <c r="X201" i="5"/>
  <c r="W201" i="5"/>
  <c r="U201" i="5"/>
  <c r="R201" i="5"/>
  <c r="O201" i="5"/>
  <c r="N201" i="5"/>
  <c r="L201" i="5"/>
  <c r="H201" i="5"/>
  <c r="I201" i="5" s="1"/>
  <c r="F201" i="5"/>
  <c r="C201" i="5"/>
  <c r="Z197" i="5"/>
  <c r="AA197" i="5" s="1"/>
  <c r="U197" i="5"/>
  <c r="T197" i="5"/>
  <c r="Q197" i="5"/>
  <c r="K197" i="5"/>
  <c r="L197" i="5" s="1"/>
  <c r="E197" i="5"/>
  <c r="F197" i="5" s="1"/>
  <c r="B197" i="5"/>
  <c r="AA196" i="5"/>
  <c r="Z196" i="5"/>
  <c r="T196" i="5"/>
  <c r="U196" i="5" s="1"/>
  <c r="R196" i="5"/>
  <c r="Q196" i="5"/>
  <c r="AC196" i="5" s="1"/>
  <c r="AD196" i="5" s="1"/>
  <c r="K196" i="5"/>
  <c r="L196" i="5" s="1"/>
  <c r="F196" i="5"/>
  <c r="E196" i="5"/>
  <c r="H196" i="5" s="1"/>
  <c r="I196" i="5" s="1"/>
  <c r="C196" i="5"/>
  <c r="B196" i="5"/>
  <c r="AC195" i="5"/>
  <c r="AD195" i="5" s="1"/>
  <c r="AA195" i="5"/>
  <c r="X195" i="5"/>
  <c r="W195" i="5"/>
  <c r="U195" i="5"/>
  <c r="R195" i="5"/>
  <c r="N195" i="5"/>
  <c r="O195" i="5" s="1"/>
  <c r="L195" i="5"/>
  <c r="H195" i="5"/>
  <c r="I195" i="5" s="1"/>
  <c r="F195" i="5"/>
  <c r="C195" i="5"/>
  <c r="AD194" i="5"/>
  <c r="AC194" i="5"/>
  <c r="AA194" i="5"/>
  <c r="X194" i="5"/>
  <c r="W194" i="5"/>
  <c r="U194" i="5"/>
  <c r="R194" i="5"/>
  <c r="N194" i="5"/>
  <c r="O194" i="5" s="1"/>
  <c r="L194" i="5"/>
  <c r="I194" i="5"/>
  <c r="H194" i="5"/>
  <c r="F194" i="5"/>
  <c r="C194" i="5"/>
  <c r="AA193" i="5"/>
  <c r="Z193" i="5"/>
  <c r="X193" i="5"/>
  <c r="T193" i="5"/>
  <c r="W193" i="5" s="1"/>
  <c r="R193" i="5"/>
  <c r="Q193" i="5"/>
  <c r="AC193" i="5" s="1"/>
  <c r="AD193" i="5" s="1"/>
  <c r="K193" i="5"/>
  <c r="L193" i="5" s="1"/>
  <c r="F193" i="5"/>
  <c r="E193" i="5"/>
  <c r="H193" i="5" s="1"/>
  <c r="I193" i="5" s="1"/>
  <c r="C193" i="5"/>
  <c r="B193" i="5"/>
  <c r="N193" i="5" s="1"/>
  <c r="O193" i="5" s="1"/>
  <c r="AC192" i="5"/>
  <c r="AD192" i="5" s="1"/>
  <c r="AA192" i="5"/>
  <c r="W192" i="5"/>
  <c r="X192" i="5" s="1"/>
  <c r="U192" i="5"/>
  <c r="R192" i="5"/>
  <c r="N192" i="5"/>
  <c r="O192" i="5" s="1"/>
  <c r="L192" i="5"/>
  <c r="I192" i="5"/>
  <c r="H192" i="5"/>
  <c r="F192" i="5"/>
  <c r="C192" i="5"/>
  <c r="AD191" i="5"/>
  <c r="AC191" i="5"/>
  <c r="AA191" i="5"/>
  <c r="X191" i="5"/>
  <c r="W191" i="5"/>
  <c r="U191" i="5"/>
  <c r="R191" i="5"/>
  <c r="O191" i="5"/>
  <c r="N191" i="5"/>
  <c r="L191" i="5"/>
  <c r="H191" i="5"/>
  <c r="I191" i="5" s="1"/>
  <c r="F191" i="5"/>
  <c r="C191" i="5"/>
  <c r="AC190" i="5"/>
  <c r="AD190" i="5" s="1"/>
  <c r="AA190" i="5"/>
  <c r="W190" i="5"/>
  <c r="X190" i="5" s="1"/>
  <c r="U190" i="5"/>
  <c r="R190" i="5"/>
  <c r="O190" i="5"/>
  <c r="N190" i="5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N189" i="5"/>
  <c r="O189" i="5" s="1"/>
  <c r="L189" i="5"/>
  <c r="I189" i="5"/>
  <c r="H189" i="5"/>
  <c r="F189" i="5"/>
  <c r="C189" i="5"/>
  <c r="AC188" i="5"/>
  <c r="AD188" i="5" s="1"/>
  <c r="AA188" i="5"/>
  <c r="X188" i="5"/>
  <c r="W188" i="5"/>
  <c r="U188" i="5"/>
  <c r="R188" i="5"/>
  <c r="N188" i="5"/>
  <c r="O188" i="5" s="1"/>
  <c r="L188" i="5"/>
  <c r="I188" i="5"/>
  <c r="H188" i="5"/>
  <c r="F188" i="5"/>
  <c r="C188" i="5"/>
  <c r="AD187" i="5"/>
  <c r="AC187" i="5"/>
  <c r="AA187" i="5"/>
  <c r="W187" i="5"/>
  <c r="X187" i="5" s="1"/>
  <c r="U187" i="5"/>
  <c r="R187" i="5"/>
  <c r="O187" i="5"/>
  <c r="N187" i="5"/>
  <c r="L187" i="5"/>
  <c r="I187" i="5"/>
  <c r="H187" i="5"/>
  <c r="F187" i="5"/>
  <c r="C187" i="5"/>
  <c r="AD186" i="5"/>
  <c r="AC186" i="5"/>
  <c r="AA186" i="5"/>
  <c r="W186" i="5"/>
  <c r="X186" i="5" s="1"/>
  <c r="U186" i="5"/>
  <c r="R186" i="5"/>
  <c r="N186" i="5"/>
  <c r="O186" i="5" s="1"/>
  <c r="L186" i="5"/>
  <c r="I186" i="5"/>
  <c r="H186" i="5"/>
  <c r="F186" i="5"/>
  <c r="C186" i="5"/>
  <c r="AC184" i="5"/>
  <c r="AD184" i="5" s="1"/>
  <c r="AA184" i="5"/>
  <c r="X184" i="5"/>
  <c r="W184" i="5"/>
  <c r="U184" i="5"/>
  <c r="R184" i="5"/>
  <c r="O184" i="5"/>
  <c r="N184" i="5"/>
  <c r="L184" i="5"/>
  <c r="H184" i="5"/>
  <c r="I184" i="5" s="1"/>
  <c r="F184" i="5"/>
  <c r="C184" i="5"/>
  <c r="AD183" i="5"/>
  <c r="AC183" i="5"/>
  <c r="AA183" i="5"/>
  <c r="X183" i="5"/>
  <c r="W183" i="5"/>
  <c r="U183" i="5"/>
  <c r="R183" i="5"/>
  <c r="N183" i="5"/>
  <c r="O183" i="5" s="1"/>
  <c r="L183" i="5"/>
  <c r="I183" i="5"/>
  <c r="H183" i="5"/>
  <c r="F183" i="5"/>
  <c r="C183" i="5"/>
  <c r="AD182" i="5"/>
  <c r="AA182" i="5"/>
  <c r="Z182" i="5"/>
  <c r="T182" i="5"/>
  <c r="R182" i="5"/>
  <c r="Q182" i="5"/>
  <c r="AC182" i="5" s="1"/>
  <c r="K182" i="5"/>
  <c r="L182" i="5" s="1"/>
  <c r="H182" i="5"/>
  <c r="I182" i="5" s="1"/>
  <c r="F182" i="5"/>
  <c r="E182" i="5"/>
  <c r="C182" i="5"/>
  <c r="B182" i="5"/>
  <c r="N182" i="5" s="1"/>
  <c r="O182" i="5" s="1"/>
  <c r="AC181" i="5"/>
  <c r="AD181" i="5" s="1"/>
  <c r="AA181" i="5"/>
  <c r="X181" i="5"/>
  <c r="W181" i="5"/>
  <c r="U181" i="5"/>
  <c r="R181" i="5"/>
  <c r="N181" i="5"/>
  <c r="O181" i="5" s="1"/>
  <c r="L181" i="5"/>
  <c r="H181" i="5"/>
  <c r="I181" i="5" s="1"/>
  <c r="F181" i="5"/>
  <c r="C181" i="5"/>
  <c r="AD180" i="5"/>
  <c r="AC180" i="5"/>
  <c r="AA180" i="5"/>
  <c r="X180" i="5"/>
  <c r="W180" i="5"/>
  <c r="U180" i="5"/>
  <c r="R180" i="5"/>
  <c r="N180" i="5"/>
  <c r="O180" i="5" s="1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N179" i="5"/>
  <c r="O179" i="5" s="1"/>
  <c r="L179" i="5"/>
  <c r="I179" i="5"/>
  <c r="H179" i="5"/>
  <c r="F179" i="5"/>
  <c r="C179" i="5"/>
  <c r="AD178" i="5"/>
  <c r="AC178" i="5"/>
  <c r="AA178" i="5"/>
  <c r="W178" i="5"/>
  <c r="X178" i="5" s="1"/>
  <c r="U178" i="5"/>
  <c r="R178" i="5"/>
  <c r="N178" i="5"/>
  <c r="O178" i="5" s="1"/>
  <c r="L178" i="5"/>
  <c r="I178" i="5"/>
  <c r="H178" i="5"/>
  <c r="F178" i="5"/>
  <c r="C178" i="5"/>
  <c r="AD177" i="5"/>
  <c r="AC177" i="5"/>
  <c r="AA177" i="5"/>
  <c r="X177" i="5"/>
  <c r="W177" i="5"/>
  <c r="U177" i="5"/>
  <c r="R177" i="5"/>
  <c r="O177" i="5"/>
  <c r="N177" i="5"/>
  <c r="L177" i="5"/>
  <c r="H177" i="5"/>
  <c r="I177" i="5" s="1"/>
  <c r="F177" i="5"/>
  <c r="C177" i="5"/>
  <c r="AC175" i="5"/>
  <c r="AD175" i="5" s="1"/>
  <c r="AA175" i="5"/>
  <c r="W175" i="5"/>
  <c r="X175" i="5" s="1"/>
  <c r="U175" i="5"/>
  <c r="R175" i="5"/>
  <c r="N175" i="5"/>
  <c r="O175" i="5" s="1"/>
  <c r="L175" i="5"/>
  <c r="I175" i="5"/>
  <c r="H175" i="5"/>
  <c r="F175" i="5"/>
  <c r="C175" i="5"/>
  <c r="AC171" i="5"/>
  <c r="AD171" i="5" s="1"/>
  <c r="AA171" i="5"/>
  <c r="Z171" i="5"/>
  <c r="Z172" i="5" s="1"/>
  <c r="T171" i="5"/>
  <c r="U171" i="5" s="1"/>
  <c r="R171" i="5"/>
  <c r="Q171" i="5"/>
  <c r="N171" i="5"/>
  <c r="O171" i="5" s="1"/>
  <c r="L171" i="5"/>
  <c r="K171" i="5"/>
  <c r="F171" i="5"/>
  <c r="E171" i="5"/>
  <c r="B171" i="5"/>
  <c r="AD170" i="5"/>
  <c r="Z170" i="5"/>
  <c r="AA170" i="5" s="1"/>
  <c r="T170" i="5"/>
  <c r="R170" i="5"/>
  <c r="Q170" i="5"/>
  <c r="AC170" i="5" s="1"/>
  <c r="L170" i="5"/>
  <c r="K170" i="5"/>
  <c r="H170" i="5"/>
  <c r="I170" i="5" s="1"/>
  <c r="F170" i="5"/>
  <c r="E170" i="5"/>
  <c r="B170" i="5"/>
  <c r="C170" i="5" s="1"/>
  <c r="AD169" i="5"/>
  <c r="AC169" i="5"/>
  <c r="AA169" i="5"/>
  <c r="W169" i="5"/>
  <c r="X169" i="5" s="1"/>
  <c r="U169" i="5"/>
  <c r="R169" i="5"/>
  <c r="N169" i="5"/>
  <c r="O169" i="5" s="1"/>
  <c r="L169" i="5"/>
  <c r="H169" i="5"/>
  <c r="I169" i="5" s="1"/>
  <c r="F169" i="5"/>
  <c r="C169" i="5"/>
  <c r="AC168" i="5"/>
  <c r="AD168" i="5" s="1"/>
  <c r="AA168" i="5"/>
  <c r="X168" i="5"/>
  <c r="W168" i="5"/>
  <c r="U168" i="5"/>
  <c r="R168" i="5"/>
  <c r="N168" i="5"/>
  <c r="O168" i="5" s="1"/>
  <c r="L168" i="5"/>
  <c r="H168" i="5"/>
  <c r="I168" i="5" s="1"/>
  <c r="F168" i="5"/>
  <c r="C168" i="5"/>
  <c r="AD167" i="5"/>
  <c r="AC167" i="5"/>
  <c r="AA167" i="5"/>
  <c r="W167" i="5"/>
  <c r="X167" i="5" s="1"/>
  <c r="U167" i="5"/>
  <c r="R167" i="5"/>
  <c r="N167" i="5"/>
  <c r="O167" i="5" s="1"/>
  <c r="L167" i="5"/>
  <c r="I167" i="5"/>
  <c r="H167" i="5"/>
  <c r="F167" i="5"/>
  <c r="C167" i="5"/>
  <c r="AA166" i="5"/>
  <c r="Z166" i="5"/>
  <c r="T166" i="5"/>
  <c r="W166" i="5" s="1"/>
  <c r="X166" i="5" s="1"/>
  <c r="R166" i="5"/>
  <c r="Q166" i="5"/>
  <c r="AC166" i="5" s="1"/>
  <c r="AD166" i="5" s="1"/>
  <c r="L166" i="5"/>
  <c r="K166" i="5"/>
  <c r="F166" i="5"/>
  <c r="E166" i="5"/>
  <c r="H166" i="5" s="1"/>
  <c r="I166" i="5" s="1"/>
  <c r="C166" i="5"/>
  <c r="B166" i="5"/>
  <c r="AD165" i="5"/>
  <c r="AC165" i="5"/>
  <c r="AA165" i="5"/>
  <c r="W165" i="5"/>
  <c r="X165" i="5" s="1"/>
  <c r="U165" i="5"/>
  <c r="R165" i="5"/>
  <c r="N165" i="5"/>
  <c r="O165" i="5" s="1"/>
  <c r="L165" i="5"/>
  <c r="I165" i="5"/>
  <c r="H165" i="5"/>
  <c r="F165" i="5"/>
  <c r="C165" i="5"/>
  <c r="AD164" i="5"/>
  <c r="AC164" i="5"/>
  <c r="AA164" i="5"/>
  <c r="W164" i="5"/>
  <c r="X164" i="5" s="1"/>
  <c r="U164" i="5"/>
  <c r="R164" i="5"/>
  <c r="O164" i="5"/>
  <c r="N164" i="5"/>
  <c r="L164" i="5"/>
  <c r="I164" i="5"/>
  <c r="H164" i="5"/>
  <c r="F164" i="5"/>
  <c r="C164" i="5"/>
  <c r="AC163" i="5"/>
  <c r="AD163" i="5" s="1"/>
  <c r="AA163" i="5"/>
  <c r="W163" i="5"/>
  <c r="X163" i="5" s="1"/>
  <c r="U163" i="5"/>
  <c r="R163" i="5"/>
  <c r="O163" i="5"/>
  <c r="N163" i="5"/>
  <c r="L163" i="5"/>
  <c r="I163" i="5"/>
  <c r="H163" i="5"/>
  <c r="F163" i="5"/>
  <c r="C163" i="5"/>
  <c r="AD162" i="5"/>
  <c r="AC162" i="5"/>
  <c r="AA162" i="5"/>
  <c r="W162" i="5"/>
  <c r="X162" i="5" s="1"/>
  <c r="U162" i="5"/>
  <c r="R162" i="5"/>
  <c r="O162" i="5"/>
  <c r="N162" i="5"/>
  <c r="L162" i="5"/>
  <c r="H162" i="5"/>
  <c r="I162" i="5" s="1"/>
  <c r="F162" i="5"/>
  <c r="C162" i="5"/>
  <c r="AC161" i="5"/>
  <c r="AD161" i="5" s="1"/>
  <c r="AA161" i="5"/>
  <c r="X161" i="5"/>
  <c r="W161" i="5"/>
  <c r="U161" i="5"/>
  <c r="R161" i="5"/>
  <c r="N161" i="5"/>
  <c r="O161" i="5" s="1"/>
  <c r="L161" i="5"/>
  <c r="I161" i="5"/>
  <c r="H161" i="5"/>
  <c r="F161" i="5"/>
  <c r="C161" i="5"/>
  <c r="AD160" i="5"/>
  <c r="AC160" i="5"/>
  <c r="AA160" i="5"/>
  <c r="W160" i="5"/>
  <c r="X160" i="5" s="1"/>
  <c r="U160" i="5"/>
  <c r="R160" i="5"/>
  <c r="N160" i="5"/>
  <c r="O160" i="5" s="1"/>
  <c r="L160" i="5"/>
  <c r="I160" i="5"/>
  <c r="H160" i="5"/>
  <c r="F160" i="5"/>
  <c r="C160" i="5"/>
  <c r="AA158" i="5"/>
  <c r="Z158" i="5"/>
  <c r="T158" i="5"/>
  <c r="U158" i="5" s="1"/>
  <c r="R158" i="5"/>
  <c r="Q158" i="5"/>
  <c r="AC158" i="5" s="1"/>
  <c r="AD158" i="5" s="1"/>
  <c r="K158" i="5"/>
  <c r="L158" i="5" s="1"/>
  <c r="H158" i="5"/>
  <c r="I158" i="5" s="1"/>
  <c r="E158" i="5"/>
  <c r="F158" i="5" s="1"/>
  <c r="C158" i="5"/>
  <c r="B158" i="5"/>
  <c r="AC157" i="5"/>
  <c r="AD157" i="5" s="1"/>
  <c r="AA157" i="5"/>
  <c r="W157" i="5"/>
  <c r="X157" i="5" s="1"/>
  <c r="U157" i="5"/>
  <c r="R157" i="5"/>
  <c r="N157" i="5"/>
  <c r="O157" i="5" s="1"/>
  <c r="L157" i="5"/>
  <c r="I157" i="5"/>
  <c r="H157" i="5"/>
  <c r="F157" i="5"/>
  <c r="C157" i="5"/>
  <c r="AD156" i="5"/>
  <c r="AC156" i="5"/>
  <c r="AA156" i="5"/>
  <c r="W156" i="5"/>
  <c r="X156" i="5" s="1"/>
  <c r="U156" i="5"/>
  <c r="R156" i="5"/>
  <c r="N156" i="5"/>
  <c r="O156" i="5" s="1"/>
  <c r="L156" i="5"/>
  <c r="I156" i="5"/>
  <c r="H156" i="5"/>
  <c r="F156" i="5"/>
  <c r="C156" i="5"/>
  <c r="AD155" i="5"/>
  <c r="AC155" i="5"/>
  <c r="AA155" i="5"/>
  <c r="W155" i="5"/>
  <c r="X155" i="5" s="1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W154" i="5"/>
  <c r="X154" i="5" s="1"/>
  <c r="U154" i="5"/>
  <c r="R154" i="5"/>
  <c r="O154" i="5"/>
  <c r="N154" i="5"/>
  <c r="L154" i="5"/>
  <c r="H154" i="5"/>
  <c r="I154" i="5" s="1"/>
  <c r="F154" i="5"/>
  <c r="C154" i="5"/>
  <c r="AC153" i="5"/>
  <c r="AD153" i="5" s="1"/>
  <c r="AA153" i="5"/>
  <c r="X153" i="5"/>
  <c r="W153" i="5"/>
  <c r="U153" i="5"/>
  <c r="R153" i="5"/>
  <c r="N153" i="5"/>
  <c r="O153" i="5" s="1"/>
  <c r="L153" i="5"/>
  <c r="I153" i="5"/>
  <c r="H153" i="5"/>
  <c r="F153" i="5"/>
  <c r="C153" i="5"/>
  <c r="AD151" i="5"/>
  <c r="AC151" i="5"/>
  <c r="AA151" i="5"/>
  <c r="W151" i="5"/>
  <c r="X151" i="5" s="1"/>
  <c r="U151" i="5"/>
  <c r="R151" i="5"/>
  <c r="N151" i="5"/>
  <c r="O151" i="5" s="1"/>
  <c r="L151" i="5"/>
  <c r="I151" i="5"/>
  <c r="H151" i="5"/>
  <c r="F151" i="5"/>
  <c r="C151" i="5"/>
  <c r="AA149" i="5"/>
  <c r="Z149" i="5"/>
  <c r="T149" i="5"/>
  <c r="W149" i="5" s="1"/>
  <c r="X149" i="5" s="1"/>
  <c r="R149" i="5"/>
  <c r="Q149" i="5"/>
  <c r="AC149" i="5" s="1"/>
  <c r="AD149" i="5" s="1"/>
  <c r="L149" i="5"/>
  <c r="K149" i="5"/>
  <c r="E149" i="5"/>
  <c r="H149" i="5" s="1"/>
  <c r="I149" i="5" s="1"/>
  <c r="C149" i="5"/>
  <c r="B149" i="5"/>
  <c r="N149" i="5" s="1"/>
  <c r="O149" i="5" s="1"/>
  <c r="AC148" i="5"/>
  <c r="AD148" i="5" s="1"/>
  <c r="Z148" i="5"/>
  <c r="AA148" i="5" s="1"/>
  <c r="U148" i="5"/>
  <c r="T148" i="5"/>
  <c r="R148" i="5"/>
  <c r="Q148" i="5"/>
  <c r="W148" i="5" s="1"/>
  <c r="X148" i="5" s="1"/>
  <c r="K148" i="5"/>
  <c r="N148" i="5" s="1"/>
  <c r="O148" i="5" s="1"/>
  <c r="E148" i="5"/>
  <c r="F148" i="5" s="1"/>
  <c r="C148" i="5"/>
  <c r="B148" i="5"/>
  <c r="AD147" i="5"/>
  <c r="AC147" i="5"/>
  <c r="AA147" i="5"/>
  <c r="W147" i="5"/>
  <c r="X147" i="5" s="1"/>
  <c r="U147" i="5"/>
  <c r="R147" i="5"/>
  <c r="O147" i="5"/>
  <c r="N147" i="5"/>
  <c r="L147" i="5"/>
  <c r="I147" i="5"/>
  <c r="H147" i="5"/>
  <c r="F147" i="5"/>
  <c r="C147" i="5"/>
  <c r="AD146" i="5"/>
  <c r="AC146" i="5"/>
  <c r="AA146" i="5"/>
  <c r="W146" i="5"/>
  <c r="X146" i="5" s="1"/>
  <c r="U146" i="5"/>
  <c r="R146" i="5"/>
  <c r="O146" i="5"/>
  <c r="N146" i="5"/>
  <c r="L146" i="5"/>
  <c r="H146" i="5"/>
  <c r="I146" i="5" s="1"/>
  <c r="F146" i="5"/>
  <c r="C146" i="5"/>
  <c r="AC145" i="5"/>
  <c r="AD145" i="5" s="1"/>
  <c r="AA145" i="5"/>
  <c r="X145" i="5"/>
  <c r="W145" i="5"/>
  <c r="U145" i="5"/>
  <c r="R145" i="5"/>
  <c r="N145" i="5"/>
  <c r="O145" i="5" s="1"/>
  <c r="L145" i="5"/>
  <c r="I145" i="5"/>
  <c r="H145" i="5"/>
  <c r="F145" i="5"/>
  <c r="C145" i="5"/>
  <c r="AD144" i="5"/>
  <c r="AC144" i="5"/>
  <c r="AA144" i="5"/>
  <c r="W144" i="5"/>
  <c r="X144" i="5" s="1"/>
  <c r="U144" i="5"/>
  <c r="R144" i="5"/>
  <c r="N144" i="5"/>
  <c r="O144" i="5" s="1"/>
  <c r="L144" i="5"/>
  <c r="I144" i="5"/>
  <c r="H144" i="5"/>
  <c r="F144" i="5"/>
  <c r="C144" i="5"/>
  <c r="AD143" i="5"/>
  <c r="AC143" i="5"/>
  <c r="AA143" i="5"/>
  <c r="W143" i="5"/>
  <c r="X143" i="5" s="1"/>
  <c r="U143" i="5"/>
  <c r="R143" i="5"/>
  <c r="O143" i="5"/>
  <c r="N143" i="5"/>
  <c r="L143" i="5"/>
  <c r="I143" i="5"/>
  <c r="H143" i="5"/>
  <c r="F143" i="5"/>
  <c r="C143" i="5"/>
  <c r="AC141" i="5"/>
  <c r="AD141" i="5" s="1"/>
  <c r="AA141" i="5"/>
  <c r="Z141" i="5"/>
  <c r="T141" i="5"/>
  <c r="U141" i="5" s="1"/>
  <c r="R141" i="5"/>
  <c r="Q141" i="5"/>
  <c r="N141" i="5"/>
  <c r="O141" i="5" s="1"/>
  <c r="L141" i="5"/>
  <c r="K141" i="5"/>
  <c r="F141" i="5"/>
  <c r="E141" i="5"/>
  <c r="C141" i="5"/>
  <c r="B141" i="5"/>
  <c r="H141" i="5" s="1"/>
  <c r="I141" i="5" s="1"/>
  <c r="AD140" i="5"/>
  <c r="AC140" i="5"/>
  <c r="AA140" i="5"/>
  <c r="W140" i="5"/>
  <c r="X140" i="5" s="1"/>
  <c r="U140" i="5"/>
  <c r="R140" i="5"/>
  <c r="O140" i="5"/>
  <c r="N140" i="5"/>
  <c r="L140" i="5"/>
  <c r="H140" i="5"/>
  <c r="I140" i="5" s="1"/>
  <c r="F140" i="5"/>
  <c r="C140" i="5"/>
  <c r="AC139" i="5"/>
  <c r="AD139" i="5" s="1"/>
  <c r="AA139" i="5"/>
  <c r="W139" i="5"/>
  <c r="X139" i="5" s="1"/>
  <c r="U139" i="5"/>
  <c r="R139" i="5"/>
  <c r="O139" i="5"/>
  <c r="N139" i="5"/>
  <c r="L139" i="5"/>
  <c r="I139" i="5"/>
  <c r="H139" i="5"/>
  <c r="F139" i="5"/>
  <c r="C139" i="5"/>
  <c r="AD138" i="5"/>
  <c r="AC138" i="5"/>
  <c r="AA138" i="5"/>
  <c r="W138" i="5"/>
  <c r="X138" i="5" s="1"/>
  <c r="U138" i="5"/>
  <c r="R138" i="5"/>
  <c r="N138" i="5"/>
  <c r="O138" i="5" s="1"/>
  <c r="L138" i="5"/>
  <c r="H138" i="5"/>
  <c r="I138" i="5" s="1"/>
  <c r="F138" i="5"/>
  <c r="C138" i="5"/>
  <c r="AC137" i="5"/>
  <c r="AD137" i="5" s="1"/>
  <c r="AA137" i="5"/>
  <c r="X137" i="5"/>
  <c r="W137" i="5"/>
  <c r="U137" i="5"/>
  <c r="R137" i="5"/>
  <c r="N137" i="5"/>
  <c r="O137" i="5" s="1"/>
  <c r="L137" i="5"/>
  <c r="I137" i="5"/>
  <c r="H137" i="5"/>
  <c r="F137" i="5"/>
  <c r="C137" i="5"/>
  <c r="AD136" i="5"/>
  <c r="AC136" i="5"/>
  <c r="AA136" i="5"/>
  <c r="W136" i="5"/>
  <c r="X136" i="5" s="1"/>
  <c r="U136" i="5"/>
  <c r="R136" i="5"/>
  <c r="N136" i="5"/>
  <c r="O136" i="5" s="1"/>
  <c r="L136" i="5"/>
  <c r="H136" i="5"/>
  <c r="I136" i="5" s="1"/>
  <c r="F136" i="5"/>
  <c r="C136" i="5"/>
  <c r="AD135" i="5"/>
  <c r="AC135" i="5"/>
  <c r="AA135" i="5"/>
  <c r="W135" i="5"/>
  <c r="X135" i="5" s="1"/>
  <c r="U135" i="5"/>
  <c r="R135" i="5"/>
  <c r="N135" i="5"/>
  <c r="O135" i="5" s="1"/>
  <c r="L135" i="5"/>
  <c r="I135" i="5"/>
  <c r="H135" i="5"/>
  <c r="F135" i="5"/>
  <c r="C135" i="5"/>
  <c r="AD134" i="5"/>
  <c r="AC134" i="5"/>
  <c r="AA134" i="5"/>
  <c r="X134" i="5"/>
  <c r="W134" i="5"/>
  <c r="U134" i="5"/>
  <c r="R134" i="5"/>
  <c r="N134" i="5"/>
  <c r="O134" i="5" s="1"/>
  <c r="L134" i="5"/>
  <c r="I134" i="5"/>
  <c r="H134" i="5"/>
  <c r="F134" i="5"/>
  <c r="C134" i="5"/>
  <c r="AD133" i="5"/>
  <c r="AC133" i="5"/>
  <c r="AA133" i="5"/>
  <c r="W133" i="5"/>
  <c r="X133" i="5" s="1"/>
  <c r="U133" i="5"/>
  <c r="R133" i="5"/>
  <c r="N133" i="5"/>
  <c r="O133" i="5" s="1"/>
  <c r="L133" i="5"/>
  <c r="H133" i="5"/>
  <c r="I133" i="5" s="1"/>
  <c r="F133" i="5"/>
  <c r="C133" i="5"/>
  <c r="AD132" i="5"/>
  <c r="AC132" i="5"/>
  <c r="AA132" i="5"/>
  <c r="X132" i="5"/>
  <c r="W132" i="5"/>
  <c r="U132" i="5"/>
  <c r="R132" i="5"/>
  <c r="O132" i="5"/>
  <c r="N132" i="5"/>
  <c r="L132" i="5"/>
  <c r="H132" i="5"/>
  <c r="I132" i="5" s="1"/>
  <c r="F132" i="5"/>
  <c r="C132" i="5"/>
  <c r="AC131" i="5"/>
  <c r="AD131" i="5" s="1"/>
  <c r="AA131" i="5"/>
  <c r="W131" i="5"/>
  <c r="X131" i="5" s="1"/>
  <c r="U131" i="5"/>
  <c r="R131" i="5"/>
  <c r="N131" i="5"/>
  <c r="O131" i="5" s="1"/>
  <c r="L131" i="5"/>
  <c r="I131" i="5"/>
  <c r="H131" i="5"/>
  <c r="F131" i="5"/>
  <c r="C131" i="5"/>
  <c r="AD130" i="5"/>
  <c r="AC130" i="5"/>
  <c r="AA130" i="5"/>
  <c r="W130" i="5"/>
  <c r="X130" i="5" s="1"/>
  <c r="U130" i="5"/>
  <c r="R130" i="5"/>
  <c r="N130" i="5"/>
  <c r="O130" i="5" s="1"/>
  <c r="L130" i="5"/>
  <c r="I130" i="5"/>
  <c r="H130" i="5"/>
  <c r="F130" i="5"/>
  <c r="C130" i="5"/>
  <c r="AC129" i="5"/>
  <c r="AD129" i="5" s="1"/>
  <c r="AA129" i="5"/>
  <c r="X129" i="5"/>
  <c r="W129" i="5"/>
  <c r="U129" i="5"/>
  <c r="R129" i="5"/>
  <c r="N129" i="5"/>
  <c r="O129" i="5" s="1"/>
  <c r="L129" i="5"/>
  <c r="I129" i="5"/>
  <c r="H129" i="5"/>
  <c r="F129" i="5"/>
  <c r="C129" i="5"/>
  <c r="AD127" i="5"/>
  <c r="AC127" i="5"/>
  <c r="AA127" i="5"/>
  <c r="W127" i="5"/>
  <c r="X127" i="5" s="1"/>
  <c r="U127" i="5"/>
  <c r="R127" i="5"/>
  <c r="O127" i="5"/>
  <c r="N127" i="5"/>
  <c r="L127" i="5"/>
  <c r="I127" i="5"/>
  <c r="H127" i="5"/>
  <c r="F127" i="5"/>
  <c r="C127" i="5"/>
  <c r="AC124" i="5"/>
  <c r="AD124" i="5" s="1"/>
  <c r="AA124" i="5"/>
  <c r="Z124" i="5"/>
  <c r="T124" i="5"/>
  <c r="T172" i="5" s="1"/>
  <c r="U172" i="5" s="1"/>
  <c r="R124" i="5"/>
  <c r="Q124" i="5"/>
  <c r="K124" i="5"/>
  <c r="L124" i="5" s="1"/>
  <c r="E124" i="5"/>
  <c r="E172" i="5" s="1"/>
  <c r="F172" i="5" s="1"/>
  <c r="C124" i="5"/>
  <c r="B124" i="5"/>
  <c r="AD123" i="5"/>
  <c r="AC123" i="5"/>
  <c r="AA123" i="5"/>
  <c r="W123" i="5"/>
  <c r="X123" i="5" s="1"/>
  <c r="U123" i="5"/>
  <c r="R123" i="5"/>
  <c r="N123" i="5"/>
  <c r="O123" i="5" s="1"/>
  <c r="L123" i="5"/>
  <c r="I123" i="5"/>
  <c r="H123" i="5"/>
  <c r="F123" i="5"/>
  <c r="C123" i="5"/>
  <c r="AD122" i="5"/>
  <c r="AA122" i="5"/>
  <c r="Z122" i="5"/>
  <c r="T122" i="5"/>
  <c r="U122" i="5" s="1"/>
  <c r="R122" i="5"/>
  <c r="Q122" i="5"/>
  <c r="AC122" i="5" s="1"/>
  <c r="N122" i="5"/>
  <c r="O122" i="5" s="1"/>
  <c r="K122" i="5"/>
  <c r="L122" i="5" s="1"/>
  <c r="F122" i="5"/>
  <c r="E122" i="5"/>
  <c r="B122" i="5"/>
  <c r="H122" i="5" s="1"/>
  <c r="I122" i="5" s="1"/>
  <c r="AD121" i="5"/>
  <c r="AC121" i="5"/>
  <c r="AA121" i="5"/>
  <c r="W121" i="5"/>
  <c r="X121" i="5" s="1"/>
  <c r="U121" i="5"/>
  <c r="R121" i="5"/>
  <c r="N121" i="5"/>
  <c r="O121" i="5" s="1"/>
  <c r="L121" i="5"/>
  <c r="H121" i="5"/>
  <c r="I121" i="5" s="1"/>
  <c r="F121" i="5"/>
  <c r="C121" i="5"/>
  <c r="AC120" i="5"/>
  <c r="AD120" i="5" s="1"/>
  <c r="AA120" i="5"/>
  <c r="X120" i="5"/>
  <c r="W120" i="5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W119" i="5"/>
  <c r="X119" i="5" s="1"/>
  <c r="U119" i="5"/>
  <c r="R119" i="5"/>
  <c r="N119" i="5"/>
  <c r="O119" i="5" s="1"/>
  <c r="L119" i="5"/>
  <c r="H119" i="5"/>
  <c r="I119" i="5" s="1"/>
  <c r="F119" i="5"/>
  <c r="C119" i="5"/>
  <c r="AA118" i="5"/>
  <c r="Z118" i="5"/>
  <c r="U118" i="5"/>
  <c r="T118" i="5"/>
  <c r="W118" i="5" s="1"/>
  <c r="X118" i="5" s="1"/>
  <c r="R118" i="5"/>
  <c r="Q118" i="5"/>
  <c r="AC118" i="5" s="1"/>
  <c r="AD118" i="5" s="1"/>
  <c r="O118" i="5"/>
  <c r="K118" i="5"/>
  <c r="L118" i="5" s="1"/>
  <c r="H118" i="5"/>
  <c r="I118" i="5" s="1"/>
  <c r="E118" i="5"/>
  <c r="F118" i="5" s="1"/>
  <c r="C118" i="5"/>
  <c r="B118" i="5"/>
  <c r="N118" i="5" s="1"/>
  <c r="AC117" i="5"/>
  <c r="AD117" i="5" s="1"/>
  <c r="AA117" i="5"/>
  <c r="X117" i="5"/>
  <c r="W117" i="5"/>
  <c r="U117" i="5"/>
  <c r="R117" i="5"/>
  <c r="N117" i="5"/>
  <c r="O117" i="5" s="1"/>
  <c r="L117" i="5"/>
  <c r="I117" i="5"/>
  <c r="H117" i="5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I116" i="5"/>
  <c r="H116" i="5"/>
  <c r="F116" i="5"/>
  <c r="C116" i="5"/>
  <c r="AD115" i="5"/>
  <c r="AC115" i="5"/>
  <c r="AA115" i="5"/>
  <c r="W115" i="5"/>
  <c r="X115" i="5" s="1"/>
  <c r="U115" i="5"/>
  <c r="R115" i="5"/>
  <c r="O115" i="5"/>
  <c r="N115" i="5"/>
  <c r="L115" i="5"/>
  <c r="I115" i="5"/>
  <c r="H115" i="5"/>
  <c r="F115" i="5"/>
  <c r="C115" i="5"/>
  <c r="AC114" i="5"/>
  <c r="AD114" i="5" s="1"/>
  <c r="AA114" i="5"/>
  <c r="X114" i="5"/>
  <c r="W114" i="5"/>
  <c r="U114" i="5"/>
  <c r="R114" i="5"/>
  <c r="O114" i="5"/>
  <c r="N114" i="5"/>
  <c r="L114" i="5"/>
  <c r="H114" i="5"/>
  <c r="I114" i="5" s="1"/>
  <c r="F114" i="5"/>
  <c r="C114" i="5"/>
  <c r="AC113" i="5"/>
  <c r="AD113" i="5" s="1"/>
  <c r="AA113" i="5"/>
  <c r="W113" i="5"/>
  <c r="X113" i="5" s="1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W112" i="5"/>
  <c r="X112" i="5" s="1"/>
  <c r="U112" i="5"/>
  <c r="R112" i="5"/>
  <c r="N112" i="5"/>
  <c r="O112" i="5" s="1"/>
  <c r="L112" i="5"/>
  <c r="I112" i="5"/>
  <c r="H112" i="5"/>
  <c r="F112" i="5"/>
  <c r="C112" i="5"/>
  <c r="AD111" i="5"/>
  <c r="AC111" i="5"/>
  <c r="AA111" i="5"/>
  <c r="W111" i="5"/>
  <c r="X111" i="5" s="1"/>
  <c r="U111" i="5"/>
  <c r="R111" i="5"/>
  <c r="N111" i="5"/>
  <c r="O111" i="5" s="1"/>
  <c r="L111" i="5"/>
  <c r="I111" i="5"/>
  <c r="H111" i="5"/>
  <c r="F111" i="5"/>
  <c r="C111" i="5"/>
  <c r="AC110" i="5"/>
  <c r="AD110" i="5" s="1"/>
  <c r="AA110" i="5"/>
  <c r="W110" i="5"/>
  <c r="X110" i="5" s="1"/>
  <c r="U110" i="5"/>
  <c r="R110" i="5"/>
  <c r="O110" i="5"/>
  <c r="N110" i="5"/>
  <c r="L110" i="5"/>
  <c r="H110" i="5"/>
  <c r="I110" i="5" s="1"/>
  <c r="F110" i="5"/>
  <c r="C110" i="5"/>
  <c r="AD109" i="5"/>
  <c r="AC109" i="5"/>
  <c r="AA109" i="5"/>
  <c r="W109" i="5"/>
  <c r="X109" i="5" s="1"/>
  <c r="U109" i="5"/>
  <c r="R109" i="5"/>
  <c r="N109" i="5"/>
  <c r="O109" i="5" s="1"/>
  <c r="L109" i="5"/>
  <c r="I109" i="5"/>
  <c r="H109" i="5"/>
  <c r="F109" i="5"/>
  <c r="C109" i="5"/>
  <c r="AD108" i="5"/>
  <c r="AC108" i="5"/>
  <c r="AA108" i="5"/>
  <c r="X108" i="5"/>
  <c r="W108" i="5"/>
  <c r="U108" i="5"/>
  <c r="R108" i="5"/>
  <c r="N108" i="5"/>
  <c r="O108" i="5" s="1"/>
  <c r="L108" i="5"/>
  <c r="H108" i="5"/>
  <c r="I108" i="5" s="1"/>
  <c r="F108" i="5"/>
  <c r="C108" i="5"/>
  <c r="AC107" i="5"/>
  <c r="AD107" i="5" s="1"/>
  <c r="AA107" i="5"/>
  <c r="W107" i="5"/>
  <c r="X107" i="5" s="1"/>
  <c r="U107" i="5"/>
  <c r="R107" i="5"/>
  <c r="O107" i="5"/>
  <c r="N107" i="5"/>
  <c r="L107" i="5"/>
  <c r="I107" i="5"/>
  <c r="H107" i="5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H106" i="5"/>
  <c r="I106" i="5" s="1"/>
  <c r="F106" i="5"/>
  <c r="C106" i="5"/>
  <c r="AC105" i="5"/>
  <c r="AD105" i="5" s="1"/>
  <c r="AA105" i="5"/>
  <c r="X105" i="5"/>
  <c r="W105" i="5"/>
  <c r="U105" i="5"/>
  <c r="R105" i="5"/>
  <c r="N105" i="5"/>
  <c r="O105" i="5" s="1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D103" i="5"/>
  <c r="AC103" i="5"/>
  <c r="AA103" i="5"/>
  <c r="W103" i="5"/>
  <c r="X103" i="5" s="1"/>
  <c r="U103" i="5"/>
  <c r="R103" i="5"/>
  <c r="N103" i="5"/>
  <c r="O103" i="5" s="1"/>
  <c r="L103" i="5"/>
  <c r="I103" i="5"/>
  <c r="H103" i="5"/>
  <c r="F103" i="5"/>
  <c r="C103" i="5"/>
  <c r="AC102" i="5"/>
  <c r="AD102" i="5" s="1"/>
  <c r="AA102" i="5"/>
  <c r="X102" i="5"/>
  <c r="W102" i="5"/>
  <c r="U102" i="5"/>
  <c r="R102" i="5"/>
  <c r="N102" i="5"/>
  <c r="O102" i="5" s="1"/>
  <c r="L102" i="5"/>
  <c r="I102" i="5"/>
  <c r="H102" i="5"/>
  <c r="F102" i="5"/>
  <c r="C102" i="5"/>
  <c r="AD101" i="5"/>
  <c r="AC101" i="5"/>
  <c r="AA101" i="5"/>
  <c r="W101" i="5"/>
  <c r="X101" i="5" s="1"/>
  <c r="U101" i="5"/>
  <c r="R101" i="5"/>
  <c r="N101" i="5"/>
  <c r="O101" i="5" s="1"/>
  <c r="L101" i="5"/>
  <c r="H101" i="5"/>
  <c r="I101" i="5" s="1"/>
  <c r="F101" i="5"/>
  <c r="C101" i="5"/>
  <c r="AD100" i="5"/>
  <c r="AC100" i="5"/>
  <c r="AA100" i="5"/>
  <c r="X100" i="5"/>
  <c r="W100" i="5"/>
  <c r="U100" i="5"/>
  <c r="R100" i="5"/>
  <c r="O100" i="5"/>
  <c r="N100" i="5"/>
  <c r="L100" i="5"/>
  <c r="H100" i="5"/>
  <c r="I100" i="5" s="1"/>
  <c r="F100" i="5"/>
  <c r="C100" i="5"/>
  <c r="AC99" i="5"/>
  <c r="AD99" i="5" s="1"/>
  <c r="AA99" i="5"/>
  <c r="W99" i="5"/>
  <c r="X99" i="5" s="1"/>
  <c r="U99" i="5"/>
  <c r="R99" i="5"/>
  <c r="N99" i="5"/>
  <c r="O99" i="5" s="1"/>
  <c r="L99" i="5"/>
  <c r="I99" i="5"/>
  <c r="H99" i="5"/>
  <c r="F99" i="5"/>
  <c r="C99" i="5"/>
  <c r="AD98" i="5"/>
  <c r="AC98" i="5"/>
  <c r="AA98" i="5"/>
  <c r="W98" i="5"/>
  <c r="X98" i="5" s="1"/>
  <c r="U98" i="5"/>
  <c r="R98" i="5"/>
  <c r="N98" i="5"/>
  <c r="O98" i="5" s="1"/>
  <c r="L98" i="5"/>
  <c r="H98" i="5"/>
  <c r="I98" i="5" s="1"/>
  <c r="F98" i="5"/>
  <c r="C98" i="5"/>
  <c r="AC97" i="5"/>
  <c r="AD97" i="5" s="1"/>
  <c r="AA97" i="5"/>
  <c r="X97" i="5"/>
  <c r="W97" i="5"/>
  <c r="U97" i="5"/>
  <c r="R97" i="5"/>
  <c r="N97" i="5"/>
  <c r="O97" i="5" s="1"/>
  <c r="L97" i="5"/>
  <c r="I97" i="5"/>
  <c r="H97" i="5"/>
  <c r="F97" i="5"/>
  <c r="C97" i="5"/>
  <c r="AD96" i="5"/>
  <c r="AC96" i="5"/>
  <c r="AA96" i="5"/>
  <c r="W96" i="5"/>
  <c r="X96" i="5" s="1"/>
  <c r="U96" i="5"/>
  <c r="R96" i="5"/>
  <c r="O96" i="5"/>
  <c r="N96" i="5"/>
  <c r="L96" i="5"/>
  <c r="I96" i="5"/>
  <c r="H96" i="5"/>
  <c r="F96" i="5"/>
  <c r="C96" i="5"/>
  <c r="AC95" i="5"/>
  <c r="AD95" i="5" s="1"/>
  <c r="AA95" i="5"/>
  <c r="W95" i="5"/>
  <c r="X95" i="5" s="1"/>
  <c r="U95" i="5"/>
  <c r="R95" i="5"/>
  <c r="N95" i="5"/>
  <c r="O95" i="5" s="1"/>
  <c r="L95" i="5"/>
  <c r="I95" i="5"/>
  <c r="H95" i="5"/>
  <c r="F95" i="5"/>
  <c r="C95" i="5"/>
  <c r="AC94" i="5"/>
  <c r="AD94" i="5" s="1"/>
  <c r="AA94" i="5"/>
  <c r="X94" i="5"/>
  <c r="W94" i="5"/>
  <c r="U94" i="5"/>
  <c r="R94" i="5"/>
  <c r="O94" i="5"/>
  <c r="N94" i="5"/>
  <c r="L94" i="5"/>
  <c r="H94" i="5"/>
  <c r="I94" i="5" s="1"/>
  <c r="F94" i="5"/>
  <c r="C94" i="5"/>
  <c r="AC92" i="5"/>
  <c r="AD92" i="5" s="1"/>
  <c r="AA92" i="5"/>
  <c r="X92" i="5"/>
  <c r="W92" i="5"/>
  <c r="U92" i="5"/>
  <c r="R92" i="5"/>
  <c r="N92" i="5"/>
  <c r="O92" i="5" s="1"/>
  <c r="L92" i="5"/>
  <c r="I92" i="5"/>
  <c r="H92" i="5"/>
  <c r="F92" i="5"/>
  <c r="C92" i="5"/>
  <c r="AD91" i="5"/>
  <c r="AC91" i="5"/>
  <c r="AA91" i="5"/>
  <c r="W91" i="5"/>
  <c r="X91" i="5" s="1"/>
  <c r="U91" i="5"/>
  <c r="R91" i="5"/>
  <c r="N91" i="5"/>
  <c r="O91" i="5" s="1"/>
  <c r="L91" i="5"/>
  <c r="I91" i="5"/>
  <c r="H91" i="5"/>
  <c r="F91" i="5"/>
  <c r="C91" i="5"/>
  <c r="AD90" i="5"/>
  <c r="AC90" i="5"/>
  <c r="AA90" i="5"/>
  <c r="W90" i="5"/>
  <c r="X90" i="5" s="1"/>
  <c r="U90" i="5"/>
  <c r="R90" i="5"/>
  <c r="O90" i="5"/>
  <c r="N90" i="5"/>
  <c r="L90" i="5"/>
  <c r="I90" i="5"/>
  <c r="H90" i="5"/>
  <c r="F90" i="5"/>
  <c r="C90" i="5"/>
  <c r="AC89" i="5"/>
  <c r="AD89" i="5" s="1"/>
  <c r="AA89" i="5"/>
  <c r="X89" i="5"/>
  <c r="W89" i="5"/>
  <c r="U89" i="5"/>
  <c r="R89" i="5"/>
  <c r="O89" i="5"/>
  <c r="N89" i="5"/>
  <c r="L89" i="5"/>
  <c r="H89" i="5"/>
  <c r="I89" i="5" s="1"/>
  <c r="F89" i="5"/>
  <c r="C89" i="5"/>
  <c r="AA88" i="5"/>
  <c r="Z88" i="5"/>
  <c r="U88" i="5"/>
  <c r="T88" i="5"/>
  <c r="Q88" i="5"/>
  <c r="R88" i="5" s="1"/>
  <c r="K88" i="5"/>
  <c r="L88" i="5" s="1"/>
  <c r="E88" i="5"/>
  <c r="F88" i="5" s="1"/>
  <c r="B88" i="5"/>
  <c r="N88" i="5" s="1"/>
  <c r="O88" i="5" s="1"/>
  <c r="AD87" i="5"/>
  <c r="AC87" i="5"/>
  <c r="AA87" i="5"/>
  <c r="W87" i="5"/>
  <c r="X87" i="5" s="1"/>
  <c r="U87" i="5"/>
  <c r="R87" i="5"/>
  <c r="N87" i="5"/>
  <c r="O87" i="5" s="1"/>
  <c r="L87" i="5"/>
  <c r="I87" i="5"/>
  <c r="H87" i="5"/>
  <c r="F87" i="5"/>
  <c r="C87" i="5"/>
  <c r="AD86" i="5"/>
  <c r="AC86" i="5"/>
  <c r="AA86" i="5"/>
  <c r="X86" i="5"/>
  <c r="W86" i="5"/>
  <c r="U86" i="5"/>
  <c r="R86" i="5"/>
  <c r="N86" i="5"/>
  <c r="O86" i="5" s="1"/>
  <c r="L86" i="5"/>
  <c r="I86" i="5"/>
  <c r="H86" i="5"/>
  <c r="F86" i="5"/>
  <c r="C86" i="5"/>
  <c r="AC85" i="5"/>
  <c r="AD85" i="5" s="1"/>
  <c r="AA85" i="5"/>
  <c r="W85" i="5"/>
  <c r="X85" i="5" s="1"/>
  <c r="U85" i="5"/>
  <c r="R85" i="5"/>
  <c r="N85" i="5"/>
  <c r="O85" i="5" s="1"/>
  <c r="L85" i="5"/>
  <c r="H85" i="5"/>
  <c r="I85" i="5" s="1"/>
  <c r="F85" i="5"/>
  <c r="C85" i="5"/>
  <c r="AD84" i="5"/>
  <c r="AC84" i="5"/>
  <c r="AA84" i="5"/>
  <c r="W84" i="5"/>
  <c r="X84" i="5" s="1"/>
  <c r="U84" i="5"/>
  <c r="R84" i="5"/>
  <c r="O84" i="5"/>
  <c r="N84" i="5"/>
  <c r="L84" i="5"/>
  <c r="I84" i="5"/>
  <c r="H84" i="5"/>
  <c r="F84" i="5"/>
  <c r="C84" i="5"/>
  <c r="AC83" i="5"/>
  <c r="AD83" i="5" s="1"/>
  <c r="AA83" i="5"/>
  <c r="W83" i="5"/>
  <c r="X83" i="5" s="1"/>
  <c r="U83" i="5"/>
  <c r="R83" i="5"/>
  <c r="N83" i="5"/>
  <c r="O83" i="5" s="1"/>
  <c r="L83" i="5"/>
  <c r="I83" i="5"/>
  <c r="H83" i="5"/>
  <c r="F83" i="5"/>
  <c r="C83" i="5"/>
  <c r="AC82" i="5"/>
  <c r="AD82" i="5" s="1"/>
  <c r="AA82" i="5"/>
  <c r="W82" i="5"/>
  <c r="X82" i="5" s="1"/>
  <c r="U82" i="5"/>
  <c r="R82" i="5"/>
  <c r="O82" i="5"/>
  <c r="N82" i="5"/>
  <c r="L82" i="5"/>
  <c r="I82" i="5"/>
  <c r="H82" i="5"/>
  <c r="F82" i="5"/>
  <c r="C82" i="5"/>
  <c r="AC81" i="5"/>
  <c r="AD81" i="5" s="1"/>
  <c r="AA81" i="5"/>
  <c r="W81" i="5"/>
  <c r="X81" i="5" s="1"/>
  <c r="U81" i="5"/>
  <c r="R81" i="5"/>
  <c r="N81" i="5"/>
  <c r="O81" i="5" s="1"/>
  <c r="L81" i="5"/>
  <c r="H81" i="5"/>
  <c r="I81" i="5" s="1"/>
  <c r="F81" i="5"/>
  <c r="C81" i="5"/>
  <c r="AD80" i="5"/>
  <c r="AC80" i="5"/>
  <c r="AA80" i="5"/>
  <c r="W80" i="5"/>
  <c r="X80" i="5" s="1"/>
  <c r="U80" i="5"/>
  <c r="R80" i="5"/>
  <c r="N80" i="5"/>
  <c r="O80" i="5" s="1"/>
  <c r="L80" i="5"/>
  <c r="I80" i="5"/>
  <c r="H80" i="5"/>
  <c r="F80" i="5"/>
  <c r="C80" i="5"/>
  <c r="AD79" i="5"/>
  <c r="AC79" i="5"/>
  <c r="AA79" i="5"/>
  <c r="W79" i="5"/>
  <c r="X79" i="5" s="1"/>
  <c r="U79" i="5"/>
  <c r="R79" i="5"/>
  <c r="N79" i="5"/>
  <c r="O79" i="5" s="1"/>
  <c r="L79" i="5"/>
  <c r="I79" i="5"/>
  <c r="H79" i="5"/>
  <c r="F79" i="5"/>
  <c r="C79" i="5"/>
  <c r="AC78" i="5"/>
  <c r="AD78" i="5" s="1"/>
  <c r="AA78" i="5"/>
  <c r="W78" i="5"/>
  <c r="X78" i="5" s="1"/>
  <c r="U78" i="5"/>
  <c r="R78" i="5"/>
  <c r="O78" i="5"/>
  <c r="N78" i="5"/>
  <c r="L78" i="5"/>
  <c r="H78" i="5"/>
  <c r="I78" i="5" s="1"/>
  <c r="F78" i="5"/>
  <c r="C78" i="5"/>
  <c r="AC77" i="5"/>
  <c r="AD77" i="5" s="1"/>
  <c r="AA77" i="5"/>
  <c r="X77" i="5"/>
  <c r="W77" i="5"/>
  <c r="U77" i="5"/>
  <c r="R77" i="5"/>
  <c r="N77" i="5"/>
  <c r="O77" i="5" s="1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H76" i="5"/>
  <c r="I76" i="5" s="1"/>
  <c r="F76" i="5"/>
  <c r="C76" i="5"/>
  <c r="AD75" i="5"/>
  <c r="AC75" i="5"/>
  <c r="AA75" i="5"/>
  <c r="W75" i="5"/>
  <c r="X75" i="5" s="1"/>
  <c r="U75" i="5"/>
  <c r="R75" i="5"/>
  <c r="O75" i="5"/>
  <c r="N75" i="5"/>
  <c r="L75" i="5"/>
  <c r="I75" i="5"/>
  <c r="H75" i="5"/>
  <c r="F75" i="5"/>
  <c r="C75" i="5"/>
  <c r="AC73" i="5"/>
  <c r="AD73" i="5" s="1"/>
  <c r="Z73" i="5"/>
  <c r="AA73" i="5" s="1"/>
  <c r="X73" i="5"/>
  <c r="T73" i="5"/>
  <c r="U73" i="5" s="1"/>
  <c r="R73" i="5"/>
  <c r="Q73" i="5"/>
  <c r="W73" i="5" s="1"/>
  <c r="L73" i="5"/>
  <c r="K73" i="5"/>
  <c r="E73" i="5"/>
  <c r="H73" i="5" s="1"/>
  <c r="I73" i="5" s="1"/>
  <c r="C73" i="5"/>
  <c r="B73" i="5"/>
  <c r="N73" i="5" s="1"/>
  <c r="O73" i="5" s="1"/>
  <c r="AD72" i="5"/>
  <c r="AC72" i="5"/>
  <c r="AA72" i="5"/>
  <c r="W72" i="5"/>
  <c r="X72" i="5" s="1"/>
  <c r="U72" i="5"/>
  <c r="R72" i="5"/>
  <c r="N72" i="5"/>
  <c r="O72" i="5" s="1"/>
  <c r="L72" i="5"/>
  <c r="H72" i="5"/>
  <c r="I72" i="5" s="1"/>
  <c r="F72" i="5"/>
  <c r="C72" i="5"/>
  <c r="AD71" i="5"/>
  <c r="AC71" i="5"/>
  <c r="AA71" i="5"/>
  <c r="W71" i="5"/>
  <c r="X71" i="5" s="1"/>
  <c r="U71" i="5"/>
  <c r="R71" i="5"/>
  <c r="N71" i="5"/>
  <c r="O71" i="5" s="1"/>
  <c r="L71" i="5"/>
  <c r="I71" i="5"/>
  <c r="H71" i="5"/>
  <c r="F71" i="5"/>
  <c r="C71" i="5"/>
  <c r="AD70" i="5"/>
  <c r="AC70" i="5"/>
  <c r="AA70" i="5"/>
  <c r="X70" i="5"/>
  <c r="W70" i="5"/>
  <c r="U70" i="5"/>
  <c r="R70" i="5"/>
  <c r="N70" i="5"/>
  <c r="O70" i="5" s="1"/>
  <c r="L70" i="5"/>
  <c r="H70" i="5"/>
  <c r="I70" i="5" s="1"/>
  <c r="F70" i="5"/>
  <c r="C70" i="5"/>
  <c r="AD69" i="5"/>
  <c r="AC69" i="5"/>
  <c r="AA69" i="5"/>
  <c r="W69" i="5"/>
  <c r="X69" i="5" s="1"/>
  <c r="U69" i="5"/>
  <c r="R69" i="5"/>
  <c r="N69" i="5"/>
  <c r="O69" i="5" s="1"/>
  <c r="L69" i="5"/>
  <c r="H69" i="5"/>
  <c r="I69" i="5" s="1"/>
  <c r="F69" i="5"/>
  <c r="C69" i="5"/>
  <c r="AD68" i="5"/>
  <c r="AC68" i="5"/>
  <c r="AA68" i="5"/>
  <c r="X68" i="5"/>
  <c r="W68" i="5"/>
  <c r="U68" i="5"/>
  <c r="R68" i="5"/>
  <c r="N68" i="5"/>
  <c r="O68" i="5" s="1"/>
  <c r="L68" i="5"/>
  <c r="H68" i="5"/>
  <c r="I68" i="5" s="1"/>
  <c r="F68" i="5"/>
  <c r="C68" i="5"/>
  <c r="AC67" i="5"/>
  <c r="AD67" i="5" s="1"/>
  <c r="AA67" i="5"/>
  <c r="W67" i="5"/>
  <c r="X67" i="5" s="1"/>
  <c r="U67" i="5"/>
  <c r="R67" i="5"/>
  <c r="N67" i="5"/>
  <c r="O67" i="5" s="1"/>
  <c r="L67" i="5"/>
  <c r="I67" i="5"/>
  <c r="H67" i="5"/>
  <c r="F67" i="5"/>
  <c r="C67" i="5"/>
  <c r="AD66" i="5"/>
  <c r="AC66" i="5"/>
  <c r="AA66" i="5"/>
  <c r="W66" i="5"/>
  <c r="X66" i="5" s="1"/>
  <c r="U66" i="5"/>
  <c r="R66" i="5"/>
  <c r="N66" i="5"/>
  <c r="O66" i="5" s="1"/>
  <c r="L66" i="5"/>
  <c r="I66" i="5"/>
  <c r="H66" i="5"/>
  <c r="F66" i="5"/>
  <c r="C66" i="5"/>
  <c r="AC65" i="5"/>
  <c r="AD65" i="5" s="1"/>
  <c r="AA65" i="5"/>
  <c r="W65" i="5"/>
  <c r="X65" i="5" s="1"/>
  <c r="U65" i="5"/>
  <c r="R65" i="5"/>
  <c r="N65" i="5"/>
  <c r="O65" i="5" s="1"/>
  <c r="L65" i="5"/>
  <c r="H65" i="5"/>
  <c r="I65" i="5" s="1"/>
  <c r="F65" i="5"/>
  <c r="C65" i="5"/>
  <c r="AD64" i="5"/>
  <c r="AC64" i="5"/>
  <c r="AA64" i="5"/>
  <c r="W64" i="5"/>
  <c r="X64" i="5" s="1"/>
  <c r="U64" i="5"/>
  <c r="R64" i="5"/>
  <c r="O64" i="5"/>
  <c r="N64" i="5"/>
  <c r="L64" i="5"/>
  <c r="I64" i="5"/>
  <c r="H64" i="5"/>
  <c r="F64" i="5"/>
  <c r="C64" i="5"/>
  <c r="AA62" i="5"/>
  <c r="Z62" i="5"/>
  <c r="T62" i="5"/>
  <c r="U62" i="5" s="1"/>
  <c r="Q62" i="5"/>
  <c r="R62" i="5" s="1"/>
  <c r="K62" i="5"/>
  <c r="L62" i="5" s="1"/>
  <c r="H62" i="5"/>
  <c r="I62" i="5" s="1"/>
  <c r="F62" i="5"/>
  <c r="E62" i="5"/>
  <c r="C62" i="5"/>
  <c r="B62" i="5"/>
  <c r="Z61" i="5"/>
  <c r="AA61" i="5" s="1"/>
  <c r="U61" i="5"/>
  <c r="T61" i="5"/>
  <c r="Q61" i="5"/>
  <c r="W61" i="5" s="1"/>
  <c r="X61" i="5" s="1"/>
  <c r="N61" i="5"/>
  <c r="O61" i="5" s="1"/>
  <c r="L61" i="5"/>
  <c r="K61" i="5"/>
  <c r="E61" i="5"/>
  <c r="F61" i="5" s="1"/>
  <c r="C61" i="5"/>
  <c r="B61" i="5"/>
  <c r="AC60" i="5"/>
  <c r="AD60" i="5" s="1"/>
  <c r="AA60" i="5"/>
  <c r="W60" i="5"/>
  <c r="X60" i="5" s="1"/>
  <c r="U60" i="5"/>
  <c r="R60" i="5"/>
  <c r="O60" i="5"/>
  <c r="N60" i="5"/>
  <c r="L60" i="5"/>
  <c r="I60" i="5"/>
  <c r="H60" i="5"/>
  <c r="F60" i="5"/>
  <c r="C60" i="5"/>
  <c r="AC59" i="5"/>
  <c r="AD59" i="5" s="1"/>
  <c r="AA59" i="5"/>
  <c r="W59" i="5"/>
  <c r="X59" i="5" s="1"/>
  <c r="U59" i="5"/>
  <c r="R59" i="5"/>
  <c r="N59" i="5"/>
  <c r="O59" i="5" s="1"/>
  <c r="L59" i="5"/>
  <c r="H59" i="5"/>
  <c r="I59" i="5" s="1"/>
  <c r="F59" i="5"/>
  <c r="C59" i="5"/>
  <c r="AD58" i="5"/>
  <c r="AC58" i="5"/>
  <c r="AA58" i="5"/>
  <c r="X58" i="5"/>
  <c r="W58" i="5"/>
  <c r="U58" i="5"/>
  <c r="R58" i="5"/>
  <c r="N58" i="5"/>
  <c r="O58" i="5" s="1"/>
  <c r="L58" i="5"/>
  <c r="H58" i="5"/>
  <c r="I58" i="5" s="1"/>
  <c r="F58" i="5"/>
  <c r="C58" i="5"/>
  <c r="AD57" i="5"/>
  <c r="AC57" i="5"/>
  <c r="AA57" i="5"/>
  <c r="X57" i="5"/>
  <c r="W57" i="5"/>
  <c r="U57" i="5"/>
  <c r="R57" i="5"/>
  <c r="N57" i="5"/>
  <c r="O57" i="5" s="1"/>
  <c r="L57" i="5"/>
  <c r="H57" i="5"/>
  <c r="I57" i="5" s="1"/>
  <c r="F57" i="5"/>
  <c r="C57" i="5"/>
  <c r="AD56" i="5"/>
  <c r="AC56" i="5"/>
  <c r="AA56" i="5"/>
  <c r="W56" i="5"/>
  <c r="X56" i="5" s="1"/>
  <c r="U56" i="5"/>
  <c r="R56" i="5"/>
  <c r="N56" i="5"/>
  <c r="O56" i="5" s="1"/>
  <c r="L56" i="5"/>
  <c r="I56" i="5"/>
  <c r="H56" i="5"/>
  <c r="F56" i="5"/>
  <c r="C56" i="5"/>
  <c r="AD55" i="5"/>
  <c r="AC55" i="5"/>
  <c r="AA55" i="5"/>
  <c r="X55" i="5"/>
  <c r="W55" i="5"/>
  <c r="U55" i="5"/>
  <c r="R55" i="5"/>
  <c r="N55" i="5"/>
  <c r="O55" i="5" s="1"/>
  <c r="L55" i="5"/>
  <c r="H55" i="5"/>
  <c r="I55" i="5" s="1"/>
  <c r="F55" i="5"/>
  <c r="C55" i="5"/>
  <c r="AD54" i="5"/>
  <c r="AC54" i="5"/>
  <c r="AA54" i="5"/>
  <c r="W54" i="5"/>
  <c r="X54" i="5" s="1"/>
  <c r="U54" i="5"/>
  <c r="R54" i="5"/>
  <c r="N54" i="5"/>
  <c r="O54" i="5" s="1"/>
  <c r="L54" i="5"/>
  <c r="H54" i="5"/>
  <c r="I54" i="5" s="1"/>
  <c r="F54" i="5"/>
  <c r="C54" i="5"/>
  <c r="AD53" i="5"/>
  <c r="AC53" i="5"/>
  <c r="AA53" i="5"/>
  <c r="X53" i="5"/>
  <c r="W53" i="5"/>
  <c r="U53" i="5"/>
  <c r="R53" i="5"/>
  <c r="N53" i="5"/>
  <c r="O53" i="5" s="1"/>
  <c r="L53" i="5"/>
  <c r="H53" i="5"/>
  <c r="I53" i="5" s="1"/>
  <c r="F53" i="5"/>
  <c r="C53" i="5"/>
  <c r="AC52" i="5"/>
  <c r="AD52" i="5" s="1"/>
  <c r="AA52" i="5"/>
  <c r="W52" i="5"/>
  <c r="X52" i="5" s="1"/>
  <c r="U52" i="5"/>
  <c r="R52" i="5"/>
  <c r="N52" i="5"/>
  <c r="O52" i="5" s="1"/>
  <c r="L52" i="5"/>
  <c r="I52" i="5"/>
  <c r="H52" i="5"/>
  <c r="F52" i="5"/>
  <c r="C52" i="5"/>
  <c r="AD51" i="5"/>
  <c r="AC51" i="5"/>
  <c r="AA51" i="5"/>
  <c r="W51" i="5"/>
  <c r="X51" i="5" s="1"/>
  <c r="U51" i="5"/>
  <c r="R51" i="5"/>
  <c r="N51" i="5"/>
  <c r="O51" i="5" s="1"/>
  <c r="L51" i="5"/>
  <c r="I51" i="5"/>
  <c r="H51" i="5"/>
  <c r="F51" i="5"/>
  <c r="C51" i="5"/>
  <c r="AC50" i="5"/>
  <c r="AD50" i="5" s="1"/>
  <c r="AA50" i="5"/>
  <c r="W50" i="5"/>
  <c r="X50" i="5" s="1"/>
  <c r="U50" i="5"/>
  <c r="R50" i="5"/>
  <c r="N50" i="5"/>
  <c r="O50" i="5" s="1"/>
  <c r="L50" i="5"/>
  <c r="H50" i="5"/>
  <c r="I50" i="5" s="1"/>
  <c r="F50" i="5"/>
  <c r="C50" i="5"/>
  <c r="AD49" i="5"/>
  <c r="AC49" i="5"/>
  <c r="AA49" i="5"/>
  <c r="W49" i="5"/>
  <c r="X49" i="5" s="1"/>
  <c r="U49" i="5"/>
  <c r="R49" i="5"/>
  <c r="O49" i="5"/>
  <c r="N49" i="5"/>
  <c r="L49" i="5"/>
  <c r="I49" i="5"/>
  <c r="H49" i="5"/>
  <c r="F49" i="5"/>
  <c r="C49" i="5"/>
  <c r="AC48" i="5"/>
  <c r="AD48" i="5" s="1"/>
  <c r="AA48" i="5"/>
  <c r="W48" i="5"/>
  <c r="X48" i="5" s="1"/>
  <c r="U48" i="5"/>
  <c r="R48" i="5"/>
  <c r="N48" i="5"/>
  <c r="O48" i="5" s="1"/>
  <c r="L48" i="5"/>
  <c r="I48" i="5"/>
  <c r="H48" i="5"/>
  <c r="F48" i="5"/>
  <c r="C48" i="5"/>
  <c r="AC47" i="5"/>
  <c r="AD47" i="5" s="1"/>
  <c r="AA47" i="5"/>
  <c r="W47" i="5"/>
  <c r="X47" i="5" s="1"/>
  <c r="U47" i="5"/>
  <c r="R47" i="5"/>
  <c r="O47" i="5"/>
  <c r="N47" i="5"/>
  <c r="L47" i="5"/>
  <c r="I47" i="5"/>
  <c r="H47" i="5"/>
  <c r="F47" i="5"/>
  <c r="C47" i="5"/>
  <c r="AC46" i="5"/>
  <c r="AD46" i="5" s="1"/>
  <c r="AA46" i="5"/>
  <c r="W46" i="5"/>
  <c r="X46" i="5" s="1"/>
  <c r="U46" i="5"/>
  <c r="R46" i="5"/>
  <c r="N46" i="5"/>
  <c r="O46" i="5" s="1"/>
  <c r="L46" i="5"/>
  <c r="I46" i="5"/>
  <c r="H46" i="5"/>
  <c r="F46" i="5"/>
  <c r="C46" i="5"/>
  <c r="AD44" i="5"/>
  <c r="AC44" i="5"/>
  <c r="AA44" i="5"/>
  <c r="W44" i="5"/>
  <c r="X44" i="5" s="1"/>
  <c r="U44" i="5"/>
  <c r="R44" i="5"/>
  <c r="O44" i="5"/>
  <c r="N44" i="5"/>
  <c r="L44" i="5"/>
  <c r="H44" i="5"/>
  <c r="I44" i="5" s="1"/>
  <c r="F44" i="5"/>
  <c r="C44" i="5"/>
  <c r="AC43" i="5"/>
  <c r="AD43" i="5" s="1"/>
  <c r="AA43" i="5"/>
  <c r="W43" i="5"/>
  <c r="X43" i="5" s="1"/>
  <c r="U43" i="5"/>
  <c r="R43" i="5"/>
  <c r="O43" i="5"/>
  <c r="N43" i="5"/>
  <c r="L43" i="5"/>
  <c r="I43" i="5"/>
  <c r="H43" i="5"/>
  <c r="F43" i="5"/>
  <c r="C43" i="5"/>
  <c r="AC42" i="5"/>
  <c r="AD42" i="5" s="1"/>
  <c r="AA42" i="5"/>
  <c r="W42" i="5"/>
  <c r="X42" i="5" s="1"/>
  <c r="U42" i="5"/>
  <c r="R42" i="5"/>
  <c r="N42" i="5"/>
  <c r="O42" i="5" s="1"/>
  <c r="L42" i="5"/>
  <c r="H42" i="5"/>
  <c r="I42" i="5" s="1"/>
  <c r="F42" i="5"/>
  <c r="C42" i="5"/>
  <c r="AD40" i="5"/>
  <c r="Z40" i="5"/>
  <c r="AA40" i="5" s="1"/>
  <c r="W40" i="5"/>
  <c r="X40" i="5" s="1"/>
  <c r="U40" i="5"/>
  <c r="T40" i="5"/>
  <c r="R40" i="5"/>
  <c r="Q40" i="5"/>
  <c r="AC40" i="5" s="1"/>
  <c r="K40" i="5"/>
  <c r="N40" i="5" s="1"/>
  <c r="O40" i="5" s="1"/>
  <c r="E40" i="5"/>
  <c r="F40" i="5" s="1"/>
  <c r="B40" i="5"/>
  <c r="AD39" i="5"/>
  <c r="AC39" i="5"/>
  <c r="AA39" i="5"/>
  <c r="W39" i="5"/>
  <c r="X39" i="5" s="1"/>
  <c r="U39" i="5"/>
  <c r="R39" i="5"/>
  <c r="N39" i="5"/>
  <c r="O39" i="5" s="1"/>
  <c r="L39" i="5"/>
  <c r="I39" i="5"/>
  <c r="H39" i="5"/>
  <c r="F39" i="5"/>
  <c r="C39" i="5"/>
  <c r="AD38" i="5"/>
  <c r="AC38" i="5"/>
  <c r="AA38" i="5"/>
  <c r="X38" i="5"/>
  <c r="W38" i="5"/>
  <c r="U38" i="5"/>
  <c r="R38" i="5"/>
  <c r="N38" i="5"/>
  <c r="O38" i="5" s="1"/>
  <c r="L38" i="5"/>
  <c r="H38" i="5"/>
  <c r="I38" i="5" s="1"/>
  <c r="F38" i="5"/>
  <c r="C38" i="5"/>
  <c r="AD37" i="5"/>
  <c r="AC37" i="5"/>
  <c r="AA37" i="5"/>
  <c r="W37" i="5"/>
  <c r="X37" i="5" s="1"/>
  <c r="U37" i="5"/>
  <c r="R37" i="5"/>
  <c r="N37" i="5"/>
  <c r="O37" i="5" s="1"/>
  <c r="L37" i="5"/>
  <c r="H37" i="5"/>
  <c r="I37" i="5" s="1"/>
  <c r="F37" i="5"/>
  <c r="C37" i="5"/>
  <c r="AD36" i="5"/>
  <c r="AC36" i="5"/>
  <c r="AA36" i="5"/>
  <c r="X36" i="5"/>
  <c r="W36" i="5"/>
  <c r="U36" i="5"/>
  <c r="R36" i="5"/>
  <c r="N36" i="5"/>
  <c r="O36" i="5" s="1"/>
  <c r="L36" i="5"/>
  <c r="H36" i="5"/>
  <c r="I36" i="5" s="1"/>
  <c r="F36" i="5"/>
  <c r="C36" i="5"/>
  <c r="AC35" i="5"/>
  <c r="AD35" i="5" s="1"/>
  <c r="AA35" i="5"/>
  <c r="W35" i="5"/>
  <c r="X35" i="5" s="1"/>
  <c r="U35" i="5"/>
  <c r="R35" i="5"/>
  <c r="N35" i="5"/>
  <c r="O35" i="5" s="1"/>
  <c r="L35" i="5"/>
  <c r="I35" i="5"/>
  <c r="H35" i="5"/>
  <c r="F35" i="5"/>
  <c r="C35" i="5"/>
  <c r="AD34" i="5"/>
  <c r="AC34" i="5"/>
  <c r="AA34" i="5"/>
  <c r="W34" i="5"/>
  <c r="X34" i="5" s="1"/>
  <c r="U34" i="5"/>
  <c r="R34" i="5"/>
  <c r="N34" i="5"/>
  <c r="O34" i="5" s="1"/>
  <c r="L34" i="5"/>
  <c r="I34" i="5"/>
  <c r="H34" i="5"/>
  <c r="F34" i="5"/>
  <c r="C34" i="5"/>
  <c r="AC33" i="5"/>
  <c r="AD33" i="5" s="1"/>
  <c r="AA33" i="5"/>
  <c r="W33" i="5"/>
  <c r="X33" i="5" s="1"/>
  <c r="U33" i="5"/>
  <c r="R33" i="5"/>
  <c r="N33" i="5"/>
  <c r="O33" i="5" s="1"/>
  <c r="L33" i="5"/>
  <c r="H33" i="5"/>
  <c r="I33" i="5" s="1"/>
  <c r="F33" i="5"/>
  <c r="C33" i="5"/>
  <c r="AD32" i="5"/>
  <c r="AC32" i="5"/>
  <c r="AA32" i="5"/>
  <c r="W32" i="5"/>
  <c r="X32" i="5" s="1"/>
  <c r="U32" i="5"/>
  <c r="R32" i="5"/>
  <c r="O32" i="5"/>
  <c r="N32" i="5"/>
  <c r="L32" i="5"/>
  <c r="I32" i="5"/>
  <c r="H32" i="5"/>
  <c r="F32" i="5"/>
  <c r="C32" i="5"/>
  <c r="AC31" i="5"/>
  <c r="AD31" i="5" s="1"/>
  <c r="AA31" i="5"/>
  <c r="W31" i="5"/>
  <c r="X31" i="5" s="1"/>
  <c r="U31" i="5"/>
  <c r="R31" i="5"/>
  <c r="N31" i="5"/>
  <c r="O31" i="5" s="1"/>
  <c r="L31" i="5"/>
  <c r="I31" i="5"/>
  <c r="H31" i="5"/>
  <c r="F31" i="5"/>
  <c r="C31" i="5"/>
  <c r="AC29" i="5"/>
  <c r="AD29" i="5" s="1"/>
  <c r="AA29" i="5"/>
  <c r="Z29" i="5"/>
  <c r="X29" i="5"/>
  <c r="T29" i="5"/>
  <c r="U29" i="5" s="1"/>
  <c r="R29" i="5"/>
  <c r="Q29" i="5"/>
  <c r="W29" i="5" s="1"/>
  <c r="N29" i="5"/>
  <c r="O29" i="5" s="1"/>
  <c r="L29" i="5"/>
  <c r="K29" i="5"/>
  <c r="F29" i="5"/>
  <c r="E29" i="5"/>
  <c r="B29" i="5"/>
  <c r="AD28" i="5"/>
  <c r="AC28" i="5"/>
  <c r="AA28" i="5"/>
  <c r="W28" i="5"/>
  <c r="X28" i="5" s="1"/>
  <c r="U28" i="5"/>
  <c r="R28" i="5"/>
  <c r="O28" i="5"/>
  <c r="N28" i="5"/>
  <c r="L28" i="5"/>
  <c r="H28" i="5"/>
  <c r="I28" i="5" s="1"/>
  <c r="F28" i="5"/>
  <c r="C28" i="5"/>
  <c r="AC27" i="5"/>
  <c r="AD27" i="5" s="1"/>
  <c r="AA27" i="5"/>
  <c r="W27" i="5"/>
  <c r="X27" i="5" s="1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N26" i="5"/>
  <c r="O26" i="5" s="1"/>
  <c r="L26" i="5"/>
  <c r="H26" i="5"/>
  <c r="I26" i="5" s="1"/>
  <c r="F26" i="5"/>
  <c r="C26" i="5"/>
  <c r="AD25" i="5"/>
  <c r="AC25" i="5"/>
  <c r="AA25" i="5"/>
  <c r="X25" i="5"/>
  <c r="W25" i="5"/>
  <c r="U25" i="5"/>
  <c r="R25" i="5"/>
  <c r="N25" i="5"/>
  <c r="O25" i="5" s="1"/>
  <c r="L25" i="5"/>
  <c r="H25" i="5"/>
  <c r="I25" i="5" s="1"/>
  <c r="F25" i="5"/>
  <c r="C25" i="5"/>
  <c r="AD24" i="5"/>
  <c r="AC24" i="5"/>
  <c r="AA24" i="5"/>
  <c r="X24" i="5"/>
  <c r="W24" i="5"/>
  <c r="U24" i="5"/>
  <c r="R24" i="5"/>
  <c r="N24" i="5"/>
  <c r="O24" i="5" s="1"/>
  <c r="L24" i="5"/>
  <c r="H24" i="5"/>
  <c r="I24" i="5" s="1"/>
  <c r="F24" i="5"/>
  <c r="C24" i="5"/>
  <c r="AD23" i="5"/>
  <c r="AC23" i="5"/>
  <c r="AA23" i="5"/>
  <c r="W23" i="5"/>
  <c r="X23" i="5" s="1"/>
  <c r="U23" i="5"/>
  <c r="R23" i="5"/>
  <c r="N23" i="5"/>
  <c r="O23" i="5" s="1"/>
  <c r="L23" i="5"/>
  <c r="I23" i="5"/>
  <c r="H23" i="5"/>
  <c r="F23" i="5"/>
  <c r="C23" i="5"/>
  <c r="AD22" i="5"/>
  <c r="AC22" i="5"/>
  <c r="AA22" i="5"/>
  <c r="X22" i="5"/>
  <c r="W22" i="5"/>
  <c r="U22" i="5"/>
  <c r="R22" i="5"/>
  <c r="N22" i="5"/>
  <c r="O22" i="5" s="1"/>
  <c r="L22" i="5"/>
  <c r="H22" i="5"/>
  <c r="I22" i="5" s="1"/>
  <c r="F22" i="5"/>
  <c r="C22" i="5"/>
  <c r="AD21" i="5"/>
  <c r="AC21" i="5"/>
  <c r="AA21" i="5"/>
  <c r="W21" i="5"/>
  <c r="X21" i="5" s="1"/>
  <c r="U21" i="5"/>
  <c r="R21" i="5"/>
  <c r="N21" i="5"/>
  <c r="O21" i="5" s="1"/>
  <c r="L21" i="5"/>
  <c r="H21" i="5"/>
  <c r="I21" i="5" s="1"/>
  <c r="F21" i="5"/>
  <c r="C21" i="5"/>
  <c r="AD19" i="5"/>
  <c r="AC19" i="5"/>
  <c r="AA19" i="5"/>
  <c r="X19" i="5"/>
  <c r="W19" i="5"/>
  <c r="U19" i="5"/>
  <c r="R19" i="5"/>
  <c r="N19" i="5"/>
  <c r="O19" i="5" s="1"/>
  <c r="L19" i="5"/>
  <c r="H19" i="5"/>
  <c r="I19" i="5" s="1"/>
  <c r="F19" i="5"/>
  <c r="C19" i="5"/>
  <c r="AA18" i="5"/>
  <c r="Z18" i="5"/>
  <c r="T18" i="5"/>
  <c r="Q18" i="5"/>
  <c r="R18" i="5" s="1"/>
  <c r="K18" i="5"/>
  <c r="L18" i="5" s="1"/>
  <c r="F18" i="5"/>
  <c r="E18" i="5"/>
  <c r="H18" i="5" s="1"/>
  <c r="I18" i="5" s="1"/>
  <c r="C18" i="5"/>
  <c r="B18" i="5"/>
  <c r="AC17" i="5"/>
  <c r="AD17" i="5" s="1"/>
  <c r="AA17" i="5"/>
  <c r="W17" i="5"/>
  <c r="X17" i="5" s="1"/>
  <c r="U17" i="5"/>
  <c r="R17" i="5"/>
  <c r="N17" i="5"/>
  <c r="O17" i="5" s="1"/>
  <c r="L17" i="5"/>
  <c r="H17" i="5"/>
  <c r="I17" i="5" s="1"/>
  <c r="F17" i="5"/>
  <c r="C17" i="5"/>
  <c r="AD16" i="5"/>
  <c r="AC16" i="5"/>
  <c r="AA16" i="5"/>
  <c r="W16" i="5"/>
  <c r="X16" i="5" s="1"/>
  <c r="U16" i="5"/>
  <c r="R16" i="5"/>
  <c r="O16" i="5"/>
  <c r="N16" i="5"/>
  <c r="L16" i="5"/>
  <c r="I16" i="5"/>
  <c r="H16" i="5"/>
  <c r="F16" i="5"/>
  <c r="C16" i="5"/>
  <c r="AC15" i="5"/>
  <c r="AD15" i="5" s="1"/>
  <c r="AA15" i="5"/>
  <c r="W15" i="5"/>
  <c r="X15" i="5" s="1"/>
  <c r="U15" i="5"/>
  <c r="R15" i="5"/>
  <c r="N15" i="5"/>
  <c r="O15" i="5" s="1"/>
  <c r="L15" i="5"/>
  <c r="I15" i="5"/>
  <c r="H15" i="5"/>
  <c r="F15" i="5"/>
  <c r="C15" i="5"/>
  <c r="AC14" i="5"/>
  <c r="AD14" i="5" s="1"/>
  <c r="AA14" i="5"/>
  <c r="W14" i="5"/>
  <c r="X14" i="5" s="1"/>
  <c r="U14" i="5"/>
  <c r="R14" i="5"/>
  <c r="O14" i="5"/>
  <c r="N14" i="5"/>
  <c r="L14" i="5"/>
  <c r="I14" i="5"/>
  <c r="H14" i="5"/>
  <c r="F14" i="5"/>
  <c r="C14" i="5"/>
  <c r="AC13" i="5"/>
  <c r="AD13" i="5" s="1"/>
  <c r="AA13" i="5"/>
  <c r="W13" i="5"/>
  <c r="X13" i="5" s="1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O12" i="5"/>
  <c r="N12" i="5"/>
  <c r="L12" i="5"/>
  <c r="H12" i="5"/>
  <c r="I12" i="5" s="1"/>
  <c r="F12" i="5"/>
  <c r="C12" i="5"/>
  <c r="AC11" i="5"/>
  <c r="AD11" i="5" s="1"/>
  <c r="AA11" i="5"/>
  <c r="W11" i="5"/>
  <c r="X11" i="5" s="1"/>
  <c r="U11" i="5"/>
  <c r="R11" i="5"/>
  <c r="O11" i="5"/>
  <c r="N11" i="5"/>
  <c r="L11" i="5"/>
  <c r="I11" i="5"/>
  <c r="H11" i="5"/>
  <c r="F11" i="5"/>
  <c r="C11" i="5"/>
  <c r="AC10" i="5"/>
  <c r="AD10" i="5" s="1"/>
  <c r="AA10" i="5"/>
  <c r="W10" i="5"/>
  <c r="X10" i="5" s="1"/>
  <c r="U10" i="5"/>
  <c r="R10" i="5"/>
  <c r="N10" i="5"/>
  <c r="O10" i="5" s="1"/>
  <c r="L10" i="5"/>
  <c r="H10" i="5"/>
  <c r="I10" i="5" s="1"/>
  <c r="F10" i="5"/>
  <c r="C10" i="5"/>
  <c r="AD8" i="5"/>
  <c r="AC8" i="5"/>
  <c r="AA8" i="5"/>
  <c r="W8" i="5"/>
  <c r="X8" i="5" s="1"/>
  <c r="U8" i="5"/>
  <c r="R8" i="5"/>
  <c r="N8" i="5"/>
  <c r="O8" i="5" s="1"/>
  <c r="L8" i="5"/>
  <c r="H8" i="5"/>
  <c r="I8" i="5" s="1"/>
  <c r="F8" i="5"/>
  <c r="C8" i="5"/>
  <c r="AC444" i="4"/>
  <c r="AD436" i="4" s="1"/>
  <c r="W444" i="4"/>
  <c r="N444" i="4"/>
  <c r="H444" i="4"/>
  <c r="Z442" i="4"/>
  <c r="AA442" i="4" s="1"/>
  <c r="X442" i="4"/>
  <c r="U442" i="4"/>
  <c r="T442" i="4"/>
  <c r="W442" i="4" s="1"/>
  <c r="R442" i="4"/>
  <c r="Q442" i="4"/>
  <c r="L442" i="4"/>
  <c r="K442" i="4"/>
  <c r="I442" i="4"/>
  <c r="F442" i="4"/>
  <c r="E442" i="4"/>
  <c r="B442" i="4"/>
  <c r="H442" i="4" s="1"/>
  <c r="AA441" i="4"/>
  <c r="Z441" i="4"/>
  <c r="T441" i="4"/>
  <c r="U441" i="4" s="1"/>
  <c r="Q441" i="4"/>
  <c r="L441" i="4"/>
  <c r="K441" i="4"/>
  <c r="E441" i="4"/>
  <c r="F441" i="4" s="1"/>
  <c r="B441" i="4"/>
  <c r="N441" i="4" s="1"/>
  <c r="O441" i="4" s="1"/>
  <c r="AC440" i="4"/>
  <c r="AA440" i="4"/>
  <c r="W440" i="4"/>
  <c r="X440" i="4" s="1"/>
  <c r="U440" i="4"/>
  <c r="R440" i="4"/>
  <c r="O440" i="4"/>
  <c r="N440" i="4"/>
  <c r="L440" i="4"/>
  <c r="H440" i="4"/>
  <c r="I440" i="4" s="1"/>
  <c r="F440" i="4"/>
  <c r="C440" i="4"/>
  <c r="AC439" i="4"/>
  <c r="AD439" i="4" s="1"/>
  <c r="AA439" i="4"/>
  <c r="W439" i="4"/>
  <c r="X439" i="4" s="1"/>
  <c r="U439" i="4"/>
  <c r="R439" i="4"/>
  <c r="N439" i="4"/>
  <c r="O439" i="4" s="1"/>
  <c r="L439" i="4"/>
  <c r="I439" i="4"/>
  <c r="H439" i="4"/>
  <c r="F439" i="4"/>
  <c r="C439" i="4"/>
  <c r="AC438" i="4"/>
  <c r="AD438" i="4" s="1"/>
  <c r="AA438" i="4"/>
  <c r="W438" i="4"/>
  <c r="X438" i="4" s="1"/>
  <c r="U438" i="4"/>
  <c r="R438" i="4"/>
  <c r="N438" i="4"/>
  <c r="O438" i="4" s="1"/>
  <c r="L438" i="4"/>
  <c r="I438" i="4"/>
  <c r="H438" i="4"/>
  <c r="F438" i="4"/>
  <c r="C438" i="4"/>
  <c r="AC437" i="4"/>
  <c r="AD437" i="4" s="1"/>
  <c r="AA437" i="4"/>
  <c r="W437" i="4"/>
  <c r="X437" i="4" s="1"/>
  <c r="U437" i="4"/>
  <c r="R437" i="4"/>
  <c r="N437" i="4"/>
  <c r="O437" i="4" s="1"/>
  <c r="L437" i="4"/>
  <c r="H437" i="4"/>
  <c r="I437" i="4" s="1"/>
  <c r="F437" i="4"/>
  <c r="C437" i="4"/>
  <c r="AC436" i="4"/>
  <c r="AA436" i="4"/>
  <c r="X436" i="4"/>
  <c r="W436" i="4"/>
  <c r="U436" i="4"/>
  <c r="R436" i="4"/>
  <c r="O436" i="4"/>
  <c r="N436" i="4"/>
  <c r="L436" i="4"/>
  <c r="H436" i="4"/>
  <c r="I436" i="4" s="1"/>
  <c r="F436" i="4"/>
  <c r="C436" i="4"/>
  <c r="AC435" i="4"/>
  <c r="AD435" i="4" s="1"/>
  <c r="AA435" i="4"/>
  <c r="W435" i="4"/>
  <c r="X435" i="4" s="1"/>
  <c r="U435" i="4"/>
  <c r="R435" i="4"/>
  <c r="N435" i="4"/>
  <c r="O435" i="4" s="1"/>
  <c r="L435" i="4"/>
  <c r="I435" i="4"/>
  <c r="H435" i="4"/>
  <c r="F435" i="4"/>
  <c r="C435" i="4"/>
  <c r="AC434" i="4"/>
  <c r="AA434" i="4"/>
  <c r="W434" i="4"/>
  <c r="X434" i="4" s="1"/>
  <c r="U434" i="4"/>
  <c r="R434" i="4"/>
  <c r="N434" i="4"/>
  <c r="O434" i="4" s="1"/>
  <c r="L434" i="4"/>
  <c r="H434" i="4"/>
  <c r="I434" i="4" s="1"/>
  <c r="F434" i="4"/>
  <c r="C434" i="4"/>
  <c r="AD433" i="4"/>
  <c r="AC433" i="4"/>
  <c r="AA433" i="4"/>
  <c r="W433" i="4"/>
  <c r="X433" i="4" s="1"/>
  <c r="U433" i="4"/>
  <c r="R433" i="4"/>
  <c r="N433" i="4"/>
  <c r="O433" i="4" s="1"/>
  <c r="L433" i="4"/>
  <c r="H433" i="4"/>
  <c r="I433" i="4" s="1"/>
  <c r="F433" i="4"/>
  <c r="C433" i="4"/>
  <c r="AD432" i="4"/>
  <c r="AC432" i="4"/>
  <c r="AA432" i="4"/>
  <c r="X432" i="4"/>
  <c r="W432" i="4"/>
  <c r="U432" i="4"/>
  <c r="R432" i="4"/>
  <c r="N432" i="4"/>
  <c r="O432" i="4" s="1"/>
  <c r="L432" i="4"/>
  <c r="H432" i="4"/>
  <c r="I432" i="4" s="1"/>
  <c r="F432" i="4"/>
  <c r="C432" i="4"/>
  <c r="AA429" i="4"/>
  <c r="Z429" i="4"/>
  <c r="W429" i="4"/>
  <c r="X429" i="4" s="1"/>
  <c r="T429" i="4"/>
  <c r="U429" i="4" s="1"/>
  <c r="Q429" i="4"/>
  <c r="R429" i="4" s="1"/>
  <c r="L429" i="4"/>
  <c r="K429" i="4"/>
  <c r="F429" i="4"/>
  <c r="E429" i="4"/>
  <c r="H429" i="4" s="1"/>
  <c r="I429" i="4" s="1"/>
  <c r="C429" i="4"/>
  <c r="B429" i="4"/>
  <c r="N429" i="4" s="1"/>
  <c r="O429" i="4" s="1"/>
  <c r="AA428" i="4"/>
  <c r="Z428" i="4"/>
  <c r="X428" i="4"/>
  <c r="W428" i="4"/>
  <c r="U428" i="4"/>
  <c r="T428" i="4"/>
  <c r="R428" i="4"/>
  <c r="Q428" i="4"/>
  <c r="AC428" i="4" s="1"/>
  <c r="AD428" i="4" s="1"/>
  <c r="L428" i="4"/>
  <c r="K428" i="4"/>
  <c r="E428" i="4"/>
  <c r="F428" i="4" s="1"/>
  <c r="B428" i="4"/>
  <c r="AC427" i="4"/>
  <c r="AD427" i="4" s="1"/>
  <c r="AA427" i="4"/>
  <c r="W427" i="4"/>
  <c r="X427" i="4" s="1"/>
  <c r="U427" i="4"/>
  <c r="R427" i="4"/>
  <c r="N427" i="4"/>
  <c r="O427" i="4" s="1"/>
  <c r="L427" i="4"/>
  <c r="H427" i="4"/>
  <c r="F427" i="4"/>
  <c r="C427" i="4"/>
  <c r="AD426" i="4"/>
  <c r="AC426" i="4"/>
  <c r="AA426" i="4"/>
  <c r="W426" i="4"/>
  <c r="X426" i="4" s="1"/>
  <c r="U426" i="4"/>
  <c r="R426" i="4"/>
  <c r="N426" i="4"/>
  <c r="O426" i="4" s="1"/>
  <c r="L426" i="4"/>
  <c r="I426" i="4"/>
  <c r="H426" i="4"/>
  <c r="F426" i="4"/>
  <c r="C426" i="4"/>
  <c r="AC425" i="4"/>
  <c r="AD425" i="4" s="1"/>
  <c r="AA425" i="4"/>
  <c r="W425" i="4"/>
  <c r="X425" i="4" s="1"/>
  <c r="U425" i="4"/>
  <c r="R425" i="4"/>
  <c r="N425" i="4"/>
  <c r="O425" i="4" s="1"/>
  <c r="L425" i="4"/>
  <c r="H425" i="4"/>
  <c r="I425" i="4" s="1"/>
  <c r="F425" i="4"/>
  <c r="C425" i="4"/>
  <c r="AC424" i="4"/>
  <c r="AA424" i="4"/>
  <c r="W424" i="4"/>
  <c r="X424" i="4" s="1"/>
  <c r="U424" i="4"/>
  <c r="R424" i="4"/>
  <c r="O424" i="4"/>
  <c r="N424" i="4"/>
  <c r="L424" i="4"/>
  <c r="H424" i="4"/>
  <c r="I424" i="4" s="1"/>
  <c r="F424" i="4"/>
  <c r="C424" i="4"/>
  <c r="AC423" i="4"/>
  <c r="AD423" i="4" s="1"/>
  <c r="AA423" i="4"/>
  <c r="W423" i="4"/>
  <c r="X423" i="4" s="1"/>
  <c r="U423" i="4"/>
  <c r="R423" i="4"/>
  <c r="N423" i="4"/>
  <c r="O423" i="4" s="1"/>
  <c r="L423" i="4"/>
  <c r="I423" i="4"/>
  <c r="H423" i="4"/>
  <c r="F423" i="4"/>
  <c r="C423" i="4"/>
  <c r="AC422" i="4"/>
  <c r="AD422" i="4" s="1"/>
  <c r="AA422" i="4"/>
  <c r="W422" i="4"/>
  <c r="X422" i="4" s="1"/>
  <c r="U422" i="4"/>
  <c r="R422" i="4"/>
  <c r="N422" i="4"/>
  <c r="O422" i="4" s="1"/>
  <c r="L422" i="4"/>
  <c r="I422" i="4"/>
  <c r="H422" i="4"/>
  <c r="F422" i="4"/>
  <c r="C422" i="4"/>
  <c r="AC421" i="4"/>
  <c r="AD421" i="4" s="1"/>
  <c r="AA421" i="4"/>
  <c r="W421" i="4"/>
  <c r="X421" i="4" s="1"/>
  <c r="U421" i="4"/>
  <c r="R421" i="4"/>
  <c r="N421" i="4"/>
  <c r="O421" i="4" s="1"/>
  <c r="L421" i="4"/>
  <c r="H421" i="4"/>
  <c r="I421" i="4" s="1"/>
  <c r="F421" i="4"/>
  <c r="C421" i="4"/>
  <c r="AC420" i="4"/>
  <c r="AA420" i="4"/>
  <c r="W420" i="4"/>
  <c r="X420" i="4" s="1"/>
  <c r="U420" i="4"/>
  <c r="R420" i="4"/>
  <c r="O420" i="4"/>
  <c r="N420" i="4"/>
  <c r="L420" i="4"/>
  <c r="H420" i="4"/>
  <c r="I420" i="4" s="1"/>
  <c r="F420" i="4"/>
  <c r="C420" i="4"/>
  <c r="AC419" i="4"/>
  <c r="AD419" i="4" s="1"/>
  <c r="AA419" i="4"/>
  <c r="W419" i="4"/>
  <c r="X419" i="4" s="1"/>
  <c r="U419" i="4"/>
  <c r="R419" i="4"/>
  <c r="N419" i="4"/>
  <c r="O419" i="4" s="1"/>
  <c r="L419" i="4"/>
  <c r="I419" i="4"/>
  <c r="H419" i="4"/>
  <c r="F419" i="4"/>
  <c r="C419" i="4"/>
  <c r="AC418" i="4"/>
  <c r="AD418" i="4" s="1"/>
  <c r="AA418" i="4"/>
  <c r="W418" i="4"/>
  <c r="X418" i="4" s="1"/>
  <c r="U418" i="4"/>
  <c r="R418" i="4"/>
  <c r="N418" i="4"/>
  <c r="O418" i="4" s="1"/>
  <c r="L418" i="4"/>
  <c r="H418" i="4"/>
  <c r="I418" i="4" s="1"/>
  <c r="F418" i="4"/>
  <c r="C418" i="4"/>
  <c r="AD417" i="4"/>
  <c r="AC417" i="4"/>
  <c r="AA417" i="4"/>
  <c r="W417" i="4"/>
  <c r="X417" i="4" s="1"/>
  <c r="U417" i="4"/>
  <c r="R417" i="4"/>
  <c r="N417" i="4"/>
  <c r="O417" i="4" s="1"/>
  <c r="L417" i="4"/>
  <c r="H417" i="4"/>
  <c r="I417" i="4" s="1"/>
  <c r="F417" i="4"/>
  <c r="C417" i="4"/>
  <c r="AD416" i="4"/>
  <c r="AC416" i="4"/>
  <c r="AA416" i="4"/>
  <c r="X416" i="4"/>
  <c r="W416" i="4"/>
  <c r="U416" i="4"/>
  <c r="R416" i="4"/>
  <c r="N416" i="4"/>
  <c r="O416" i="4" s="1"/>
  <c r="L416" i="4"/>
  <c r="H416" i="4"/>
  <c r="I416" i="4" s="1"/>
  <c r="F416" i="4"/>
  <c r="C416" i="4"/>
  <c r="AC415" i="4"/>
  <c r="AD415" i="4" s="1"/>
  <c r="AA415" i="4"/>
  <c r="W415" i="4"/>
  <c r="X415" i="4" s="1"/>
  <c r="U415" i="4"/>
  <c r="R415" i="4"/>
  <c r="N415" i="4"/>
  <c r="O415" i="4" s="1"/>
  <c r="L415" i="4"/>
  <c r="H415" i="4"/>
  <c r="F415" i="4"/>
  <c r="C415" i="4"/>
  <c r="AD414" i="4"/>
  <c r="AC414" i="4"/>
  <c r="AA414" i="4"/>
  <c r="W414" i="4"/>
  <c r="X414" i="4" s="1"/>
  <c r="U414" i="4"/>
  <c r="R414" i="4"/>
  <c r="N414" i="4"/>
  <c r="O414" i="4" s="1"/>
  <c r="L414" i="4"/>
  <c r="H414" i="4"/>
  <c r="F414" i="4"/>
  <c r="C414" i="4"/>
  <c r="AD413" i="4"/>
  <c r="AC413" i="4"/>
  <c r="AA413" i="4"/>
  <c r="W413" i="4"/>
  <c r="X413" i="4" s="1"/>
  <c r="U413" i="4"/>
  <c r="R413" i="4"/>
  <c r="N413" i="4"/>
  <c r="O413" i="4" s="1"/>
  <c r="L413" i="4"/>
  <c r="H413" i="4"/>
  <c r="I413" i="4" s="1"/>
  <c r="F413" i="4"/>
  <c r="C413" i="4"/>
  <c r="AC412" i="4"/>
  <c r="AA412" i="4"/>
  <c r="X412" i="4"/>
  <c r="W412" i="4"/>
  <c r="U412" i="4"/>
  <c r="R412" i="4"/>
  <c r="O412" i="4"/>
  <c r="N412" i="4"/>
  <c r="L412" i="4"/>
  <c r="H412" i="4"/>
  <c r="I412" i="4" s="1"/>
  <c r="F412" i="4"/>
  <c r="C412" i="4"/>
  <c r="AC411" i="4"/>
  <c r="AD411" i="4" s="1"/>
  <c r="AA411" i="4"/>
  <c r="W411" i="4"/>
  <c r="X411" i="4" s="1"/>
  <c r="U411" i="4"/>
  <c r="R411" i="4"/>
  <c r="N411" i="4"/>
  <c r="O411" i="4" s="1"/>
  <c r="L411" i="4"/>
  <c r="H411" i="4"/>
  <c r="F411" i="4"/>
  <c r="C411" i="4"/>
  <c r="AD410" i="4"/>
  <c r="AC410" i="4"/>
  <c r="AA410" i="4"/>
  <c r="W410" i="4"/>
  <c r="X410" i="4" s="1"/>
  <c r="U410" i="4"/>
  <c r="R410" i="4"/>
  <c r="N410" i="4"/>
  <c r="O410" i="4" s="1"/>
  <c r="L410" i="4"/>
  <c r="I410" i="4"/>
  <c r="H410" i="4"/>
  <c r="F410" i="4"/>
  <c r="C410" i="4"/>
  <c r="AC409" i="4"/>
  <c r="AD409" i="4" s="1"/>
  <c r="AA409" i="4"/>
  <c r="W409" i="4"/>
  <c r="X409" i="4" s="1"/>
  <c r="U409" i="4"/>
  <c r="R409" i="4"/>
  <c r="N409" i="4"/>
  <c r="O409" i="4" s="1"/>
  <c r="L409" i="4"/>
  <c r="H409" i="4"/>
  <c r="I409" i="4" s="1"/>
  <c r="F409" i="4"/>
  <c r="C409" i="4"/>
  <c r="AC408" i="4"/>
  <c r="AA408" i="4"/>
  <c r="W408" i="4"/>
  <c r="X408" i="4" s="1"/>
  <c r="U408" i="4"/>
  <c r="R408" i="4"/>
  <c r="O408" i="4"/>
  <c r="N408" i="4"/>
  <c r="L408" i="4"/>
  <c r="H408" i="4"/>
  <c r="I408" i="4" s="1"/>
  <c r="F408" i="4"/>
  <c r="C408" i="4"/>
  <c r="AC407" i="4"/>
  <c r="AD407" i="4" s="1"/>
  <c r="AA407" i="4"/>
  <c r="W407" i="4"/>
  <c r="X407" i="4" s="1"/>
  <c r="U407" i="4"/>
  <c r="R407" i="4"/>
  <c r="N407" i="4"/>
  <c r="O407" i="4" s="1"/>
  <c r="L407" i="4"/>
  <c r="I407" i="4"/>
  <c r="H407" i="4"/>
  <c r="F407" i="4"/>
  <c r="C407" i="4"/>
  <c r="Z403" i="4"/>
  <c r="AA403" i="4" s="1"/>
  <c r="T403" i="4"/>
  <c r="W403" i="4" s="1"/>
  <c r="X403" i="4" s="1"/>
  <c r="R403" i="4"/>
  <c r="Q403" i="4"/>
  <c r="K403" i="4"/>
  <c r="L403" i="4" s="1"/>
  <c r="F403" i="4"/>
  <c r="E403" i="4"/>
  <c r="B403" i="4"/>
  <c r="AC402" i="4"/>
  <c r="AD402" i="4" s="1"/>
  <c r="AA402" i="4"/>
  <c r="W402" i="4"/>
  <c r="X402" i="4" s="1"/>
  <c r="U402" i="4"/>
  <c r="R402" i="4"/>
  <c r="O402" i="4"/>
  <c r="N402" i="4"/>
  <c r="L402" i="4"/>
  <c r="H402" i="4"/>
  <c r="I402" i="4" s="1"/>
  <c r="F402" i="4"/>
  <c r="C402" i="4"/>
  <c r="AC401" i="4"/>
  <c r="AD401" i="4" s="1"/>
  <c r="AA401" i="4"/>
  <c r="X401" i="4"/>
  <c r="W401" i="4"/>
  <c r="U401" i="4"/>
  <c r="R401" i="4"/>
  <c r="N401" i="4"/>
  <c r="O401" i="4" s="1"/>
  <c r="L401" i="4"/>
  <c r="I401" i="4"/>
  <c r="H401" i="4"/>
  <c r="F401" i="4"/>
  <c r="C401" i="4"/>
  <c r="AC400" i="4"/>
  <c r="AA400" i="4"/>
  <c r="W400" i="4"/>
  <c r="X400" i="4" s="1"/>
  <c r="U400" i="4"/>
  <c r="R400" i="4"/>
  <c r="N400" i="4"/>
  <c r="O400" i="4" s="1"/>
  <c r="L400" i="4"/>
  <c r="I400" i="4"/>
  <c r="H400" i="4"/>
  <c r="F400" i="4"/>
  <c r="C400" i="4"/>
  <c r="AC399" i="4"/>
  <c r="AA399" i="4"/>
  <c r="W399" i="4"/>
  <c r="X399" i="4" s="1"/>
  <c r="U399" i="4"/>
  <c r="R399" i="4"/>
  <c r="O399" i="4"/>
  <c r="N399" i="4"/>
  <c r="L399" i="4"/>
  <c r="H399" i="4"/>
  <c r="F399" i="4"/>
  <c r="C399" i="4"/>
  <c r="AC398" i="4"/>
  <c r="AD398" i="4" s="1"/>
  <c r="AA398" i="4"/>
  <c r="X398" i="4"/>
  <c r="W398" i="4"/>
  <c r="U398" i="4"/>
  <c r="R398" i="4"/>
  <c r="O398" i="4"/>
  <c r="N398" i="4"/>
  <c r="L398" i="4"/>
  <c r="H398" i="4"/>
  <c r="I398" i="4" s="1"/>
  <c r="F398" i="4"/>
  <c r="C398" i="4"/>
  <c r="AD397" i="4"/>
  <c r="AC397" i="4"/>
  <c r="AA397" i="4"/>
  <c r="X397" i="4"/>
  <c r="W397" i="4"/>
  <c r="U397" i="4"/>
  <c r="R397" i="4"/>
  <c r="N397" i="4"/>
  <c r="O397" i="4" s="1"/>
  <c r="L397" i="4"/>
  <c r="I397" i="4"/>
  <c r="H397" i="4"/>
  <c r="F397" i="4"/>
  <c r="C397" i="4"/>
  <c r="Z396" i="4"/>
  <c r="AA396" i="4" s="1"/>
  <c r="T396" i="4"/>
  <c r="R396" i="4"/>
  <c r="Q396" i="4"/>
  <c r="K396" i="4"/>
  <c r="L396" i="4" s="1"/>
  <c r="H396" i="4"/>
  <c r="I396" i="4" s="1"/>
  <c r="F396" i="4"/>
  <c r="E396" i="4"/>
  <c r="B396" i="4"/>
  <c r="C396" i="4" s="1"/>
  <c r="AD395" i="4"/>
  <c r="AC395" i="4"/>
  <c r="AA395" i="4"/>
  <c r="X395" i="4"/>
  <c r="W395" i="4"/>
  <c r="U395" i="4"/>
  <c r="R395" i="4"/>
  <c r="N395" i="4"/>
  <c r="O395" i="4" s="1"/>
  <c r="L395" i="4"/>
  <c r="H395" i="4"/>
  <c r="I395" i="4" s="1"/>
  <c r="F395" i="4"/>
  <c r="C395" i="4"/>
  <c r="AC394" i="4"/>
  <c r="AD394" i="4" s="1"/>
  <c r="AA394" i="4"/>
  <c r="X394" i="4"/>
  <c r="W394" i="4"/>
  <c r="U394" i="4"/>
  <c r="R394" i="4"/>
  <c r="N394" i="4"/>
  <c r="O394" i="4" s="1"/>
  <c r="L394" i="4"/>
  <c r="H394" i="4"/>
  <c r="I394" i="4" s="1"/>
  <c r="F394" i="4"/>
  <c r="C394" i="4"/>
  <c r="AD393" i="4"/>
  <c r="Z393" i="4"/>
  <c r="AA393" i="4" s="1"/>
  <c r="T393" i="4"/>
  <c r="W393" i="4" s="1"/>
  <c r="X393" i="4" s="1"/>
  <c r="R393" i="4"/>
  <c r="Q393" i="4"/>
  <c r="AC393" i="4" s="1"/>
  <c r="K393" i="4"/>
  <c r="L393" i="4" s="1"/>
  <c r="H393" i="4"/>
  <c r="I393" i="4" s="1"/>
  <c r="F393" i="4"/>
  <c r="E393" i="4"/>
  <c r="B393" i="4"/>
  <c r="C393" i="4" s="1"/>
  <c r="AC392" i="4"/>
  <c r="AD392" i="4" s="1"/>
  <c r="AA392" i="4"/>
  <c r="X392" i="4"/>
  <c r="W392" i="4"/>
  <c r="U392" i="4"/>
  <c r="R392" i="4"/>
  <c r="O392" i="4"/>
  <c r="N392" i="4"/>
  <c r="L392" i="4"/>
  <c r="H392" i="4"/>
  <c r="I392" i="4" s="1"/>
  <c r="F392" i="4"/>
  <c r="C392" i="4"/>
  <c r="AC391" i="4"/>
  <c r="AD391" i="4" s="1"/>
  <c r="AA391" i="4"/>
  <c r="W391" i="4"/>
  <c r="X391" i="4" s="1"/>
  <c r="U391" i="4"/>
  <c r="R391" i="4"/>
  <c r="N391" i="4"/>
  <c r="O391" i="4" s="1"/>
  <c r="L391" i="4"/>
  <c r="H391" i="4"/>
  <c r="F391" i="4"/>
  <c r="C391" i="4"/>
  <c r="AD390" i="4"/>
  <c r="AC390" i="4"/>
  <c r="AA390" i="4"/>
  <c r="W390" i="4"/>
  <c r="X390" i="4" s="1"/>
  <c r="U390" i="4"/>
  <c r="R390" i="4"/>
  <c r="O390" i="4"/>
  <c r="N390" i="4"/>
  <c r="L390" i="4"/>
  <c r="I390" i="4"/>
  <c r="H390" i="4"/>
  <c r="F390" i="4"/>
  <c r="C390" i="4"/>
  <c r="AC389" i="4"/>
  <c r="AD389" i="4" s="1"/>
  <c r="AA389" i="4"/>
  <c r="W389" i="4"/>
  <c r="X389" i="4" s="1"/>
  <c r="U389" i="4"/>
  <c r="R389" i="4"/>
  <c r="O389" i="4"/>
  <c r="N389" i="4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O388" i="4"/>
  <c r="N388" i="4"/>
  <c r="L388" i="4"/>
  <c r="H388" i="4"/>
  <c r="I388" i="4" s="1"/>
  <c r="F388" i="4"/>
  <c r="C388" i="4"/>
  <c r="AC386" i="4"/>
  <c r="AD386" i="4" s="1"/>
  <c r="AA386" i="4"/>
  <c r="X386" i="4"/>
  <c r="W386" i="4"/>
  <c r="U386" i="4"/>
  <c r="R386" i="4"/>
  <c r="N386" i="4"/>
  <c r="O386" i="4" s="1"/>
  <c r="L386" i="4"/>
  <c r="I386" i="4"/>
  <c r="H386" i="4"/>
  <c r="F386" i="4"/>
  <c r="C386" i="4"/>
  <c r="AD385" i="4"/>
  <c r="AC385" i="4"/>
  <c r="AA385" i="4"/>
  <c r="W385" i="4"/>
  <c r="X385" i="4" s="1"/>
  <c r="U385" i="4"/>
  <c r="R385" i="4"/>
  <c r="N385" i="4"/>
  <c r="O385" i="4" s="1"/>
  <c r="L385" i="4"/>
  <c r="I385" i="4"/>
  <c r="H385" i="4"/>
  <c r="F385" i="4"/>
  <c r="C385" i="4"/>
  <c r="AD383" i="4"/>
  <c r="AC383" i="4"/>
  <c r="AA383" i="4"/>
  <c r="W383" i="4"/>
  <c r="X383" i="4" s="1"/>
  <c r="U383" i="4"/>
  <c r="R383" i="4"/>
  <c r="O383" i="4"/>
  <c r="N383" i="4"/>
  <c r="L383" i="4"/>
  <c r="H383" i="4"/>
  <c r="F383" i="4"/>
  <c r="C383" i="4"/>
  <c r="AC382" i="4"/>
  <c r="AD382" i="4" s="1"/>
  <c r="AA382" i="4"/>
  <c r="X382" i="4"/>
  <c r="W382" i="4"/>
  <c r="U382" i="4"/>
  <c r="R382" i="4"/>
  <c r="O382" i="4"/>
  <c r="N382" i="4"/>
  <c r="L382" i="4"/>
  <c r="H382" i="4"/>
  <c r="I382" i="4" s="1"/>
  <c r="F382" i="4"/>
  <c r="C382" i="4"/>
  <c r="AC381" i="4"/>
  <c r="AD381" i="4" s="1"/>
  <c r="AA381" i="4"/>
  <c r="X381" i="4"/>
  <c r="W381" i="4"/>
  <c r="U381" i="4"/>
  <c r="R381" i="4"/>
  <c r="N381" i="4"/>
  <c r="O381" i="4" s="1"/>
  <c r="L381" i="4"/>
  <c r="I381" i="4"/>
  <c r="H381" i="4"/>
  <c r="F381" i="4"/>
  <c r="C381" i="4"/>
  <c r="AD380" i="4"/>
  <c r="AC380" i="4"/>
  <c r="AA380" i="4"/>
  <c r="W380" i="4"/>
  <c r="X380" i="4" s="1"/>
  <c r="U380" i="4"/>
  <c r="R380" i="4"/>
  <c r="N380" i="4"/>
  <c r="O380" i="4" s="1"/>
  <c r="L380" i="4"/>
  <c r="H380" i="4"/>
  <c r="I380" i="4" s="1"/>
  <c r="F380" i="4"/>
  <c r="C380" i="4"/>
  <c r="AD379" i="4"/>
  <c r="AC379" i="4"/>
  <c r="AA379" i="4"/>
  <c r="W379" i="4"/>
  <c r="X379" i="4" s="1"/>
  <c r="U379" i="4"/>
  <c r="R379" i="4"/>
  <c r="N379" i="4"/>
  <c r="O379" i="4" s="1"/>
  <c r="L379" i="4"/>
  <c r="H379" i="4"/>
  <c r="F379" i="4"/>
  <c r="C379" i="4"/>
  <c r="AD378" i="4"/>
  <c r="AC378" i="4"/>
  <c r="AA378" i="4"/>
  <c r="W378" i="4"/>
  <c r="X378" i="4" s="1"/>
  <c r="U378" i="4"/>
  <c r="R378" i="4"/>
  <c r="O378" i="4"/>
  <c r="N378" i="4"/>
  <c r="L378" i="4"/>
  <c r="I378" i="4"/>
  <c r="H378" i="4"/>
  <c r="F378" i="4"/>
  <c r="C378" i="4"/>
  <c r="AC377" i="4"/>
  <c r="AD377" i="4" s="1"/>
  <c r="AA377" i="4"/>
  <c r="W377" i="4"/>
  <c r="X377" i="4" s="1"/>
  <c r="U377" i="4"/>
  <c r="R377" i="4"/>
  <c r="N377" i="4"/>
  <c r="O377" i="4" s="1"/>
  <c r="L377" i="4"/>
  <c r="I377" i="4"/>
  <c r="H377" i="4"/>
  <c r="F377" i="4"/>
  <c r="C377" i="4"/>
  <c r="AD376" i="4"/>
  <c r="AC376" i="4"/>
  <c r="AA376" i="4"/>
  <c r="X376" i="4"/>
  <c r="W376" i="4"/>
  <c r="U376" i="4"/>
  <c r="R376" i="4"/>
  <c r="N376" i="4"/>
  <c r="O376" i="4" s="1"/>
  <c r="L376" i="4"/>
  <c r="H376" i="4"/>
  <c r="I376" i="4" s="1"/>
  <c r="F376" i="4"/>
  <c r="C376" i="4"/>
  <c r="AD375" i="4"/>
  <c r="AC375" i="4"/>
  <c r="AA375" i="4"/>
  <c r="W375" i="4"/>
  <c r="X375" i="4" s="1"/>
  <c r="U375" i="4"/>
  <c r="R375" i="4"/>
  <c r="N375" i="4"/>
  <c r="O375" i="4" s="1"/>
  <c r="L375" i="4"/>
  <c r="H375" i="4"/>
  <c r="F375" i="4"/>
  <c r="C375" i="4"/>
  <c r="AD374" i="4"/>
  <c r="AC374" i="4"/>
  <c r="AA374" i="4"/>
  <c r="W374" i="4"/>
  <c r="X374" i="4" s="1"/>
  <c r="U374" i="4"/>
  <c r="R374" i="4"/>
  <c r="O374" i="4"/>
  <c r="N374" i="4"/>
  <c r="L374" i="4"/>
  <c r="I374" i="4"/>
  <c r="H374" i="4"/>
  <c r="F374" i="4"/>
  <c r="C374" i="4"/>
  <c r="AC373" i="4"/>
  <c r="AD373" i="4" s="1"/>
  <c r="AA373" i="4"/>
  <c r="W373" i="4"/>
  <c r="X373" i="4" s="1"/>
  <c r="U373" i="4"/>
  <c r="R373" i="4"/>
  <c r="N373" i="4"/>
  <c r="O373" i="4" s="1"/>
  <c r="L373" i="4"/>
  <c r="I373" i="4"/>
  <c r="H373" i="4"/>
  <c r="F373" i="4"/>
  <c r="C373" i="4"/>
  <c r="AC372" i="4"/>
  <c r="AD372" i="4" s="1"/>
  <c r="AA372" i="4"/>
  <c r="W372" i="4"/>
  <c r="X372" i="4" s="1"/>
  <c r="U372" i="4"/>
  <c r="R372" i="4"/>
  <c r="N372" i="4"/>
  <c r="O372" i="4" s="1"/>
  <c r="L372" i="4"/>
  <c r="H372" i="4"/>
  <c r="I372" i="4" s="1"/>
  <c r="F372" i="4"/>
  <c r="C372" i="4"/>
  <c r="AD371" i="4"/>
  <c r="AC371" i="4"/>
  <c r="AA371" i="4"/>
  <c r="W371" i="4"/>
  <c r="X371" i="4" s="1"/>
  <c r="U371" i="4"/>
  <c r="R371" i="4"/>
  <c r="N371" i="4"/>
  <c r="O371" i="4" s="1"/>
  <c r="L371" i="4"/>
  <c r="H371" i="4"/>
  <c r="I371" i="4" s="1"/>
  <c r="F371" i="4"/>
  <c r="C371" i="4"/>
  <c r="AD370" i="4"/>
  <c r="AC370" i="4"/>
  <c r="AA370" i="4"/>
  <c r="W370" i="4"/>
  <c r="X370" i="4" s="1"/>
  <c r="U370" i="4"/>
  <c r="R370" i="4"/>
  <c r="O370" i="4"/>
  <c r="N370" i="4"/>
  <c r="L370" i="4"/>
  <c r="I370" i="4"/>
  <c r="H370" i="4"/>
  <c r="F370" i="4"/>
  <c r="C370" i="4"/>
  <c r="AC369" i="4"/>
  <c r="AD369" i="4" s="1"/>
  <c r="AA369" i="4"/>
  <c r="W369" i="4"/>
  <c r="X369" i="4" s="1"/>
  <c r="U369" i="4"/>
  <c r="R369" i="4"/>
  <c r="N369" i="4"/>
  <c r="O369" i="4" s="1"/>
  <c r="L369" i="4"/>
  <c r="I369" i="4"/>
  <c r="H369" i="4"/>
  <c r="F369" i="4"/>
  <c r="C369" i="4"/>
  <c r="Z368" i="4"/>
  <c r="AA368" i="4" s="1"/>
  <c r="U368" i="4"/>
  <c r="T368" i="4"/>
  <c r="Q368" i="4"/>
  <c r="W368" i="4" s="1"/>
  <c r="X368" i="4" s="1"/>
  <c r="N368" i="4"/>
  <c r="O368" i="4" s="1"/>
  <c r="L368" i="4"/>
  <c r="K368" i="4"/>
  <c r="E368" i="4"/>
  <c r="F368" i="4" s="1"/>
  <c r="B368" i="4"/>
  <c r="H368" i="4" s="1"/>
  <c r="I368" i="4" s="1"/>
  <c r="AD367" i="4"/>
  <c r="AC367" i="4"/>
  <c r="AA367" i="4"/>
  <c r="W367" i="4"/>
  <c r="X367" i="4" s="1"/>
  <c r="U367" i="4"/>
  <c r="R367" i="4"/>
  <c r="N367" i="4"/>
  <c r="O367" i="4" s="1"/>
  <c r="L367" i="4"/>
  <c r="I367" i="4"/>
  <c r="H367" i="4"/>
  <c r="F367" i="4"/>
  <c r="C367" i="4"/>
  <c r="AC366" i="4"/>
  <c r="AD366" i="4" s="1"/>
  <c r="AA366" i="4"/>
  <c r="W366" i="4"/>
  <c r="X366" i="4" s="1"/>
  <c r="U366" i="4"/>
  <c r="R366" i="4"/>
  <c r="O366" i="4"/>
  <c r="N366" i="4"/>
  <c r="L366" i="4"/>
  <c r="I366" i="4"/>
  <c r="H366" i="4"/>
  <c r="F366" i="4"/>
  <c r="C366" i="4"/>
  <c r="AC365" i="4"/>
  <c r="AD365" i="4" s="1"/>
  <c r="AA365" i="4"/>
  <c r="W365" i="4"/>
  <c r="X365" i="4" s="1"/>
  <c r="U365" i="4"/>
  <c r="R365" i="4"/>
  <c r="N365" i="4"/>
  <c r="O365" i="4" s="1"/>
  <c r="L365" i="4"/>
  <c r="H365" i="4"/>
  <c r="I365" i="4" s="1"/>
  <c r="F365" i="4"/>
  <c r="C365" i="4"/>
  <c r="AD364" i="4"/>
  <c r="AC364" i="4"/>
  <c r="AA364" i="4"/>
  <c r="X364" i="4"/>
  <c r="W364" i="4"/>
  <c r="U364" i="4"/>
  <c r="R364" i="4"/>
  <c r="N364" i="4"/>
  <c r="O364" i="4" s="1"/>
  <c r="L364" i="4"/>
  <c r="H364" i="4"/>
  <c r="I364" i="4" s="1"/>
  <c r="F364" i="4"/>
  <c r="C364" i="4"/>
  <c r="AD363" i="4"/>
  <c r="AC363" i="4"/>
  <c r="AA363" i="4"/>
  <c r="W363" i="4"/>
  <c r="X363" i="4" s="1"/>
  <c r="U363" i="4"/>
  <c r="R363" i="4"/>
  <c r="N363" i="4"/>
  <c r="O363" i="4" s="1"/>
  <c r="L363" i="4"/>
  <c r="H363" i="4"/>
  <c r="I363" i="4" s="1"/>
  <c r="F363" i="4"/>
  <c r="C363" i="4"/>
  <c r="AD362" i="4"/>
  <c r="AC362" i="4"/>
  <c r="AA362" i="4"/>
  <c r="W362" i="4"/>
  <c r="X362" i="4" s="1"/>
  <c r="U362" i="4"/>
  <c r="R362" i="4"/>
  <c r="N362" i="4"/>
  <c r="O362" i="4" s="1"/>
  <c r="L362" i="4"/>
  <c r="I362" i="4"/>
  <c r="H362" i="4"/>
  <c r="F362" i="4"/>
  <c r="C362" i="4"/>
  <c r="AC361" i="4"/>
  <c r="AD361" i="4" s="1"/>
  <c r="AA361" i="4"/>
  <c r="X361" i="4"/>
  <c r="W361" i="4"/>
  <c r="U361" i="4"/>
  <c r="R361" i="4"/>
  <c r="N361" i="4"/>
  <c r="O361" i="4" s="1"/>
  <c r="L361" i="4"/>
  <c r="H361" i="4"/>
  <c r="I361" i="4" s="1"/>
  <c r="F361" i="4"/>
  <c r="C361" i="4"/>
  <c r="AC360" i="4"/>
  <c r="AD360" i="4" s="1"/>
  <c r="AA360" i="4"/>
  <c r="W360" i="4"/>
  <c r="X360" i="4" s="1"/>
  <c r="U360" i="4"/>
  <c r="R360" i="4"/>
  <c r="N360" i="4"/>
  <c r="O360" i="4" s="1"/>
  <c r="L360" i="4"/>
  <c r="H360" i="4"/>
  <c r="I360" i="4" s="1"/>
  <c r="F360" i="4"/>
  <c r="C360" i="4"/>
  <c r="Z358" i="4"/>
  <c r="AA358" i="4" s="1"/>
  <c r="T358" i="4"/>
  <c r="W358" i="4" s="1"/>
  <c r="X358" i="4" s="1"/>
  <c r="R358" i="4"/>
  <c r="Q358" i="4"/>
  <c r="K358" i="4"/>
  <c r="L358" i="4" s="1"/>
  <c r="F358" i="4"/>
  <c r="E358" i="4"/>
  <c r="B358" i="4"/>
  <c r="N358" i="4" s="1"/>
  <c r="O358" i="4" s="1"/>
  <c r="AC357" i="4"/>
  <c r="AD357" i="4" s="1"/>
  <c r="AA357" i="4"/>
  <c r="W357" i="4"/>
  <c r="X357" i="4" s="1"/>
  <c r="U357" i="4"/>
  <c r="R357" i="4"/>
  <c r="O357" i="4"/>
  <c r="N357" i="4"/>
  <c r="L357" i="4"/>
  <c r="H357" i="4"/>
  <c r="I357" i="4" s="1"/>
  <c r="F357" i="4"/>
  <c r="C357" i="4"/>
  <c r="AC356" i="4"/>
  <c r="AD356" i="4" s="1"/>
  <c r="AA356" i="4"/>
  <c r="W356" i="4"/>
  <c r="X356" i="4" s="1"/>
  <c r="U356" i="4"/>
  <c r="R356" i="4"/>
  <c r="N356" i="4"/>
  <c r="O356" i="4" s="1"/>
  <c r="L356" i="4"/>
  <c r="I356" i="4"/>
  <c r="H356" i="4"/>
  <c r="F356" i="4"/>
  <c r="C356" i="4"/>
  <c r="AD355" i="4"/>
  <c r="AC355" i="4"/>
  <c r="AA355" i="4"/>
  <c r="W355" i="4"/>
  <c r="X355" i="4" s="1"/>
  <c r="U355" i="4"/>
  <c r="R355" i="4"/>
  <c r="N355" i="4"/>
  <c r="O355" i="4" s="1"/>
  <c r="L355" i="4"/>
  <c r="I355" i="4"/>
  <c r="H355" i="4"/>
  <c r="F355" i="4"/>
  <c r="C355" i="4"/>
  <c r="AC354" i="4"/>
  <c r="AD354" i="4" s="1"/>
  <c r="AA354" i="4"/>
  <c r="W354" i="4"/>
  <c r="X354" i="4" s="1"/>
  <c r="U354" i="4"/>
  <c r="R354" i="4"/>
  <c r="O354" i="4"/>
  <c r="N354" i="4"/>
  <c r="L354" i="4"/>
  <c r="I354" i="4"/>
  <c r="H354" i="4"/>
  <c r="F354" i="4"/>
  <c r="C354" i="4"/>
  <c r="AC353" i="4"/>
  <c r="AD353" i="4" s="1"/>
  <c r="AA353" i="4"/>
  <c r="W353" i="4"/>
  <c r="X353" i="4" s="1"/>
  <c r="U353" i="4"/>
  <c r="R353" i="4"/>
  <c r="O353" i="4"/>
  <c r="N353" i="4"/>
  <c r="L353" i="4"/>
  <c r="H353" i="4"/>
  <c r="I353" i="4" s="1"/>
  <c r="F353" i="4"/>
  <c r="C353" i="4"/>
  <c r="AC352" i="4"/>
  <c r="AD352" i="4" s="1"/>
  <c r="AA352" i="4"/>
  <c r="X352" i="4"/>
  <c r="W352" i="4"/>
  <c r="U352" i="4"/>
  <c r="R352" i="4"/>
  <c r="N352" i="4"/>
  <c r="O352" i="4" s="1"/>
  <c r="L352" i="4"/>
  <c r="I352" i="4"/>
  <c r="H352" i="4"/>
  <c r="F352" i="4"/>
  <c r="C352" i="4"/>
  <c r="AD351" i="4"/>
  <c r="AC351" i="4"/>
  <c r="AA351" i="4"/>
  <c r="W351" i="4"/>
  <c r="X351" i="4" s="1"/>
  <c r="U351" i="4"/>
  <c r="R351" i="4"/>
  <c r="N351" i="4"/>
  <c r="O351" i="4" s="1"/>
  <c r="L351" i="4"/>
  <c r="I351" i="4"/>
  <c r="H351" i="4"/>
  <c r="F351" i="4"/>
  <c r="C351" i="4"/>
  <c r="AD350" i="4"/>
  <c r="AC350" i="4"/>
  <c r="AA350" i="4"/>
  <c r="W350" i="4"/>
  <c r="X350" i="4" s="1"/>
  <c r="U350" i="4"/>
  <c r="R350" i="4"/>
  <c r="O350" i="4"/>
  <c r="N350" i="4"/>
  <c r="L350" i="4"/>
  <c r="I350" i="4"/>
  <c r="H350" i="4"/>
  <c r="F350" i="4"/>
  <c r="C350" i="4"/>
  <c r="AC349" i="4"/>
  <c r="AD349" i="4" s="1"/>
  <c r="AA349" i="4"/>
  <c r="X349" i="4"/>
  <c r="W349" i="4"/>
  <c r="U349" i="4"/>
  <c r="R349" i="4"/>
  <c r="O349" i="4"/>
  <c r="N349" i="4"/>
  <c r="L349" i="4"/>
  <c r="H349" i="4"/>
  <c r="I349" i="4" s="1"/>
  <c r="F349" i="4"/>
  <c r="C349" i="4"/>
  <c r="AC347" i="4"/>
  <c r="AD347" i="4" s="1"/>
  <c r="AA347" i="4"/>
  <c r="X347" i="4"/>
  <c r="W347" i="4"/>
  <c r="U347" i="4"/>
  <c r="R347" i="4"/>
  <c r="N347" i="4"/>
  <c r="O347" i="4" s="1"/>
  <c r="L347" i="4"/>
  <c r="I347" i="4"/>
  <c r="H347" i="4"/>
  <c r="F347" i="4"/>
  <c r="C347" i="4"/>
  <c r="Z344" i="4"/>
  <c r="AA344" i="4" s="1"/>
  <c r="U344" i="4"/>
  <c r="T344" i="4"/>
  <c r="R344" i="4"/>
  <c r="Q344" i="4"/>
  <c r="AC344" i="4" s="1"/>
  <c r="AD344" i="4" s="1"/>
  <c r="L344" i="4"/>
  <c r="K344" i="4"/>
  <c r="F344" i="4"/>
  <c r="E344" i="4"/>
  <c r="B344" i="4"/>
  <c r="C344" i="4" s="1"/>
  <c r="Z343" i="4"/>
  <c r="AA343" i="4" s="1"/>
  <c r="W343" i="4"/>
  <c r="X343" i="4" s="1"/>
  <c r="U343" i="4"/>
  <c r="T343" i="4"/>
  <c r="R343" i="4"/>
  <c r="Q343" i="4"/>
  <c r="AC343" i="4" s="1"/>
  <c r="AD343" i="4" s="1"/>
  <c r="K343" i="4"/>
  <c r="L343" i="4" s="1"/>
  <c r="F343" i="4"/>
  <c r="E343" i="4"/>
  <c r="B343" i="4"/>
  <c r="AC342" i="4"/>
  <c r="AD342" i="4" s="1"/>
  <c r="AA342" i="4"/>
  <c r="Z342" i="4"/>
  <c r="U342" i="4"/>
  <c r="T342" i="4"/>
  <c r="R342" i="4"/>
  <c r="Q342" i="4"/>
  <c r="L342" i="4"/>
  <c r="K342" i="4"/>
  <c r="I342" i="4"/>
  <c r="H342" i="4"/>
  <c r="F342" i="4"/>
  <c r="E342" i="4"/>
  <c r="C342" i="4"/>
  <c r="B342" i="4"/>
  <c r="N342" i="4" s="1"/>
  <c r="O342" i="4" s="1"/>
  <c r="AD341" i="4"/>
  <c r="AC341" i="4"/>
  <c r="AA341" i="4"/>
  <c r="W341" i="4"/>
  <c r="X341" i="4" s="1"/>
  <c r="U341" i="4"/>
  <c r="R341" i="4"/>
  <c r="O341" i="4"/>
  <c r="N341" i="4"/>
  <c r="L341" i="4"/>
  <c r="I341" i="4"/>
  <c r="H341" i="4"/>
  <c r="F341" i="4"/>
  <c r="C341" i="4"/>
  <c r="AD340" i="4"/>
  <c r="AC340" i="4"/>
  <c r="AA340" i="4"/>
  <c r="W340" i="4"/>
  <c r="X340" i="4" s="1"/>
  <c r="U340" i="4"/>
  <c r="R340" i="4"/>
  <c r="O340" i="4"/>
  <c r="N340" i="4"/>
  <c r="L340" i="4"/>
  <c r="I340" i="4"/>
  <c r="H340" i="4"/>
  <c r="F340" i="4"/>
  <c r="C340" i="4"/>
  <c r="AC339" i="4"/>
  <c r="AD339" i="4" s="1"/>
  <c r="AA339" i="4"/>
  <c r="X339" i="4"/>
  <c r="W339" i="4"/>
  <c r="U339" i="4"/>
  <c r="R339" i="4"/>
  <c r="O339" i="4"/>
  <c r="N339" i="4"/>
  <c r="L339" i="4"/>
  <c r="H339" i="4"/>
  <c r="I339" i="4" s="1"/>
  <c r="F339" i="4"/>
  <c r="C339" i="4"/>
  <c r="AC338" i="4"/>
  <c r="AD338" i="4" s="1"/>
  <c r="AA338" i="4"/>
  <c r="X338" i="4"/>
  <c r="W338" i="4"/>
  <c r="U338" i="4"/>
  <c r="R338" i="4"/>
  <c r="N338" i="4"/>
  <c r="O338" i="4" s="1"/>
  <c r="L338" i="4"/>
  <c r="I338" i="4"/>
  <c r="H338" i="4"/>
  <c r="F338" i="4"/>
  <c r="C338" i="4"/>
  <c r="AD337" i="4"/>
  <c r="AC337" i="4"/>
  <c r="AA337" i="4"/>
  <c r="W337" i="4"/>
  <c r="X337" i="4" s="1"/>
  <c r="U337" i="4"/>
  <c r="R337" i="4"/>
  <c r="N337" i="4"/>
  <c r="O337" i="4" s="1"/>
  <c r="L337" i="4"/>
  <c r="H337" i="4"/>
  <c r="I337" i="4" s="1"/>
  <c r="F337" i="4"/>
  <c r="C337" i="4"/>
  <c r="AD335" i="4"/>
  <c r="AC335" i="4"/>
  <c r="AA335" i="4"/>
  <c r="W335" i="4"/>
  <c r="X335" i="4" s="1"/>
  <c r="U335" i="4"/>
  <c r="R335" i="4"/>
  <c r="O335" i="4"/>
  <c r="N335" i="4"/>
  <c r="L335" i="4"/>
  <c r="I335" i="4"/>
  <c r="H335" i="4"/>
  <c r="F335" i="4"/>
  <c r="C335" i="4"/>
  <c r="AC334" i="4"/>
  <c r="AD334" i="4" s="1"/>
  <c r="AA334" i="4"/>
  <c r="X334" i="4"/>
  <c r="W334" i="4"/>
  <c r="U334" i="4"/>
  <c r="R334" i="4"/>
  <c r="N334" i="4"/>
  <c r="O334" i="4" s="1"/>
  <c r="L334" i="4"/>
  <c r="I334" i="4"/>
  <c r="H334" i="4"/>
  <c r="F334" i="4"/>
  <c r="C334" i="4"/>
  <c r="AC333" i="4"/>
  <c r="AD333" i="4" s="1"/>
  <c r="AA333" i="4"/>
  <c r="W333" i="4"/>
  <c r="X333" i="4" s="1"/>
  <c r="U333" i="4"/>
  <c r="R333" i="4"/>
  <c r="N333" i="4"/>
  <c r="O333" i="4" s="1"/>
  <c r="L333" i="4"/>
  <c r="H333" i="4"/>
  <c r="I333" i="4" s="1"/>
  <c r="F333" i="4"/>
  <c r="C333" i="4"/>
  <c r="AD332" i="4"/>
  <c r="AC332" i="4"/>
  <c r="AA332" i="4"/>
  <c r="W332" i="4"/>
  <c r="X332" i="4" s="1"/>
  <c r="U332" i="4"/>
  <c r="R332" i="4"/>
  <c r="O332" i="4"/>
  <c r="N332" i="4"/>
  <c r="L332" i="4"/>
  <c r="I332" i="4"/>
  <c r="H332" i="4"/>
  <c r="F332" i="4"/>
  <c r="C332" i="4"/>
  <c r="AC331" i="4"/>
  <c r="AD331" i="4" s="1"/>
  <c r="AA331" i="4"/>
  <c r="W331" i="4"/>
  <c r="X331" i="4" s="1"/>
  <c r="U331" i="4"/>
  <c r="R331" i="4"/>
  <c r="N331" i="4"/>
  <c r="O331" i="4" s="1"/>
  <c r="L331" i="4"/>
  <c r="I331" i="4"/>
  <c r="H331" i="4"/>
  <c r="F331" i="4"/>
  <c r="C331" i="4"/>
  <c r="AC330" i="4"/>
  <c r="AD330" i="4" s="1"/>
  <c r="AA330" i="4"/>
  <c r="X330" i="4"/>
  <c r="W330" i="4"/>
  <c r="U330" i="4"/>
  <c r="R330" i="4"/>
  <c r="O330" i="4"/>
  <c r="N330" i="4"/>
  <c r="L330" i="4"/>
  <c r="H330" i="4"/>
  <c r="I330" i="4" s="1"/>
  <c r="F330" i="4"/>
  <c r="C330" i="4"/>
  <c r="AC329" i="4"/>
  <c r="AD329" i="4" s="1"/>
  <c r="AA329" i="4"/>
  <c r="W329" i="4"/>
  <c r="X329" i="4" s="1"/>
  <c r="U329" i="4"/>
  <c r="R329" i="4"/>
  <c r="N329" i="4"/>
  <c r="O329" i="4" s="1"/>
  <c r="L329" i="4"/>
  <c r="I329" i="4"/>
  <c r="H329" i="4"/>
  <c r="F329" i="4"/>
  <c r="C329" i="4"/>
  <c r="AD328" i="4"/>
  <c r="AC328" i="4"/>
  <c r="AA328" i="4"/>
  <c r="W328" i="4"/>
  <c r="X328" i="4" s="1"/>
  <c r="U328" i="4"/>
  <c r="R328" i="4"/>
  <c r="O328" i="4"/>
  <c r="N328" i="4"/>
  <c r="L328" i="4"/>
  <c r="I328" i="4"/>
  <c r="H328" i="4"/>
  <c r="F328" i="4"/>
  <c r="C328" i="4"/>
  <c r="AC325" i="4"/>
  <c r="AD325" i="4" s="1"/>
  <c r="AA325" i="4"/>
  <c r="Z325" i="4"/>
  <c r="U325" i="4"/>
  <c r="T325" i="4"/>
  <c r="Q325" i="4"/>
  <c r="L325" i="4"/>
  <c r="K325" i="4"/>
  <c r="H325" i="4"/>
  <c r="I325" i="4" s="1"/>
  <c r="E325" i="4"/>
  <c r="F325" i="4" s="1"/>
  <c r="C325" i="4"/>
  <c r="B325" i="4"/>
  <c r="N325" i="4" s="1"/>
  <c r="O325" i="4" s="1"/>
  <c r="Z324" i="4"/>
  <c r="AA324" i="4" s="1"/>
  <c r="U324" i="4"/>
  <c r="T324" i="4"/>
  <c r="R324" i="4"/>
  <c r="Q324" i="4"/>
  <c r="W324" i="4" s="1"/>
  <c r="X324" i="4" s="1"/>
  <c r="N324" i="4"/>
  <c r="O324" i="4" s="1"/>
  <c r="K324" i="4"/>
  <c r="L324" i="4" s="1"/>
  <c r="F324" i="4"/>
  <c r="E324" i="4"/>
  <c r="C324" i="4"/>
  <c r="B324" i="4"/>
  <c r="AD323" i="4"/>
  <c r="AC323" i="4"/>
  <c r="AA323" i="4"/>
  <c r="W323" i="4"/>
  <c r="X323" i="4" s="1"/>
  <c r="U323" i="4"/>
  <c r="R323" i="4"/>
  <c r="O323" i="4"/>
  <c r="N323" i="4"/>
  <c r="L323" i="4"/>
  <c r="I323" i="4"/>
  <c r="H323" i="4"/>
  <c r="F323" i="4"/>
  <c r="C323" i="4"/>
  <c r="AD322" i="4"/>
  <c r="AC322" i="4"/>
  <c r="AA322" i="4"/>
  <c r="X322" i="4"/>
  <c r="W322" i="4"/>
  <c r="U322" i="4"/>
  <c r="R322" i="4"/>
  <c r="O322" i="4"/>
  <c r="N322" i="4"/>
  <c r="L322" i="4"/>
  <c r="H322" i="4"/>
  <c r="I322" i="4" s="1"/>
  <c r="F322" i="4"/>
  <c r="C322" i="4"/>
  <c r="AD321" i="4"/>
  <c r="AC321" i="4"/>
  <c r="AA321" i="4"/>
  <c r="X321" i="4"/>
  <c r="W321" i="4"/>
  <c r="U321" i="4"/>
  <c r="R321" i="4"/>
  <c r="N321" i="4"/>
  <c r="O321" i="4" s="1"/>
  <c r="L321" i="4"/>
  <c r="H321" i="4"/>
  <c r="I321" i="4" s="1"/>
  <c r="F321" i="4"/>
  <c r="C321" i="4"/>
  <c r="AD320" i="4"/>
  <c r="AC320" i="4"/>
  <c r="AA320" i="4"/>
  <c r="X320" i="4"/>
  <c r="W320" i="4"/>
  <c r="U320" i="4"/>
  <c r="R320" i="4"/>
  <c r="N320" i="4"/>
  <c r="O320" i="4" s="1"/>
  <c r="L320" i="4"/>
  <c r="H320" i="4"/>
  <c r="I320" i="4" s="1"/>
  <c r="F320" i="4"/>
  <c r="C320" i="4"/>
  <c r="AD319" i="4"/>
  <c r="AC319" i="4"/>
  <c r="AA319" i="4"/>
  <c r="W319" i="4"/>
  <c r="X319" i="4" s="1"/>
  <c r="U319" i="4"/>
  <c r="R319" i="4"/>
  <c r="N319" i="4"/>
  <c r="O319" i="4" s="1"/>
  <c r="L319" i="4"/>
  <c r="I319" i="4"/>
  <c r="H319" i="4"/>
  <c r="F319" i="4"/>
  <c r="C319" i="4"/>
  <c r="AC318" i="4"/>
  <c r="AD318" i="4" s="1"/>
  <c r="AA318" i="4"/>
  <c r="X318" i="4"/>
  <c r="W318" i="4"/>
  <c r="U318" i="4"/>
  <c r="R318" i="4"/>
  <c r="N318" i="4"/>
  <c r="O318" i="4" s="1"/>
  <c r="L318" i="4"/>
  <c r="H318" i="4"/>
  <c r="I318" i="4" s="1"/>
  <c r="F318" i="4"/>
  <c r="C318" i="4"/>
  <c r="AC317" i="4"/>
  <c r="AD317" i="4" s="1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D316" i="4"/>
  <c r="AC316" i="4"/>
  <c r="AA316" i="4"/>
  <c r="W316" i="4"/>
  <c r="X316" i="4" s="1"/>
  <c r="U316" i="4"/>
  <c r="R316" i="4"/>
  <c r="N316" i="4"/>
  <c r="O316" i="4" s="1"/>
  <c r="L316" i="4"/>
  <c r="I316" i="4"/>
  <c r="H316" i="4"/>
  <c r="F316" i="4"/>
  <c r="C316" i="4"/>
  <c r="AD315" i="4"/>
  <c r="AC315" i="4"/>
  <c r="AA315" i="4"/>
  <c r="W315" i="4"/>
  <c r="X315" i="4" s="1"/>
  <c r="U315" i="4"/>
  <c r="R315" i="4"/>
  <c r="N315" i="4"/>
  <c r="O315" i="4" s="1"/>
  <c r="L315" i="4"/>
  <c r="I315" i="4"/>
  <c r="H315" i="4"/>
  <c r="F315" i="4"/>
  <c r="C315" i="4"/>
  <c r="AC314" i="4"/>
  <c r="AD314" i="4" s="1"/>
  <c r="AA314" i="4"/>
  <c r="W314" i="4"/>
  <c r="X314" i="4" s="1"/>
  <c r="U314" i="4"/>
  <c r="R314" i="4"/>
  <c r="O314" i="4"/>
  <c r="N314" i="4"/>
  <c r="L314" i="4"/>
  <c r="I314" i="4"/>
  <c r="H314" i="4"/>
  <c r="F314" i="4"/>
  <c r="C314" i="4"/>
  <c r="AC313" i="4"/>
  <c r="AD313" i="4" s="1"/>
  <c r="AA313" i="4"/>
  <c r="W313" i="4"/>
  <c r="X313" i="4" s="1"/>
  <c r="U313" i="4"/>
  <c r="R313" i="4"/>
  <c r="N313" i="4"/>
  <c r="O313" i="4" s="1"/>
  <c r="L313" i="4"/>
  <c r="I313" i="4"/>
  <c r="H313" i="4"/>
  <c r="F313" i="4"/>
  <c r="C313" i="4"/>
  <c r="AD312" i="4"/>
  <c r="AC312" i="4"/>
  <c r="AA312" i="4"/>
  <c r="W312" i="4"/>
  <c r="X312" i="4" s="1"/>
  <c r="U312" i="4"/>
  <c r="R312" i="4"/>
  <c r="O312" i="4"/>
  <c r="N312" i="4"/>
  <c r="L312" i="4"/>
  <c r="I312" i="4"/>
  <c r="H312" i="4"/>
  <c r="F312" i="4"/>
  <c r="C312" i="4"/>
  <c r="AC311" i="4"/>
  <c r="AD311" i="4" s="1"/>
  <c r="AA311" i="4"/>
  <c r="W311" i="4"/>
  <c r="X311" i="4" s="1"/>
  <c r="U311" i="4"/>
  <c r="R311" i="4"/>
  <c r="O311" i="4"/>
  <c r="N311" i="4"/>
  <c r="L311" i="4"/>
  <c r="I311" i="4"/>
  <c r="H311" i="4"/>
  <c r="F311" i="4"/>
  <c r="C311" i="4"/>
  <c r="AC310" i="4"/>
  <c r="AD310" i="4" s="1"/>
  <c r="AA310" i="4"/>
  <c r="W310" i="4"/>
  <c r="X310" i="4" s="1"/>
  <c r="U310" i="4"/>
  <c r="R310" i="4"/>
  <c r="O310" i="4"/>
  <c r="N310" i="4"/>
  <c r="L310" i="4"/>
  <c r="H310" i="4"/>
  <c r="I310" i="4" s="1"/>
  <c r="F310" i="4"/>
  <c r="C310" i="4"/>
  <c r="AD309" i="4"/>
  <c r="AC309" i="4"/>
  <c r="AA309" i="4"/>
  <c r="X309" i="4"/>
  <c r="W309" i="4"/>
  <c r="U309" i="4"/>
  <c r="R309" i="4"/>
  <c r="N309" i="4"/>
  <c r="O309" i="4" s="1"/>
  <c r="L309" i="4"/>
  <c r="I309" i="4"/>
  <c r="H309" i="4"/>
  <c r="F309" i="4"/>
  <c r="C309" i="4"/>
  <c r="AD308" i="4"/>
  <c r="AC308" i="4"/>
  <c r="AA308" i="4"/>
  <c r="X308" i="4"/>
  <c r="W308" i="4"/>
  <c r="U308" i="4"/>
  <c r="R308" i="4"/>
  <c r="N308" i="4"/>
  <c r="O308" i="4" s="1"/>
  <c r="L308" i="4"/>
  <c r="H308" i="4"/>
  <c r="I308" i="4" s="1"/>
  <c r="F308" i="4"/>
  <c r="C308" i="4"/>
  <c r="AD307" i="4"/>
  <c r="AC307" i="4"/>
  <c r="AA307" i="4"/>
  <c r="W307" i="4"/>
  <c r="X307" i="4" s="1"/>
  <c r="U307" i="4"/>
  <c r="R307" i="4"/>
  <c r="O307" i="4"/>
  <c r="N307" i="4"/>
  <c r="L307" i="4"/>
  <c r="I307" i="4"/>
  <c r="H307" i="4"/>
  <c r="F307" i="4"/>
  <c r="C307" i="4"/>
  <c r="AD306" i="4"/>
  <c r="AC306" i="4"/>
  <c r="AA306" i="4"/>
  <c r="X306" i="4"/>
  <c r="W306" i="4"/>
  <c r="U306" i="4"/>
  <c r="R306" i="4"/>
  <c r="N306" i="4"/>
  <c r="O306" i="4" s="1"/>
  <c r="L306" i="4"/>
  <c r="H306" i="4"/>
  <c r="I306" i="4" s="1"/>
  <c r="F306" i="4"/>
  <c r="C306" i="4"/>
  <c r="AC305" i="4"/>
  <c r="AD305" i="4" s="1"/>
  <c r="AA305" i="4"/>
  <c r="X305" i="4"/>
  <c r="W305" i="4"/>
  <c r="U305" i="4"/>
  <c r="R305" i="4"/>
  <c r="N305" i="4"/>
  <c r="O305" i="4" s="1"/>
  <c r="L305" i="4"/>
  <c r="I305" i="4"/>
  <c r="H305" i="4"/>
  <c r="F305" i="4"/>
  <c r="C305" i="4"/>
  <c r="AD304" i="4"/>
  <c r="AC304" i="4"/>
  <c r="AA304" i="4"/>
  <c r="W304" i="4"/>
  <c r="X304" i="4" s="1"/>
  <c r="U304" i="4"/>
  <c r="R304" i="4"/>
  <c r="N304" i="4"/>
  <c r="O304" i="4" s="1"/>
  <c r="L304" i="4"/>
  <c r="H304" i="4"/>
  <c r="I304" i="4" s="1"/>
  <c r="F304" i="4"/>
  <c r="C304" i="4"/>
  <c r="AD303" i="4"/>
  <c r="AC303" i="4"/>
  <c r="AA303" i="4"/>
  <c r="W303" i="4"/>
  <c r="X303" i="4" s="1"/>
  <c r="U303" i="4"/>
  <c r="R303" i="4"/>
  <c r="N303" i="4"/>
  <c r="O303" i="4" s="1"/>
  <c r="L303" i="4"/>
  <c r="I303" i="4"/>
  <c r="H303" i="4"/>
  <c r="F303" i="4"/>
  <c r="C303" i="4"/>
  <c r="AD302" i="4"/>
  <c r="AC302" i="4"/>
  <c r="AA302" i="4"/>
  <c r="X302" i="4"/>
  <c r="W302" i="4"/>
  <c r="U302" i="4"/>
  <c r="R302" i="4"/>
  <c r="N302" i="4"/>
  <c r="O302" i="4" s="1"/>
  <c r="L302" i="4"/>
  <c r="H302" i="4"/>
  <c r="I302" i="4" s="1"/>
  <c r="F302" i="4"/>
  <c r="C302" i="4"/>
  <c r="AC301" i="4"/>
  <c r="AD301" i="4" s="1"/>
  <c r="AA301" i="4"/>
  <c r="W301" i="4"/>
  <c r="X301" i="4" s="1"/>
  <c r="U301" i="4"/>
  <c r="R301" i="4"/>
  <c r="N301" i="4"/>
  <c r="O301" i="4" s="1"/>
  <c r="L301" i="4"/>
  <c r="H301" i="4"/>
  <c r="I301" i="4" s="1"/>
  <c r="F301" i="4"/>
  <c r="C301" i="4"/>
  <c r="AD300" i="4"/>
  <c r="AC300" i="4"/>
  <c r="AA300" i="4"/>
  <c r="W300" i="4"/>
  <c r="X300" i="4" s="1"/>
  <c r="U300" i="4"/>
  <c r="R300" i="4"/>
  <c r="O300" i="4"/>
  <c r="N300" i="4"/>
  <c r="L300" i="4"/>
  <c r="I300" i="4"/>
  <c r="H300" i="4"/>
  <c r="F300" i="4"/>
  <c r="C300" i="4"/>
  <c r="AD299" i="4"/>
  <c r="AC299" i="4"/>
  <c r="AA299" i="4"/>
  <c r="W299" i="4"/>
  <c r="X299" i="4" s="1"/>
  <c r="U299" i="4"/>
  <c r="R299" i="4"/>
  <c r="N299" i="4"/>
  <c r="O299" i="4" s="1"/>
  <c r="L299" i="4"/>
  <c r="I299" i="4"/>
  <c r="H299" i="4"/>
  <c r="F299" i="4"/>
  <c r="C299" i="4"/>
  <c r="AC298" i="4"/>
  <c r="AD298" i="4" s="1"/>
  <c r="AA298" i="4"/>
  <c r="X298" i="4"/>
  <c r="W298" i="4"/>
  <c r="U298" i="4"/>
  <c r="R298" i="4"/>
  <c r="O298" i="4"/>
  <c r="N298" i="4"/>
  <c r="L298" i="4"/>
  <c r="H298" i="4"/>
  <c r="I298" i="4" s="1"/>
  <c r="F298" i="4"/>
  <c r="C298" i="4"/>
  <c r="AC297" i="4"/>
  <c r="AD297" i="4" s="1"/>
  <c r="AA297" i="4"/>
  <c r="W297" i="4"/>
  <c r="X297" i="4" s="1"/>
  <c r="U297" i="4"/>
  <c r="R297" i="4"/>
  <c r="N297" i="4"/>
  <c r="O297" i="4" s="1"/>
  <c r="L297" i="4"/>
  <c r="I297" i="4"/>
  <c r="H297" i="4"/>
  <c r="F297" i="4"/>
  <c r="C297" i="4"/>
  <c r="Z295" i="4"/>
  <c r="AA295" i="4" s="1"/>
  <c r="W295" i="4"/>
  <c r="X295" i="4" s="1"/>
  <c r="T295" i="4"/>
  <c r="U295" i="4" s="1"/>
  <c r="R295" i="4"/>
  <c r="Q295" i="4"/>
  <c r="K295" i="4"/>
  <c r="L295" i="4" s="1"/>
  <c r="F295" i="4"/>
  <c r="E295" i="4"/>
  <c r="C295" i="4"/>
  <c r="B295" i="4"/>
  <c r="H295" i="4" s="1"/>
  <c r="I295" i="4" s="1"/>
  <c r="AC294" i="4"/>
  <c r="AD294" i="4" s="1"/>
  <c r="AA294" i="4"/>
  <c r="W294" i="4"/>
  <c r="X294" i="4" s="1"/>
  <c r="U294" i="4"/>
  <c r="R294" i="4"/>
  <c r="O294" i="4"/>
  <c r="N294" i="4"/>
  <c r="L294" i="4"/>
  <c r="H294" i="4"/>
  <c r="I294" i="4" s="1"/>
  <c r="F294" i="4"/>
  <c r="C294" i="4"/>
  <c r="AC293" i="4"/>
  <c r="AD293" i="4" s="1"/>
  <c r="AA293" i="4"/>
  <c r="X293" i="4"/>
  <c r="W293" i="4"/>
  <c r="U293" i="4"/>
  <c r="R293" i="4"/>
  <c r="N293" i="4"/>
  <c r="O293" i="4" s="1"/>
  <c r="L293" i="4"/>
  <c r="I293" i="4"/>
  <c r="H293" i="4"/>
  <c r="F293" i="4"/>
  <c r="C293" i="4"/>
  <c r="AD292" i="4"/>
  <c r="AC292" i="4"/>
  <c r="AA292" i="4"/>
  <c r="W292" i="4"/>
  <c r="X292" i="4" s="1"/>
  <c r="U292" i="4"/>
  <c r="R292" i="4"/>
  <c r="N292" i="4"/>
  <c r="O292" i="4" s="1"/>
  <c r="L292" i="4"/>
  <c r="H292" i="4"/>
  <c r="I292" i="4" s="1"/>
  <c r="F292" i="4"/>
  <c r="C292" i="4"/>
  <c r="AD291" i="4"/>
  <c r="AC291" i="4"/>
  <c r="AA291" i="4"/>
  <c r="W291" i="4"/>
  <c r="X291" i="4" s="1"/>
  <c r="U291" i="4"/>
  <c r="R291" i="4"/>
  <c r="O291" i="4"/>
  <c r="N291" i="4"/>
  <c r="L291" i="4"/>
  <c r="I291" i="4"/>
  <c r="H291" i="4"/>
  <c r="F291" i="4"/>
  <c r="C291" i="4"/>
  <c r="AD290" i="4"/>
  <c r="AC290" i="4"/>
  <c r="AA290" i="4"/>
  <c r="X290" i="4"/>
  <c r="W290" i="4"/>
  <c r="U290" i="4"/>
  <c r="R290" i="4"/>
  <c r="N290" i="4"/>
  <c r="O290" i="4" s="1"/>
  <c r="L290" i="4"/>
  <c r="H290" i="4"/>
  <c r="I290" i="4" s="1"/>
  <c r="F290" i="4"/>
  <c r="C290" i="4"/>
  <c r="AD289" i="4"/>
  <c r="AC289" i="4"/>
  <c r="AA289" i="4"/>
  <c r="X289" i="4"/>
  <c r="W289" i="4"/>
  <c r="U289" i="4"/>
  <c r="R289" i="4"/>
  <c r="N289" i="4"/>
  <c r="O289" i="4" s="1"/>
  <c r="L289" i="4"/>
  <c r="H289" i="4"/>
  <c r="I289" i="4" s="1"/>
  <c r="F289" i="4"/>
  <c r="C289" i="4"/>
  <c r="AD288" i="4"/>
  <c r="AC288" i="4"/>
  <c r="AA288" i="4"/>
  <c r="X288" i="4"/>
  <c r="W288" i="4"/>
  <c r="U288" i="4"/>
  <c r="R288" i="4"/>
  <c r="N288" i="4"/>
  <c r="O288" i="4" s="1"/>
  <c r="L288" i="4"/>
  <c r="H288" i="4"/>
  <c r="I288" i="4" s="1"/>
  <c r="F288" i="4"/>
  <c r="C288" i="4"/>
  <c r="AD287" i="4"/>
  <c r="AC287" i="4"/>
  <c r="AA287" i="4"/>
  <c r="W287" i="4"/>
  <c r="X287" i="4" s="1"/>
  <c r="U287" i="4"/>
  <c r="R287" i="4"/>
  <c r="O287" i="4"/>
  <c r="N287" i="4"/>
  <c r="L287" i="4"/>
  <c r="I287" i="4"/>
  <c r="H287" i="4"/>
  <c r="F287" i="4"/>
  <c r="C287" i="4"/>
  <c r="AC286" i="4"/>
  <c r="AD286" i="4" s="1"/>
  <c r="AA286" i="4"/>
  <c r="X286" i="4"/>
  <c r="W286" i="4"/>
  <c r="U286" i="4"/>
  <c r="R286" i="4"/>
  <c r="N286" i="4"/>
  <c r="O286" i="4" s="1"/>
  <c r="L286" i="4"/>
  <c r="I286" i="4"/>
  <c r="H286" i="4"/>
  <c r="F286" i="4"/>
  <c r="C286" i="4"/>
  <c r="AA284" i="4"/>
  <c r="Z284" i="4"/>
  <c r="X284" i="4"/>
  <c r="W284" i="4"/>
  <c r="U284" i="4"/>
  <c r="T284" i="4"/>
  <c r="Q284" i="4"/>
  <c r="R284" i="4" s="1"/>
  <c r="K284" i="4"/>
  <c r="N284" i="4" s="1"/>
  <c r="O284" i="4" s="1"/>
  <c r="F284" i="4"/>
  <c r="E284" i="4"/>
  <c r="B284" i="4"/>
  <c r="AC283" i="4"/>
  <c r="AD283" i="4" s="1"/>
  <c r="AA283" i="4"/>
  <c r="W283" i="4"/>
  <c r="X283" i="4" s="1"/>
  <c r="U283" i="4"/>
  <c r="R283" i="4"/>
  <c r="N283" i="4"/>
  <c r="O283" i="4" s="1"/>
  <c r="L283" i="4"/>
  <c r="I283" i="4"/>
  <c r="H283" i="4"/>
  <c r="F283" i="4"/>
  <c r="C283" i="4"/>
  <c r="AC282" i="4"/>
  <c r="AD282" i="4" s="1"/>
  <c r="AA282" i="4"/>
  <c r="X282" i="4"/>
  <c r="W282" i="4"/>
  <c r="U282" i="4"/>
  <c r="R282" i="4"/>
  <c r="O282" i="4"/>
  <c r="N282" i="4"/>
  <c r="L282" i="4"/>
  <c r="H282" i="4"/>
  <c r="I282" i="4" s="1"/>
  <c r="F282" i="4"/>
  <c r="C282" i="4"/>
  <c r="AC281" i="4"/>
  <c r="AD281" i="4" s="1"/>
  <c r="AA281" i="4"/>
  <c r="W281" i="4"/>
  <c r="X281" i="4" s="1"/>
  <c r="U281" i="4"/>
  <c r="R281" i="4"/>
  <c r="N281" i="4"/>
  <c r="O281" i="4" s="1"/>
  <c r="L281" i="4"/>
  <c r="I281" i="4"/>
  <c r="H281" i="4"/>
  <c r="F281" i="4"/>
  <c r="C281" i="4"/>
  <c r="AD280" i="4"/>
  <c r="AC280" i="4"/>
  <c r="AA280" i="4"/>
  <c r="W280" i="4"/>
  <c r="X280" i="4" s="1"/>
  <c r="U280" i="4"/>
  <c r="R280" i="4"/>
  <c r="N280" i="4"/>
  <c r="O280" i="4" s="1"/>
  <c r="L280" i="4"/>
  <c r="I280" i="4"/>
  <c r="H280" i="4"/>
  <c r="F280" i="4"/>
  <c r="C280" i="4"/>
  <c r="AC279" i="4"/>
  <c r="AD279" i="4" s="1"/>
  <c r="AA279" i="4"/>
  <c r="W279" i="4"/>
  <c r="X279" i="4" s="1"/>
  <c r="U279" i="4"/>
  <c r="R279" i="4"/>
  <c r="O279" i="4"/>
  <c r="N279" i="4"/>
  <c r="L279" i="4"/>
  <c r="I279" i="4"/>
  <c r="H279" i="4"/>
  <c r="F279" i="4"/>
  <c r="C279" i="4"/>
  <c r="AC278" i="4"/>
  <c r="AD278" i="4" s="1"/>
  <c r="AA278" i="4"/>
  <c r="W278" i="4"/>
  <c r="X278" i="4" s="1"/>
  <c r="U278" i="4"/>
  <c r="R278" i="4"/>
  <c r="O278" i="4"/>
  <c r="N278" i="4"/>
  <c r="L278" i="4"/>
  <c r="H278" i="4"/>
  <c r="I278" i="4" s="1"/>
  <c r="F278" i="4"/>
  <c r="C278" i="4"/>
  <c r="AC277" i="4"/>
  <c r="AD277" i="4" s="1"/>
  <c r="AA277" i="4"/>
  <c r="X277" i="4"/>
  <c r="W277" i="4"/>
  <c r="U277" i="4"/>
  <c r="R277" i="4"/>
  <c r="N277" i="4"/>
  <c r="O277" i="4" s="1"/>
  <c r="L277" i="4"/>
  <c r="I277" i="4"/>
  <c r="H277" i="4"/>
  <c r="F277" i="4"/>
  <c r="C277" i="4"/>
  <c r="AD276" i="4"/>
  <c r="AC276" i="4"/>
  <c r="AA276" i="4"/>
  <c r="W276" i="4"/>
  <c r="X276" i="4" s="1"/>
  <c r="U276" i="4"/>
  <c r="R276" i="4"/>
  <c r="N276" i="4"/>
  <c r="O276" i="4" s="1"/>
  <c r="L276" i="4"/>
  <c r="I276" i="4"/>
  <c r="H276" i="4"/>
  <c r="F276" i="4"/>
  <c r="C276" i="4"/>
  <c r="AD275" i="4"/>
  <c r="AC275" i="4"/>
  <c r="AA275" i="4"/>
  <c r="W275" i="4"/>
  <c r="X275" i="4" s="1"/>
  <c r="U275" i="4"/>
  <c r="R275" i="4"/>
  <c r="O275" i="4"/>
  <c r="N275" i="4"/>
  <c r="L275" i="4"/>
  <c r="I275" i="4"/>
  <c r="H275" i="4"/>
  <c r="F275" i="4"/>
  <c r="C275" i="4"/>
  <c r="Z273" i="4"/>
  <c r="AA273" i="4" s="1"/>
  <c r="T273" i="4"/>
  <c r="U273" i="4" s="1"/>
  <c r="Q273" i="4"/>
  <c r="W273" i="4" s="1"/>
  <c r="X273" i="4" s="1"/>
  <c r="L273" i="4"/>
  <c r="K273" i="4"/>
  <c r="E273" i="4"/>
  <c r="H273" i="4" s="1"/>
  <c r="I273" i="4" s="1"/>
  <c r="C273" i="4"/>
  <c r="B273" i="4"/>
  <c r="N273" i="4" s="1"/>
  <c r="O273" i="4" s="1"/>
  <c r="AD272" i="4"/>
  <c r="AC272" i="4"/>
  <c r="AA272" i="4"/>
  <c r="W272" i="4"/>
  <c r="X272" i="4" s="1"/>
  <c r="U272" i="4"/>
  <c r="R272" i="4"/>
  <c r="N272" i="4"/>
  <c r="O272" i="4" s="1"/>
  <c r="L272" i="4"/>
  <c r="H272" i="4"/>
  <c r="I272" i="4" s="1"/>
  <c r="F272" i="4"/>
  <c r="C272" i="4"/>
  <c r="AD271" i="4"/>
  <c r="AC271" i="4"/>
  <c r="AA271" i="4"/>
  <c r="W271" i="4"/>
  <c r="X271" i="4" s="1"/>
  <c r="U271" i="4"/>
  <c r="R271" i="4"/>
  <c r="O271" i="4"/>
  <c r="N271" i="4"/>
  <c r="L271" i="4"/>
  <c r="I271" i="4"/>
  <c r="H271" i="4"/>
  <c r="F271" i="4"/>
  <c r="C271" i="4"/>
  <c r="AD270" i="4"/>
  <c r="AC270" i="4"/>
  <c r="AA270" i="4"/>
  <c r="X270" i="4"/>
  <c r="W270" i="4"/>
  <c r="U270" i="4"/>
  <c r="R270" i="4"/>
  <c r="N270" i="4"/>
  <c r="O270" i="4" s="1"/>
  <c r="L270" i="4"/>
  <c r="I270" i="4"/>
  <c r="H270" i="4"/>
  <c r="F270" i="4"/>
  <c r="C270" i="4"/>
  <c r="AC269" i="4"/>
  <c r="AD269" i="4" s="1"/>
  <c r="AA269" i="4"/>
  <c r="W269" i="4"/>
  <c r="X269" i="4" s="1"/>
  <c r="U269" i="4"/>
  <c r="R269" i="4"/>
  <c r="N269" i="4"/>
  <c r="O269" i="4" s="1"/>
  <c r="L269" i="4"/>
  <c r="H269" i="4"/>
  <c r="I269" i="4" s="1"/>
  <c r="F269" i="4"/>
  <c r="C269" i="4"/>
  <c r="AD267" i="4"/>
  <c r="Z267" i="4"/>
  <c r="AA267" i="4" s="1"/>
  <c r="T267" i="4"/>
  <c r="W267" i="4" s="1"/>
  <c r="X267" i="4" s="1"/>
  <c r="R267" i="4"/>
  <c r="Q267" i="4"/>
  <c r="AC267" i="4" s="1"/>
  <c r="N267" i="4"/>
  <c r="O267" i="4" s="1"/>
  <c r="K267" i="4"/>
  <c r="L267" i="4" s="1"/>
  <c r="F267" i="4"/>
  <c r="E267" i="4"/>
  <c r="B267" i="4"/>
  <c r="C267" i="4" s="1"/>
  <c r="AC266" i="4"/>
  <c r="AD266" i="4" s="1"/>
  <c r="AA266" i="4"/>
  <c r="W266" i="4"/>
  <c r="X266" i="4" s="1"/>
  <c r="U266" i="4"/>
  <c r="R266" i="4"/>
  <c r="O266" i="4"/>
  <c r="N266" i="4"/>
  <c r="L266" i="4"/>
  <c r="I266" i="4"/>
  <c r="H266" i="4"/>
  <c r="F266" i="4"/>
  <c r="C266" i="4"/>
  <c r="AC265" i="4"/>
  <c r="AD265" i="4" s="1"/>
  <c r="AA265" i="4"/>
  <c r="W265" i="4"/>
  <c r="X265" i="4" s="1"/>
  <c r="U265" i="4"/>
  <c r="R265" i="4"/>
  <c r="N265" i="4"/>
  <c r="O265" i="4" s="1"/>
  <c r="L265" i="4"/>
  <c r="I265" i="4"/>
  <c r="H265" i="4"/>
  <c r="F265" i="4"/>
  <c r="C265" i="4"/>
  <c r="AA263" i="4"/>
  <c r="Z263" i="4"/>
  <c r="W263" i="4"/>
  <c r="X263" i="4" s="1"/>
  <c r="T263" i="4"/>
  <c r="U263" i="4" s="1"/>
  <c r="R263" i="4"/>
  <c r="Q263" i="4"/>
  <c r="AC263" i="4" s="1"/>
  <c r="AD263" i="4" s="1"/>
  <c r="K263" i="4"/>
  <c r="L263" i="4" s="1"/>
  <c r="F263" i="4"/>
  <c r="E263" i="4"/>
  <c r="C263" i="4"/>
  <c r="B263" i="4"/>
  <c r="H263" i="4" s="1"/>
  <c r="I263" i="4" s="1"/>
  <c r="AC262" i="4"/>
  <c r="AD262" i="4" s="1"/>
  <c r="Z262" i="4"/>
  <c r="AA262" i="4" s="1"/>
  <c r="U262" i="4"/>
  <c r="T262" i="4"/>
  <c r="R262" i="4"/>
  <c r="Q262" i="4"/>
  <c r="L262" i="4"/>
  <c r="K262" i="4"/>
  <c r="H262" i="4"/>
  <c r="I262" i="4" s="1"/>
  <c r="F262" i="4"/>
  <c r="E262" i="4"/>
  <c r="C262" i="4"/>
  <c r="B262" i="4"/>
  <c r="N262" i="4" s="1"/>
  <c r="O262" i="4" s="1"/>
  <c r="AD261" i="4"/>
  <c r="AC261" i="4"/>
  <c r="AA261" i="4"/>
  <c r="X261" i="4"/>
  <c r="W261" i="4"/>
  <c r="U261" i="4"/>
  <c r="R261" i="4"/>
  <c r="N261" i="4"/>
  <c r="O261" i="4" s="1"/>
  <c r="L261" i="4"/>
  <c r="I261" i="4"/>
  <c r="H261" i="4"/>
  <c r="F261" i="4"/>
  <c r="C261" i="4"/>
  <c r="AD260" i="4"/>
  <c r="AC260" i="4"/>
  <c r="AA260" i="4"/>
  <c r="W260" i="4"/>
  <c r="X260" i="4" s="1"/>
  <c r="U260" i="4"/>
  <c r="R260" i="4"/>
  <c r="O260" i="4"/>
  <c r="N260" i="4"/>
  <c r="L260" i="4"/>
  <c r="I260" i="4"/>
  <c r="H260" i="4"/>
  <c r="F260" i="4"/>
  <c r="C260" i="4"/>
  <c r="AC259" i="4"/>
  <c r="AD259" i="4" s="1"/>
  <c r="AA259" i="4"/>
  <c r="X259" i="4"/>
  <c r="W259" i="4"/>
  <c r="U259" i="4"/>
  <c r="R259" i="4"/>
  <c r="O259" i="4"/>
  <c r="N259" i="4"/>
  <c r="L259" i="4"/>
  <c r="H259" i="4"/>
  <c r="I259" i="4" s="1"/>
  <c r="F259" i="4"/>
  <c r="C259" i="4"/>
  <c r="AC258" i="4"/>
  <c r="AD258" i="4" s="1"/>
  <c r="AA258" i="4"/>
  <c r="X258" i="4"/>
  <c r="W258" i="4"/>
  <c r="U258" i="4"/>
  <c r="R258" i="4"/>
  <c r="N258" i="4"/>
  <c r="O258" i="4" s="1"/>
  <c r="L258" i="4"/>
  <c r="I258" i="4"/>
  <c r="H258" i="4"/>
  <c r="F258" i="4"/>
  <c r="C258" i="4"/>
  <c r="AD257" i="4"/>
  <c r="AC257" i="4"/>
  <c r="AA257" i="4"/>
  <c r="W257" i="4"/>
  <c r="X257" i="4" s="1"/>
  <c r="U257" i="4"/>
  <c r="R257" i="4"/>
  <c r="N257" i="4"/>
  <c r="O257" i="4" s="1"/>
  <c r="L257" i="4"/>
  <c r="H257" i="4"/>
  <c r="I257" i="4" s="1"/>
  <c r="F257" i="4"/>
  <c r="C257" i="4"/>
  <c r="AD256" i="4"/>
  <c r="AC256" i="4"/>
  <c r="AA256" i="4"/>
  <c r="W256" i="4"/>
  <c r="X256" i="4" s="1"/>
  <c r="U256" i="4"/>
  <c r="R256" i="4"/>
  <c r="O256" i="4"/>
  <c r="N256" i="4"/>
  <c r="L256" i="4"/>
  <c r="I256" i="4"/>
  <c r="H256" i="4"/>
  <c r="F256" i="4"/>
  <c r="C256" i="4"/>
  <c r="AD255" i="4"/>
  <c r="AC255" i="4"/>
  <c r="AA255" i="4"/>
  <c r="X255" i="4"/>
  <c r="W255" i="4"/>
  <c r="U255" i="4"/>
  <c r="R255" i="4"/>
  <c r="N255" i="4"/>
  <c r="O255" i="4" s="1"/>
  <c r="L255" i="4"/>
  <c r="I255" i="4"/>
  <c r="H255" i="4"/>
  <c r="F255" i="4"/>
  <c r="C255" i="4"/>
  <c r="AD254" i="4"/>
  <c r="AC254" i="4"/>
  <c r="AA254" i="4"/>
  <c r="X254" i="4"/>
  <c r="W254" i="4"/>
  <c r="U254" i="4"/>
  <c r="R254" i="4"/>
  <c r="N254" i="4"/>
  <c r="O254" i="4" s="1"/>
  <c r="L254" i="4"/>
  <c r="H254" i="4"/>
  <c r="I254" i="4" s="1"/>
  <c r="F254" i="4"/>
  <c r="C254" i="4"/>
  <c r="AD253" i="4"/>
  <c r="AC253" i="4"/>
  <c r="AA253" i="4"/>
  <c r="X253" i="4"/>
  <c r="W253" i="4"/>
  <c r="U253" i="4"/>
  <c r="R253" i="4"/>
  <c r="O253" i="4"/>
  <c r="N253" i="4"/>
  <c r="L253" i="4"/>
  <c r="I253" i="4"/>
  <c r="H253" i="4"/>
  <c r="F253" i="4"/>
  <c r="C253" i="4"/>
  <c r="AC252" i="4"/>
  <c r="AD252" i="4" s="1"/>
  <c r="AA252" i="4"/>
  <c r="W252" i="4"/>
  <c r="X252" i="4" s="1"/>
  <c r="U252" i="4"/>
  <c r="R252" i="4"/>
  <c r="N252" i="4"/>
  <c r="O252" i="4" s="1"/>
  <c r="L252" i="4"/>
  <c r="I252" i="4"/>
  <c r="H252" i="4"/>
  <c r="F252" i="4"/>
  <c r="C252" i="4"/>
  <c r="AD251" i="4"/>
  <c r="AC251" i="4"/>
  <c r="AA251" i="4"/>
  <c r="X251" i="4"/>
  <c r="W251" i="4"/>
  <c r="U251" i="4"/>
  <c r="R251" i="4"/>
  <c r="O251" i="4"/>
  <c r="N251" i="4"/>
  <c r="L251" i="4"/>
  <c r="H251" i="4"/>
  <c r="I251" i="4" s="1"/>
  <c r="F251" i="4"/>
  <c r="C251" i="4"/>
  <c r="AC250" i="4"/>
  <c r="AD250" i="4" s="1"/>
  <c r="AA250" i="4"/>
  <c r="W250" i="4"/>
  <c r="X250" i="4" s="1"/>
  <c r="U250" i="4"/>
  <c r="R250" i="4"/>
  <c r="N250" i="4"/>
  <c r="O250" i="4" s="1"/>
  <c r="L250" i="4"/>
  <c r="I250" i="4"/>
  <c r="H250" i="4"/>
  <c r="F250" i="4"/>
  <c r="C250" i="4"/>
  <c r="AD249" i="4"/>
  <c r="AC249" i="4"/>
  <c r="AA249" i="4"/>
  <c r="W249" i="4"/>
  <c r="X249" i="4" s="1"/>
  <c r="U249" i="4"/>
  <c r="R249" i="4"/>
  <c r="N249" i="4"/>
  <c r="O249" i="4" s="1"/>
  <c r="L249" i="4"/>
  <c r="I249" i="4"/>
  <c r="H249" i="4"/>
  <c r="F249" i="4"/>
  <c r="C249" i="4"/>
  <c r="AC248" i="4"/>
  <c r="AD248" i="4" s="1"/>
  <c r="AA248" i="4"/>
  <c r="W248" i="4"/>
  <c r="X248" i="4" s="1"/>
  <c r="U248" i="4"/>
  <c r="R248" i="4"/>
  <c r="O248" i="4"/>
  <c r="N248" i="4"/>
  <c r="L248" i="4"/>
  <c r="I248" i="4"/>
  <c r="H248" i="4"/>
  <c r="F248" i="4"/>
  <c r="C248" i="4"/>
  <c r="AC247" i="4"/>
  <c r="AD247" i="4" s="1"/>
  <c r="AA247" i="4"/>
  <c r="W247" i="4"/>
  <c r="X247" i="4" s="1"/>
  <c r="U247" i="4"/>
  <c r="R247" i="4"/>
  <c r="O247" i="4"/>
  <c r="N247" i="4"/>
  <c r="L247" i="4"/>
  <c r="I247" i="4"/>
  <c r="H247" i="4"/>
  <c r="F247" i="4"/>
  <c r="C247" i="4"/>
  <c r="AD246" i="4"/>
  <c r="AC246" i="4"/>
  <c r="AA246" i="4"/>
  <c r="X246" i="4"/>
  <c r="W246" i="4"/>
  <c r="U246" i="4"/>
  <c r="R246" i="4"/>
  <c r="N246" i="4"/>
  <c r="O246" i="4" s="1"/>
  <c r="L246" i="4"/>
  <c r="I246" i="4"/>
  <c r="H246" i="4"/>
  <c r="F246" i="4"/>
  <c r="C246" i="4"/>
  <c r="AD245" i="4"/>
  <c r="AC245" i="4"/>
  <c r="AA245" i="4"/>
  <c r="X245" i="4"/>
  <c r="W245" i="4"/>
  <c r="U245" i="4"/>
  <c r="R245" i="4"/>
  <c r="O245" i="4"/>
  <c r="N245" i="4"/>
  <c r="L245" i="4"/>
  <c r="I245" i="4"/>
  <c r="H245" i="4"/>
  <c r="F245" i="4"/>
  <c r="C245" i="4"/>
  <c r="AD244" i="4"/>
  <c r="AC244" i="4"/>
  <c r="AA244" i="4"/>
  <c r="W244" i="4"/>
  <c r="X244" i="4" s="1"/>
  <c r="U244" i="4"/>
  <c r="R244" i="4"/>
  <c r="O244" i="4"/>
  <c r="N244" i="4"/>
  <c r="L244" i="4"/>
  <c r="I244" i="4"/>
  <c r="H244" i="4"/>
  <c r="F244" i="4"/>
  <c r="C244" i="4"/>
  <c r="AD243" i="4"/>
  <c r="AC243" i="4"/>
  <c r="AA243" i="4"/>
  <c r="X243" i="4"/>
  <c r="W243" i="4"/>
  <c r="U243" i="4"/>
  <c r="R243" i="4"/>
  <c r="O243" i="4"/>
  <c r="N243" i="4"/>
  <c r="L243" i="4"/>
  <c r="H243" i="4"/>
  <c r="I243" i="4" s="1"/>
  <c r="F243" i="4"/>
  <c r="C243" i="4"/>
  <c r="AD242" i="4"/>
  <c r="AC242" i="4"/>
  <c r="AA242" i="4"/>
  <c r="X242" i="4"/>
  <c r="W242" i="4"/>
  <c r="U242" i="4"/>
  <c r="R242" i="4"/>
  <c r="N242" i="4"/>
  <c r="O242" i="4" s="1"/>
  <c r="L242" i="4"/>
  <c r="H242" i="4"/>
  <c r="I242" i="4" s="1"/>
  <c r="F242" i="4"/>
  <c r="C242" i="4"/>
  <c r="AD241" i="4"/>
  <c r="AC241" i="4"/>
  <c r="AA241" i="4"/>
  <c r="X241" i="4"/>
  <c r="W241" i="4"/>
  <c r="U241" i="4"/>
  <c r="R241" i="4"/>
  <c r="N241" i="4"/>
  <c r="O241" i="4" s="1"/>
  <c r="L241" i="4"/>
  <c r="H241" i="4"/>
  <c r="I241" i="4" s="1"/>
  <c r="F241" i="4"/>
  <c r="C241" i="4"/>
  <c r="AD240" i="4"/>
  <c r="AC240" i="4"/>
  <c r="AA240" i="4"/>
  <c r="W240" i="4"/>
  <c r="X240" i="4" s="1"/>
  <c r="U240" i="4"/>
  <c r="R240" i="4"/>
  <c r="N240" i="4"/>
  <c r="O240" i="4" s="1"/>
  <c r="L240" i="4"/>
  <c r="I240" i="4"/>
  <c r="H240" i="4"/>
  <c r="F240" i="4"/>
  <c r="C240" i="4"/>
  <c r="AD238" i="4"/>
  <c r="AC238" i="4"/>
  <c r="AA238" i="4"/>
  <c r="X238" i="4"/>
  <c r="W238" i="4"/>
  <c r="U238" i="4"/>
  <c r="R238" i="4"/>
  <c r="N238" i="4"/>
  <c r="O238" i="4" s="1"/>
  <c r="L238" i="4"/>
  <c r="H238" i="4"/>
  <c r="I238" i="4" s="1"/>
  <c r="F238" i="4"/>
  <c r="C238" i="4"/>
  <c r="AA236" i="4"/>
  <c r="Z236" i="4"/>
  <c r="W236" i="4"/>
  <c r="X236" i="4" s="1"/>
  <c r="U236" i="4"/>
  <c r="T236" i="4"/>
  <c r="R236" i="4"/>
  <c r="Q236" i="4"/>
  <c r="AC236" i="4" s="1"/>
  <c r="AD236" i="4" s="1"/>
  <c r="K236" i="4"/>
  <c r="L236" i="4" s="1"/>
  <c r="F236" i="4"/>
  <c r="E236" i="4"/>
  <c r="B236" i="4"/>
  <c r="AD235" i="4"/>
  <c r="AC235" i="4"/>
  <c r="AA235" i="4"/>
  <c r="W235" i="4"/>
  <c r="X235" i="4" s="1"/>
  <c r="U235" i="4"/>
  <c r="R235" i="4"/>
  <c r="N235" i="4"/>
  <c r="O235" i="4" s="1"/>
  <c r="L235" i="4"/>
  <c r="I235" i="4"/>
  <c r="H235" i="4"/>
  <c r="F235" i="4"/>
  <c r="C235" i="4"/>
  <c r="AD234" i="4"/>
  <c r="AC234" i="4"/>
  <c r="AA234" i="4"/>
  <c r="W234" i="4"/>
  <c r="X234" i="4" s="1"/>
  <c r="U234" i="4"/>
  <c r="R234" i="4"/>
  <c r="O234" i="4"/>
  <c r="N234" i="4"/>
  <c r="L234" i="4"/>
  <c r="I234" i="4"/>
  <c r="H234" i="4"/>
  <c r="F234" i="4"/>
  <c r="C234" i="4"/>
  <c r="AC233" i="4"/>
  <c r="AD233" i="4" s="1"/>
  <c r="AA233" i="4"/>
  <c r="W233" i="4"/>
  <c r="X233" i="4" s="1"/>
  <c r="U233" i="4"/>
  <c r="R233" i="4"/>
  <c r="N233" i="4"/>
  <c r="O233" i="4" s="1"/>
  <c r="L233" i="4"/>
  <c r="I233" i="4"/>
  <c r="H233" i="4"/>
  <c r="F233" i="4"/>
  <c r="C233" i="4"/>
  <c r="AD232" i="4"/>
  <c r="AC232" i="4"/>
  <c r="AA232" i="4"/>
  <c r="W232" i="4"/>
  <c r="X232" i="4" s="1"/>
  <c r="U232" i="4"/>
  <c r="R232" i="4"/>
  <c r="N232" i="4"/>
  <c r="O232" i="4" s="1"/>
  <c r="L232" i="4"/>
  <c r="I232" i="4"/>
  <c r="H232" i="4"/>
  <c r="F232" i="4"/>
  <c r="C232" i="4"/>
  <c r="AC231" i="4"/>
  <c r="AD231" i="4" s="1"/>
  <c r="AA231" i="4"/>
  <c r="W231" i="4"/>
  <c r="X231" i="4" s="1"/>
  <c r="U231" i="4"/>
  <c r="R231" i="4"/>
  <c r="O231" i="4"/>
  <c r="N231" i="4"/>
  <c r="L231" i="4"/>
  <c r="I231" i="4"/>
  <c r="H231" i="4"/>
  <c r="F231" i="4"/>
  <c r="C231" i="4"/>
  <c r="AC230" i="4"/>
  <c r="AD230" i="4" s="1"/>
  <c r="AA230" i="4"/>
  <c r="W230" i="4"/>
  <c r="X230" i="4" s="1"/>
  <c r="U230" i="4"/>
  <c r="R230" i="4"/>
  <c r="O230" i="4"/>
  <c r="N230" i="4"/>
  <c r="L230" i="4"/>
  <c r="I230" i="4"/>
  <c r="H230" i="4"/>
  <c r="F230" i="4"/>
  <c r="C230" i="4"/>
  <c r="AC229" i="4"/>
  <c r="AD229" i="4" s="1"/>
  <c r="AA229" i="4"/>
  <c r="X229" i="4"/>
  <c r="W229" i="4"/>
  <c r="U229" i="4"/>
  <c r="R229" i="4"/>
  <c r="N229" i="4"/>
  <c r="O229" i="4" s="1"/>
  <c r="L229" i="4"/>
  <c r="I229" i="4"/>
  <c r="H229" i="4"/>
  <c r="F229" i="4"/>
  <c r="C229" i="4"/>
  <c r="Z227" i="4"/>
  <c r="AA227" i="4" s="1"/>
  <c r="T227" i="4"/>
  <c r="U227" i="4" s="1"/>
  <c r="R227" i="4"/>
  <c r="Q227" i="4"/>
  <c r="L227" i="4"/>
  <c r="K227" i="4"/>
  <c r="F227" i="4"/>
  <c r="E227" i="4"/>
  <c r="B227" i="4"/>
  <c r="H227" i="4" s="1"/>
  <c r="I227" i="4" s="1"/>
  <c r="AC226" i="4"/>
  <c r="AD226" i="4" s="1"/>
  <c r="AA226" i="4"/>
  <c r="X226" i="4"/>
  <c r="W226" i="4"/>
  <c r="U226" i="4"/>
  <c r="R226" i="4"/>
  <c r="O226" i="4"/>
  <c r="N226" i="4"/>
  <c r="L226" i="4"/>
  <c r="H226" i="4"/>
  <c r="I226" i="4" s="1"/>
  <c r="F226" i="4"/>
  <c r="C226" i="4"/>
  <c r="AC225" i="4"/>
  <c r="AD225" i="4" s="1"/>
  <c r="AA225" i="4"/>
  <c r="X225" i="4"/>
  <c r="W225" i="4"/>
  <c r="U225" i="4"/>
  <c r="R225" i="4"/>
  <c r="N225" i="4"/>
  <c r="O225" i="4" s="1"/>
  <c r="L225" i="4"/>
  <c r="H225" i="4"/>
  <c r="I225" i="4" s="1"/>
  <c r="F225" i="4"/>
  <c r="C225" i="4"/>
  <c r="AD224" i="4"/>
  <c r="AC224" i="4"/>
  <c r="AA224" i="4"/>
  <c r="W224" i="4"/>
  <c r="X224" i="4" s="1"/>
  <c r="U224" i="4"/>
  <c r="R224" i="4"/>
  <c r="N224" i="4"/>
  <c r="O224" i="4" s="1"/>
  <c r="L224" i="4"/>
  <c r="H224" i="4"/>
  <c r="I224" i="4" s="1"/>
  <c r="F224" i="4"/>
  <c r="C224" i="4"/>
  <c r="AD223" i="4"/>
  <c r="AC223" i="4"/>
  <c r="AA223" i="4"/>
  <c r="W223" i="4"/>
  <c r="X223" i="4" s="1"/>
  <c r="U223" i="4"/>
  <c r="R223" i="4"/>
  <c r="N223" i="4"/>
  <c r="O223" i="4" s="1"/>
  <c r="L223" i="4"/>
  <c r="I223" i="4"/>
  <c r="H223" i="4"/>
  <c r="F223" i="4"/>
  <c r="C223" i="4"/>
  <c r="AC222" i="4"/>
  <c r="AD222" i="4" s="1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D221" i="4"/>
  <c r="AC221" i="4"/>
  <c r="AA221" i="4"/>
  <c r="W221" i="4"/>
  <c r="X221" i="4" s="1"/>
  <c r="U221" i="4"/>
  <c r="R221" i="4"/>
  <c r="N221" i="4"/>
  <c r="O221" i="4" s="1"/>
  <c r="L221" i="4"/>
  <c r="H221" i="4"/>
  <c r="I221" i="4" s="1"/>
  <c r="F221" i="4"/>
  <c r="C221" i="4"/>
  <c r="AD220" i="4"/>
  <c r="AC220" i="4"/>
  <c r="AA220" i="4"/>
  <c r="X220" i="4"/>
  <c r="W220" i="4"/>
  <c r="U220" i="4"/>
  <c r="R220" i="4"/>
  <c r="N220" i="4"/>
  <c r="O220" i="4" s="1"/>
  <c r="L220" i="4"/>
  <c r="I220" i="4"/>
  <c r="H220" i="4"/>
  <c r="F220" i="4"/>
  <c r="C220" i="4"/>
  <c r="AD219" i="4"/>
  <c r="AC219" i="4"/>
  <c r="AA219" i="4"/>
  <c r="W219" i="4"/>
  <c r="X219" i="4" s="1"/>
  <c r="U219" i="4"/>
  <c r="R219" i="4"/>
  <c r="N219" i="4"/>
  <c r="O219" i="4" s="1"/>
  <c r="L219" i="4"/>
  <c r="I219" i="4"/>
  <c r="H219" i="4"/>
  <c r="F219" i="4"/>
  <c r="C219" i="4"/>
  <c r="Z218" i="4"/>
  <c r="AA218" i="4" s="1"/>
  <c r="X218" i="4"/>
  <c r="U218" i="4"/>
  <c r="T218" i="4"/>
  <c r="R218" i="4"/>
  <c r="Q218" i="4"/>
  <c r="W218" i="4" s="1"/>
  <c r="N218" i="4"/>
  <c r="O218" i="4" s="1"/>
  <c r="L218" i="4"/>
  <c r="K218" i="4"/>
  <c r="F218" i="4"/>
  <c r="E218" i="4"/>
  <c r="B218" i="4"/>
  <c r="AD217" i="4"/>
  <c r="AC217" i="4"/>
  <c r="AA217" i="4"/>
  <c r="W217" i="4"/>
  <c r="X217" i="4" s="1"/>
  <c r="U217" i="4"/>
  <c r="R217" i="4"/>
  <c r="O217" i="4"/>
  <c r="N217" i="4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O216" i="4"/>
  <c r="N216" i="4"/>
  <c r="L216" i="4"/>
  <c r="I216" i="4"/>
  <c r="H216" i="4"/>
  <c r="F216" i="4"/>
  <c r="C216" i="4"/>
  <c r="AC215" i="4"/>
  <c r="AD215" i="4" s="1"/>
  <c r="AA215" i="4"/>
  <c r="W215" i="4"/>
  <c r="X215" i="4" s="1"/>
  <c r="U215" i="4"/>
  <c r="R215" i="4"/>
  <c r="O215" i="4"/>
  <c r="N215" i="4"/>
  <c r="L215" i="4"/>
  <c r="I215" i="4"/>
  <c r="H215" i="4"/>
  <c r="F215" i="4"/>
  <c r="C215" i="4"/>
  <c r="AD214" i="4"/>
  <c r="AC214" i="4"/>
  <c r="AA214" i="4"/>
  <c r="X214" i="4"/>
  <c r="W214" i="4"/>
  <c r="U214" i="4"/>
  <c r="R214" i="4"/>
  <c r="N214" i="4"/>
  <c r="O214" i="4" s="1"/>
  <c r="L214" i="4"/>
  <c r="I214" i="4"/>
  <c r="H214" i="4"/>
  <c r="F214" i="4"/>
  <c r="C214" i="4"/>
  <c r="AD213" i="4"/>
  <c r="AC213" i="4"/>
  <c r="AA213" i="4"/>
  <c r="X213" i="4"/>
  <c r="W213" i="4"/>
  <c r="U213" i="4"/>
  <c r="R213" i="4"/>
  <c r="O213" i="4"/>
  <c r="N213" i="4"/>
  <c r="L213" i="4"/>
  <c r="H213" i="4"/>
  <c r="I213" i="4" s="1"/>
  <c r="F213" i="4"/>
  <c r="C213" i="4"/>
  <c r="AD211" i="4"/>
  <c r="AC211" i="4"/>
  <c r="AA211" i="4"/>
  <c r="W211" i="4"/>
  <c r="X211" i="4" s="1"/>
  <c r="U211" i="4"/>
  <c r="R211" i="4"/>
  <c r="O211" i="4"/>
  <c r="N211" i="4"/>
  <c r="L211" i="4"/>
  <c r="I211" i="4"/>
  <c r="H211" i="4"/>
  <c r="F211" i="4"/>
  <c r="C211" i="4"/>
  <c r="Z209" i="4"/>
  <c r="AA209" i="4" s="1"/>
  <c r="T209" i="4"/>
  <c r="U209" i="4" s="1"/>
  <c r="Q209" i="4"/>
  <c r="W209" i="4" s="1"/>
  <c r="X209" i="4" s="1"/>
  <c r="L209" i="4"/>
  <c r="K209" i="4"/>
  <c r="E209" i="4"/>
  <c r="H209" i="4" s="1"/>
  <c r="I209" i="4" s="1"/>
  <c r="C209" i="4"/>
  <c r="B209" i="4"/>
  <c r="N209" i="4" s="1"/>
  <c r="O209" i="4" s="1"/>
  <c r="AD208" i="4"/>
  <c r="AC208" i="4"/>
  <c r="AA208" i="4"/>
  <c r="W208" i="4"/>
  <c r="X208" i="4" s="1"/>
  <c r="U208" i="4"/>
  <c r="R208" i="4"/>
  <c r="N208" i="4"/>
  <c r="O208" i="4" s="1"/>
  <c r="L208" i="4"/>
  <c r="H208" i="4"/>
  <c r="I208" i="4" s="1"/>
  <c r="F208" i="4"/>
  <c r="C208" i="4"/>
  <c r="AD207" i="4"/>
  <c r="AC207" i="4"/>
  <c r="AA207" i="4"/>
  <c r="W207" i="4"/>
  <c r="X207" i="4" s="1"/>
  <c r="U207" i="4"/>
  <c r="R207" i="4"/>
  <c r="O207" i="4"/>
  <c r="N207" i="4"/>
  <c r="L207" i="4"/>
  <c r="I207" i="4"/>
  <c r="H207" i="4"/>
  <c r="F207" i="4"/>
  <c r="C207" i="4"/>
  <c r="AD206" i="4"/>
  <c r="AC206" i="4"/>
  <c r="AA206" i="4"/>
  <c r="X206" i="4"/>
  <c r="W206" i="4"/>
  <c r="U206" i="4"/>
  <c r="R206" i="4"/>
  <c r="N206" i="4"/>
  <c r="O206" i="4" s="1"/>
  <c r="L206" i="4"/>
  <c r="I206" i="4"/>
  <c r="H206" i="4"/>
  <c r="F206" i="4"/>
  <c r="C206" i="4"/>
  <c r="AD205" i="4"/>
  <c r="AC205" i="4"/>
  <c r="AA205" i="4"/>
  <c r="X205" i="4"/>
  <c r="W205" i="4"/>
  <c r="U205" i="4"/>
  <c r="R205" i="4"/>
  <c r="N205" i="4"/>
  <c r="O205" i="4" s="1"/>
  <c r="L205" i="4"/>
  <c r="H205" i="4"/>
  <c r="I205" i="4" s="1"/>
  <c r="F205" i="4"/>
  <c r="C205" i="4"/>
  <c r="AD204" i="4"/>
  <c r="AC204" i="4"/>
  <c r="AA204" i="4"/>
  <c r="X204" i="4"/>
  <c r="W204" i="4"/>
  <c r="U204" i="4"/>
  <c r="R204" i="4"/>
  <c r="O204" i="4"/>
  <c r="N204" i="4"/>
  <c r="L204" i="4"/>
  <c r="H204" i="4"/>
  <c r="I204" i="4" s="1"/>
  <c r="F204" i="4"/>
  <c r="C204" i="4"/>
  <c r="AC203" i="4"/>
  <c r="AD203" i="4" s="1"/>
  <c r="AA203" i="4"/>
  <c r="W203" i="4"/>
  <c r="X203" i="4" s="1"/>
  <c r="U203" i="4"/>
  <c r="R203" i="4"/>
  <c r="N203" i="4"/>
  <c r="O203" i="4" s="1"/>
  <c r="L203" i="4"/>
  <c r="I203" i="4"/>
  <c r="H203" i="4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H202" i="4"/>
  <c r="I202" i="4" s="1"/>
  <c r="F202" i="4"/>
  <c r="C202" i="4"/>
  <c r="AC201" i="4"/>
  <c r="AD201" i="4" s="1"/>
  <c r="AA201" i="4"/>
  <c r="W201" i="4"/>
  <c r="X201" i="4" s="1"/>
  <c r="U201" i="4"/>
  <c r="R201" i="4"/>
  <c r="N201" i="4"/>
  <c r="O201" i="4" s="1"/>
  <c r="L201" i="4"/>
  <c r="I201" i="4"/>
  <c r="H201" i="4"/>
  <c r="F201" i="4"/>
  <c r="C201" i="4"/>
  <c r="Z197" i="4"/>
  <c r="AA197" i="4" s="1"/>
  <c r="T197" i="4"/>
  <c r="U197" i="4" s="1"/>
  <c r="Q197" i="4"/>
  <c r="L197" i="4"/>
  <c r="K197" i="4"/>
  <c r="H197" i="4"/>
  <c r="I197" i="4" s="1"/>
  <c r="F197" i="4"/>
  <c r="E197" i="4"/>
  <c r="C197" i="4"/>
  <c r="B197" i="4"/>
  <c r="N197" i="4" s="1"/>
  <c r="O197" i="4" s="1"/>
  <c r="AA196" i="4"/>
  <c r="Z196" i="4"/>
  <c r="T196" i="4"/>
  <c r="R196" i="4"/>
  <c r="Q196" i="4"/>
  <c r="AC196" i="4" s="1"/>
  <c r="AD196" i="4" s="1"/>
  <c r="K196" i="4"/>
  <c r="L196" i="4" s="1"/>
  <c r="I196" i="4"/>
  <c r="H196" i="4"/>
  <c r="F196" i="4"/>
  <c r="E196" i="4"/>
  <c r="C196" i="4"/>
  <c r="B196" i="4"/>
  <c r="N196" i="4" s="1"/>
  <c r="O196" i="4" s="1"/>
  <c r="AC195" i="4"/>
  <c r="AD195" i="4" s="1"/>
  <c r="AA195" i="4"/>
  <c r="W195" i="4"/>
  <c r="X195" i="4" s="1"/>
  <c r="U195" i="4"/>
  <c r="R195" i="4"/>
  <c r="N195" i="4"/>
  <c r="O195" i="4" s="1"/>
  <c r="L195" i="4"/>
  <c r="H195" i="4"/>
  <c r="I195" i="4" s="1"/>
  <c r="F195" i="4"/>
  <c r="C195" i="4"/>
  <c r="AD194" i="4"/>
  <c r="AC194" i="4"/>
  <c r="AA194" i="4"/>
  <c r="W194" i="4"/>
  <c r="X194" i="4" s="1"/>
  <c r="U194" i="4"/>
  <c r="R194" i="4"/>
  <c r="N194" i="4"/>
  <c r="O194" i="4" s="1"/>
  <c r="L194" i="4"/>
  <c r="H194" i="4"/>
  <c r="I194" i="4" s="1"/>
  <c r="F194" i="4"/>
  <c r="C194" i="4"/>
  <c r="AA193" i="4"/>
  <c r="Z193" i="4"/>
  <c r="X193" i="4"/>
  <c r="U193" i="4"/>
  <c r="T193" i="4"/>
  <c r="W193" i="4" s="1"/>
  <c r="R193" i="4"/>
  <c r="Q193" i="4"/>
  <c r="AC193" i="4" s="1"/>
  <c r="AD193" i="4" s="1"/>
  <c r="L193" i="4"/>
  <c r="K193" i="4"/>
  <c r="F193" i="4"/>
  <c r="E193" i="4"/>
  <c r="B193" i="4"/>
  <c r="H193" i="4" s="1"/>
  <c r="I193" i="4" s="1"/>
  <c r="AD192" i="4"/>
  <c r="AC192" i="4"/>
  <c r="AA192" i="4"/>
  <c r="W192" i="4"/>
  <c r="X192" i="4" s="1"/>
  <c r="U192" i="4"/>
  <c r="R192" i="4"/>
  <c r="O192" i="4"/>
  <c r="N192" i="4"/>
  <c r="L192" i="4"/>
  <c r="I192" i="4"/>
  <c r="H192" i="4"/>
  <c r="F192" i="4"/>
  <c r="C192" i="4"/>
  <c r="AC191" i="4"/>
  <c r="AD191" i="4" s="1"/>
  <c r="AA191" i="4"/>
  <c r="W191" i="4"/>
  <c r="X191" i="4" s="1"/>
  <c r="U191" i="4"/>
  <c r="R191" i="4"/>
  <c r="N191" i="4"/>
  <c r="O191" i="4" s="1"/>
  <c r="L191" i="4"/>
  <c r="H191" i="4"/>
  <c r="I191" i="4" s="1"/>
  <c r="F191" i="4"/>
  <c r="C191" i="4"/>
  <c r="AD190" i="4"/>
  <c r="AC190" i="4"/>
  <c r="AA190" i="4"/>
  <c r="W190" i="4"/>
  <c r="X190" i="4" s="1"/>
  <c r="U190" i="4"/>
  <c r="R190" i="4"/>
  <c r="O190" i="4"/>
  <c r="N190" i="4"/>
  <c r="L190" i="4"/>
  <c r="I190" i="4"/>
  <c r="H190" i="4"/>
  <c r="F190" i="4"/>
  <c r="C190" i="4"/>
  <c r="AC189" i="4"/>
  <c r="AD189" i="4" s="1"/>
  <c r="AA189" i="4"/>
  <c r="W189" i="4"/>
  <c r="X189" i="4" s="1"/>
  <c r="U189" i="4"/>
  <c r="R189" i="4"/>
  <c r="N189" i="4"/>
  <c r="O189" i="4" s="1"/>
  <c r="L189" i="4"/>
  <c r="I189" i="4"/>
  <c r="H189" i="4"/>
  <c r="F189" i="4"/>
  <c r="C189" i="4"/>
  <c r="AD188" i="4"/>
  <c r="AC188" i="4"/>
  <c r="AA188" i="4"/>
  <c r="W188" i="4"/>
  <c r="X188" i="4" s="1"/>
  <c r="U188" i="4"/>
  <c r="R188" i="4"/>
  <c r="O188" i="4"/>
  <c r="N188" i="4"/>
  <c r="L188" i="4"/>
  <c r="H188" i="4"/>
  <c r="I188" i="4" s="1"/>
  <c r="F188" i="4"/>
  <c r="C188" i="4"/>
  <c r="AD187" i="4"/>
  <c r="AC187" i="4"/>
  <c r="AA187" i="4"/>
  <c r="X187" i="4"/>
  <c r="W187" i="4"/>
  <c r="U187" i="4"/>
  <c r="R187" i="4"/>
  <c r="N187" i="4"/>
  <c r="O187" i="4" s="1"/>
  <c r="L187" i="4"/>
  <c r="I187" i="4"/>
  <c r="H187" i="4"/>
  <c r="F187" i="4"/>
  <c r="C187" i="4"/>
  <c r="AD186" i="4"/>
  <c r="AC186" i="4"/>
  <c r="AA186" i="4"/>
  <c r="X186" i="4"/>
  <c r="W186" i="4"/>
  <c r="U186" i="4"/>
  <c r="R186" i="4"/>
  <c r="N186" i="4"/>
  <c r="O186" i="4" s="1"/>
  <c r="L186" i="4"/>
  <c r="H186" i="4"/>
  <c r="I186" i="4" s="1"/>
  <c r="F186" i="4"/>
  <c r="C186" i="4"/>
  <c r="AD184" i="4"/>
  <c r="AC184" i="4"/>
  <c r="AA184" i="4"/>
  <c r="W184" i="4"/>
  <c r="X184" i="4" s="1"/>
  <c r="U184" i="4"/>
  <c r="R184" i="4"/>
  <c r="O184" i="4"/>
  <c r="N184" i="4"/>
  <c r="L184" i="4"/>
  <c r="I184" i="4"/>
  <c r="H184" i="4"/>
  <c r="F184" i="4"/>
  <c r="C184" i="4"/>
  <c r="AD183" i="4"/>
  <c r="AC183" i="4"/>
  <c r="AA183" i="4"/>
  <c r="X183" i="4"/>
  <c r="W183" i="4"/>
  <c r="U183" i="4"/>
  <c r="R183" i="4"/>
  <c r="N183" i="4"/>
  <c r="O183" i="4" s="1"/>
  <c r="L183" i="4"/>
  <c r="H183" i="4"/>
  <c r="I183" i="4" s="1"/>
  <c r="F183" i="4"/>
  <c r="C183" i="4"/>
  <c r="AA182" i="4"/>
  <c r="Z182" i="4"/>
  <c r="W182" i="4"/>
  <c r="X182" i="4" s="1"/>
  <c r="U182" i="4"/>
  <c r="T182" i="4"/>
  <c r="R182" i="4"/>
  <c r="Q182" i="4"/>
  <c r="AC182" i="4" s="1"/>
  <c r="AD182" i="4" s="1"/>
  <c r="K182" i="4"/>
  <c r="L182" i="4" s="1"/>
  <c r="E182" i="4"/>
  <c r="F182" i="4" s="1"/>
  <c r="B182" i="4"/>
  <c r="AD181" i="4"/>
  <c r="AC181" i="4"/>
  <c r="AA181" i="4"/>
  <c r="W181" i="4"/>
  <c r="X181" i="4" s="1"/>
  <c r="U181" i="4"/>
  <c r="R181" i="4"/>
  <c r="N181" i="4"/>
  <c r="O181" i="4" s="1"/>
  <c r="L181" i="4"/>
  <c r="I181" i="4"/>
  <c r="H181" i="4"/>
  <c r="F181" i="4"/>
  <c r="C181" i="4"/>
  <c r="AD180" i="4"/>
  <c r="AC180" i="4"/>
  <c r="AA180" i="4"/>
  <c r="X180" i="4"/>
  <c r="W180" i="4"/>
  <c r="U180" i="4"/>
  <c r="R180" i="4"/>
  <c r="N180" i="4"/>
  <c r="O180" i="4" s="1"/>
  <c r="L180" i="4"/>
  <c r="I180" i="4"/>
  <c r="H180" i="4"/>
  <c r="F180" i="4"/>
  <c r="C180" i="4"/>
  <c r="AD179" i="4"/>
  <c r="AC179" i="4"/>
  <c r="AA179" i="4"/>
  <c r="W179" i="4"/>
  <c r="X179" i="4" s="1"/>
  <c r="U179" i="4"/>
  <c r="R179" i="4"/>
  <c r="N179" i="4"/>
  <c r="O179" i="4" s="1"/>
  <c r="L179" i="4"/>
  <c r="H179" i="4"/>
  <c r="I179" i="4" s="1"/>
  <c r="F179" i="4"/>
  <c r="C179" i="4"/>
  <c r="AD178" i="4"/>
  <c r="AC178" i="4"/>
  <c r="AA178" i="4"/>
  <c r="X178" i="4"/>
  <c r="W178" i="4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W177" i="4"/>
  <c r="X177" i="4" s="1"/>
  <c r="U177" i="4"/>
  <c r="R177" i="4"/>
  <c r="N177" i="4"/>
  <c r="O177" i="4" s="1"/>
  <c r="L177" i="4"/>
  <c r="I177" i="4"/>
  <c r="H177" i="4"/>
  <c r="F177" i="4"/>
  <c r="C177" i="4"/>
  <c r="AD175" i="4"/>
  <c r="AC175" i="4"/>
  <c r="AA175" i="4"/>
  <c r="W175" i="4"/>
  <c r="X175" i="4" s="1"/>
  <c r="U175" i="4"/>
  <c r="R175" i="4"/>
  <c r="O175" i="4"/>
  <c r="N175" i="4"/>
  <c r="L175" i="4"/>
  <c r="I175" i="4"/>
  <c r="H175" i="4"/>
  <c r="F175" i="4"/>
  <c r="C175" i="4"/>
  <c r="F172" i="4"/>
  <c r="AA171" i="4"/>
  <c r="Z171" i="4"/>
  <c r="T171" i="4"/>
  <c r="U171" i="4" s="1"/>
  <c r="Q171" i="4"/>
  <c r="W171" i="4" s="1"/>
  <c r="X171" i="4" s="1"/>
  <c r="K171" i="4"/>
  <c r="E171" i="4"/>
  <c r="E172" i="4" s="1"/>
  <c r="E198" i="4" s="1"/>
  <c r="C171" i="4"/>
  <c r="B171" i="4"/>
  <c r="AA170" i="4"/>
  <c r="Z170" i="4"/>
  <c r="U170" i="4"/>
  <c r="T170" i="4"/>
  <c r="Q170" i="4"/>
  <c r="AC170" i="4" s="1"/>
  <c r="AD170" i="4" s="1"/>
  <c r="K170" i="4"/>
  <c r="L170" i="4" s="1"/>
  <c r="I170" i="4"/>
  <c r="F170" i="4"/>
  <c r="E170" i="4"/>
  <c r="C170" i="4"/>
  <c r="B170" i="4"/>
  <c r="H170" i="4" s="1"/>
  <c r="AC169" i="4"/>
  <c r="AD169" i="4" s="1"/>
  <c r="AA169" i="4"/>
  <c r="W169" i="4"/>
  <c r="X169" i="4" s="1"/>
  <c r="U169" i="4"/>
  <c r="R169" i="4"/>
  <c r="O169" i="4"/>
  <c r="N169" i="4"/>
  <c r="L169" i="4"/>
  <c r="I169" i="4"/>
  <c r="H169" i="4"/>
  <c r="F169" i="4"/>
  <c r="C169" i="4"/>
  <c r="AC168" i="4"/>
  <c r="AD168" i="4" s="1"/>
  <c r="AA168" i="4"/>
  <c r="W168" i="4"/>
  <c r="X168" i="4" s="1"/>
  <c r="U168" i="4"/>
  <c r="R168" i="4"/>
  <c r="O168" i="4"/>
  <c r="N168" i="4"/>
  <c r="L168" i="4"/>
  <c r="I168" i="4"/>
  <c r="H168" i="4"/>
  <c r="F168" i="4"/>
  <c r="C168" i="4"/>
  <c r="AC167" i="4"/>
  <c r="AD167" i="4" s="1"/>
  <c r="AA167" i="4"/>
  <c r="X167" i="4"/>
  <c r="W167" i="4"/>
  <c r="U167" i="4"/>
  <c r="R167" i="4"/>
  <c r="N167" i="4"/>
  <c r="O167" i="4" s="1"/>
  <c r="L167" i="4"/>
  <c r="I167" i="4"/>
  <c r="H167" i="4"/>
  <c r="F167" i="4"/>
  <c r="C167" i="4"/>
  <c r="Z166" i="4"/>
  <c r="AA166" i="4" s="1"/>
  <c r="T166" i="4"/>
  <c r="R166" i="4"/>
  <c r="Q166" i="4"/>
  <c r="K166" i="4"/>
  <c r="L166" i="4" s="1"/>
  <c r="H166" i="4"/>
  <c r="I166" i="4" s="1"/>
  <c r="F166" i="4"/>
  <c r="E166" i="4"/>
  <c r="B166" i="4"/>
  <c r="C166" i="4" s="1"/>
  <c r="AC165" i="4"/>
  <c r="AD165" i="4" s="1"/>
  <c r="AA165" i="4"/>
  <c r="X165" i="4"/>
  <c r="W165" i="4"/>
  <c r="U165" i="4"/>
  <c r="R165" i="4"/>
  <c r="O165" i="4"/>
  <c r="N165" i="4"/>
  <c r="L165" i="4"/>
  <c r="H165" i="4"/>
  <c r="I165" i="4" s="1"/>
  <c r="F165" i="4"/>
  <c r="C165" i="4"/>
  <c r="AC164" i="4"/>
  <c r="AD164" i="4" s="1"/>
  <c r="AA164" i="4"/>
  <c r="X164" i="4"/>
  <c r="W164" i="4"/>
  <c r="U164" i="4"/>
  <c r="R164" i="4"/>
  <c r="N164" i="4"/>
  <c r="O164" i="4" s="1"/>
  <c r="L164" i="4"/>
  <c r="I164" i="4"/>
  <c r="H164" i="4"/>
  <c r="F164" i="4"/>
  <c r="C164" i="4"/>
  <c r="AD163" i="4"/>
  <c r="AC163" i="4"/>
  <c r="AA163" i="4"/>
  <c r="W163" i="4"/>
  <c r="X163" i="4" s="1"/>
  <c r="U163" i="4"/>
  <c r="R163" i="4"/>
  <c r="N163" i="4"/>
  <c r="O163" i="4" s="1"/>
  <c r="L163" i="4"/>
  <c r="H163" i="4"/>
  <c r="I163" i="4" s="1"/>
  <c r="F163" i="4"/>
  <c r="C163" i="4"/>
  <c r="AD162" i="4"/>
  <c r="AC162" i="4"/>
  <c r="AA162" i="4"/>
  <c r="W162" i="4"/>
  <c r="X162" i="4" s="1"/>
  <c r="U162" i="4"/>
  <c r="R162" i="4"/>
  <c r="O162" i="4"/>
  <c r="N162" i="4"/>
  <c r="L162" i="4"/>
  <c r="I162" i="4"/>
  <c r="H162" i="4"/>
  <c r="F162" i="4"/>
  <c r="C162" i="4"/>
  <c r="AC161" i="4"/>
  <c r="AD161" i="4" s="1"/>
  <c r="AA161" i="4"/>
  <c r="X161" i="4"/>
  <c r="W161" i="4"/>
  <c r="U161" i="4"/>
  <c r="R161" i="4"/>
  <c r="N161" i="4"/>
  <c r="O161" i="4" s="1"/>
  <c r="L161" i="4"/>
  <c r="H161" i="4"/>
  <c r="I161" i="4" s="1"/>
  <c r="F161" i="4"/>
  <c r="C161" i="4"/>
  <c r="AD160" i="4"/>
  <c r="AC160" i="4"/>
  <c r="AA160" i="4"/>
  <c r="X160" i="4"/>
  <c r="W160" i="4"/>
  <c r="U160" i="4"/>
  <c r="R160" i="4"/>
  <c r="N160" i="4"/>
  <c r="O160" i="4" s="1"/>
  <c r="L160" i="4"/>
  <c r="H160" i="4"/>
  <c r="I160" i="4" s="1"/>
  <c r="F160" i="4"/>
  <c r="C160" i="4"/>
  <c r="Z158" i="4"/>
  <c r="AA158" i="4" s="1"/>
  <c r="T158" i="4"/>
  <c r="W158" i="4" s="1"/>
  <c r="X158" i="4" s="1"/>
  <c r="R158" i="4"/>
  <c r="Q158" i="4"/>
  <c r="L158" i="4"/>
  <c r="K158" i="4"/>
  <c r="F158" i="4"/>
  <c r="E158" i="4"/>
  <c r="B158" i="4"/>
  <c r="AD157" i="4"/>
  <c r="AC157" i="4"/>
  <c r="AA157" i="4"/>
  <c r="X157" i="4"/>
  <c r="W157" i="4"/>
  <c r="U157" i="4"/>
  <c r="R157" i="4"/>
  <c r="O157" i="4"/>
  <c r="N157" i="4"/>
  <c r="L157" i="4"/>
  <c r="H157" i="4"/>
  <c r="I157" i="4" s="1"/>
  <c r="F157" i="4"/>
  <c r="C157" i="4"/>
  <c r="AC156" i="4"/>
  <c r="AD156" i="4" s="1"/>
  <c r="AA156" i="4"/>
  <c r="W156" i="4"/>
  <c r="X156" i="4" s="1"/>
  <c r="U156" i="4"/>
  <c r="R156" i="4"/>
  <c r="N156" i="4"/>
  <c r="O156" i="4" s="1"/>
  <c r="L156" i="4"/>
  <c r="I156" i="4"/>
  <c r="H156" i="4"/>
  <c r="F156" i="4"/>
  <c r="C156" i="4"/>
  <c r="AD155" i="4"/>
  <c r="AC155" i="4"/>
  <c r="AA155" i="4"/>
  <c r="W155" i="4"/>
  <c r="X155" i="4" s="1"/>
  <c r="U155" i="4"/>
  <c r="R155" i="4"/>
  <c r="N155" i="4"/>
  <c r="O155" i="4" s="1"/>
  <c r="L155" i="4"/>
  <c r="I155" i="4"/>
  <c r="H155" i="4"/>
  <c r="F155" i="4"/>
  <c r="C155" i="4"/>
  <c r="AC154" i="4"/>
  <c r="AD154" i="4" s="1"/>
  <c r="AA154" i="4"/>
  <c r="W154" i="4"/>
  <c r="X154" i="4" s="1"/>
  <c r="U154" i="4"/>
  <c r="R154" i="4"/>
  <c r="O154" i="4"/>
  <c r="N154" i="4"/>
  <c r="L154" i="4"/>
  <c r="I154" i="4"/>
  <c r="H154" i="4"/>
  <c r="F154" i="4"/>
  <c r="C154" i="4"/>
  <c r="AC153" i="4"/>
  <c r="AD153" i="4" s="1"/>
  <c r="AA153" i="4"/>
  <c r="W153" i="4"/>
  <c r="X153" i="4" s="1"/>
  <c r="U153" i="4"/>
  <c r="R153" i="4"/>
  <c r="O153" i="4"/>
  <c r="N153" i="4"/>
  <c r="L153" i="4"/>
  <c r="I153" i="4"/>
  <c r="H153" i="4"/>
  <c r="F153" i="4"/>
  <c r="C153" i="4"/>
  <c r="AC151" i="4"/>
  <c r="AD151" i="4" s="1"/>
  <c r="AA151" i="4"/>
  <c r="X151" i="4"/>
  <c r="W151" i="4"/>
  <c r="U151" i="4"/>
  <c r="R151" i="4"/>
  <c r="N151" i="4"/>
  <c r="O151" i="4" s="1"/>
  <c r="L151" i="4"/>
  <c r="I151" i="4"/>
  <c r="H151" i="4"/>
  <c r="F151" i="4"/>
  <c r="C151" i="4"/>
  <c r="Z149" i="4"/>
  <c r="AA149" i="4" s="1"/>
  <c r="W149" i="4"/>
  <c r="X149" i="4" s="1"/>
  <c r="T149" i="4"/>
  <c r="U149" i="4" s="1"/>
  <c r="R149" i="4"/>
  <c r="Q149" i="4"/>
  <c r="K149" i="4"/>
  <c r="L149" i="4" s="1"/>
  <c r="H149" i="4"/>
  <c r="I149" i="4" s="1"/>
  <c r="F149" i="4"/>
  <c r="E149" i="4"/>
  <c r="B149" i="4"/>
  <c r="C149" i="4" s="1"/>
  <c r="Z148" i="4"/>
  <c r="AA148" i="4" s="1"/>
  <c r="T148" i="4"/>
  <c r="U148" i="4" s="1"/>
  <c r="Q148" i="4"/>
  <c r="AC148" i="4" s="1"/>
  <c r="AD148" i="4" s="1"/>
  <c r="L148" i="4"/>
  <c r="K148" i="4"/>
  <c r="E148" i="4"/>
  <c r="C148" i="4"/>
  <c r="B148" i="4"/>
  <c r="N148" i="4" s="1"/>
  <c r="O148" i="4" s="1"/>
  <c r="AD147" i="4"/>
  <c r="AC147" i="4"/>
  <c r="AA147" i="4"/>
  <c r="W147" i="4"/>
  <c r="X147" i="4" s="1"/>
  <c r="U147" i="4"/>
  <c r="R147" i="4"/>
  <c r="N147" i="4"/>
  <c r="O147" i="4" s="1"/>
  <c r="L147" i="4"/>
  <c r="H147" i="4"/>
  <c r="I147" i="4" s="1"/>
  <c r="F147" i="4"/>
  <c r="C147" i="4"/>
  <c r="AD146" i="4"/>
  <c r="AC146" i="4"/>
  <c r="AA146" i="4"/>
  <c r="W146" i="4"/>
  <c r="X146" i="4" s="1"/>
  <c r="U146" i="4"/>
  <c r="R146" i="4"/>
  <c r="O146" i="4"/>
  <c r="N146" i="4"/>
  <c r="L146" i="4"/>
  <c r="I146" i="4"/>
  <c r="H146" i="4"/>
  <c r="F146" i="4"/>
  <c r="C146" i="4"/>
  <c r="AD145" i="4"/>
  <c r="AC145" i="4"/>
  <c r="AA145" i="4"/>
  <c r="X145" i="4"/>
  <c r="W145" i="4"/>
  <c r="U145" i="4"/>
  <c r="R145" i="4"/>
  <c r="N145" i="4"/>
  <c r="O145" i="4" s="1"/>
  <c r="L145" i="4"/>
  <c r="I145" i="4"/>
  <c r="H145" i="4"/>
  <c r="F145" i="4"/>
  <c r="C145" i="4"/>
  <c r="AD144" i="4"/>
  <c r="AC144" i="4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D143" i="4"/>
  <c r="AC143" i="4"/>
  <c r="AA143" i="4"/>
  <c r="X143" i="4"/>
  <c r="W143" i="4"/>
  <c r="U143" i="4"/>
  <c r="R143" i="4"/>
  <c r="O143" i="4"/>
  <c r="N143" i="4"/>
  <c r="L143" i="4"/>
  <c r="I143" i="4"/>
  <c r="H143" i="4"/>
  <c r="F143" i="4"/>
  <c r="C143" i="4"/>
  <c r="AC141" i="4"/>
  <c r="AD141" i="4" s="1"/>
  <c r="AA141" i="4"/>
  <c r="Z141" i="4"/>
  <c r="T141" i="4"/>
  <c r="U141" i="4" s="1"/>
  <c r="Q141" i="4"/>
  <c r="K141" i="4"/>
  <c r="L141" i="4" s="1"/>
  <c r="F141" i="4"/>
  <c r="E141" i="4"/>
  <c r="H141" i="4" s="1"/>
  <c r="I141" i="4" s="1"/>
  <c r="C141" i="4"/>
  <c r="B141" i="4"/>
  <c r="N141" i="4" s="1"/>
  <c r="O141" i="4" s="1"/>
  <c r="AC140" i="4"/>
  <c r="AD140" i="4" s="1"/>
  <c r="AA140" i="4"/>
  <c r="W140" i="4"/>
  <c r="X140" i="4" s="1"/>
  <c r="U140" i="4"/>
  <c r="R140" i="4"/>
  <c r="N140" i="4"/>
  <c r="O140" i="4" s="1"/>
  <c r="L140" i="4"/>
  <c r="I140" i="4"/>
  <c r="H140" i="4"/>
  <c r="F140" i="4"/>
  <c r="C140" i="4"/>
  <c r="AD139" i="4"/>
  <c r="AC139" i="4"/>
  <c r="AA139" i="4"/>
  <c r="W139" i="4"/>
  <c r="X139" i="4" s="1"/>
  <c r="U139" i="4"/>
  <c r="R139" i="4"/>
  <c r="O139" i="4"/>
  <c r="N139" i="4"/>
  <c r="L139" i="4"/>
  <c r="I139" i="4"/>
  <c r="H139" i="4"/>
  <c r="F139" i="4"/>
  <c r="C139" i="4"/>
  <c r="AC138" i="4"/>
  <c r="AD138" i="4" s="1"/>
  <c r="AA138" i="4"/>
  <c r="W138" i="4"/>
  <c r="X138" i="4" s="1"/>
  <c r="U138" i="4"/>
  <c r="R138" i="4"/>
  <c r="O138" i="4"/>
  <c r="N138" i="4"/>
  <c r="L138" i="4"/>
  <c r="I138" i="4"/>
  <c r="H138" i="4"/>
  <c r="F138" i="4"/>
  <c r="C138" i="4"/>
  <c r="AC137" i="4"/>
  <c r="AD137" i="4" s="1"/>
  <c r="AA137" i="4"/>
  <c r="W137" i="4"/>
  <c r="X137" i="4" s="1"/>
  <c r="U137" i="4"/>
  <c r="R137" i="4"/>
  <c r="O137" i="4"/>
  <c r="N137" i="4"/>
  <c r="L137" i="4"/>
  <c r="I137" i="4"/>
  <c r="H137" i="4"/>
  <c r="F137" i="4"/>
  <c r="C137" i="4"/>
  <c r="AC136" i="4"/>
  <c r="AD136" i="4" s="1"/>
  <c r="AA136" i="4"/>
  <c r="X136" i="4"/>
  <c r="W136" i="4"/>
  <c r="U136" i="4"/>
  <c r="R136" i="4"/>
  <c r="N136" i="4"/>
  <c r="O136" i="4" s="1"/>
  <c r="L136" i="4"/>
  <c r="I136" i="4"/>
  <c r="H136" i="4"/>
  <c r="F136" i="4"/>
  <c r="C136" i="4"/>
  <c r="AD135" i="4"/>
  <c r="AC135" i="4"/>
  <c r="AA135" i="4"/>
  <c r="W135" i="4"/>
  <c r="X135" i="4" s="1"/>
  <c r="U135" i="4"/>
  <c r="R135" i="4"/>
  <c r="O135" i="4"/>
  <c r="N135" i="4"/>
  <c r="L135" i="4"/>
  <c r="I135" i="4"/>
  <c r="H135" i="4"/>
  <c r="F135" i="4"/>
  <c r="C135" i="4"/>
  <c r="AD134" i="4"/>
  <c r="AC134" i="4"/>
  <c r="AA134" i="4"/>
  <c r="W134" i="4"/>
  <c r="X134" i="4" s="1"/>
  <c r="U134" i="4"/>
  <c r="R134" i="4"/>
  <c r="O134" i="4"/>
  <c r="N134" i="4"/>
  <c r="L134" i="4"/>
  <c r="I134" i="4"/>
  <c r="H134" i="4"/>
  <c r="F134" i="4"/>
  <c r="C134" i="4"/>
  <c r="AC133" i="4"/>
  <c r="AD133" i="4" s="1"/>
  <c r="AA133" i="4"/>
  <c r="X133" i="4"/>
  <c r="W133" i="4"/>
  <c r="U133" i="4"/>
  <c r="R133" i="4"/>
  <c r="O133" i="4"/>
  <c r="N133" i="4"/>
  <c r="L133" i="4"/>
  <c r="H133" i="4"/>
  <c r="I133" i="4" s="1"/>
  <c r="F133" i="4"/>
  <c r="C133" i="4"/>
  <c r="AC132" i="4"/>
  <c r="AD132" i="4" s="1"/>
  <c r="AA132" i="4"/>
  <c r="X132" i="4"/>
  <c r="W132" i="4"/>
  <c r="U132" i="4"/>
  <c r="R132" i="4"/>
  <c r="N132" i="4"/>
  <c r="O132" i="4" s="1"/>
  <c r="L132" i="4"/>
  <c r="H132" i="4"/>
  <c r="I132" i="4" s="1"/>
  <c r="F132" i="4"/>
  <c r="C132" i="4"/>
  <c r="AD131" i="4"/>
  <c r="AC131" i="4"/>
  <c r="AA131" i="4"/>
  <c r="W131" i="4"/>
  <c r="X131" i="4" s="1"/>
  <c r="U131" i="4"/>
  <c r="R131" i="4"/>
  <c r="N131" i="4"/>
  <c r="O131" i="4" s="1"/>
  <c r="L131" i="4"/>
  <c r="H131" i="4"/>
  <c r="I131" i="4" s="1"/>
  <c r="F131" i="4"/>
  <c r="C131" i="4"/>
  <c r="AD130" i="4"/>
  <c r="AC130" i="4"/>
  <c r="AA130" i="4"/>
  <c r="W130" i="4"/>
  <c r="X130" i="4" s="1"/>
  <c r="U130" i="4"/>
  <c r="R130" i="4"/>
  <c r="O130" i="4"/>
  <c r="N130" i="4"/>
  <c r="L130" i="4"/>
  <c r="I130" i="4"/>
  <c r="H130" i="4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I129" i="4"/>
  <c r="H129" i="4"/>
  <c r="F129" i="4"/>
  <c r="C129" i="4"/>
  <c r="AD127" i="4"/>
  <c r="AC127" i="4"/>
  <c r="AA127" i="4"/>
  <c r="X127" i="4"/>
  <c r="W127" i="4"/>
  <c r="U127" i="4"/>
  <c r="R127" i="4"/>
  <c r="N127" i="4"/>
  <c r="O127" i="4" s="1"/>
  <c r="L127" i="4"/>
  <c r="H127" i="4"/>
  <c r="I127" i="4" s="1"/>
  <c r="F127" i="4"/>
  <c r="C127" i="4"/>
  <c r="Z124" i="4"/>
  <c r="T124" i="4"/>
  <c r="R124" i="4"/>
  <c r="Q124" i="4"/>
  <c r="AC124" i="4" s="1"/>
  <c r="AD124" i="4" s="1"/>
  <c r="L124" i="4"/>
  <c r="K124" i="4"/>
  <c r="F124" i="4"/>
  <c r="E124" i="4"/>
  <c r="B124" i="4"/>
  <c r="N124" i="4" s="1"/>
  <c r="O124" i="4" s="1"/>
  <c r="AD123" i="4"/>
  <c r="AC123" i="4"/>
  <c r="AA123" i="4"/>
  <c r="W123" i="4"/>
  <c r="X123" i="4" s="1"/>
  <c r="U123" i="4"/>
  <c r="R123" i="4"/>
  <c r="O123" i="4"/>
  <c r="N123" i="4"/>
  <c r="L123" i="4"/>
  <c r="I123" i="4"/>
  <c r="H123" i="4"/>
  <c r="F123" i="4"/>
  <c r="C123" i="4"/>
  <c r="AA122" i="4"/>
  <c r="Z122" i="4"/>
  <c r="U122" i="4"/>
  <c r="T122" i="4"/>
  <c r="Q122" i="4"/>
  <c r="K122" i="4"/>
  <c r="L122" i="4" s="1"/>
  <c r="I122" i="4"/>
  <c r="F122" i="4"/>
  <c r="E122" i="4"/>
  <c r="C122" i="4"/>
  <c r="B122" i="4"/>
  <c r="H122" i="4" s="1"/>
  <c r="AC121" i="4"/>
  <c r="AD121" i="4" s="1"/>
  <c r="AA121" i="4"/>
  <c r="W121" i="4"/>
  <c r="X121" i="4" s="1"/>
  <c r="U121" i="4"/>
  <c r="R121" i="4"/>
  <c r="O121" i="4"/>
  <c r="N121" i="4"/>
  <c r="L121" i="4"/>
  <c r="I121" i="4"/>
  <c r="H121" i="4"/>
  <c r="F121" i="4"/>
  <c r="C121" i="4"/>
  <c r="AC120" i="4"/>
  <c r="AD120" i="4" s="1"/>
  <c r="AA120" i="4"/>
  <c r="W120" i="4"/>
  <c r="X120" i="4" s="1"/>
  <c r="U120" i="4"/>
  <c r="R120" i="4"/>
  <c r="O120" i="4"/>
  <c r="N120" i="4"/>
  <c r="L120" i="4"/>
  <c r="I120" i="4"/>
  <c r="H120" i="4"/>
  <c r="F120" i="4"/>
  <c r="C120" i="4"/>
  <c r="AD119" i="4"/>
  <c r="AC119" i="4"/>
  <c r="AA119" i="4"/>
  <c r="X119" i="4"/>
  <c r="W119" i="4"/>
  <c r="U119" i="4"/>
  <c r="R119" i="4"/>
  <c r="N119" i="4"/>
  <c r="O119" i="4" s="1"/>
  <c r="L119" i="4"/>
  <c r="I119" i="4"/>
  <c r="H119" i="4"/>
  <c r="F119" i="4"/>
  <c r="C119" i="4"/>
  <c r="AA118" i="4"/>
  <c r="Z118" i="4"/>
  <c r="W118" i="4"/>
  <c r="X118" i="4" s="1"/>
  <c r="T118" i="4"/>
  <c r="U118" i="4" s="1"/>
  <c r="R118" i="4"/>
  <c r="Q118" i="4"/>
  <c r="K118" i="4"/>
  <c r="L118" i="4" s="1"/>
  <c r="H118" i="4"/>
  <c r="I118" i="4" s="1"/>
  <c r="F118" i="4"/>
  <c r="E118" i="4"/>
  <c r="B118" i="4"/>
  <c r="C118" i="4" s="1"/>
  <c r="AD117" i="4"/>
  <c r="AC117" i="4"/>
  <c r="AA117" i="4"/>
  <c r="X117" i="4"/>
  <c r="W117" i="4"/>
  <c r="U117" i="4"/>
  <c r="R117" i="4"/>
  <c r="O117" i="4"/>
  <c r="N117" i="4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N116" i="4"/>
  <c r="O116" i="4" s="1"/>
  <c r="L116" i="4"/>
  <c r="H116" i="4"/>
  <c r="I116" i="4" s="1"/>
  <c r="F116" i="4"/>
  <c r="C116" i="4"/>
  <c r="AD115" i="4"/>
  <c r="AC115" i="4"/>
  <c r="AA115" i="4"/>
  <c r="X115" i="4"/>
  <c r="W115" i="4"/>
  <c r="U115" i="4"/>
  <c r="R115" i="4"/>
  <c r="N115" i="4"/>
  <c r="O115" i="4" s="1"/>
  <c r="L115" i="4"/>
  <c r="H115" i="4"/>
  <c r="I115" i="4" s="1"/>
  <c r="F115" i="4"/>
  <c r="C115" i="4"/>
  <c r="AD114" i="4"/>
  <c r="AC114" i="4"/>
  <c r="AA114" i="4"/>
  <c r="W114" i="4"/>
  <c r="X114" i="4" s="1"/>
  <c r="U114" i="4"/>
  <c r="R114" i="4"/>
  <c r="N114" i="4"/>
  <c r="O114" i="4" s="1"/>
  <c r="L114" i="4"/>
  <c r="I114" i="4"/>
  <c r="H114" i="4"/>
  <c r="F114" i="4"/>
  <c r="C114" i="4"/>
  <c r="AD113" i="4"/>
  <c r="AC113" i="4"/>
  <c r="AA113" i="4"/>
  <c r="X113" i="4"/>
  <c r="W113" i="4"/>
  <c r="U113" i="4"/>
  <c r="R113" i="4"/>
  <c r="N113" i="4"/>
  <c r="O113" i="4" s="1"/>
  <c r="L113" i="4"/>
  <c r="H113" i="4"/>
  <c r="I113" i="4" s="1"/>
  <c r="F113" i="4"/>
  <c r="C113" i="4"/>
  <c r="AD112" i="4"/>
  <c r="AC112" i="4"/>
  <c r="AA112" i="4"/>
  <c r="X112" i="4"/>
  <c r="W112" i="4"/>
  <c r="U112" i="4"/>
  <c r="R112" i="4"/>
  <c r="N112" i="4"/>
  <c r="O112" i="4" s="1"/>
  <c r="L112" i="4"/>
  <c r="H112" i="4"/>
  <c r="I112" i="4" s="1"/>
  <c r="F112" i="4"/>
  <c r="C112" i="4"/>
  <c r="AD111" i="4"/>
  <c r="AC111" i="4"/>
  <c r="AA111" i="4"/>
  <c r="X111" i="4"/>
  <c r="W111" i="4"/>
  <c r="U111" i="4"/>
  <c r="R111" i="4"/>
  <c r="O111" i="4"/>
  <c r="N111" i="4"/>
  <c r="L111" i="4"/>
  <c r="I111" i="4"/>
  <c r="H111" i="4"/>
  <c r="F111" i="4"/>
  <c r="C111" i="4"/>
  <c r="AC110" i="4"/>
  <c r="AD110" i="4" s="1"/>
  <c r="AA110" i="4"/>
  <c r="W110" i="4"/>
  <c r="X110" i="4" s="1"/>
  <c r="U110" i="4"/>
  <c r="R110" i="4"/>
  <c r="N110" i="4"/>
  <c r="O110" i="4" s="1"/>
  <c r="L110" i="4"/>
  <c r="I110" i="4"/>
  <c r="H110" i="4"/>
  <c r="F110" i="4"/>
  <c r="C110" i="4"/>
  <c r="AD109" i="4"/>
  <c r="AC109" i="4"/>
  <c r="AA109" i="4"/>
  <c r="W109" i="4"/>
  <c r="X109" i="4" s="1"/>
  <c r="U109" i="4"/>
  <c r="R109" i="4"/>
  <c r="O109" i="4"/>
  <c r="N109" i="4"/>
  <c r="L109" i="4"/>
  <c r="I109" i="4"/>
  <c r="H109" i="4"/>
  <c r="F109" i="4"/>
  <c r="C109" i="4"/>
  <c r="AC108" i="4"/>
  <c r="AD108" i="4" s="1"/>
  <c r="AA108" i="4"/>
  <c r="W108" i="4"/>
  <c r="X108" i="4" s="1"/>
  <c r="U108" i="4"/>
  <c r="R108" i="4"/>
  <c r="N108" i="4"/>
  <c r="O108" i="4" s="1"/>
  <c r="L108" i="4"/>
  <c r="I108" i="4"/>
  <c r="H108" i="4"/>
  <c r="F108" i="4"/>
  <c r="C108" i="4"/>
  <c r="AD107" i="4"/>
  <c r="AC107" i="4"/>
  <c r="AA107" i="4"/>
  <c r="W107" i="4"/>
  <c r="X107" i="4" s="1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O106" i="4"/>
  <c r="N106" i="4"/>
  <c r="L106" i="4"/>
  <c r="I106" i="4"/>
  <c r="H106" i="4"/>
  <c r="F106" i="4"/>
  <c r="C106" i="4"/>
  <c r="AC105" i="4"/>
  <c r="AD105" i="4" s="1"/>
  <c r="AA105" i="4"/>
  <c r="W105" i="4"/>
  <c r="X105" i="4" s="1"/>
  <c r="U105" i="4"/>
  <c r="R105" i="4"/>
  <c r="O105" i="4"/>
  <c r="N105" i="4"/>
  <c r="L105" i="4"/>
  <c r="I105" i="4"/>
  <c r="H105" i="4"/>
  <c r="F105" i="4"/>
  <c r="C105" i="4"/>
  <c r="AC104" i="4"/>
  <c r="AD104" i="4" s="1"/>
  <c r="AA104" i="4"/>
  <c r="X104" i="4"/>
  <c r="W104" i="4"/>
  <c r="U104" i="4"/>
  <c r="R104" i="4"/>
  <c r="N104" i="4"/>
  <c r="O104" i="4" s="1"/>
  <c r="L104" i="4"/>
  <c r="I104" i="4"/>
  <c r="H104" i="4"/>
  <c r="F104" i="4"/>
  <c r="C104" i="4"/>
  <c r="AD103" i="4"/>
  <c r="AC103" i="4"/>
  <c r="AA103" i="4"/>
  <c r="W103" i="4"/>
  <c r="X103" i="4" s="1"/>
  <c r="U103" i="4"/>
  <c r="R103" i="4"/>
  <c r="O103" i="4"/>
  <c r="N103" i="4"/>
  <c r="L103" i="4"/>
  <c r="I103" i="4"/>
  <c r="H103" i="4"/>
  <c r="F103" i="4"/>
  <c r="C103" i="4"/>
  <c r="AD102" i="4"/>
  <c r="AC102" i="4"/>
  <c r="AA102" i="4"/>
  <c r="W102" i="4"/>
  <c r="X102" i="4" s="1"/>
  <c r="U102" i="4"/>
  <c r="R102" i="4"/>
  <c r="O102" i="4"/>
  <c r="N102" i="4"/>
  <c r="L102" i="4"/>
  <c r="I102" i="4"/>
  <c r="H102" i="4"/>
  <c r="F102" i="4"/>
  <c r="C102" i="4"/>
  <c r="AC101" i="4"/>
  <c r="AD101" i="4" s="1"/>
  <c r="AA101" i="4"/>
  <c r="X101" i="4"/>
  <c r="W101" i="4"/>
  <c r="U101" i="4"/>
  <c r="R101" i="4"/>
  <c r="O101" i="4"/>
  <c r="N101" i="4"/>
  <c r="L101" i="4"/>
  <c r="H101" i="4"/>
  <c r="I101" i="4" s="1"/>
  <c r="F101" i="4"/>
  <c r="C101" i="4"/>
  <c r="AC100" i="4"/>
  <c r="AD100" i="4" s="1"/>
  <c r="AA100" i="4"/>
  <c r="X100" i="4"/>
  <c r="W100" i="4"/>
  <c r="U100" i="4"/>
  <c r="R100" i="4"/>
  <c r="N100" i="4"/>
  <c r="O100" i="4" s="1"/>
  <c r="L100" i="4"/>
  <c r="H100" i="4"/>
  <c r="I100" i="4" s="1"/>
  <c r="F100" i="4"/>
  <c r="C100" i="4"/>
  <c r="AD99" i="4"/>
  <c r="AC99" i="4"/>
  <c r="AA99" i="4"/>
  <c r="W99" i="4"/>
  <c r="X99" i="4" s="1"/>
  <c r="U99" i="4"/>
  <c r="R99" i="4"/>
  <c r="O99" i="4"/>
  <c r="N99" i="4"/>
  <c r="L99" i="4"/>
  <c r="I99" i="4"/>
  <c r="H99" i="4"/>
  <c r="F99" i="4"/>
  <c r="C99" i="4"/>
  <c r="AC98" i="4"/>
  <c r="AD98" i="4" s="1"/>
  <c r="AA98" i="4"/>
  <c r="W98" i="4"/>
  <c r="X98" i="4" s="1"/>
  <c r="U98" i="4"/>
  <c r="R98" i="4"/>
  <c r="O98" i="4"/>
  <c r="N98" i="4"/>
  <c r="L98" i="4"/>
  <c r="I98" i="4"/>
  <c r="H98" i="4"/>
  <c r="F98" i="4"/>
  <c r="C98" i="4"/>
  <c r="AD97" i="4"/>
  <c r="AC97" i="4"/>
  <c r="AA97" i="4"/>
  <c r="X97" i="4"/>
  <c r="W97" i="4"/>
  <c r="U97" i="4"/>
  <c r="R97" i="4"/>
  <c r="O97" i="4"/>
  <c r="N97" i="4"/>
  <c r="L97" i="4"/>
  <c r="H97" i="4"/>
  <c r="I97" i="4" s="1"/>
  <c r="F97" i="4"/>
  <c r="C97" i="4"/>
  <c r="AD96" i="4"/>
  <c r="AC96" i="4"/>
  <c r="AA96" i="4"/>
  <c r="X96" i="4"/>
  <c r="W96" i="4"/>
  <c r="U96" i="4"/>
  <c r="R96" i="4"/>
  <c r="N96" i="4"/>
  <c r="O96" i="4" s="1"/>
  <c r="L96" i="4"/>
  <c r="H96" i="4"/>
  <c r="I96" i="4" s="1"/>
  <c r="F96" i="4"/>
  <c r="C96" i="4"/>
  <c r="AD95" i="4"/>
  <c r="AC95" i="4"/>
  <c r="AA95" i="4"/>
  <c r="X95" i="4"/>
  <c r="W95" i="4"/>
  <c r="U95" i="4"/>
  <c r="R95" i="4"/>
  <c r="O95" i="4"/>
  <c r="N95" i="4"/>
  <c r="L95" i="4"/>
  <c r="H95" i="4"/>
  <c r="I95" i="4" s="1"/>
  <c r="F95" i="4"/>
  <c r="C95" i="4"/>
  <c r="AC94" i="4"/>
  <c r="AD94" i="4" s="1"/>
  <c r="AA94" i="4"/>
  <c r="W94" i="4"/>
  <c r="X94" i="4" s="1"/>
  <c r="U94" i="4"/>
  <c r="R94" i="4"/>
  <c r="O94" i="4"/>
  <c r="N94" i="4"/>
  <c r="L94" i="4"/>
  <c r="I94" i="4"/>
  <c r="H94" i="4"/>
  <c r="F94" i="4"/>
  <c r="C94" i="4"/>
  <c r="AC92" i="4"/>
  <c r="AD92" i="4" s="1"/>
  <c r="AA92" i="4"/>
  <c r="X92" i="4"/>
  <c r="W92" i="4"/>
  <c r="U92" i="4"/>
  <c r="R92" i="4"/>
  <c r="O92" i="4"/>
  <c r="N92" i="4"/>
  <c r="L92" i="4"/>
  <c r="H92" i="4"/>
  <c r="I92" i="4" s="1"/>
  <c r="F92" i="4"/>
  <c r="C92" i="4"/>
  <c r="AC91" i="4"/>
  <c r="AD91" i="4" s="1"/>
  <c r="AA91" i="4"/>
  <c r="X91" i="4"/>
  <c r="W91" i="4"/>
  <c r="U91" i="4"/>
  <c r="R91" i="4"/>
  <c r="N91" i="4"/>
  <c r="O91" i="4" s="1"/>
  <c r="L91" i="4"/>
  <c r="H91" i="4"/>
  <c r="I91" i="4" s="1"/>
  <c r="F91" i="4"/>
  <c r="C91" i="4"/>
  <c r="AD90" i="4"/>
  <c r="AC90" i="4"/>
  <c r="AA90" i="4"/>
  <c r="W90" i="4"/>
  <c r="X90" i="4" s="1"/>
  <c r="U90" i="4"/>
  <c r="R90" i="4"/>
  <c r="O90" i="4"/>
  <c r="N90" i="4"/>
  <c r="L90" i="4"/>
  <c r="I90" i="4"/>
  <c r="H90" i="4"/>
  <c r="F90" i="4"/>
  <c r="C90" i="4"/>
  <c r="AC89" i="4"/>
  <c r="AD89" i="4" s="1"/>
  <c r="AA89" i="4"/>
  <c r="W89" i="4"/>
  <c r="X89" i="4" s="1"/>
  <c r="U89" i="4"/>
  <c r="R89" i="4"/>
  <c r="O89" i="4"/>
  <c r="N89" i="4"/>
  <c r="L89" i="4"/>
  <c r="I89" i="4"/>
  <c r="H89" i="4"/>
  <c r="F89" i="4"/>
  <c r="C89" i="4"/>
  <c r="Z88" i="4"/>
  <c r="AA88" i="4" s="1"/>
  <c r="U88" i="4"/>
  <c r="T88" i="4"/>
  <c r="R88" i="4"/>
  <c r="Q88" i="4"/>
  <c r="W88" i="4" s="1"/>
  <c r="X88" i="4" s="1"/>
  <c r="L88" i="4"/>
  <c r="K88" i="4"/>
  <c r="H88" i="4"/>
  <c r="I88" i="4" s="1"/>
  <c r="E88" i="4"/>
  <c r="F88" i="4" s="1"/>
  <c r="B88" i="4"/>
  <c r="C88" i="4" s="1"/>
  <c r="AD87" i="4"/>
  <c r="AC87" i="4"/>
  <c r="AA87" i="4"/>
  <c r="W87" i="4"/>
  <c r="X87" i="4" s="1"/>
  <c r="U87" i="4"/>
  <c r="R87" i="4"/>
  <c r="O87" i="4"/>
  <c r="N87" i="4"/>
  <c r="L87" i="4"/>
  <c r="H87" i="4"/>
  <c r="I87" i="4" s="1"/>
  <c r="F87" i="4"/>
  <c r="C87" i="4"/>
  <c r="AC86" i="4"/>
  <c r="AD86" i="4" s="1"/>
  <c r="AA86" i="4"/>
  <c r="W86" i="4"/>
  <c r="X86" i="4" s="1"/>
  <c r="U86" i="4"/>
  <c r="R86" i="4"/>
  <c r="O86" i="4"/>
  <c r="N86" i="4"/>
  <c r="L86" i="4"/>
  <c r="I86" i="4"/>
  <c r="H86" i="4"/>
  <c r="F86" i="4"/>
  <c r="C86" i="4"/>
  <c r="AC85" i="4"/>
  <c r="AD85" i="4" s="1"/>
  <c r="AA85" i="4"/>
  <c r="X85" i="4"/>
  <c r="W85" i="4"/>
  <c r="U85" i="4"/>
  <c r="R85" i="4"/>
  <c r="O85" i="4"/>
  <c r="N85" i="4"/>
  <c r="L85" i="4"/>
  <c r="H85" i="4"/>
  <c r="I85" i="4" s="1"/>
  <c r="F85" i="4"/>
  <c r="C85" i="4"/>
  <c r="AC84" i="4"/>
  <c r="AD84" i="4" s="1"/>
  <c r="AA84" i="4"/>
  <c r="X84" i="4"/>
  <c r="W84" i="4"/>
  <c r="U84" i="4"/>
  <c r="R84" i="4"/>
  <c r="N84" i="4"/>
  <c r="O84" i="4" s="1"/>
  <c r="L84" i="4"/>
  <c r="I84" i="4"/>
  <c r="H84" i="4"/>
  <c r="F84" i="4"/>
  <c r="C84" i="4"/>
  <c r="AD83" i="4"/>
  <c r="AC83" i="4"/>
  <c r="AA83" i="4"/>
  <c r="W83" i="4"/>
  <c r="X83" i="4" s="1"/>
  <c r="U83" i="4"/>
  <c r="R83" i="4"/>
  <c r="O83" i="4"/>
  <c r="N83" i="4"/>
  <c r="L83" i="4"/>
  <c r="I83" i="4"/>
  <c r="H83" i="4"/>
  <c r="F83" i="4"/>
  <c r="C83" i="4"/>
  <c r="AC82" i="4"/>
  <c r="AD82" i="4" s="1"/>
  <c r="AA82" i="4"/>
  <c r="W82" i="4"/>
  <c r="X82" i="4" s="1"/>
  <c r="U82" i="4"/>
  <c r="R82" i="4"/>
  <c r="O82" i="4"/>
  <c r="N82" i="4"/>
  <c r="L82" i="4"/>
  <c r="I82" i="4"/>
  <c r="H82" i="4"/>
  <c r="F82" i="4"/>
  <c r="C82" i="4"/>
  <c r="AD81" i="4"/>
  <c r="AC81" i="4"/>
  <c r="AA81" i="4"/>
  <c r="X81" i="4"/>
  <c r="W81" i="4"/>
  <c r="U81" i="4"/>
  <c r="R81" i="4"/>
  <c r="N81" i="4"/>
  <c r="O81" i="4" s="1"/>
  <c r="L81" i="4"/>
  <c r="H81" i="4"/>
  <c r="I81" i="4" s="1"/>
  <c r="F81" i="4"/>
  <c r="C81" i="4"/>
  <c r="AC80" i="4"/>
  <c r="AD80" i="4" s="1"/>
  <c r="AA80" i="4"/>
  <c r="X80" i="4"/>
  <c r="W80" i="4"/>
  <c r="U80" i="4"/>
  <c r="R80" i="4"/>
  <c r="N80" i="4"/>
  <c r="O80" i="4" s="1"/>
  <c r="L80" i="4"/>
  <c r="I80" i="4"/>
  <c r="H80" i="4"/>
  <c r="F80" i="4"/>
  <c r="C80" i="4"/>
  <c r="AD79" i="4"/>
  <c r="AC79" i="4"/>
  <c r="AA79" i="4"/>
  <c r="W79" i="4"/>
  <c r="X79" i="4" s="1"/>
  <c r="U79" i="4"/>
  <c r="R79" i="4"/>
  <c r="O79" i="4"/>
  <c r="N79" i="4"/>
  <c r="L79" i="4"/>
  <c r="H79" i="4"/>
  <c r="I79" i="4" s="1"/>
  <c r="F79" i="4"/>
  <c r="C79" i="4"/>
  <c r="AC78" i="4"/>
  <c r="AD78" i="4" s="1"/>
  <c r="AA78" i="4"/>
  <c r="W78" i="4"/>
  <c r="X78" i="4" s="1"/>
  <c r="U78" i="4"/>
  <c r="R78" i="4"/>
  <c r="O78" i="4"/>
  <c r="N78" i="4"/>
  <c r="L78" i="4"/>
  <c r="I78" i="4"/>
  <c r="H78" i="4"/>
  <c r="F78" i="4"/>
  <c r="C78" i="4"/>
  <c r="AC77" i="4"/>
  <c r="AD77" i="4" s="1"/>
  <c r="AA77" i="4"/>
  <c r="X77" i="4"/>
  <c r="W77" i="4"/>
  <c r="U77" i="4"/>
  <c r="R77" i="4"/>
  <c r="O77" i="4"/>
  <c r="N77" i="4"/>
  <c r="L77" i="4"/>
  <c r="H77" i="4"/>
  <c r="I77" i="4" s="1"/>
  <c r="F77" i="4"/>
  <c r="C77" i="4"/>
  <c r="AC76" i="4"/>
  <c r="AD76" i="4" s="1"/>
  <c r="AA76" i="4"/>
  <c r="X76" i="4"/>
  <c r="W76" i="4"/>
  <c r="U76" i="4"/>
  <c r="R76" i="4"/>
  <c r="N76" i="4"/>
  <c r="O76" i="4" s="1"/>
  <c r="L76" i="4"/>
  <c r="I76" i="4"/>
  <c r="H76" i="4"/>
  <c r="F76" i="4"/>
  <c r="C76" i="4"/>
  <c r="AD75" i="4"/>
  <c r="AC75" i="4"/>
  <c r="AA75" i="4"/>
  <c r="W75" i="4"/>
  <c r="X75" i="4" s="1"/>
  <c r="U75" i="4"/>
  <c r="R75" i="4"/>
  <c r="O75" i="4"/>
  <c r="N75" i="4"/>
  <c r="L75" i="4"/>
  <c r="I75" i="4"/>
  <c r="H75" i="4"/>
  <c r="F75" i="4"/>
  <c r="C75" i="4"/>
  <c r="AA73" i="4"/>
  <c r="Z73" i="4"/>
  <c r="W73" i="4"/>
  <c r="X73" i="4" s="1"/>
  <c r="T73" i="4"/>
  <c r="U73" i="4" s="1"/>
  <c r="Q73" i="4"/>
  <c r="R73" i="4" s="1"/>
  <c r="K73" i="4"/>
  <c r="L73" i="4" s="1"/>
  <c r="E73" i="4"/>
  <c r="F73" i="4" s="1"/>
  <c r="C73" i="4"/>
  <c r="B73" i="4"/>
  <c r="N73" i="4" s="1"/>
  <c r="O73" i="4" s="1"/>
  <c r="AD72" i="4"/>
  <c r="AC72" i="4"/>
  <c r="AA72" i="4"/>
  <c r="X72" i="4"/>
  <c r="W72" i="4"/>
  <c r="U72" i="4"/>
  <c r="R72" i="4"/>
  <c r="N72" i="4"/>
  <c r="O72" i="4" s="1"/>
  <c r="L72" i="4"/>
  <c r="H72" i="4"/>
  <c r="I72" i="4" s="1"/>
  <c r="F72" i="4"/>
  <c r="C72" i="4"/>
  <c r="AD71" i="4"/>
  <c r="AC71" i="4"/>
  <c r="AA71" i="4"/>
  <c r="X71" i="4"/>
  <c r="W71" i="4"/>
  <c r="U71" i="4"/>
  <c r="R71" i="4"/>
  <c r="O71" i="4"/>
  <c r="N71" i="4"/>
  <c r="L71" i="4"/>
  <c r="I71" i="4"/>
  <c r="H71" i="4"/>
  <c r="F71" i="4"/>
  <c r="C71" i="4"/>
  <c r="AC70" i="4"/>
  <c r="AD70" i="4" s="1"/>
  <c r="AA70" i="4"/>
  <c r="W70" i="4"/>
  <c r="X70" i="4" s="1"/>
  <c r="U70" i="4"/>
  <c r="R70" i="4"/>
  <c r="O70" i="4"/>
  <c r="N70" i="4"/>
  <c r="L70" i="4"/>
  <c r="I70" i="4"/>
  <c r="H70" i="4"/>
  <c r="F70" i="4"/>
  <c r="C70" i="4"/>
  <c r="AD69" i="4"/>
  <c r="AC69" i="4"/>
  <c r="AA69" i="4"/>
  <c r="X69" i="4"/>
  <c r="W69" i="4"/>
  <c r="U69" i="4"/>
  <c r="R69" i="4"/>
  <c r="N69" i="4"/>
  <c r="O69" i="4" s="1"/>
  <c r="L69" i="4"/>
  <c r="H69" i="4"/>
  <c r="I69" i="4" s="1"/>
  <c r="F69" i="4"/>
  <c r="C69" i="4"/>
  <c r="AC68" i="4"/>
  <c r="AD68" i="4" s="1"/>
  <c r="AA68" i="4"/>
  <c r="X68" i="4"/>
  <c r="W68" i="4"/>
  <c r="U68" i="4"/>
  <c r="R68" i="4"/>
  <c r="N68" i="4"/>
  <c r="O68" i="4" s="1"/>
  <c r="L68" i="4"/>
  <c r="I68" i="4"/>
  <c r="H68" i="4"/>
  <c r="F68" i="4"/>
  <c r="C68" i="4"/>
  <c r="AD67" i="4"/>
  <c r="AC67" i="4"/>
  <c r="AA67" i="4"/>
  <c r="W67" i="4"/>
  <c r="X67" i="4" s="1"/>
  <c r="U67" i="4"/>
  <c r="R67" i="4"/>
  <c r="O67" i="4"/>
  <c r="N67" i="4"/>
  <c r="L67" i="4"/>
  <c r="I67" i="4"/>
  <c r="H67" i="4"/>
  <c r="F67" i="4"/>
  <c r="C67" i="4"/>
  <c r="AC66" i="4"/>
  <c r="AD66" i="4" s="1"/>
  <c r="AA66" i="4"/>
  <c r="W66" i="4"/>
  <c r="X66" i="4" s="1"/>
  <c r="U66" i="4"/>
  <c r="R66" i="4"/>
  <c r="O66" i="4"/>
  <c r="N66" i="4"/>
  <c r="L66" i="4"/>
  <c r="I66" i="4"/>
  <c r="H66" i="4"/>
  <c r="F66" i="4"/>
  <c r="C66" i="4"/>
  <c r="AD65" i="4"/>
  <c r="AC65" i="4"/>
  <c r="AA65" i="4"/>
  <c r="X65" i="4"/>
  <c r="W65" i="4"/>
  <c r="U65" i="4"/>
  <c r="R65" i="4"/>
  <c r="N65" i="4"/>
  <c r="O65" i="4" s="1"/>
  <c r="L65" i="4"/>
  <c r="H65" i="4"/>
  <c r="I65" i="4" s="1"/>
  <c r="F65" i="4"/>
  <c r="C65" i="4"/>
  <c r="AD64" i="4"/>
  <c r="AC64" i="4"/>
  <c r="AA64" i="4"/>
  <c r="X64" i="4"/>
  <c r="W64" i="4"/>
  <c r="U64" i="4"/>
  <c r="R64" i="4"/>
  <c r="N64" i="4"/>
  <c r="O64" i="4" s="1"/>
  <c r="L64" i="4"/>
  <c r="H64" i="4"/>
  <c r="I64" i="4" s="1"/>
  <c r="F64" i="4"/>
  <c r="C64" i="4"/>
  <c r="AA62" i="4"/>
  <c r="Z62" i="4"/>
  <c r="X62" i="4"/>
  <c r="W62" i="4"/>
  <c r="T62" i="4"/>
  <c r="U62" i="4" s="1"/>
  <c r="R62" i="4"/>
  <c r="Q62" i="4"/>
  <c r="AC62" i="4" s="1"/>
  <c r="AD62" i="4" s="1"/>
  <c r="N62" i="4"/>
  <c r="O62" i="4" s="1"/>
  <c r="K62" i="4"/>
  <c r="L62" i="4" s="1"/>
  <c r="H62" i="4"/>
  <c r="I62" i="4" s="1"/>
  <c r="F62" i="4"/>
  <c r="E62" i="4"/>
  <c r="C62" i="4"/>
  <c r="B62" i="4"/>
  <c r="Z61" i="4"/>
  <c r="AA61" i="4" s="1"/>
  <c r="U61" i="4"/>
  <c r="T61" i="4"/>
  <c r="Q61" i="4"/>
  <c r="L61" i="4"/>
  <c r="K61" i="4"/>
  <c r="E61" i="4"/>
  <c r="F61" i="4" s="1"/>
  <c r="B61" i="4"/>
  <c r="AD60" i="4"/>
  <c r="AC60" i="4"/>
  <c r="AA60" i="4"/>
  <c r="X60" i="4"/>
  <c r="W60" i="4"/>
  <c r="U60" i="4"/>
  <c r="R60" i="4"/>
  <c r="O60" i="4"/>
  <c r="N60" i="4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I59" i="4"/>
  <c r="H59" i="4"/>
  <c r="F59" i="4"/>
  <c r="C59" i="4"/>
  <c r="AC58" i="4"/>
  <c r="AD58" i="4" s="1"/>
  <c r="AA58" i="4"/>
  <c r="X58" i="4"/>
  <c r="W58" i="4"/>
  <c r="U58" i="4"/>
  <c r="R58" i="4"/>
  <c r="O58" i="4"/>
  <c r="N58" i="4"/>
  <c r="L58" i="4"/>
  <c r="H58" i="4"/>
  <c r="I58" i="4" s="1"/>
  <c r="F58" i="4"/>
  <c r="C58" i="4"/>
  <c r="AD57" i="4"/>
  <c r="AC57" i="4"/>
  <c r="AA57" i="4"/>
  <c r="X57" i="4"/>
  <c r="W57" i="4"/>
  <c r="U57" i="4"/>
  <c r="R57" i="4"/>
  <c r="N57" i="4"/>
  <c r="O57" i="4" s="1"/>
  <c r="L57" i="4"/>
  <c r="H57" i="4"/>
  <c r="I57" i="4" s="1"/>
  <c r="F57" i="4"/>
  <c r="C57" i="4"/>
  <c r="AD56" i="4"/>
  <c r="AC56" i="4"/>
  <c r="AA56" i="4"/>
  <c r="X56" i="4"/>
  <c r="W56" i="4"/>
  <c r="U56" i="4"/>
  <c r="R56" i="4"/>
  <c r="O56" i="4"/>
  <c r="N56" i="4"/>
  <c r="L56" i="4"/>
  <c r="H56" i="4"/>
  <c r="I56" i="4" s="1"/>
  <c r="F56" i="4"/>
  <c r="C56" i="4"/>
  <c r="AC55" i="4"/>
  <c r="AD55" i="4" s="1"/>
  <c r="AA55" i="4"/>
  <c r="W55" i="4"/>
  <c r="X55" i="4" s="1"/>
  <c r="U55" i="4"/>
  <c r="R55" i="4"/>
  <c r="O55" i="4"/>
  <c r="N55" i="4"/>
  <c r="L55" i="4"/>
  <c r="I55" i="4"/>
  <c r="H55" i="4"/>
  <c r="F55" i="4"/>
  <c r="C55" i="4"/>
  <c r="AC54" i="4"/>
  <c r="AD54" i="4" s="1"/>
  <c r="AA54" i="4"/>
  <c r="X54" i="4"/>
  <c r="W54" i="4"/>
  <c r="U54" i="4"/>
  <c r="R54" i="4"/>
  <c r="N54" i="4"/>
  <c r="O54" i="4" s="1"/>
  <c r="L54" i="4"/>
  <c r="H54" i="4"/>
  <c r="I54" i="4" s="1"/>
  <c r="F54" i="4"/>
  <c r="C54" i="4"/>
  <c r="AD53" i="4"/>
  <c r="AC53" i="4"/>
  <c r="AA53" i="4"/>
  <c r="X53" i="4"/>
  <c r="W53" i="4"/>
  <c r="U53" i="4"/>
  <c r="R53" i="4"/>
  <c r="N53" i="4"/>
  <c r="O53" i="4" s="1"/>
  <c r="L53" i="4"/>
  <c r="I53" i="4"/>
  <c r="H53" i="4"/>
  <c r="F53" i="4"/>
  <c r="C53" i="4"/>
  <c r="AD52" i="4"/>
  <c r="AC52" i="4"/>
  <c r="AA52" i="4"/>
  <c r="W52" i="4"/>
  <c r="X52" i="4" s="1"/>
  <c r="U52" i="4"/>
  <c r="R52" i="4"/>
  <c r="O52" i="4"/>
  <c r="N52" i="4"/>
  <c r="L52" i="4"/>
  <c r="H52" i="4"/>
  <c r="I52" i="4" s="1"/>
  <c r="F52" i="4"/>
  <c r="C52" i="4"/>
  <c r="AC51" i="4"/>
  <c r="AD51" i="4" s="1"/>
  <c r="AA51" i="4"/>
  <c r="W51" i="4"/>
  <c r="X51" i="4" s="1"/>
  <c r="U51" i="4"/>
  <c r="R51" i="4"/>
  <c r="O51" i="4"/>
  <c r="N51" i="4"/>
  <c r="L51" i="4"/>
  <c r="I51" i="4"/>
  <c r="H51" i="4"/>
  <c r="F51" i="4"/>
  <c r="C51" i="4"/>
  <c r="AC50" i="4"/>
  <c r="AD50" i="4" s="1"/>
  <c r="AA50" i="4"/>
  <c r="W50" i="4"/>
  <c r="X50" i="4" s="1"/>
  <c r="U50" i="4"/>
  <c r="R50" i="4"/>
  <c r="O50" i="4"/>
  <c r="N50" i="4"/>
  <c r="L50" i="4"/>
  <c r="H50" i="4"/>
  <c r="I50" i="4" s="1"/>
  <c r="F50" i="4"/>
  <c r="C50" i="4"/>
  <c r="AD49" i="4"/>
  <c r="AC49" i="4"/>
  <c r="AA49" i="4"/>
  <c r="X49" i="4"/>
  <c r="W49" i="4"/>
  <c r="U49" i="4"/>
  <c r="R49" i="4"/>
  <c r="N49" i="4"/>
  <c r="O49" i="4" s="1"/>
  <c r="L49" i="4"/>
  <c r="H49" i="4"/>
  <c r="I49" i="4" s="1"/>
  <c r="F49" i="4"/>
  <c r="C49" i="4"/>
  <c r="AD48" i="4"/>
  <c r="AC48" i="4"/>
  <c r="AA48" i="4"/>
  <c r="X48" i="4"/>
  <c r="W48" i="4"/>
  <c r="U48" i="4"/>
  <c r="R48" i="4"/>
  <c r="N48" i="4"/>
  <c r="O48" i="4" s="1"/>
  <c r="L48" i="4"/>
  <c r="H48" i="4"/>
  <c r="I48" i="4" s="1"/>
  <c r="F48" i="4"/>
  <c r="C48" i="4"/>
  <c r="AC47" i="4"/>
  <c r="AD47" i="4" s="1"/>
  <c r="AA47" i="4"/>
  <c r="W47" i="4"/>
  <c r="X47" i="4" s="1"/>
  <c r="U47" i="4"/>
  <c r="R47" i="4"/>
  <c r="O47" i="4"/>
  <c r="N47" i="4"/>
  <c r="L47" i="4"/>
  <c r="I47" i="4"/>
  <c r="H47" i="4"/>
  <c r="F47" i="4"/>
  <c r="C47" i="4"/>
  <c r="AC46" i="4"/>
  <c r="AD46" i="4" s="1"/>
  <c r="AA46" i="4"/>
  <c r="X46" i="4"/>
  <c r="W46" i="4"/>
  <c r="U46" i="4"/>
  <c r="R46" i="4"/>
  <c r="N46" i="4"/>
  <c r="O46" i="4" s="1"/>
  <c r="L46" i="4"/>
  <c r="H46" i="4"/>
  <c r="I46" i="4" s="1"/>
  <c r="F46" i="4"/>
  <c r="C46" i="4"/>
  <c r="AC44" i="4"/>
  <c r="AD44" i="4" s="1"/>
  <c r="AA44" i="4"/>
  <c r="X44" i="4"/>
  <c r="W44" i="4"/>
  <c r="U44" i="4"/>
  <c r="R44" i="4"/>
  <c r="N44" i="4"/>
  <c r="O44" i="4" s="1"/>
  <c r="L44" i="4"/>
  <c r="I44" i="4"/>
  <c r="H44" i="4"/>
  <c r="F44" i="4"/>
  <c r="C44" i="4"/>
  <c r="AD43" i="4"/>
  <c r="AC43" i="4"/>
  <c r="AA43" i="4"/>
  <c r="W43" i="4"/>
  <c r="X43" i="4" s="1"/>
  <c r="U43" i="4"/>
  <c r="R43" i="4"/>
  <c r="O43" i="4"/>
  <c r="N43" i="4"/>
  <c r="L43" i="4"/>
  <c r="H43" i="4"/>
  <c r="I43" i="4" s="1"/>
  <c r="F43" i="4"/>
  <c r="C43" i="4"/>
  <c r="AC42" i="4"/>
  <c r="AD42" i="4" s="1"/>
  <c r="AA42" i="4"/>
  <c r="W42" i="4"/>
  <c r="X42" i="4" s="1"/>
  <c r="U42" i="4"/>
  <c r="R42" i="4"/>
  <c r="O42" i="4"/>
  <c r="N42" i="4"/>
  <c r="L42" i="4"/>
  <c r="I42" i="4"/>
  <c r="H42" i="4"/>
  <c r="F42" i="4"/>
  <c r="C42" i="4"/>
  <c r="Z40" i="4"/>
  <c r="AA40" i="4" s="1"/>
  <c r="T40" i="4"/>
  <c r="U40" i="4" s="1"/>
  <c r="Q40" i="4"/>
  <c r="AC40" i="4" s="1"/>
  <c r="AD40" i="4" s="1"/>
  <c r="L40" i="4"/>
  <c r="K40" i="4"/>
  <c r="F40" i="4"/>
  <c r="E40" i="4"/>
  <c r="B40" i="4"/>
  <c r="C40" i="4" s="1"/>
  <c r="AD39" i="4"/>
  <c r="AC39" i="4"/>
  <c r="AA39" i="4"/>
  <c r="W39" i="4"/>
  <c r="X39" i="4" s="1"/>
  <c r="U39" i="4"/>
  <c r="R39" i="4"/>
  <c r="O39" i="4"/>
  <c r="N39" i="4"/>
  <c r="L39" i="4"/>
  <c r="I39" i="4"/>
  <c r="H39" i="4"/>
  <c r="F39" i="4"/>
  <c r="C39" i="4"/>
  <c r="AC38" i="4"/>
  <c r="AD38" i="4" s="1"/>
  <c r="AA38" i="4"/>
  <c r="W38" i="4"/>
  <c r="X38" i="4" s="1"/>
  <c r="U38" i="4"/>
  <c r="R38" i="4"/>
  <c r="O38" i="4"/>
  <c r="N38" i="4"/>
  <c r="L38" i="4"/>
  <c r="I38" i="4"/>
  <c r="H38" i="4"/>
  <c r="F38" i="4"/>
  <c r="C38" i="4"/>
  <c r="AD37" i="4"/>
  <c r="AC37" i="4"/>
  <c r="AA37" i="4"/>
  <c r="X37" i="4"/>
  <c r="W37" i="4"/>
  <c r="U37" i="4"/>
  <c r="R37" i="4"/>
  <c r="N37" i="4"/>
  <c r="O37" i="4" s="1"/>
  <c r="L37" i="4"/>
  <c r="H37" i="4"/>
  <c r="I37" i="4" s="1"/>
  <c r="F37" i="4"/>
  <c r="C37" i="4"/>
  <c r="AD36" i="4"/>
  <c r="AC36" i="4"/>
  <c r="AA36" i="4"/>
  <c r="X36" i="4"/>
  <c r="W36" i="4"/>
  <c r="U36" i="4"/>
  <c r="R36" i="4"/>
  <c r="N36" i="4"/>
  <c r="O36" i="4" s="1"/>
  <c r="L36" i="4"/>
  <c r="H36" i="4"/>
  <c r="I36" i="4" s="1"/>
  <c r="F36" i="4"/>
  <c r="C36" i="4"/>
  <c r="AD35" i="4"/>
  <c r="AC35" i="4"/>
  <c r="AA35" i="4"/>
  <c r="X35" i="4"/>
  <c r="W35" i="4"/>
  <c r="U35" i="4"/>
  <c r="R35" i="4"/>
  <c r="N35" i="4"/>
  <c r="O35" i="4" s="1"/>
  <c r="L35" i="4"/>
  <c r="H35" i="4"/>
  <c r="I35" i="4" s="1"/>
  <c r="F35" i="4"/>
  <c r="C35" i="4"/>
  <c r="AC34" i="4"/>
  <c r="AD34" i="4" s="1"/>
  <c r="AA34" i="4"/>
  <c r="W34" i="4"/>
  <c r="X34" i="4" s="1"/>
  <c r="U34" i="4"/>
  <c r="R34" i="4"/>
  <c r="O34" i="4"/>
  <c r="N34" i="4"/>
  <c r="L34" i="4"/>
  <c r="I34" i="4"/>
  <c r="H34" i="4"/>
  <c r="F34" i="4"/>
  <c r="C34" i="4"/>
  <c r="AC33" i="4"/>
  <c r="AD33" i="4" s="1"/>
  <c r="AA33" i="4"/>
  <c r="W33" i="4"/>
  <c r="X33" i="4" s="1"/>
  <c r="U33" i="4"/>
  <c r="R33" i="4"/>
  <c r="O33" i="4"/>
  <c r="N33" i="4"/>
  <c r="L33" i="4"/>
  <c r="H33" i="4"/>
  <c r="I33" i="4" s="1"/>
  <c r="F33" i="4"/>
  <c r="C33" i="4"/>
  <c r="AC32" i="4"/>
  <c r="AD32" i="4" s="1"/>
  <c r="AA32" i="4"/>
  <c r="X32" i="4"/>
  <c r="W32" i="4"/>
  <c r="U32" i="4"/>
  <c r="R32" i="4"/>
  <c r="N32" i="4"/>
  <c r="O32" i="4" s="1"/>
  <c r="L32" i="4"/>
  <c r="H32" i="4"/>
  <c r="I32" i="4" s="1"/>
  <c r="F32" i="4"/>
  <c r="C32" i="4"/>
  <c r="AD31" i="4"/>
  <c r="AC31" i="4"/>
  <c r="AA31" i="4"/>
  <c r="W31" i="4"/>
  <c r="X31" i="4" s="1"/>
  <c r="U31" i="4"/>
  <c r="R31" i="4"/>
  <c r="O31" i="4"/>
  <c r="N31" i="4"/>
  <c r="L31" i="4"/>
  <c r="I31" i="4"/>
  <c r="H31" i="4"/>
  <c r="F31" i="4"/>
  <c r="C31" i="4"/>
  <c r="AA29" i="4"/>
  <c r="Z29" i="4"/>
  <c r="T29" i="4"/>
  <c r="U29" i="4" s="1"/>
  <c r="Q29" i="4"/>
  <c r="L29" i="4"/>
  <c r="K29" i="4"/>
  <c r="H29" i="4"/>
  <c r="I29" i="4" s="1"/>
  <c r="E29" i="4"/>
  <c r="F29" i="4" s="1"/>
  <c r="C29" i="4"/>
  <c r="B29" i="4"/>
  <c r="N29" i="4" s="1"/>
  <c r="O29" i="4" s="1"/>
  <c r="AC28" i="4"/>
  <c r="AD28" i="4" s="1"/>
  <c r="AA28" i="4"/>
  <c r="X28" i="4"/>
  <c r="W28" i="4"/>
  <c r="U28" i="4"/>
  <c r="R28" i="4"/>
  <c r="N28" i="4"/>
  <c r="O28" i="4" s="1"/>
  <c r="L28" i="4"/>
  <c r="I28" i="4"/>
  <c r="H28" i="4"/>
  <c r="F28" i="4"/>
  <c r="C28" i="4"/>
  <c r="AD27" i="4"/>
  <c r="AC27" i="4"/>
  <c r="AA27" i="4"/>
  <c r="W27" i="4"/>
  <c r="X27" i="4" s="1"/>
  <c r="U27" i="4"/>
  <c r="R27" i="4"/>
  <c r="O27" i="4"/>
  <c r="N27" i="4"/>
  <c r="L27" i="4"/>
  <c r="I27" i="4"/>
  <c r="H27" i="4"/>
  <c r="F27" i="4"/>
  <c r="C27" i="4"/>
  <c r="AC26" i="4"/>
  <c r="AD26" i="4" s="1"/>
  <c r="AA26" i="4"/>
  <c r="W26" i="4"/>
  <c r="X26" i="4" s="1"/>
  <c r="U26" i="4"/>
  <c r="R26" i="4"/>
  <c r="O26" i="4"/>
  <c r="N26" i="4"/>
  <c r="L26" i="4"/>
  <c r="I26" i="4"/>
  <c r="H26" i="4"/>
  <c r="F26" i="4"/>
  <c r="C26" i="4"/>
  <c r="AD25" i="4"/>
  <c r="AC25" i="4"/>
  <c r="AA25" i="4"/>
  <c r="W25" i="4"/>
  <c r="X25" i="4" s="1"/>
  <c r="U25" i="4"/>
  <c r="R25" i="4"/>
  <c r="N25" i="4"/>
  <c r="O25" i="4" s="1"/>
  <c r="L25" i="4"/>
  <c r="H25" i="4"/>
  <c r="I25" i="4" s="1"/>
  <c r="F25" i="4"/>
  <c r="C25" i="4"/>
  <c r="AD24" i="4"/>
  <c r="AC24" i="4"/>
  <c r="AA24" i="4"/>
  <c r="X24" i="4"/>
  <c r="W24" i="4"/>
  <c r="U24" i="4"/>
  <c r="R24" i="4"/>
  <c r="N24" i="4"/>
  <c r="O24" i="4" s="1"/>
  <c r="L24" i="4"/>
  <c r="H24" i="4"/>
  <c r="I24" i="4" s="1"/>
  <c r="F24" i="4"/>
  <c r="C24" i="4"/>
  <c r="AD23" i="4"/>
  <c r="AC23" i="4"/>
  <c r="AA23" i="4"/>
  <c r="X23" i="4"/>
  <c r="W23" i="4"/>
  <c r="U23" i="4"/>
  <c r="R23" i="4"/>
  <c r="N23" i="4"/>
  <c r="O23" i="4" s="1"/>
  <c r="L23" i="4"/>
  <c r="H23" i="4"/>
  <c r="I23" i="4" s="1"/>
  <c r="F23" i="4"/>
  <c r="C23" i="4"/>
  <c r="AC22" i="4"/>
  <c r="AD22" i="4" s="1"/>
  <c r="AA22" i="4"/>
  <c r="W22" i="4"/>
  <c r="X22" i="4" s="1"/>
  <c r="U22" i="4"/>
  <c r="R22" i="4"/>
  <c r="O22" i="4"/>
  <c r="N22" i="4"/>
  <c r="L22" i="4"/>
  <c r="I22" i="4"/>
  <c r="H22" i="4"/>
  <c r="F22" i="4"/>
  <c r="C22" i="4"/>
  <c r="AC21" i="4"/>
  <c r="AD21" i="4" s="1"/>
  <c r="AA21" i="4"/>
  <c r="W21" i="4"/>
  <c r="X21" i="4" s="1"/>
  <c r="U21" i="4"/>
  <c r="R21" i="4"/>
  <c r="N21" i="4"/>
  <c r="O21" i="4" s="1"/>
  <c r="L21" i="4"/>
  <c r="H21" i="4"/>
  <c r="I21" i="4" s="1"/>
  <c r="F21" i="4"/>
  <c r="C21" i="4"/>
  <c r="AC19" i="4"/>
  <c r="AD19" i="4" s="1"/>
  <c r="AA19" i="4"/>
  <c r="X19" i="4"/>
  <c r="W19" i="4"/>
  <c r="U19" i="4"/>
  <c r="R19" i="4"/>
  <c r="N19" i="4"/>
  <c r="O19" i="4" s="1"/>
  <c r="L19" i="4"/>
  <c r="I19" i="4"/>
  <c r="H19" i="4"/>
  <c r="F19" i="4"/>
  <c r="C19" i="4"/>
  <c r="Z18" i="4"/>
  <c r="AA18" i="4" s="1"/>
  <c r="W18" i="4"/>
  <c r="X18" i="4" s="1"/>
  <c r="T18" i="4"/>
  <c r="U18" i="4" s="1"/>
  <c r="R18" i="4"/>
  <c r="Q18" i="4"/>
  <c r="N18" i="4"/>
  <c r="O18" i="4" s="1"/>
  <c r="L18" i="4"/>
  <c r="K18" i="4"/>
  <c r="H18" i="4"/>
  <c r="I18" i="4" s="1"/>
  <c r="F18" i="4"/>
  <c r="E18" i="4"/>
  <c r="C18" i="4"/>
  <c r="B18" i="4"/>
  <c r="AC17" i="4"/>
  <c r="AD17" i="4" s="1"/>
  <c r="AA17" i="4"/>
  <c r="X17" i="4"/>
  <c r="W17" i="4"/>
  <c r="U17" i="4"/>
  <c r="R17" i="4"/>
  <c r="N17" i="4"/>
  <c r="O17" i="4" s="1"/>
  <c r="L17" i="4"/>
  <c r="H17" i="4"/>
  <c r="I17" i="4" s="1"/>
  <c r="F17" i="4"/>
  <c r="C17" i="4"/>
  <c r="AC16" i="4"/>
  <c r="AD16" i="4" s="1"/>
  <c r="AA16" i="4"/>
  <c r="X16" i="4"/>
  <c r="W16" i="4"/>
  <c r="U16" i="4"/>
  <c r="R16" i="4"/>
  <c r="N16" i="4"/>
  <c r="O16" i="4" s="1"/>
  <c r="L16" i="4"/>
  <c r="I16" i="4"/>
  <c r="H16" i="4"/>
  <c r="F16" i="4"/>
  <c r="C16" i="4"/>
  <c r="AD15" i="4"/>
  <c r="AC15" i="4"/>
  <c r="AA15" i="4"/>
  <c r="W15" i="4"/>
  <c r="X15" i="4" s="1"/>
  <c r="U15" i="4"/>
  <c r="R15" i="4"/>
  <c r="O15" i="4"/>
  <c r="N15" i="4"/>
  <c r="L15" i="4"/>
  <c r="I15" i="4"/>
  <c r="H15" i="4"/>
  <c r="F15" i="4"/>
  <c r="C15" i="4"/>
  <c r="AC14" i="4"/>
  <c r="AD14" i="4" s="1"/>
  <c r="AA14" i="4"/>
  <c r="W14" i="4"/>
  <c r="X14" i="4" s="1"/>
  <c r="U14" i="4"/>
  <c r="R14" i="4"/>
  <c r="O14" i="4"/>
  <c r="N14" i="4"/>
  <c r="L14" i="4"/>
  <c r="I14" i="4"/>
  <c r="H14" i="4"/>
  <c r="F14" i="4"/>
  <c r="C14" i="4"/>
  <c r="AD13" i="4"/>
  <c r="AC13" i="4"/>
  <c r="AA13" i="4"/>
  <c r="W13" i="4"/>
  <c r="X13" i="4" s="1"/>
  <c r="U13" i="4"/>
  <c r="R13" i="4"/>
  <c r="O13" i="4"/>
  <c r="N13" i="4"/>
  <c r="L13" i="4"/>
  <c r="H13" i="4"/>
  <c r="I13" i="4" s="1"/>
  <c r="F13" i="4"/>
  <c r="C13" i="4"/>
  <c r="AD12" i="4"/>
  <c r="AC12" i="4"/>
  <c r="AA12" i="4"/>
  <c r="X12" i="4"/>
  <c r="W12" i="4"/>
  <c r="U12" i="4"/>
  <c r="R12" i="4"/>
  <c r="N12" i="4"/>
  <c r="O12" i="4" s="1"/>
  <c r="L12" i="4"/>
  <c r="H12" i="4"/>
  <c r="I12" i="4" s="1"/>
  <c r="F12" i="4"/>
  <c r="C12" i="4"/>
  <c r="AD11" i="4"/>
  <c r="AC11" i="4"/>
  <c r="AA11" i="4"/>
  <c r="X11" i="4"/>
  <c r="W11" i="4"/>
  <c r="U11" i="4"/>
  <c r="R11" i="4"/>
  <c r="N11" i="4"/>
  <c r="O11" i="4" s="1"/>
  <c r="L11" i="4"/>
  <c r="H11" i="4"/>
  <c r="I11" i="4" s="1"/>
  <c r="F11" i="4"/>
  <c r="C11" i="4"/>
  <c r="AC10" i="4"/>
  <c r="AD10" i="4" s="1"/>
  <c r="AA10" i="4"/>
  <c r="W10" i="4"/>
  <c r="X10" i="4" s="1"/>
  <c r="U10" i="4"/>
  <c r="R10" i="4"/>
  <c r="O10" i="4"/>
  <c r="N10" i="4"/>
  <c r="L10" i="4"/>
  <c r="I10" i="4"/>
  <c r="H10" i="4"/>
  <c r="F10" i="4"/>
  <c r="C10" i="4"/>
  <c r="AC8" i="4"/>
  <c r="AD8" i="4" s="1"/>
  <c r="AA8" i="4"/>
  <c r="X8" i="4"/>
  <c r="W8" i="4"/>
  <c r="U8" i="4"/>
  <c r="R8" i="4"/>
  <c r="N8" i="4"/>
  <c r="O8" i="4" s="1"/>
  <c r="L8" i="4"/>
  <c r="H8" i="4"/>
  <c r="I8" i="4" s="1"/>
  <c r="F8" i="4"/>
  <c r="C8" i="4"/>
  <c r="AC444" i="3"/>
  <c r="AD423" i="3" s="1"/>
  <c r="W444" i="3"/>
  <c r="N444" i="3"/>
  <c r="H444" i="3"/>
  <c r="I434" i="3" s="1"/>
  <c r="AC442" i="3"/>
  <c r="AD442" i="3" s="1"/>
  <c r="AA442" i="3"/>
  <c r="Z442" i="3"/>
  <c r="W442" i="3"/>
  <c r="X442" i="3" s="1"/>
  <c r="U442" i="3"/>
  <c r="T442" i="3"/>
  <c r="R442" i="3"/>
  <c r="Q442" i="3"/>
  <c r="N442" i="3"/>
  <c r="O442" i="3" s="1"/>
  <c r="K442" i="3"/>
  <c r="L442" i="3" s="1"/>
  <c r="F442" i="3"/>
  <c r="E442" i="3"/>
  <c r="C442" i="3"/>
  <c r="B442" i="3"/>
  <c r="AC441" i="3"/>
  <c r="AA441" i="3"/>
  <c r="Z441" i="3"/>
  <c r="W441" i="3"/>
  <c r="X441" i="3" s="1"/>
  <c r="U441" i="3"/>
  <c r="T441" i="3"/>
  <c r="Q441" i="3"/>
  <c r="R441" i="3" s="1"/>
  <c r="O441" i="3"/>
  <c r="L441" i="3"/>
  <c r="K441" i="3"/>
  <c r="H441" i="3"/>
  <c r="I441" i="3" s="1"/>
  <c r="E441" i="3"/>
  <c r="F441" i="3" s="1"/>
  <c r="C441" i="3"/>
  <c r="B441" i="3"/>
  <c r="N441" i="3" s="1"/>
  <c r="AC440" i="3"/>
  <c r="AD440" i="3" s="1"/>
  <c r="AA440" i="3"/>
  <c r="W440" i="3"/>
  <c r="U440" i="3"/>
  <c r="R440" i="3"/>
  <c r="N440" i="3"/>
  <c r="O440" i="3" s="1"/>
  <c r="L440" i="3"/>
  <c r="I440" i="3"/>
  <c r="H440" i="3"/>
  <c r="F440" i="3"/>
  <c r="C440" i="3"/>
  <c r="AD439" i="3"/>
  <c r="AC439" i="3"/>
  <c r="AA439" i="3"/>
  <c r="W439" i="3"/>
  <c r="U439" i="3"/>
  <c r="R439" i="3"/>
  <c r="O439" i="3"/>
  <c r="N439" i="3"/>
  <c r="L439" i="3"/>
  <c r="H439" i="3"/>
  <c r="I439" i="3" s="1"/>
  <c r="F439" i="3"/>
  <c r="C439" i="3"/>
  <c r="AC438" i="3"/>
  <c r="AD438" i="3" s="1"/>
  <c r="AA438" i="3"/>
  <c r="W438" i="3"/>
  <c r="U438" i="3"/>
  <c r="R438" i="3"/>
  <c r="O438" i="3"/>
  <c r="N438" i="3"/>
  <c r="L438" i="3"/>
  <c r="I438" i="3"/>
  <c r="H438" i="3"/>
  <c r="F438" i="3"/>
  <c r="C438" i="3"/>
  <c r="AC437" i="3"/>
  <c r="AD437" i="3" s="1"/>
  <c r="AA437" i="3"/>
  <c r="W437" i="3"/>
  <c r="U437" i="3"/>
  <c r="R437" i="3"/>
  <c r="O437" i="3"/>
  <c r="N437" i="3"/>
  <c r="L437" i="3"/>
  <c r="H437" i="3"/>
  <c r="I437" i="3" s="1"/>
  <c r="F437" i="3"/>
  <c r="C437" i="3"/>
  <c r="AD436" i="3"/>
  <c r="AC436" i="3"/>
  <c r="AA436" i="3"/>
  <c r="W436" i="3"/>
  <c r="U436" i="3"/>
  <c r="R436" i="3"/>
  <c r="N436" i="3"/>
  <c r="O436" i="3" s="1"/>
  <c r="L436" i="3"/>
  <c r="I436" i="3"/>
  <c r="H436" i="3"/>
  <c r="F436" i="3"/>
  <c r="C436" i="3"/>
  <c r="AD435" i="3"/>
  <c r="AC435" i="3"/>
  <c r="AA435" i="3"/>
  <c r="W435" i="3"/>
  <c r="X435" i="3" s="1"/>
  <c r="U435" i="3"/>
  <c r="R435" i="3"/>
  <c r="N435" i="3"/>
  <c r="O435" i="3" s="1"/>
  <c r="L435" i="3"/>
  <c r="I435" i="3"/>
  <c r="H435" i="3"/>
  <c r="F435" i="3"/>
  <c r="C435" i="3"/>
  <c r="AC434" i="3"/>
  <c r="AA434" i="3"/>
  <c r="W434" i="3"/>
  <c r="U434" i="3"/>
  <c r="R434" i="3"/>
  <c r="O434" i="3"/>
  <c r="N434" i="3"/>
  <c r="L434" i="3"/>
  <c r="H434" i="3"/>
  <c r="F434" i="3"/>
  <c r="C434" i="3"/>
  <c r="AC433" i="3"/>
  <c r="AD433" i="3" s="1"/>
  <c r="AA433" i="3"/>
  <c r="W433" i="3"/>
  <c r="U433" i="3"/>
  <c r="R433" i="3"/>
  <c r="N433" i="3"/>
  <c r="O433" i="3" s="1"/>
  <c r="L433" i="3"/>
  <c r="H433" i="3"/>
  <c r="I433" i="3" s="1"/>
  <c r="F433" i="3"/>
  <c r="C433" i="3"/>
  <c r="AC432" i="3"/>
  <c r="AD432" i="3" s="1"/>
  <c r="AA432" i="3"/>
  <c r="W432" i="3"/>
  <c r="U432" i="3"/>
  <c r="R432" i="3"/>
  <c r="N432" i="3"/>
  <c r="O432" i="3" s="1"/>
  <c r="L432" i="3"/>
  <c r="I432" i="3"/>
  <c r="H432" i="3"/>
  <c r="F432" i="3"/>
  <c r="C432" i="3"/>
  <c r="AA429" i="3"/>
  <c r="Z429" i="3"/>
  <c r="W429" i="3"/>
  <c r="T429" i="3"/>
  <c r="U429" i="3" s="1"/>
  <c r="R429" i="3"/>
  <c r="Q429" i="3"/>
  <c r="AC429" i="3" s="1"/>
  <c r="AD429" i="3" s="1"/>
  <c r="K429" i="3"/>
  <c r="L429" i="3" s="1"/>
  <c r="F429" i="3"/>
  <c r="E429" i="3"/>
  <c r="B429" i="3"/>
  <c r="H429" i="3" s="1"/>
  <c r="I429" i="3" s="1"/>
  <c r="Z428" i="3"/>
  <c r="AA428" i="3" s="1"/>
  <c r="T428" i="3"/>
  <c r="U428" i="3" s="1"/>
  <c r="Q428" i="3"/>
  <c r="N428" i="3"/>
  <c r="O428" i="3" s="1"/>
  <c r="L428" i="3"/>
  <c r="K428" i="3"/>
  <c r="F428" i="3"/>
  <c r="E428" i="3"/>
  <c r="B428" i="3"/>
  <c r="AD427" i="3"/>
  <c r="AC427" i="3"/>
  <c r="AA427" i="3"/>
  <c r="W427" i="3"/>
  <c r="U427" i="3"/>
  <c r="R427" i="3"/>
  <c r="N427" i="3"/>
  <c r="O427" i="3" s="1"/>
  <c r="L427" i="3"/>
  <c r="H427" i="3"/>
  <c r="I427" i="3" s="1"/>
  <c r="F427" i="3"/>
  <c r="C427" i="3"/>
  <c r="AC426" i="3"/>
  <c r="AD426" i="3" s="1"/>
  <c r="AA426" i="3"/>
  <c r="W426" i="3"/>
  <c r="U426" i="3"/>
  <c r="R426" i="3"/>
  <c r="O426" i="3"/>
  <c r="N426" i="3"/>
  <c r="L426" i="3"/>
  <c r="I426" i="3"/>
  <c r="H426" i="3"/>
  <c r="F426" i="3"/>
  <c r="C426" i="3"/>
  <c r="AC425" i="3"/>
  <c r="AD425" i="3" s="1"/>
  <c r="AA425" i="3"/>
  <c r="W425" i="3"/>
  <c r="U425" i="3"/>
  <c r="R425" i="3"/>
  <c r="N425" i="3"/>
  <c r="O425" i="3" s="1"/>
  <c r="L425" i="3"/>
  <c r="H425" i="3"/>
  <c r="F425" i="3"/>
  <c r="C425" i="3"/>
  <c r="AC424" i="3"/>
  <c r="AD424" i="3" s="1"/>
  <c r="AA424" i="3"/>
  <c r="W424" i="3"/>
  <c r="U424" i="3"/>
  <c r="R424" i="3"/>
  <c r="N424" i="3"/>
  <c r="O424" i="3" s="1"/>
  <c r="L424" i="3"/>
  <c r="I424" i="3"/>
  <c r="H424" i="3"/>
  <c r="F424" i="3"/>
  <c r="C424" i="3"/>
  <c r="AC423" i="3"/>
  <c r="AA423" i="3"/>
  <c r="W423" i="3"/>
  <c r="X423" i="3" s="1"/>
  <c r="U423" i="3"/>
  <c r="R423" i="3"/>
  <c r="O423" i="3"/>
  <c r="N423" i="3"/>
  <c r="L423" i="3"/>
  <c r="H423" i="3"/>
  <c r="I423" i="3" s="1"/>
  <c r="F423" i="3"/>
  <c r="C423" i="3"/>
  <c r="AC422" i="3"/>
  <c r="AA422" i="3"/>
  <c r="W422" i="3"/>
  <c r="U422" i="3"/>
  <c r="R422" i="3"/>
  <c r="O422" i="3"/>
  <c r="N422" i="3"/>
  <c r="L422" i="3"/>
  <c r="I422" i="3"/>
  <c r="H422" i="3"/>
  <c r="F422" i="3"/>
  <c r="C422" i="3"/>
  <c r="AC421" i="3"/>
  <c r="AD421" i="3" s="1"/>
  <c r="AA421" i="3"/>
  <c r="W421" i="3"/>
  <c r="U421" i="3"/>
  <c r="R421" i="3"/>
  <c r="N421" i="3"/>
  <c r="O421" i="3" s="1"/>
  <c r="L421" i="3"/>
  <c r="H421" i="3"/>
  <c r="I421" i="3" s="1"/>
  <c r="F421" i="3"/>
  <c r="C421" i="3"/>
  <c r="AD420" i="3"/>
  <c r="AC420" i="3"/>
  <c r="AA420" i="3"/>
  <c r="W420" i="3"/>
  <c r="U420" i="3"/>
  <c r="R420" i="3"/>
  <c r="N420" i="3"/>
  <c r="O420" i="3" s="1"/>
  <c r="L420" i="3"/>
  <c r="H420" i="3"/>
  <c r="I420" i="3" s="1"/>
  <c r="F420" i="3"/>
  <c r="C420" i="3"/>
  <c r="AD419" i="3"/>
  <c r="AC419" i="3"/>
  <c r="AA419" i="3"/>
  <c r="W419" i="3"/>
  <c r="U419" i="3"/>
  <c r="R419" i="3"/>
  <c r="O419" i="3"/>
  <c r="N419" i="3"/>
  <c r="L419" i="3"/>
  <c r="H419" i="3"/>
  <c r="I419" i="3" s="1"/>
  <c r="F419" i="3"/>
  <c r="C419" i="3"/>
  <c r="AC418" i="3"/>
  <c r="AD418" i="3" s="1"/>
  <c r="AA418" i="3"/>
  <c r="W418" i="3"/>
  <c r="U418" i="3"/>
  <c r="R418" i="3"/>
  <c r="O418" i="3"/>
  <c r="N418" i="3"/>
  <c r="L418" i="3"/>
  <c r="I418" i="3"/>
  <c r="H418" i="3"/>
  <c r="F418" i="3"/>
  <c r="C418" i="3"/>
  <c r="AC417" i="3"/>
  <c r="AD417" i="3" s="1"/>
  <c r="AA417" i="3"/>
  <c r="W417" i="3"/>
  <c r="U417" i="3"/>
  <c r="R417" i="3"/>
  <c r="N417" i="3"/>
  <c r="O417" i="3" s="1"/>
  <c r="L417" i="3"/>
  <c r="H417" i="3"/>
  <c r="F417" i="3"/>
  <c r="C417" i="3"/>
  <c r="AD416" i="3"/>
  <c r="AC416" i="3"/>
  <c r="AA416" i="3"/>
  <c r="W416" i="3"/>
  <c r="U416" i="3"/>
  <c r="R416" i="3"/>
  <c r="N416" i="3"/>
  <c r="O416" i="3" s="1"/>
  <c r="L416" i="3"/>
  <c r="I416" i="3"/>
  <c r="H416" i="3"/>
  <c r="F416" i="3"/>
  <c r="C416" i="3"/>
  <c r="AC415" i="3"/>
  <c r="AA415" i="3"/>
  <c r="W415" i="3"/>
  <c r="U415" i="3"/>
  <c r="R415" i="3"/>
  <c r="O415" i="3"/>
  <c r="N415" i="3"/>
  <c r="L415" i="3"/>
  <c r="H415" i="3"/>
  <c r="I415" i="3" s="1"/>
  <c r="F415" i="3"/>
  <c r="C415" i="3"/>
  <c r="AC414" i="3"/>
  <c r="AA414" i="3"/>
  <c r="W414" i="3"/>
  <c r="U414" i="3"/>
  <c r="R414" i="3"/>
  <c r="O414" i="3"/>
  <c r="N414" i="3"/>
  <c r="L414" i="3"/>
  <c r="I414" i="3"/>
  <c r="H414" i="3"/>
  <c r="F414" i="3"/>
  <c r="C414" i="3"/>
  <c r="AC413" i="3"/>
  <c r="AD413" i="3" s="1"/>
  <c r="AA413" i="3"/>
  <c r="W413" i="3"/>
  <c r="X413" i="3" s="1"/>
  <c r="U413" i="3"/>
  <c r="R413" i="3"/>
  <c r="O413" i="3"/>
  <c r="N413" i="3"/>
  <c r="L413" i="3"/>
  <c r="H413" i="3"/>
  <c r="I413" i="3" s="1"/>
  <c r="F413" i="3"/>
  <c r="C413" i="3"/>
  <c r="AD412" i="3"/>
  <c r="AC412" i="3"/>
  <c r="AA412" i="3"/>
  <c r="W412" i="3"/>
  <c r="U412" i="3"/>
  <c r="R412" i="3"/>
  <c r="N412" i="3"/>
  <c r="O412" i="3" s="1"/>
  <c r="L412" i="3"/>
  <c r="H412" i="3"/>
  <c r="I412" i="3" s="1"/>
  <c r="F412" i="3"/>
  <c r="C412" i="3"/>
  <c r="AD411" i="3"/>
  <c r="AC411" i="3"/>
  <c r="AA411" i="3"/>
  <c r="X411" i="3"/>
  <c r="W411" i="3"/>
  <c r="U411" i="3"/>
  <c r="R411" i="3"/>
  <c r="N411" i="3"/>
  <c r="O411" i="3" s="1"/>
  <c r="L411" i="3"/>
  <c r="H411" i="3"/>
  <c r="I411" i="3" s="1"/>
  <c r="F411" i="3"/>
  <c r="C411" i="3"/>
  <c r="AC410" i="3"/>
  <c r="AD410" i="3" s="1"/>
  <c r="AA410" i="3"/>
  <c r="W410" i="3"/>
  <c r="U410" i="3"/>
  <c r="R410" i="3"/>
  <c r="O410" i="3"/>
  <c r="N410" i="3"/>
  <c r="L410" i="3"/>
  <c r="I410" i="3"/>
  <c r="H410" i="3"/>
  <c r="F410" i="3"/>
  <c r="C410" i="3"/>
  <c r="AC409" i="3"/>
  <c r="AD409" i="3" s="1"/>
  <c r="AA409" i="3"/>
  <c r="X409" i="3"/>
  <c r="W409" i="3"/>
  <c r="U409" i="3"/>
  <c r="R409" i="3"/>
  <c r="N409" i="3"/>
  <c r="O409" i="3" s="1"/>
  <c r="L409" i="3"/>
  <c r="H409" i="3"/>
  <c r="F409" i="3"/>
  <c r="C409" i="3"/>
  <c r="AC408" i="3"/>
  <c r="AD408" i="3" s="1"/>
  <c r="AA408" i="3"/>
  <c r="W408" i="3"/>
  <c r="U408" i="3"/>
  <c r="R408" i="3"/>
  <c r="N408" i="3"/>
  <c r="O408" i="3" s="1"/>
  <c r="L408" i="3"/>
  <c r="I408" i="3"/>
  <c r="H408" i="3"/>
  <c r="F408" i="3"/>
  <c r="C408" i="3"/>
  <c r="AC407" i="3"/>
  <c r="AA407" i="3"/>
  <c r="W407" i="3"/>
  <c r="X407" i="3" s="1"/>
  <c r="U407" i="3"/>
  <c r="R407" i="3"/>
  <c r="O407" i="3"/>
  <c r="N407" i="3"/>
  <c r="L407" i="3"/>
  <c r="I407" i="3"/>
  <c r="H407" i="3"/>
  <c r="F407" i="3"/>
  <c r="C407" i="3"/>
  <c r="Z403" i="3"/>
  <c r="AA403" i="3" s="1"/>
  <c r="U403" i="3"/>
  <c r="T403" i="3"/>
  <c r="Q403" i="3"/>
  <c r="K403" i="3"/>
  <c r="E403" i="3"/>
  <c r="H403" i="3" s="1"/>
  <c r="I403" i="3" s="1"/>
  <c r="C403" i="3"/>
  <c r="B403" i="3"/>
  <c r="AC402" i="3"/>
  <c r="AA402" i="3"/>
  <c r="W402" i="3"/>
  <c r="U402" i="3"/>
  <c r="R402" i="3"/>
  <c r="O402" i="3"/>
  <c r="N402" i="3"/>
  <c r="L402" i="3"/>
  <c r="I402" i="3"/>
  <c r="H402" i="3"/>
  <c r="F402" i="3"/>
  <c r="C402" i="3"/>
  <c r="AC401" i="3"/>
  <c r="AD401" i="3" s="1"/>
  <c r="AA401" i="3"/>
  <c r="W401" i="3"/>
  <c r="U401" i="3"/>
  <c r="R401" i="3"/>
  <c r="O401" i="3"/>
  <c r="N401" i="3"/>
  <c r="L401" i="3"/>
  <c r="H401" i="3"/>
  <c r="F401" i="3"/>
  <c r="C401" i="3"/>
  <c r="AC400" i="3"/>
  <c r="AD400" i="3" s="1"/>
  <c r="AA400" i="3"/>
  <c r="W400" i="3"/>
  <c r="U400" i="3"/>
  <c r="R400" i="3"/>
  <c r="O400" i="3"/>
  <c r="N400" i="3"/>
  <c r="L400" i="3"/>
  <c r="I400" i="3"/>
  <c r="H400" i="3"/>
  <c r="F400" i="3"/>
  <c r="C400" i="3"/>
  <c r="AC399" i="3"/>
  <c r="AD399" i="3" s="1"/>
  <c r="AA399" i="3"/>
  <c r="W399" i="3"/>
  <c r="U399" i="3"/>
  <c r="R399" i="3"/>
  <c r="N399" i="3"/>
  <c r="O399" i="3" s="1"/>
  <c r="L399" i="3"/>
  <c r="H399" i="3"/>
  <c r="I399" i="3" s="1"/>
  <c r="F399" i="3"/>
  <c r="C399" i="3"/>
  <c r="AC398" i="3"/>
  <c r="AD398" i="3" s="1"/>
  <c r="AA398" i="3"/>
  <c r="W398" i="3"/>
  <c r="U398" i="3"/>
  <c r="R398" i="3"/>
  <c r="O398" i="3"/>
  <c r="N398" i="3"/>
  <c r="L398" i="3"/>
  <c r="H398" i="3"/>
  <c r="I398" i="3" s="1"/>
  <c r="F398" i="3"/>
  <c r="C398" i="3"/>
  <c r="AC397" i="3"/>
  <c r="AD397" i="3" s="1"/>
  <c r="AA397" i="3"/>
  <c r="W397" i="3"/>
  <c r="U397" i="3"/>
  <c r="R397" i="3"/>
  <c r="N397" i="3"/>
  <c r="O397" i="3" s="1"/>
  <c r="L397" i="3"/>
  <c r="H397" i="3"/>
  <c r="I397" i="3" s="1"/>
  <c r="F397" i="3"/>
  <c r="C397" i="3"/>
  <c r="AA396" i="3"/>
  <c r="Z396" i="3"/>
  <c r="W396" i="3"/>
  <c r="X396" i="3" s="1"/>
  <c r="T396" i="3"/>
  <c r="U396" i="3" s="1"/>
  <c r="R396" i="3"/>
  <c r="Q396" i="3"/>
  <c r="AC396" i="3" s="1"/>
  <c r="AD396" i="3" s="1"/>
  <c r="N396" i="3"/>
  <c r="O396" i="3" s="1"/>
  <c r="L396" i="3"/>
  <c r="K396" i="3"/>
  <c r="F396" i="3"/>
  <c r="E396" i="3"/>
  <c r="B396" i="3"/>
  <c r="H396" i="3" s="1"/>
  <c r="I396" i="3" s="1"/>
  <c r="AC395" i="3"/>
  <c r="AD395" i="3" s="1"/>
  <c r="AA395" i="3"/>
  <c r="W395" i="3"/>
  <c r="U395" i="3"/>
  <c r="R395" i="3"/>
  <c r="N395" i="3"/>
  <c r="O395" i="3" s="1"/>
  <c r="L395" i="3"/>
  <c r="H395" i="3"/>
  <c r="I395" i="3" s="1"/>
  <c r="F395" i="3"/>
  <c r="C395" i="3"/>
  <c r="AC394" i="3"/>
  <c r="AD394" i="3" s="1"/>
  <c r="AA394" i="3"/>
  <c r="W394" i="3"/>
  <c r="U394" i="3"/>
  <c r="R394" i="3"/>
  <c r="N394" i="3"/>
  <c r="O394" i="3" s="1"/>
  <c r="L394" i="3"/>
  <c r="I394" i="3"/>
  <c r="H394" i="3"/>
  <c r="F394" i="3"/>
  <c r="C394" i="3"/>
  <c r="AA393" i="3"/>
  <c r="Z393" i="3"/>
  <c r="W393" i="3"/>
  <c r="X393" i="3" s="1"/>
  <c r="T393" i="3"/>
  <c r="U393" i="3" s="1"/>
  <c r="R393" i="3"/>
  <c r="Q393" i="3"/>
  <c r="O393" i="3"/>
  <c r="K393" i="3"/>
  <c r="N393" i="3" s="1"/>
  <c r="F393" i="3"/>
  <c r="E393" i="3"/>
  <c r="C393" i="3"/>
  <c r="B393" i="3"/>
  <c r="H393" i="3" s="1"/>
  <c r="I393" i="3" s="1"/>
  <c r="AD392" i="3"/>
  <c r="AC392" i="3"/>
  <c r="AA392" i="3"/>
  <c r="W392" i="3"/>
  <c r="U392" i="3"/>
  <c r="R392" i="3"/>
  <c r="O392" i="3"/>
  <c r="N392" i="3"/>
  <c r="L392" i="3"/>
  <c r="H392" i="3"/>
  <c r="I392" i="3" s="1"/>
  <c r="F392" i="3"/>
  <c r="C392" i="3"/>
  <c r="AD391" i="3"/>
  <c r="AC391" i="3"/>
  <c r="AA391" i="3"/>
  <c r="W391" i="3"/>
  <c r="U391" i="3"/>
  <c r="R391" i="3"/>
  <c r="N391" i="3"/>
  <c r="O391" i="3" s="1"/>
  <c r="L391" i="3"/>
  <c r="H391" i="3"/>
  <c r="I391" i="3" s="1"/>
  <c r="F391" i="3"/>
  <c r="C391" i="3"/>
  <c r="AD390" i="3"/>
  <c r="AC390" i="3"/>
  <c r="AA390" i="3"/>
  <c r="W390" i="3"/>
  <c r="U390" i="3"/>
  <c r="R390" i="3"/>
  <c r="N390" i="3"/>
  <c r="O390" i="3" s="1"/>
  <c r="L390" i="3"/>
  <c r="H390" i="3"/>
  <c r="I390" i="3" s="1"/>
  <c r="F390" i="3"/>
  <c r="C390" i="3"/>
  <c r="AC389" i="3"/>
  <c r="AD389" i="3" s="1"/>
  <c r="AA389" i="3"/>
  <c r="W389" i="3"/>
  <c r="X389" i="3" s="1"/>
  <c r="U389" i="3"/>
  <c r="R389" i="3"/>
  <c r="O389" i="3"/>
  <c r="N389" i="3"/>
  <c r="L389" i="3"/>
  <c r="I389" i="3"/>
  <c r="H389" i="3"/>
  <c r="F389" i="3"/>
  <c r="C389" i="3"/>
  <c r="AC388" i="3"/>
  <c r="AD388" i="3" s="1"/>
  <c r="AA388" i="3"/>
  <c r="W388" i="3"/>
  <c r="U388" i="3"/>
  <c r="R388" i="3"/>
  <c r="O388" i="3"/>
  <c r="N388" i="3"/>
  <c r="L388" i="3"/>
  <c r="H388" i="3"/>
  <c r="I388" i="3" s="1"/>
  <c r="F388" i="3"/>
  <c r="C388" i="3"/>
  <c r="AD386" i="3"/>
  <c r="AC386" i="3"/>
  <c r="AA386" i="3"/>
  <c r="W386" i="3"/>
  <c r="U386" i="3"/>
  <c r="R386" i="3"/>
  <c r="N386" i="3"/>
  <c r="O386" i="3" s="1"/>
  <c r="L386" i="3"/>
  <c r="H386" i="3"/>
  <c r="I386" i="3" s="1"/>
  <c r="F386" i="3"/>
  <c r="C386" i="3"/>
  <c r="AD385" i="3"/>
  <c r="AC385" i="3"/>
  <c r="AA385" i="3"/>
  <c r="W385" i="3"/>
  <c r="U385" i="3"/>
  <c r="R385" i="3"/>
  <c r="N385" i="3"/>
  <c r="O385" i="3" s="1"/>
  <c r="L385" i="3"/>
  <c r="H385" i="3"/>
  <c r="I385" i="3" s="1"/>
  <c r="F385" i="3"/>
  <c r="C385" i="3"/>
  <c r="AC383" i="3"/>
  <c r="AD383" i="3" s="1"/>
  <c r="AA383" i="3"/>
  <c r="W383" i="3"/>
  <c r="U383" i="3"/>
  <c r="R383" i="3"/>
  <c r="O383" i="3"/>
  <c r="N383" i="3"/>
  <c r="L383" i="3"/>
  <c r="I383" i="3"/>
  <c r="H383" i="3"/>
  <c r="F383" i="3"/>
  <c r="C383" i="3"/>
  <c r="AC382" i="3"/>
  <c r="AD382" i="3" s="1"/>
  <c r="AA382" i="3"/>
  <c r="W382" i="3"/>
  <c r="U382" i="3"/>
  <c r="R382" i="3"/>
  <c r="N382" i="3"/>
  <c r="O382" i="3" s="1"/>
  <c r="L382" i="3"/>
  <c r="H382" i="3"/>
  <c r="I382" i="3" s="1"/>
  <c r="F382" i="3"/>
  <c r="C382" i="3"/>
  <c r="AD381" i="3"/>
  <c r="AC381" i="3"/>
  <c r="AA381" i="3"/>
  <c r="W381" i="3"/>
  <c r="U381" i="3"/>
  <c r="R381" i="3"/>
  <c r="N381" i="3"/>
  <c r="O381" i="3" s="1"/>
  <c r="L381" i="3"/>
  <c r="I381" i="3"/>
  <c r="H381" i="3"/>
  <c r="F381" i="3"/>
  <c r="C381" i="3"/>
  <c r="AD380" i="3"/>
  <c r="AC380" i="3"/>
  <c r="AA380" i="3"/>
  <c r="X380" i="3"/>
  <c r="W380" i="3"/>
  <c r="U380" i="3"/>
  <c r="R380" i="3"/>
  <c r="N380" i="3"/>
  <c r="O380" i="3" s="1"/>
  <c r="L380" i="3"/>
  <c r="I380" i="3"/>
  <c r="H380" i="3"/>
  <c r="F380" i="3"/>
  <c r="C380" i="3"/>
  <c r="AC379" i="3"/>
  <c r="AD379" i="3" s="1"/>
  <c r="AA379" i="3"/>
  <c r="W379" i="3"/>
  <c r="U379" i="3"/>
  <c r="R379" i="3"/>
  <c r="O379" i="3"/>
  <c r="N379" i="3"/>
  <c r="L379" i="3"/>
  <c r="I379" i="3"/>
  <c r="H379" i="3"/>
  <c r="F379" i="3"/>
  <c r="C379" i="3"/>
  <c r="AD378" i="3"/>
  <c r="AC378" i="3"/>
  <c r="AA378" i="3"/>
  <c r="W378" i="3"/>
  <c r="U378" i="3"/>
  <c r="R378" i="3"/>
  <c r="N378" i="3"/>
  <c r="O378" i="3" s="1"/>
  <c r="L378" i="3"/>
  <c r="H378" i="3"/>
  <c r="I378" i="3" s="1"/>
  <c r="F378" i="3"/>
  <c r="C378" i="3"/>
  <c r="AC377" i="3"/>
  <c r="AD377" i="3" s="1"/>
  <c r="AA377" i="3"/>
  <c r="W377" i="3"/>
  <c r="U377" i="3"/>
  <c r="R377" i="3"/>
  <c r="N377" i="3"/>
  <c r="O377" i="3" s="1"/>
  <c r="L377" i="3"/>
  <c r="H377" i="3"/>
  <c r="I377" i="3" s="1"/>
  <c r="F377" i="3"/>
  <c r="C377" i="3"/>
  <c r="AD376" i="3"/>
  <c r="AC376" i="3"/>
  <c r="AA376" i="3"/>
  <c r="W376" i="3"/>
  <c r="X376" i="3" s="1"/>
  <c r="U376" i="3"/>
  <c r="R376" i="3"/>
  <c r="N376" i="3"/>
  <c r="O376" i="3" s="1"/>
  <c r="L376" i="3"/>
  <c r="I376" i="3"/>
  <c r="H376" i="3"/>
  <c r="F376" i="3"/>
  <c r="C376" i="3"/>
  <c r="AC375" i="3"/>
  <c r="AD375" i="3" s="1"/>
  <c r="AA375" i="3"/>
  <c r="W375" i="3"/>
  <c r="U375" i="3"/>
  <c r="R375" i="3"/>
  <c r="O375" i="3"/>
  <c r="N375" i="3"/>
  <c r="L375" i="3"/>
  <c r="I375" i="3"/>
  <c r="H375" i="3"/>
  <c r="F375" i="3"/>
  <c r="C375" i="3"/>
  <c r="AD374" i="3"/>
  <c r="AC374" i="3"/>
  <c r="AA374" i="3"/>
  <c r="W374" i="3"/>
  <c r="U374" i="3"/>
  <c r="R374" i="3"/>
  <c r="O374" i="3"/>
  <c r="N374" i="3"/>
  <c r="L374" i="3"/>
  <c r="H374" i="3"/>
  <c r="I374" i="3" s="1"/>
  <c r="F374" i="3"/>
  <c r="C374" i="3"/>
  <c r="AC373" i="3"/>
  <c r="AD373" i="3" s="1"/>
  <c r="AA373" i="3"/>
  <c r="W373" i="3"/>
  <c r="U373" i="3"/>
  <c r="R373" i="3"/>
  <c r="N373" i="3"/>
  <c r="O373" i="3" s="1"/>
  <c r="L373" i="3"/>
  <c r="H373" i="3"/>
  <c r="I373" i="3" s="1"/>
  <c r="F373" i="3"/>
  <c r="C373" i="3"/>
  <c r="AD372" i="3"/>
  <c r="AC372" i="3"/>
  <c r="AA372" i="3"/>
  <c r="W372" i="3"/>
  <c r="U372" i="3"/>
  <c r="R372" i="3"/>
  <c r="N372" i="3"/>
  <c r="O372" i="3" s="1"/>
  <c r="L372" i="3"/>
  <c r="H372" i="3"/>
  <c r="I372" i="3" s="1"/>
  <c r="F372" i="3"/>
  <c r="C372" i="3"/>
  <c r="AC371" i="3"/>
  <c r="AD371" i="3" s="1"/>
  <c r="AA371" i="3"/>
  <c r="W371" i="3"/>
  <c r="X371" i="3" s="1"/>
  <c r="U371" i="3"/>
  <c r="R371" i="3"/>
  <c r="O371" i="3"/>
  <c r="N371" i="3"/>
  <c r="L371" i="3"/>
  <c r="I371" i="3"/>
  <c r="H371" i="3"/>
  <c r="F371" i="3"/>
  <c r="C371" i="3"/>
  <c r="AC370" i="3"/>
  <c r="AD370" i="3" s="1"/>
  <c r="AA370" i="3"/>
  <c r="W370" i="3"/>
  <c r="U370" i="3"/>
  <c r="R370" i="3"/>
  <c r="O370" i="3"/>
  <c r="N370" i="3"/>
  <c r="L370" i="3"/>
  <c r="H370" i="3"/>
  <c r="I370" i="3" s="1"/>
  <c r="F370" i="3"/>
  <c r="C370" i="3"/>
  <c r="AD369" i="3"/>
  <c r="AC369" i="3"/>
  <c r="AA369" i="3"/>
  <c r="W369" i="3"/>
  <c r="U369" i="3"/>
  <c r="R369" i="3"/>
  <c r="N369" i="3"/>
  <c r="O369" i="3" s="1"/>
  <c r="L369" i="3"/>
  <c r="H369" i="3"/>
  <c r="I369" i="3" s="1"/>
  <c r="F369" i="3"/>
  <c r="C369" i="3"/>
  <c r="Z368" i="3"/>
  <c r="AA368" i="3" s="1"/>
  <c r="W368" i="3"/>
  <c r="T368" i="3"/>
  <c r="U368" i="3" s="1"/>
  <c r="R368" i="3"/>
  <c r="Q368" i="3"/>
  <c r="K368" i="3"/>
  <c r="N368" i="3" s="1"/>
  <c r="O368" i="3" s="1"/>
  <c r="F368" i="3"/>
  <c r="E368" i="3"/>
  <c r="C368" i="3"/>
  <c r="B368" i="3"/>
  <c r="H368" i="3" s="1"/>
  <c r="I368" i="3" s="1"/>
  <c r="AD367" i="3"/>
  <c r="AC367" i="3"/>
  <c r="AA367" i="3"/>
  <c r="W367" i="3"/>
  <c r="U367" i="3"/>
  <c r="R367" i="3"/>
  <c r="O367" i="3"/>
  <c r="N367" i="3"/>
  <c r="L367" i="3"/>
  <c r="H367" i="3"/>
  <c r="I367" i="3" s="1"/>
  <c r="F367" i="3"/>
  <c r="C367" i="3"/>
  <c r="AC366" i="3"/>
  <c r="AD366" i="3" s="1"/>
  <c r="AA366" i="3"/>
  <c r="W366" i="3"/>
  <c r="U366" i="3"/>
  <c r="R366" i="3"/>
  <c r="N366" i="3"/>
  <c r="O366" i="3" s="1"/>
  <c r="L366" i="3"/>
  <c r="I366" i="3"/>
  <c r="H366" i="3"/>
  <c r="F366" i="3"/>
  <c r="C366" i="3"/>
  <c r="AD365" i="3"/>
  <c r="AC365" i="3"/>
  <c r="AA365" i="3"/>
  <c r="W365" i="3"/>
  <c r="X365" i="3" s="1"/>
  <c r="U365" i="3"/>
  <c r="R365" i="3"/>
  <c r="N365" i="3"/>
  <c r="O365" i="3" s="1"/>
  <c r="L365" i="3"/>
  <c r="H365" i="3"/>
  <c r="I365" i="3" s="1"/>
  <c r="F365" i="3"/>
  <c r="C365" i="3"/>
  <c r="AC364" i="3"/>
  <c r="AD364" i="3" s="1"/>
  <c r="AA364" i="3"/>
  <c r="W364" i="3"/>
  <c r="U364" i="3"/>
  <c r="R364" i="3"/>
  <c r="O364" i="3"/>
  <c r="N364" i="3"/>
  <c r="L364" i="3"/>
  <c r="I364" i="3"/>
  <c r="H364" i="3"/>
  <c r="F364" i="3"/>
  <c r="C364" i="3"/>
  <c r="AC363" i="3"/>
  <c r="AD363" i="3" s="1"/>
  <c r="AA363" i="3"/>
  <c r="W363" i="3"/>
  <c r="X363" i="3" s="1"/>
  <c r="U363" i="3"/>
  <c r="R363" i="3"/>
  <c r="N363" i="3"/>
  <c r="O363" i="3" s="1"/>
  <c r="L363" i="3"/>
  <c r="H363" i="3"/>
  <c r="I363" i="3" s="1"/>
  <c r="F363" i="3"/>
  <c r="C363" i="3"/>
  <c r="AD362" i="3"/>
  <c r="AC362" i="3"/>
  <c r="AA362" i="3"/>
  <c r="W362" i="3"/>
  <c r="U362" i="3"/>
  <c r="R362" i="3"/>
  <c r="N362" i="3"/>
  <c r="O362" i="3" s="1"/>
  <c r="L362" i="3"/>
  <c r="H362" i="3"/>
  <c r="I362" i="3" s="1"/>
  <c r="F362" i="3"/>
  <c r="C362" i="3"/>
  <c r="AD361" i="3"/>
  <c r="AC361" i="3"/>
  <c r="AA361" i="3"/>
  <c r="W361" i="3"/>
  <c r="U361" i="3"/>
  <c r="R361" i="3"/>
  <c r="N361" i="3"/>
  <c r="O361" i="3" s="1"/>
  <c r="L361" i="3"/>
  <c r="H361" i="3"/>
  <c r="I361" i="3" s="1"/>
  <c r="F361" i="3"/>
  <c r="C361" i="3"/>
  <c r="AC360" i="3"/>
  <c r="AD360" i="3" s="1"/>
  <c r="AA360" i="3"/>
  <c r="W360" i="3"/>
  <c r="U360" i="3"/>
  <c r="R360" i="3"/>
  <c r="O360" i="3"/>
  <c r="N360" i="3"/>
  <c r="L360" i="3"/>
  <c r="I360" i="3"/>
  <c r="H360" i="3"/>
  <c r="F360" i="3"/>
  <c r="C360" i="3"/>
  <c r="AC358" i="3"/>
  <c r="AD358" i="3" s="1"/>
  <c r="Z358" i="3"/>
  <c r="AA358" i="3" s="1"/>
  <c r="T358" i="3"/>
  <c r="U358" i="3" s="1"/>
  <c r="Q358" i="3"/>
  <c r="W358" i="3" s="1"/>
  <c r="X358" i="3" s="1"/>
  <c r="L358" i="3"/>
  <c r="K358" i="3"/>
  <c r="E358" i="3"/>
  <c r="H358" i="3" s="1"/>
  <c r="I358" i="3" s="1"/>
  <c r="B358" i="3"/>
  <c r="C358" i="3" s="1"/>
  <c r="AD357" i="3"/>
  <c r="AC357" i="3"/>
  <c r="AA357" i="3"/>
  <c r="W357" i="3"/>
  <c r="U357" i="3"/>
  <c r="R357" i="3"/>
  <c r="N357" i="3"/>
  <c r="O357" i="3" s="1"/>
  <c r="L357" i="3"/>
  <c r="H357" i="3"/>
  <c r="I357" i="3" s="1"/>
  <c r="F357" i="3"/>
  <c r="C357" i="3"/>
  <c r="AC356" i="3"/>
  <c r="AD356" i="3" s="1"/>
  <c r="AA356" i="3"/>
  <c r="W356" i="3"/>
  <c r="U356" i="3"/>
  <c r="R356" i="3"/>
  <c r="O356" i="3"/>
  <c r="N356" i="3"/>
  <c r="L356" i="3"/>
  <c r="I356" i="3"/>
  <c r="H356" i="3"/>
  <c r="F356" i="3"/>
  <c r="C356" i="3"/>
  <c r="AC355" i="3"/>
  <c r="AD355" i="3" s="1"/>
  <c r="AA355" i="3"/>
  <c r="W355" i="3"/>
  <c r="U355" i="3"/>
  <c r="R355" i="3"/>
  <c r="N355" i="3"/>
  <c r="O355" i="3" s="1"/>
  <c r="L355" i="3"/>
  <c r="H355" i="3"/>
  <c r="I355" i="3" s="1"/>
  <c r="F355" i="3"/>
  <c r="C355" i="3"/>
  <c r="AC354" i="3"/>
  <c r="AD354" i="3" s="1"/>
  <c r="AA354" i="3"/>
  <c r="W354" i="3"/>
  <c r="U354" i="3"/>
  <c r="R354" i="3"/>
  <c r="N354" i="3"/>
  <c r="O354" i="3" s="1"/>
  <c r="L354" i="3"/>
  <c r="H354" i="3"/>
  <c r="I354" i="3" s="1"/>
  <c r="F354" i="3"/>
  <c r="C354" i="3"/>
  <c r="AD353" i="3"/>
  <c r="AC353" i="3"/>
  <c r="AA353" i="3"/>
  <c r="W353" i="3"/>
  <c r="X353" i="3" s="1"/>
  <c r="U353" i="3"/>
  <c r="R353" i="3"/>
  <c r="N353" i="3"/>
  <c r="O353" i="3" s="1"/>
  <c r="L353" i="3"/>
  <c r="I353" i="3"/>
  <c r="H353" i="3"/>
  <c r="F353" i="3"/>
  <c r="C353" i="3"/>
  <c r="AC352" i="3"/>
  <c r="AD352" i="3" s="1"/>
  <c r="AA352" i="3"/>
  <c r="W352" i="3"/>
  <c r="U352" i="3"/>
  <c r="R352" i="3"/>
  <c r="O352" i="3"/>
  <c r="N352" i="3"/>
  <c r="L352" i="3"/>
  <c r="I352" i="3"/>
  <c r="H352" i="3"/>
  <c r="F352" i="3"/>
  <c r="C352" i="3"/>
  <c r="AD351" i="3"/>
  <c r="AC351" i="3"/>
  <c r="AA351" i="3"/>
  <c r="W351" i="3"/>
  <c r="U351" i="3"/>
  <c r="R351" i="3"/>
  <c r="N351" i="3"/>
  <c r="O351" i="3" s="1"/>
  <c r="L351" i="3"/>
  <c r="H351" i="3"/>
  <c r="I351" i="3" s="1"/>
  <c r="F351" i="3"/>
  <c r="C351" i="3"/>
  <c r="AC350" i="3"/>
  <c r="AD350" i="3" s="1"/>
  <c r="AA350" i="3"/>
  <c r="X350" i="3"/>
  <c r="W350" i="3"/>
  <c r="U350" i="3"/>
  <c r="R350" i="3"/>
  <c r="N350" i="3"/>
  <c r="O350" i="3" s="1"/>
  <c r="L350" i="3"/>
  <c r="I350" i="3"/>
  <c r="H350" i="3"/>
  <c r="F350" i="3"/>
  <c r="C350" i="3"/>
  <c r="AD349" i="3"/>
  <c r="AC349" i="3"/>
  <c r="AA349" i="3"/>
  <c r="W349" i="3"/>
  <c r="X349" i="3" s="1"/>
  <c r="U349" i="3"/>
  <c r="R349" i="3"/>
  <c r="N349" i="3"/>
  <c r="O349" i="3" s="1"/>
  <c r="L349" i="3"/>
  <c r="H349" i="3"/>
  <c r="I349" i="3" s="1"/>
  <c r="F349" i="3"/>
  <c r="C349" i="3"/>
  <c r="AC347" i="3"/>
  <c r="AD347" i="3" s="1"/>
  <c r="AA347" i="3"/>
  <c r="W347" i="3"/>
  <c r="U347" i="3"/>
  <c r="R347" i="3"/>
  <c r="O347" i="3"/>
  <c r="N347" i="3"/>
  <c r="L347" i="3"/>
  <c r="I347" i="3"/>
  <c r="H347" i="3"/>
  <c r="F347" i="3"/>
  <c r="C347" i="3"/>
  <c r="AA344" i="3"/>
  <c r="Z344" i="3"/>
  <c r="W344" i="3"/>
  <c r="X344" i="3" s="1"/>
  <c r="T344" i="3"/>
  <c r="U344" i="3" s="1"/>
  <c r="R344" i="3"/>
  <c r="Q344" i="3"/>
  <c r="AC344" i="3" s="1"/>
  <c r="AD344" i="3" s="1"/>
  <c r="N344" i="3"/>
  <c r="O344" i="3" s="1"/>
  <c r="L344" i="3"/>
  <c r="K344" i="3"/>
  <c r="F344" i="3"/>
  <c r="E344" i="3"/>
  <c r="B344" i="3"/>
  <c r="H344" i="3" s="1"/>
  <c r="I344" i="3" s="1"/>
  <c r="AC343" i="3"/>
  <c r="AD343" i="3" s="1"/>
  <c r="Z343" i="3"/>
  <c r="AA343" i="3" s="1"/>
  <c r="T343" i="3"/>
  <c r="U343" i="3" s="1"/>
  <c r="Q343" i="3"/>
  <c r="W343" i="3" s="1"/>
  <c r="X343" i="3" s="1"/>
  <c r="L343" i="3"/>
  <c r="K343" i="3"/>
  <c r="E343" i="3"/>
  <c r="H343" i="3" s="1"/>
  <c r="I343" i="3" s="1"/>
  <c r="B343" i="3"/>
  <c r="C343" i="3" s="1"/>
  <c r="Z342" i="3"/>
  <c r="AA342" i="3" s="1"/>
  <c r="W342" i="3"/>
  <c r="T342" i="3"/>
  <c r="U342" i="3" s="1"/>
  <c r="R342" i="3"/>
  <c r="Q342" i="3"/>
  <c r="L342" i="3"/>
  <c r="K342" i="3"/>
  <c r="F342" i="3"/>
  <c r="E342" i="3"/>
  <c r="B342" i="3"/>
  <c r="H342" i="3" s="1"/>
  <c r="I342" i="3" s="1"/>
  <c r="AD341" i="3"/>
  <c r="AC341" i="3"/>
  <c r="AA341" i="3"/>
  <c r="W341" i="3"/>
  <c r="U341" i="3"/>
  <c r="R341" i="3"/>
  <c r="N341" i="3"/>
  <c r="O341" i="3" s="1"/>
  <c r="L341" i="3"/>
  <c r="H341" i="3"/>
  <c r="I341" i="3" s="1"/>
  <c r="F341" i="3"/>
  <c r="C341" i="3"/>
  <c r="AC340" i="3"/>
  <c r="AD340" i="3" s="1"/>
  <c r="AA340" i="3"/>
  <c r="W340" i="3"/>
  <c r="U340" i="3"/>
  <c r="R340" i="3"/>
  <c r="N340" i="3"/>
  <c r="O340" i="3" s="1"/>
  <c r="L340" i="3"/>
  <c r="H340" i="3"/>
  <c r="I340" i="3" s="1"/>
  <c r="F340" i="3"/>
  <c r="C340" i="3"/>
  <c r="AD339" i="3"/>
  <c r="AC339" i="3"/>
  <c r="AA339" i="3"/>
  <c r="W339" i="3"/>
  <c r="X339" i="3" s="1"/>
  <c r="U339" i="3"/>
  <c r="R339" i="3"/>
  <c r="N339" i="3"/>
  <c r="O339" i="3" s="1"/>
  <c r="L339" i="3"/>
  <c r="I339" i="3"/>
  <c r="H339" i="3"/>
  <c r="F339" i="3"/>
  <c r="C339" i="3"/>
  <c r="AC338" i="3"/>
  <c r="AD338" i="3" s="1"/>
  <c r="AA338" i="3"/>
  <c r="W338" i="3"/>
  <c r="U338" i="3"/>
  <c r="R338" i="3"/>
  <c r="O338" i="3"/>
  <c r="N338" i="3"/>
  <c r="L338" i="3"/>
  <c r="I338" i="3"/>
  <c r="H338" i="3"/>
  <c r="F338" i="3"/>
  <c r="C338" i="3"/>
  <c r="AD337" i="3"/>
  <c r="AC337" i="3"/>
  <c r="AA337" i="3"/>
  <c r="W337" i="3"/>
  <c r="U337" i="3"/>
  <c r="R337" i="3"/>
  <c r="O337" i="3"/>
  <c r="N337" i="3"/>
  <c r="L337" i="3"/>
  <c r="H337" i="3"/>
  <c r="I337" i="3" s="1"/>
  <c r="F337" i="3"/>
  <c r="C337" i="3"/>
  <c r="AC335" i="3"/>
  <c r="AD335" i="3" s="1"/>
  <c r="AA335" i="3"/>
  <c r="W335" i="3"/>
  <c r="U335" i="3"/>
  <c r="R335" i="3"/>
  <c r="N335" i="3"/>
  <c r="O335" i="3" s="1"/>
  <c r="L335" i="3"/>
  <c r="H335" i="3"/>
  <c r="I335" i="3" s="1"/>
  <c r="F335" i="3"/>
  <c r="C335" i="3"/>
  <c r="AD334" i="3"/>
  <c r="AC334" i="3"/>
  <c r="AA334" i="3"/>
  <c r="W334" i="3"/>
  <c r="X334" i="3" s="1"/>
  <c r="U334" i="3"/>
  <c r="R334" i="3"/>
  <c r="N334" i="3"/>
  <c r="O334" i="3" s="1"/>
  <c r="L334" i="3"/>
  <c r="H334" i="3"/>
  <c r="I334" i="3" s="1"/>
  <c r="F334" i="3"/>
  <c r="C334" i="3"/>
  <c r="AC333" i="3"/>
  <c r="AD333" i="3" s="1"/>
  <c r="AA333" i="3"/>
  <c r="W333" i="3"/>
  <c r="X333" i="3" s="1"/>
  <c r="U333" i="3"/>
  <c r="R333" i="3"/>
  <c r="O333" i="3"/>
  <c r="N333" i="3"/>
  <c r="L333" i="3"/>
  <c r="I333" i="3"/>
  <c r="H333" i="3"/>
  <c r="F333" i="3"/>
  <c r="C333" i="3"/>
  <c r="AC332" i="3"/>
  <c r="AD332" i="3" s="1"/>
  <c r="AA332" i="3"/>
  <c r="W332" i="3"/>
  <c r="U332" i="3"/>
  <c r="R332" i="3"/>
  <c r="O332" i="3"/>
  <c r="N332" i="3"/>
  <c r="L332" i="3"/>
  <c r="H332" i="3"/>
  <c r="I332" i="3" s="1"/>
  <c r="F332" i="3"/>
  <c r="C332" i="3"/>
  <c r="AD331" i="3"/>
  <c r="AC331" i="3"/>
  <c r="AA331" i="3"/>
  <c r="W331" i="3"/>
  <c r="U331" i="3"/>
  <c r="R331" i="3"/>
  <c r="N331" i="3"/>
  <c r="O331" i="3" s="1"/>
  <c r="L331" i="3"/>
  <c r="H331" i="3"/>
  <c r="I331" i="3" s="1"/>
  <c r="F331" i="3"/>
  <c r="C331" i="3"/>
  <c r="AD330" i="3"/>
  <c r="AC330" i="3"/>
  <c r="AA330" i="3"/>
  <c r="W330" i="3"/>
  <c r="U330" i="3"/>
  <c r="R330" i="3"/>
  <c r="N330" i="3"/>
  <c r="O330" i="3" s="1"/>
  <c r="L330" i="3"/>
  <c r="H330" i="3"/>
  <c r="I330" i="3" s="1"/>
  <c r="F330" i="3"/>
  <c r="C330" i="3"/>
  <c r="AC329" i="3"/>
  <c r="AD329" i="3" s="1"/>
  <c r="AA329" i="3"/>
  <c r="W329" i="3"/>
  <c r="U329" i="3"/>
  <c r="R329" i="3"/>
  <c r="O329" i="3"/>
  <c r="N329" i="3"/>
  <c r="L329" i="3"/>
  <c r="I329" i="3"/>
  <c r="H329" i="3"/>
  <c r="F329" i="3"/>
  <c r="C329" i="3"/>
  <c r="AC328" i="3"/>
  <c r="AD328" i="3" s="1"/>
  <c r="AA328" i="3"/>
  <c r="W328" i="3"/>
  <c r="U328" i="3"/>
  <c r="R328" i="3"/>
  <c r="N328" i="3"/>
  <c r="O328" i="3" s="1"/>
  <c r="L328" i="3"/>
  <c r="H328" i="3"/>
  <c r="I328" i="3" s="1"/>
  <c r="F328" i="3"/>
  <c r="C328" i="3"/>
  <c r="AD325" i="3"/>
  <c r="Z325" i="3"/>
  <c r="AC325" i="3" s="1"/>
  <c r="U325" i="3"/>
  <c r="T325" i="3"/>
  <c r="R325" i="3"/>
  <c r="Q325" i="3"/>
  <c r="W325" i="3" s="1"/>
  <c r="O325" i="3"/>
  <c r="N325" i="3"/>
  <c r="K325" i="3"/>
  <c r="L325" i="3" s="1"/>
  <c r="E325" i="3"/>
  <c r="F325" i="3" s="1"/>
  <c r="C325" i="3"/>
  <c r="B325" i="3"/>
  <c r="AA324" i="3"/>
  <c r="Z324" i="3"/>
  <c r="T324" i="3"/>
  <c r="W324" i="3" s="1"/>
  <c r="X324" i="3" s="1"/>
  <c r="Q324" i="3"/>
  <c r="R324" i="3" s="1"/>
  <c r="L324" i="3"/>
  <c r="K324" i="3"/>
  <c r="H324" i="3"/>
  <c r="I324" i="3" s="1"/>
  <c r="E324" i="3"/>
  <c r="F324" i="3" s="1"/>
  <c r="C324" i="3"/>
  <c r="B324" i="3"/>
  <c r="N324" i="3" s="1"/>
  <c r="O324" i="3" s="1"/>
  <c r="AC323" i="3"/>
  <c r="AD323" i="3" s="1"/>
  <c r="AA323" i="3"/>
  <c r="W323" i="3"/>
  <c r="U323" i="3"/>
  <c r="R323" i="3"/>
  <c r="N323" i="3"/>
  <c r="O323" i="3" s="1"/>
  <c r="L323" i="3"/>
  <c r="I323" i="3"/>
  <c r="H323" i="3"/>
  <c r="F323" i="3"/>
  <c r="C323" i="3"/>
  <c r="AD322" i="3"/>
  <c r="AC322" i="3"/>
  <c r="AA322" i="3"/>
  <c r="W322" i="3"/>
  <c r="X322" i="3" s="1"/>
  <c r="U322" i="3"/>
  <c r="R322" i="3"/>
  <c r="N322" i="3"/>
  <c r="O322" i="3" s="1"/>
  <c r="L322" i="3"/>
  <c r="I322" i="3"/>
  <c r="H322" i="3"/>
  <c r="F322" i="3"/>
  <c r="C322" i="3"/>
  <c r="AC321" i="3"/>
  <c r="AD321" i="3" s="1"/>
  <c r="AA321" i="3"/>
  <c r="W321" i="3"/>
  <c r="U321" i="3"/>
  <c r="R321" i="3"/>
  <c r="O321" i="3"/>
  <c r="N321" i="3"/>
  <c r="L321" i="3"/>
  <c r="I321" i="3"/>
  <c r="H321" i="3"/>
  <c r="F321" i="3"/>
  <c r="C321" i="3"/>
  <c r="AD320" i="3"/>
  <c r="AC320" i="3"/>
  <c r="AA320" i="3"/>
  <c r="W320" i="3"/>
  <c r="X320" i="3" s="1"/>
  <c r="U320" i="3"/>
  <c r="R320" i="3"/>
  <c r="O320" i="3"/>
  <c r="N320" i="3"/>
  <c r="L320" i="3"/>
  <c r="H320" i="3"/>
  <c r="I320" i="3" s="1"/>
  <c r="F320" i="3"/>
  <c r="C320" i="3"/>
  <c r="AD319" i="3"/>
  <c r="AC319" i="3"/>
  <c r="AA319" i="3"/>
  <c r="W319" i="3"/>
  <c r="U319" i="3"/>
  <c r="R319" i="3"/>
  <c r="N319" i="3"/>
  <c r="O319" i="3" s="1"/>
  <c r="L319" i="3"/>
  <c r="H319" i="3"/>
  <c r="I319" i="3" s="1"/>
  <c r="F319" i="3"/>
  <c r="C319" i="3"/>
  <c r="AD318" i="3"/>
  <c r="AC318" i="3"/>
  <c r="AA318" i="3"/>
  <c r="W318" i="3"/>
  <c r="U318" i="3"/>
  <c r="R318" i="3"/>
  <c r="N318" i="3"/>
  <c r="O318" i="3" s="1"/>
  <c r="L318" i="3"/>
  <c r="H318" i="3"/>
  <c r="I318" i="3" s="1"/>
  <c r="F318" i="3"/>
  <c r="C318" i="3"/>
  <c r="AC317" i="3"/>
  <c r="AD317" i="3" s="1"/>
  <c r="AA317" i="3"/>
  <c r="W317" i="3"/>
  <c r="U317" i="3"/>
  <c r="R317" i="3"/>
  <c r="O317" i="3"/>
  <c r="N317" i="3"/>
  <c r="L317" i="3"/>
  <c r="I317" i="3"/>
  <c r="H317" i="3"/>
  <c r="F317" i="3"/>
  <c r="C317" i="3"/>
  <c r="AC316" i="3"/>
  <c r="AD316" i="3" s="1"/>
  <c r="AA316" i="3"/>
  <c r="W316" i="3"/>
  <c r="U316" i="3"/>
  <c r="R316" i="3"/>
  <c r="O316" i="3"/>
  <c r="N316" i="3"/>
  <c r="L316" i="3"/>
  <c r="H316" i="3"/>
  <c r="I316" i="3" s="1"/>
  <c r="F316" i="3"/>
  <c r="C316" i="3"/>
  <c r="AD315" i="3"/>
  <c r="AC315" i="3"/>
  <c r="AA315" i="3"/>
  <c r="W315" i="3"/>
  <c r="U315" i="3"/>
  <c r="R315" i="3"/>
  <c r="N315" i="3"/>
  <c r="O315" i="3" s="1"/>
  <c r="L315" i="3"/>
  <c r="H315" i="3"/>
  <c r="I315" i="3" s="1"/>
  <c r="F315" i="3"/>
  <c r="C315" i="3"/>
  <c r="AD314" i="3"/>
  <c r="AC314" i="3"/>
  <c r="AA314" i="3"/>
  <c r="W314" i="3"/>
  <c r="U314" i="3"/>
  <c r="R314" i="3"/>
  <c r="N314" i="3"/>
  <c r="O314" i="3" s="1"/>
  <c r="L314" i="3"/>
  <c r="I314" i="3"/>
  <c r="H314" i="3"/>
  <c r="F314" i="3"/>
  <c r="C314" i="3"/>
  <c r="AC313" i="3"/>
  <c r="AD313" i="3" s="1"/>
  <c r="AA313" i="3"/>
  <c r="W313" i="3"/>
  <c r="U313" i="3"/>
  <c r="R313" i="3"/>
  <c r="O313" i="3"/>
  <c r="N313" i="3"/>
  <c r="L313" i="3"/>
  <c r="I313" i="3"/>
  <c r="H313" i="3"/>
  <c r="F313" i="3"/>
  <c r="C313" i="3"/>
  <c r="AD312" i="3"/>
  <c r="AC312" i="3"/>
  <c r="AA312" i="3"/>
  <c r="W312" i="3"/>
  <c r="U312" i="3"/>
  <c r="R312" i="3"/>
  <c r="N312" i="3"/>
  <c r="O312" i="3" s="1"/>
  <c r="L312" i="3"/>
  <c r="H312" i="3"/>
  <c r="I312" i="3" s="1"/>
  <c r="F312" i="3"/>
  <c r="C312" i="3"/>
  <c r="AD311" i="3"/>
  <c r="AC311" i="3"/>
  <c r="AA311" i="3"/>
  <c r="X311" i="3"/>
  <c r="W311" i="3"/>
  <c r="U311" i="3"/>
  <c r="R311" i="3"/>
  <c r="N311" i="3"/>
  <c r="O311" i="3" s="1"/>
  <c r="L311" i="3"/>
  <c r="I311" i="3"/>
  <c r="H311" i="3"/>
  <c r="F311" i="3"/>
  <c r="C311" i="3"/>
  <c r="AD310" i="3"/>
  <c r="AC310" i="3"/>
  <c r="AA310" i="3"/>
  <c r="W310" i="3"/>
  <c r="U310" i="3"/>
  <c r="R310" i="3"/>
  <c r="N310" i="3"/>
  <c r="O310" i="3" s="1"/>
  <c r="L310" i="3"/>
  <c r="I310" i="3"/>
  <c r="H310" i="3"/>
  <c r="F310" i="3"/>
  <c r="C310" i="3"/>
  <c r="AC309" i="3"/>
  <c r="AD309" i="3" s="1"/>
  <c r="AA309" i="3"/>
  <c r="W309" i="3"/>
  <c r="U309" i="3"/>
  <c r="R309" i="3"/>
  <c r="O309" i="3"/>
  <c r="N309" i="3"/>
  <c r="L309" i="3"/>
  <c r="I309" i="3"/>
  <c r="H309" i="3"/>
  <c r="F309" i="3"/>
  <c r="C309" i="3"/>
  <c r="AD308" i="3"/>
  <c r="AC308" i="3"/>
  <c r="AA308" i="3"/>
  <c r="W308" i="3"/>
  <c r="U308" i="3"/>
  <c r="R308" i="3"/>
  <c r="O308" i="3"/>
  <c r="N308" i="3"/>
  <c r="L308" i="3"/>
  <c r="H308" i="3"/>
  <c r="I308" i="3" s="1"/>
  <c r="F308" i="3"/>
  <c r="C308" i="3"/>
  <c r="AC307" i="3"/>
  <c r="AD307" i="3" s="1"/>
  <c r="AA307" i="3"/>
  <c r="W307" i="3"/>
  <c r="U307" i="3"/>
  <c r="R307" i="3"/>
  <c r="N307" i="3"/>
  <c r="O307" i="3" s="1"/>
  <c r="L307" i="3"/>
  <c r="I307" i="3"/>
  <c r="H307" i="3"/>
  <c r="F307" i="3"/>
  <c r="C307" i="3"/>
  <c r="AD306" i="3"/>
  <c r="AC306" i="3"/>
  <c r="AA306" i="3"/>
  <c r="W306" i="3"/>
  <c r="X306" i="3" s="1"/>
  <c r="U306" i="3"/>
  <c r="R306" i="3"/>
  <c r="N306" i="3"/>
  <c r="O306" i="3" s="1"/>
  <c r="L306" i="3"/>
  <c r="I306" i="3"/>
  <c r="H306" i="3"/>
  <c r="F306" i="3"/>
  <c r="C306" i="3"/>
  <c r="AC305" i="3"/>
  <c r="AD305" i="3" s="1"/>
  <c r="AA305" i="3"/>
  <c r="W305" i="3"/>
  <c r="U305" i="3"/>
  <c r="R305" i="3"/>
  <c r="O305" i="3"/>
  <c r="N305" i="3"/>
  <c r="L305" i="3"/>
  <c r="I305" i="3"/>
  <c r="H305" i="3"/>
  <c r="F305" i="3"/>
  <c r="C305" i="3"/>
  <c r="AD304" i="3"/>
  <c r="AC304" i="3"/>
  <c r="AA304" i="3"/>
  <c r="W304" i="3"/>
  <c r="X304" i="3" s="1"/>
  <c r="U304" i="3"/>
  <c r="R304" i="3"/>
  <c r="O304" i="3"/>
  <c r="N304" i="3"/>
  <c r="L304" i="3"/>
  <c r="H304" i="3"/>
  <c r="I304" i="3" s="1"/>
  <c r="F304" i="3"/>
  <c r="C304" i="3"/>
  <c r="AD303" i="3"/>
  <c r="AC303" i="3"/>
  <c r="AA303" i="3"/>
  <c r="W303" i="3"/>
  <c r="U303" i="3"/>
  <c r="R303" i="3"/>
  <c r="N303" i="3"/>
  <c r="O303" i="3" s="1"/>
  <c r="L303" i="3"/>
  <c r="H303" i="3"/>
  <c r="I303" i="3" s="1"/>
  <c r="F303" i="3"/>
  <c r="C303" i="3"/>
  <c r="AD302" i="3"/>
  <c r="AC302" i="3"/>
  <c r="AA302" i="3"/>
  <c r="W302" i="3"/>
  <c r="U302" i="3"/>
  <c r="R302" i="3"/>
  <c r="N302" i="3"/>
  <c r="O302" i="3" s="1"/>
  <c r="L302" i="3"/>
  <c r="H302" i="3"/>
  <c r="I302" i="3" s="1"/>
  <c r="F302" i="3"/>
  <c r="C302" i="3"/>
  <c r="AC301" i="3"/>
  <c r="AD301" i="3" s="1"/>
  <c r="AA301" i="3"/>
  <c r="W301" i="3"/>
  <c r="U301" i="3"/>
  <c r="R301" i="3"/>
  <c r="O301" i="3"/>
  <c r="N301" i="3"/>
  <c r="L301" i="3"/>
  <c r="I301" i="3"/>
  <c r="H301" i="3"/>
  <c r="F301" i="3"/>
  <c r="C301" i="3"/>
  <c r="AC300" i="3"/>
  <c r="AD300" i="3" s="1"/>
  <c r="AA300" i="3"/>
  <c r="W300" i="3"/>
  <c r="U300" i="3"/>
  <c r="R300" i="3"/>
  <c r="O300" i="3"/>
  <c r="N300" i="3"/>
  <c r="L300" i="3"/>
  <c r="H300" i="3"/>
  <c r="I300" i="3" s="1"/>
  <c r="F300" i="3"/>
  <c r="C300" i="3"/>
  <c r="AD299" i="3"/>
  <c r="AC299" i="3"/>
  <c r="AA299" i="3"/>
  <c r="W299" i="3"/>
  <c r="U299" i="3"/>
  <c r="R299" i="3"/>
  <c r="N299" i="3"/>
  <c r="O299" i="3" s="1"/>
  <c r="L299" i="3"/>
  <c r="H299" i="3"/>
  <c r="I299" i="3" s="1"/>
  <c r="F299" i="3"/>
  <c r="C299" i="3"/>
  <c r="AD298" i="3"/>
  <c r="AC298" i="3"/>
  <c r="AA298" i="3"/>
  <c r="W298" i="3"/>
  <c r="U298" i="3"/>
  <c r="R298" i="3"/>
  <c r="N298" i="3"/>
  <c r="O298" i="3" s="1"/>
  <c r="L298" i="3"/>
  <c r="I298" i="3"/>
  <c r="H298" i="3"/>
  <c r="F298" i="3"/>
  <c r="C298" i="3"/>
  <c r="AC297" i="3"/>
  <c r="AD297" i="3" s="1"/>
  <c r="AA297" i="3"/>
  <c r="W297" i="3"/>
  <c r="U297" i="3"/>
  <c r="R297" i="3"/>
  <c r="O297" i="3"/>
  <c r="N297" i="3"/>
  <c r="L297" i="3"/>
  <c r="I297" i="3"/>
  <c r="H297" i="3"/>
  <c r="F297" i="3"/>
  <c r="C297" i="3"/>
  <c r="Z295" i="3"/>
  <c r="AA295" i="3" s="1"/>
  <c r="U295" i="3"/>
  <c r="T295" i="3"/>
  <c r="Q295" i="3"/>
  <c r="L295" i="3"/>
  <c r="K295" i="3"/>
  <c r="F295" i="3"/>
  <c r="E295" i="3"/>
  <c r="H295" i="3" s="1"/>
  <c r="I295" i="3" s="1"/>
  <c r="B295" i="3"/>
  <c r="C295" i="3" s="1"/>
  <c r="AD294" i="3"/>
  <c r="AC294" i="3"/>
  <c r="AA294" i="3"/>
  <c r="W294" i="3"/>
  <c r="U294" i="3"/>
  <c r="R294" i="3"/>
  <c r="N294" i="3"/>
  <c r="O294" i="3" s="1"/>
  <c r="L294" i="3"/>
  <c r="I294" i="3"/>
  <c r="H294" i="3"/>
  <c r="F294" i="3"/>
  <c r="C294" i="3"/>
  <c r="AC293" i="3"/>
  <c r="AD293" i="3" s="1"/>
  <c r="AA293" i="3"/>
  <c r="W293" i="3"/>
  <c r="U293" i="3"/>
  <c r="R293" i="3"/>
  <c r="O293" i="3"/>
  <c r="N293" i="3"/>
  <c r="L293" i="3"/>
  <c r="I293" i="3"/>
  <c r="H293" i="3"/>
  <c r="F293" i="3"/>
  <c r="C293" i="3"/>
  <c r="AD292" i="3"/>
  <c r="AC292" i="3"/>
  <c r="AA292" i="3"/>
  <c r="W292" i="3"/>
  <c r="X292" i="3" s="1"/>
  <c r="U292" i="3"/>
  <c r="R292" i="3"/>
  <c r="O292" i="3"/>
  <c r="N292" i="3"/>
  <c r="L292" i="3"/>
  <c r="H292" i="3"/>
  <c r="I292" i="3" s="1"/>
  <c r="F292" i="3"/>
  <c r="C292" i="3"/>
  <c r="AD291" i="3"/>
  <c r="AC291" i="3"/>
  <c r="AA291" i="3"/>
  <c r="W291" i="3"/>
  <c r="U291" i="3"/>
  <c r="R291" i="3"/>
  <c r="N291" i="3"/>
  <c r="O291" i="3" s="1"/>
  <c r="L291" i="3"/>
  <c r="H291" i="3"/>
  <c r="I291" i="3" s="1"/>
  <c r="F291" i="3"/>
  <c r="C291" i="3"/>
  <c r="AD290" i="3"/>
  <c r="AC290" i="3"/>
  <c r="AA290" i="3"/>
  <c r="W290" i="3"/>
  <c r="U290" i="3"/>
  <c r="R290" i="3"/>
  <c r="N290" i="3"/>
  <c r="O290" i="3" s="1"/>
  <c r="L290" i="3"/>
  <c r="I290" i="3"/>
  <c r="H290" i="3"/>
  <c r="F290" i="3"/>
  <c r="C290" i="3"/>
  <c r="AC289" i="3"/>
  <c r="AD289" i="3" s="1"/>
  <c r="AA289" i="3"/>
  <c r="W289" i="3"/>
  <c r="U289" i="3"/>
  <c r="R289" i="3"/>
  <c r="O289" i="3"/>
  <c r="N289" i="3"/>
  <c r="L289" i="3"/>
  <c r="I289" i="3"/>
  <c r="H289" i="3"/>
  <c r="F289" i="3"/>
  <c r="C289" i="3"/>
  <c r="AD288" i="3"/>
  <c r="AC288" i="3"/>
  <c r="AA288" i="3"/>
  <c r="X288" i="3"/>
  <c r="W288" i="3"/>
  <c r="U288" i="3"/>
  <c r="R288" i="3"/>
  <c r="N288" i="3"/>
  <c r="O288" i="3" s="1"/>
  <c r="L288" i="3"/>
  <c r="H288" i="3"/>
  <c r="I288" i="3" s="1"/>
  <c r="F288" i="3"/>
  <c r="C288" i="3"/>
  <c r="AC287" i="3"/>
  <c r="AD287" i="3" s="1"/>
  <c r="AA287" i="3"/>
  <c r="W287" i="3"/>
  <c r="U287" i="3"/>
  <c r="R287" i="3"/>
  <c r="N287" i="3"/>
  <c r="O287" i="3" s="1"/>
  <c r="L287" i="3"/>
  <c r="I287" i="3"/>
  <c r="H287" i="3"/>
  <c r="F287" i="3"/>
  <c r="C287" i="3"/>
  <c r="AD286" i="3"/>
  <c r="AC286" i="3"/>
  <c r="AA286" i="3"/>
  <c r="W286" i="3"/>
  <c r="X286" i="3" s="1"/>
  <c r="U286" i="3"/>
  <c r="R286" i="3"/>
  <c r="O286" i="3"/>
  <c r="N286" i="3"/>
  <c r="L286" i="3"/>
  <c r="I286" i="3"/>
  <c r="H286" i="3"/>
  <c r="F286" i="3"/>
  <c r="C286" i="3"/>
  <c r="AC284" i="3"/>
  <c r="AD284" i="3" s="1"/>
  <c r="AA284" i="3"/>
  <c r="Z284" i="3"/>
  <c r="T284" i="3"/>
  <c r="U284" i="3" s="1"/>
  <c r="Q284" i="3"/>
  <c r="R284" i="3" s="1"/>
  <c r="O284" i="3"/>
  <c r="L284" i="3"/>
  <c r="K284" i="3"/>
  <c r="I284" i="3"/>
  <c r="H284" i="3"/>
  <c r="E284" i="3"/>
  <c r="F284" i="3" s="1"/>
  <c r="C284" i="3"/>
  <c r="B284" i="3"/>
  <c r="N284" i="3" s="1"/>
  <c r="AD283" i="3"/>
  <c r="AC283" i="3"/>
  <c r="AA283" i="3"/>
  <c r="X283" i="3"/>
  <c r="W283" i="3"/>
  <c r="U283" i="3"/>
  <c r="R283" i="3"/>
  <c r="N283" i="3"/>
  <c r="O283" i="3" s="1"/>
  <c r="L283" i="3"/>
  <c r="I283" i="3"/>
  <c r="H283" i="3"/>
  <c r="F283" i="3"/>
  <c r="C283" i="3"/>
  <c r="AD282" i="3"/>
  <c r="AC282" i="3"/>
  <c r="AA282" i="3"/>
  <c r="W282" i="3"/>
  <c r="U282" i="3"/>
  <c r="R282" i="3"/>
  <c r="O282" i="3"/>
  <c r="N282" i="3"/>
  <c r="L282" i="3"/>
  <c r="H282" i="3"/>
  <c r="I282" i="3" s="1"/>
  <c r="F282" i="3"/>
  <c r="C282" i="3"/>
  <c r="AC281" i="3"/>
  <c r="AD281" i="3" s="1"/>
  <c r="AA281" i="3"/>
  <c r="W281" i="3"/>
  <c r="U281" i="3"/>
  <c r="R281" i="3"/>
  <c r="O281" i="3"/>
  <c r="N281" i="3"/>
  <c r="L281" i="3"/>
  <c r="I281" i="3"/>
  <c r="H281" i="3"/>
  <c r="F281" i="3"/>
  <c r="C281" i="3"/>
  <c r="AC280" i="3"/>
  <c r="AD280" i="3" s="1"/>
  <c r="AA280" i="3"/>
  <c r="W280" i="3"/>
  <c r="X280" i="3" s="1"/>
  <c r="U280" i="3"/>
  <c r="R280" i="3"/>
  <c r="N280" i="3"/>
  <c r="O280" i="3" s="1"/>
  <c r="L280" i="3"/>
  <c r="H280" i="3"/>
  <c r="I280" i="3" s="1"/>
  <c r="F280" i="3"/>
  <c r="C280" i="3"/>
  <c r="AD279" i="3"/>
  <c r="AC279" i="3"/>
  <c r="AA279" i="3"/>
  <c r="W279" i="3"/>
  <c r="U279" i="3"/>
  <c r="R279" i="3"/>
  <c r="N279" i="3"/>
  <c r="O279" i="3" s="1"/>
  <c r="L279" i="3"/>
  <c r="H279" i="3"/>
  <c r="I279" i="3" s="1"/>
  <c r="F279" i="3"/>
  <c r="C279" i="3"/>
  <c r="AD278" i="3"/>
  <c r="AC278" i="3"/>
  <c r="AA278" i="3"/>
  <c r="W278" i="3"/>
  <c r="U278" i="3"/>
  <c r="R278" i="3"/>
  <c r="O278" i="3"/>
  <c r="N278" i="3"/>
  <c r="L278" i="3"/>
  <c r="I278" i="3"/>
  <c r="H278" i="3"/>
  <c r="F278" i="3"/>
  <c r="C278" i="3"/>
  <c r="AC277" i="3"/>
  <c r="AD277" i="3" s="1"/>
  <c r="AA277" i="3"/>
  <c r="W277" i="3"/>
  <c r="U277" i="3"/>
  <c r="R277" i="3"/>
  <c r="O277" i="3"/>
  <c r="N277" i="3"/>
  <c r="L277" i="3"/>
  <c r="I277" i="3"/>
  <c r="H277" i="3"/>
  <c r="F277" i="3"/>
  <c r="C277" i="3"/>
  <c r="AD276" i="3"/>
  <c r="AC276" i="3"/>
  <c r="AA276" i="3"/>
  <c r="W276" i="3"/>
  <c r="X276" i="3" s="1"/>
  <c r="U276" i="3"/>
  <c r="R276" i="3"/>
  <c r="N276" i="3"/>
  <c r="O276" i="3" s="1"/>
  <c r="L276" i="3"/>
  <c r="H276" i="3"/>
  <c r="I276" i="3" s="1"/>
  <c r="F276" i="3"/>
  <c r="C276" i="3"/>
  <c r="AC275" i="3"/>
  <c r="AD275" i="3" s="1"/>
  <c r="AA275" i="3"/>
  <c r="X275" i="3"/>
  <c r="W275" i="3"/>
  <c r="U275" i="3"/>
  <c r="R275" i="3"/>
  <c r="N275" i="3"/>
  <c r="O275" i="3" s="1"/>
  <c r="L275" i="3"/>
  <c r="I275" i="3"/>
  <c r="H275" i="3"/>
  <c r="F275" i="3"/>
  <c r="C275" i="3"/>
  <c r="Z273" i="3"/>
  <c r="AA273" i="3" s="1"/>
  <c r="W273" i="3"/>
  <c r="X273" i="3" s="1"/>
  <c r="T273" i="3"/>
  <c r="U273" i="3" s="1"/>
  <c r="R273" i="3"/>
  <c r="Q273" i="3"/>
  <c r="K273" i="3"/>
  <c r="N273" i="3" s="1"/>
  <c r="O273" i="3" s="1"/>
  <c r="H273" i="3"/>
  <c r="I273" i="3" s="1"/>
  <c r="F273" i="3"/>
  <c r="E273" i="3"/>
  <c r="C273" i="3"/>
  <c r="B273" i="3"/>
  <c r="AC272" i="3"/>
  <c r="AD272" i="3" s="1"/>
  <c r="AA272" i="3"/>
  <c r="W272" i="3"/>
  <c r="U272" i="3"/>
  <c r="R272" i="3"/>
  <c r="N272" i="3"/>
  <c r="O272" i="3" s="1"/>
  <c r="L272" i="3"/>
  <c r="H272" i="3"/>
  <c r="I272" i="3" s="1"/>
  <c r="F272" i="3"/>
  <c r="C272" i="3"/>
  <c r="AD271" i="3"/>
  <c r="AC271" i="3"/>
  <c r="AA271" i="3"/>
  <c r="W271" i="3"/>
  <c r="U271" i="3"/>
  <c r="R271" i="3"/>
  <c r="N271" i="3"/>
  <c r="O271" i="3" s="1"/>
  <c r="L271" i="3"/>
  <c r="I271" i="3"/>
  <c r="H271" i="3"/>
  <c r="F271" i="3"/>
  <c r="C271" i="3"/>
  <c r="AD270" i="3"/>
  <c r="AC270" i="3"/>
  <c r="AA270" i="3"/>
  <c r="X270" i="3"/>
  <c r="W270" i="3"/>
  <c r="U270" i="3"/>
  <c r="R270" i="3"/>
  <c r="N270" i="3"/>
  <c r="O270" i="3" s="1"/>
  <c r="L270" i="3"/>
  <c r="H270" i="3"/>
  <c r="I270" i="3" s="1"/>
  <c r="F270" i="3"/>
  <c r="C270" i="3"/>
  <c r="AC269" i="3"/>
  <c r="AD269" i="3" s="1"/>
  <c r="AA269" i="3"/>
  <c r="W269" i="3"/>
  <c r="U269" i="3"/>
  <c r="R269" i="3"/>
  <c r="O269" i="3"/>
  <c r="N269" i="3"/>
  <c r="L269" i="3"/>
  <c r="I269" i="3"/>
  <c r="H269" i="3"/>
  <c r="F269" i="3"/>
  <c r="C269" i="3"/>
  <c r="AC267" i="3"/>
  <c r="AD267" i="3" s="1"/>
  <c r="Z267" i="3"/>
  <c r="AA267" i="3" s="1"/>
  <c r="U267" i="3"/>
  <c r="T267" i="3"/>
  <c r="Q267" i="3"/>
  <c r="W267" i="3" s="1"/>
  <c r="X267" i="3" s="1"/>
  <c r="L267" i="3"/>
  <c r="K267" i="3"/>
  <c r="E267" i="3"/>
  <c r="F267" i="3" s="1"/>
  <c r="B267" i="3"/>
  <c r="C267" i="3" s="1"/>
  <c r="AD266" i="3"/>
  <c r="AC266" i="3"/>
  <c r="AA266" i="3"/>
  <c r="W266" i="3"/>
  <c r="X266" i="3" s="1"/>
  <c r="U266" i="3"/>
  <c r="R266" i="3"/>
  <c r="O266" i="3"/>
  <c r="N266" i="3"/>
  <c r="L266" i="3"/>
  <c r="I266" i="3"/>
  <c r="H266" i="3"/>
  <c r="F266" i="3"/>
  <c r="C266" i="3"/>
  <c r="AC265" i="3"/>
  <c r="AD265" i="3" s="1"/>
  <c r="AA265" i="3"/>
  <c r="W265" i="3"/>
  <c r="U265" i="3"/>
  <c r="R265" i="3"/>
  <c r="O265" i="3"/>
  <c r="N265" i="3"/>
  <c r="L265" i="3"/>
  <c r="I265" i="3"/>
  <c r="H265" i="3"/>
  <c r="F265" i="3"/>
  <c r="C265" i="3"/>
  <c r="Z263" i="3"/>
  <c r="AA263" i="3" s="1"/>
  <c r="T263" i="3"/>
  <c r="U263" i="3" s="1"/>
  <c r="Q263" i="3"/>
  <c r="L263" i="3"/>
  <c r="K263" i="3"/>
  <c r="F263" i="3"/>
  <c r="E263" i="3"/>
  <c r="B263" i="3"/>
  <c r="Z262" i="3"/>
  <c r="AA262" i="3" s="1"/>
  <c r="T262" i="3"/>
  <c r="U262" i="3" s="1"/>
  <c r="R262" i="3"/>
  <c r="Q262" i="3"/>
  <c r="AC262" i="3" s="1"/>
  <c r="AD262" i="3" s="1"/>
  <c r="L262" i="3"/>
  <c r="K262" i="3"/>
  <c r="H262" i="3"/>
  <c r="I262" i="3" s="1"/>
  <c r="F262" i="3"/>
  <c r="E262" i="3"/>
  <c r="C262" i="3"/>
  <c r="B262" i="3"/>
  <c r="N262" i="3" s="1"/>
  <c r="O262" i="3" s="1"/>
  <c r="AC261" i="3"/>
  <c r="AD261" i="3" s="1"/>
  <c r="AA261" i="3"/>
  <c r="W261" i="3"/>
  <c r="X261" i="3" s="1"/>
  <c r="U261" i="3"/>
  <c r="R261" i="3"/>
  <c r="O261" i="3"/>
  <c r="N261" i="3"/>
  <c r="L261" i="3"/>
  <c r="H261" i="3"/>
  <c r="I261" i="3" s="1"/>
  <c r="F261" i="3"/>
  <c r="C261" i="3"/>
  <c r="AC260" i="3"/>
  <c r="AD260" i="3" s="1"/>
  <c r="AA260" i="3"/>
  <c r="W260" i="3"/>
  <c r="U260" i="3"/>
  <c r="R260" i="3"/>
  <c r="N260" i="3"/>
  <c r="O260" i="3" s="1"/>
  <c r="L260" i="3"/>
  <c r="I260" i="3"/>
  <c r="H260" i="3"/>
  <c r="F260" i="3"/>
  <c r="C260" i="3"/>
  <c r="AD259" i="3"/>
  <c r="AC259" i="3"/>
  <c r="AA259" i="3"/>
  <c r="W259" i="3"/>
  <c r="X259" i="3" s="1"/>
  <c r="U259" i="3"/>
  <c r="R259" i="3"/>
  <c r="N259" i="3"/>
  <c r="O259" i="3" s="1"/>
  <c r="L259" i="3"/>
  <c r="I259" i="3"/>
  <c r="H259" i="3"/>
  <c r="F259" i="3"/>
  <c r="C259" i="3"/>
  <c r="AC258" i="3"/>
  <c r="AD258" i="3" s="1"/>
  <c r="AA258" i="3"/>
  <c r="W258" i="3"/>
  <c r="U258" i="3"/>
  <c r="R258" i="3"/>
  <c r="O258" i="3"/>
  <c r="N258" i="3"/>
  <c r="L258" i="3"/>
  <c r="I258" i="3"/>
  <c r="H258" i="3"/>
  <c r="F258" i="3"/>
  <c r="C258" i="3"/>
  <c r="AD257" i="3"/>
  <c r="AC257" i="3"/>
  <c r="AA257" i="3"/>
  <c r="W257" i="3"/>
  <c r="U257" i="3"/>
  <c r="R257" i="3"/>
  <c r="N257" i="3"/>
  <c r="O257" i="3" s="1"/>
  <c r="L257" i="3"/>
  <c r="H257" i="3"/>
  <c r="I257" i="3" s="1"/>
  <c r="F257" i="3"/>
  <c r="C257" i="3"/>
  <c r="AC256" i="3"/>
  <c r="AD256" i="3" s="1"/>
  <c r="AA256" i="3"/>
  <c r="W256" i="3"/>
  <c r="U256" i="3"/>
  <c r="R256" i="3"/>
  <c r="N256" i="3"/>
  <c r="O256" i="3" s="1"/>
  <c r="L256" i="3"/>
  <c r="H256" i="3"/>
  <c r="I256" i="3" s="1"/>
  <c r="F256" i="3"/>
  <c r="C256" i="3"/>
  <c r="AD255" i="3"/>
  <c r="AC255" i="3"/>
  <c r="AA255" i="3"/>
  <c r="W255" i="3"/>
  <c r="X255" i="3" s="1"/>
  <c r="U255" i="3"/>
  <c r="R255" i="3"/>
  <c r="N255" i="3"/>
  <c r="O255" i="3" s="1"/>
  <c r="L255" i="3"/>
  <c r="H255" i="3"/>
  <c r="I255" i="3" s="1"/>
  <c r="F255" i="3"/>
  <c r="C255" i="3"/>
  <c r="AC254" i="3"/>
  <c r="AD254" i="3" s="1"/>
  <c r="AA254" i="3"/>
  <c r="W254" i="3"/>
  <c r="X254" i="3" s="1"/>
  <c r="U254" i="3"/>
  <c r="R254" i="3"/>
  <c r="O254" i="3"/>
  <c r="N254" i="3"/>
  <c r="L254" i="3"/>
  <c r="I254" i="3"/>
  <c r="H254" i="3"/>
  <c r="F254" i="3"/>
  <c r="C254" i="3"/>
  <c r="AC253" i="3"/>
  <c r="AD253" i="3" s="1"/>
  <c r="AA253" i="3"/>
  <c r="W253" i="3"/>
  <c r="X253" i="3" s="1"/>
  <c r="U253" i="3"/>
  <c r="R253" i="3"/>
  <c r="O253" i="3"/>
  <c r="N253" i="3"/>
  <c r="L253" i="3"/>
  <c r="H253" i="3"/>
  <c r="I253" i="3" s="1"/>
  <c r="F253" i="3"/>
  <c r="C253" i="3"/>
  <c r="AC252" i="3"/>
  <c r="AD252" i="3" s="1"/>
  <c r="AA252" i="3"/>
  <c r="W252" i="3"/>
  <c r="U252" i="3"/>
  <c r="R252" i="3"/>
  <c r="N252" i="3"/>
  <c r="O252" i="3" s="1"/>
  <c r="L252" i="3"/>
  <c r="I252" i="3"/>
  <c r="H252" i="3"/>
  <c r="F252" i="3"/>
  <c r="C252" i="3"/>
  <c r="AD251" i="3"/>
  <c r="AC251" i="3"/>
  <c r="AA251" i="3"/>
  <c r="W251" i="3"/>
  <c r="X251" i="3" s="1"/>
  <c r="U251" i="3"/>
  <c r="R251" i="3"/>
  <c r="N251" i="3"/>
  <c r="O251" i="3" s="1"/>
  <c r="L251" i="3"/>
  <c r="I251" i="3"/>
  <c r="H251" i="3"/>
  <c r="F251" i="3"/>
  <c r="C251" i="3"/>
  <c r="AC250" i="3"/>
  <c r="AD250" i="3" s="1"/>
  <c r="AA250" i="3"/>
  <c r="W250" i="3"/>
  <c r="U250" i="3"/>
  <c r="R250" i="3"/>
  <c r="O250" i="3"/>
  <c r="N250" i="3"/>
  <c r="L250" i="3"/>
  <c r="I250" i="3"/>
  <c r="H250" i="3"/>
  <c r="F250" i="3"/>
  <c r="C250" i="3"/>
  <c r="AD249" i="3"/>
  <c r="AC249" i="3"/>
  <c r="AA249" i="3"/>
  <c r="W249" i="3"/>
  <c r="U249" i="3"/>
  <c r="R249" i="3"/>
  <c r="N249" i="3"/>
  <c r="O249" i="3" s="1"/>
  <c r="L249" i="3"/>
  <c r="H249" i="3"/>
  <c r="I249" i="3" s="1"/>
  <c r="F249" i="3"/>
  <c r="C249" i="3"/>
  <c r="AC248" i="3"/>
  <c r="AD248" i="3" s="1"/>
  <c r="AA248" i="3"/>
  <c r="W248" i="3"/>
  <c r="U248" i="3"/>
  <c r="R248" i="3"/>
  <c r="N248" i="3"/>
  <c r="O248" i="3" s="1"/>
  <c r="L248" i="3"/>
  <c r="I248" i="3"/>
  <c r="H248" i="3"/>
  <c r="F248" i="3"/>
  <c r="C248" i="3"/>
  <c r="AD247" i="3"/>
  <c r="AC247" i="3"/>
  <c r="AA247" i="3"/>
  <c r="W247" i="3"/>
  <c r="X247" i="3" s="1"/>
  <c r="U247" i="3"/>
  <c r="R247" i="3"/>
  <c r="N247" i="3"/>
  <c r="O247" i="3" s="1"/>
  <c r="L247" i="3"/>
  <c r="H247" i="3"/>
  <c r="I247" i="3" s="1"/>
  <c r="F247" i="3"/>
  <c r="C247" i="3"/>
  <c r="AC246" i="3"/>
  <c r="AD246" i="3" s="1"/>
  <c r="AA246" i="3"/>
  <c r="W246" i="3"/>
  <c r="X246" i="3" s="1"/>
  <c r="U246" i="3"/>
  <c r="R246" i="3"/>
  <c r="O246" i="3"/>
  <c r="N246" i="3"/>
  <c r="L246" i="3"/>
  <c r="I246" i="3"/>
  <c r="H246" i="3"/>
  <c r="F246" i="3"/>
  <c r="C246" i="3"/>
  <c r="AC245" i="3"/>
  <c r="AD245" i="3" s="1"/>
  <c r="AA245" i="3"/>
  <c r="W245" i="3"/>
  <c r="X245" i="3" s="1"/>
  <c r="U245" i="3"/>
  <c r="R245" i="3"/>
  <c r="O245" i="3"/>
  <c r="N245" i="3"/>
  <c r="L245" i="3"/>
  <c r="H245" i="3"/>
  <c r="I245" i="3" s="1"/>
  <c r="F245" i="3"/>
  <c r="C245" i="3"/>
  <c r="AC244" i="3"/>
  <c r="AD244" i="3" s="1"/>
  <c r="AA244" i="3"/>
  <c r="W244" i="3"/>
  <c r="U244" i="3"/>
  <c r="R244" i="3"/>
  <c r="O244" i="3"/>
  <c r="N244" i="3"/>
  <c r="L244" i="3"/>
  <c r="I244" i="3"/>
  <c r="H244" i="3"/>
  <c r="F244" i="3"/>
  <c r="C244" i="3"/>
  <c r="AC243" i="3"/>
  <c r="AD243" i="3" s="1"/>
  <c r="AA243" i="3"/>
  <c r="X243" i="3"/>
  <c r="W243" i="3"/>
  <c r="U243" i="3"/>
  <c r="R243" i="3"/>
  <c r="O243" i="3"/>
  <c r="N243" i="3"/>
  <c r="L243" i="3"/>
  <c r="H243" i="3"/>
  <c r="I243" i="3" s="1"/>
  <c r="F243" i="3"/>
  <c r="C243" i="3"/>
  <c r="AC242" i="3"/>
  <c r="AD242" i="3" s="1"/>
  <c r="AA242" i="3"/>
  <c r="W242" i="3"/>
  <c r="X242" i="3" s="1"/>
  <c r="U242" i="3"/>
  <c r="R242" i="3"/>
  <c r="O242" i="3"/>
  <c r="N242" i="3"/>
  <c r="L242" i="3"/>
  <c r="I242" i="3"/>
  <c r="H242" i="3"/>
  <c r="F242" i="3"/>
  <c r="C242" i="3"/>
  <c r="AD241" i="3"/>
  <c r="AC241" i="3"/>
  <c r="AA241" i="3"/>
  <c r="W241" i="3"/>
  <c r="X241" i="3" s="1"/>
  <c r="U241" i="3"/>
  <c r="R241" i="3"/>
  <c r="N241" i="3"/>
  <c r="O241" i="3" s="1"/>
  <c r="L241" i="3"/>
  <c r="H241" i="3"/>
  <c r="I241" i="3" s="1"/>
  <c r="F241" i="3"/>
  <c r="C241" i="3"/>
  <c r="AC240" i="3"/>
  <c r="AD240" i="3" s="1"/>
  <c r="AA240" i="3"/>
  <c r="X240" i="3"/>
  <c r="W240" i="3"/>
  <c r="U240" i="3"/>
  <c r="R240" i="3"/>
  <c r="O240" i="3"/>
  <c r="N240" i="3"/>
  <c r="L240" i="3"/>
  <c r="H240" i="3"/>
  <c r="I240" i="3" s="1"/>
  <c r="F240" i="3"/>
  <c r="C240" i="3"/>
  <c r="AC238" i="3"/>
  <c r="AD238" i="3" s="1"/>
  <c r="AA238" i="3"/>
  <c r="W238" i="3"/>
  <c r="U238" i="3"/>
  <c r="R238" i="3"/>
  <c r="N238" i="3"/>
  <c r="O238" i="3" s="1"/>
  <c r="L238" i="3"/>
  <c r="H238" i="3"/>
  <c r="I238" i="3" s="1"/>
  <c r="F238" i="3"/>
  <c r="C238" i="3"/>
  <c r="Z236" i="3"/>
  <c r="AA236" i="3" s="1"/>
  <c r="U236" i="3"/>
  <c r="T236" i="3"/>
  <c r="Q236" i="3"/>
  <c r="K236" i="3"/>
  <c r="L236" i="3" s="1"/>
  <c r="H236" i="3"/>
  <c r="I236" i="3" s="1"/>
  <c r="E236" i="3"/>
  <c r="F236" i="3" s="1"/>
  <c r="C236" i="3"/>
  <c r="B236" i="3"/>
  <c r="N236" i="3" s="1"/>
  <c r="O236" i="3" s="1"/>
  <c r="AC235" i="3"/>
  <c r="AD235" i="3" s="1"/>
  <c r="AA235" i="3"/>
  <c r="W235" i="3"/>
  <c r="X235" i="3" s="1"/>
  <c r="U235" i="3"/>
  <c r="R235" i="3"/>
  <c r="O235" i="3"/>
  <c r="N235" i="3"/>
  <c r="L235" i="3"/>
  <c r="I235" i="3"/>
  <c r="H235" i="3"/>
  <c r="F235" i="3"/>
  <c r="C235" i="3"/>
  <c r="AD234" i="3"/>
  <c r="AC234" i="3"/>
  <c r="AA234" i="3"/>
  <c r="W234" i="3"/>
  <c r="X234" i="3" s="1"/>
  <c r="U234" i="3"/>
  <c r="R234" i="3"/>
  <c r="N234" i="3"/>
  <c r="O234" i="3" s="1"/>
  <c r="L234" i="3"/>
  <c r="H234" i="3"/>
  <c r="I234" i="3" s="1"/>
  <c r="F234" i="3"/>
  <c r="C234" i="3"/>
  <c r="AD233" i="3"/>
  <c r="AC233" i="3"/>
  <c r="AA233" i="3"/>
  <c r="W233" i="3"/>
  <c r="U233" i="3"/>
  <c r="R233" i="3"/>
  <c r="N233" i="3"/>
  <c r="O233" i="3" s="1"/>
  <c r="L233" i="3"/>
  <c r="I233" i="3"/>
  <c r="H233" i="3"/>
  <c r="F233" i="3"/>
  <c r="C233" i="3"/>
  <c r="AD232" i="3"/>
  <c r="AC232" i="3"/>
  <c r="AA232" i="3"/>
  <c r="W232" i="3"/>
  <c r="X232" i="3" s="1"/>
  <c r="U232" i="3"/>
  <c r="R232" i="3"/>
  <c r="N232" i="3"/>
  <c r="O232" i="3" s="1"/>
  <c r="L232" i="3"/>
  <c r="I232" i="3"/>
  <c r="H232" i="3"/>
  <c r="F232" i="3"/>
  <c r="C232" i="3"/>
  <c r="AC231" i="3"/>
  <c r="AD231" i="3" s="1"/>
  <c r="AA231" i="3"/>
  <c r="W231" i="3"/>
  <c r="X231" i="3" s="1"/>
  <c r="U231" i="3"/>
  <c r="R231" i="3"/>
  <c r="O231" i="3"/>
  <c r="N231" i="3"/>
  <c r="L231" i="3"/>
  <c r="I231" i="3"/>
  <c r="H231" i="3"/>
  <c r="F231" i="3"/>
  <c r="C231" i="3"/>
  <c r="AD230" i="3"/>
  <c r="AC230" i="3"/>
  <c r="AA230" i="3"/>
  <c r="W230" i="3"/>
  <c r="X230" i="3" s="1"/>
  <c r="U230" i="3"/>
  <c r="R230" i="3"/>
  <c r="N230" i="3"/>
  <c r="O230" i="3" s="1"/>
  <c r="L230" i="3"/>
  <c r="H230" i="3"/>
  <c r="I230" i="3" s="1"/>
  <c r="F230" i="3"/>
  <c r="C230" i="3"/>
  <c r="AD229" i="3"/>
  <c r="AC229" i="3"/>
  <c r="AA229" i="3"/>
  <c r="W229" i="3"/>
  <c r="U229" i="3"/>
  <c r="R229" i="3"/>
  <c r="N229" i="3"/>
  <c r="O229" i="3" s="1"/>
  <c r="L229" i="3"/>
  <c r="I229" i="3"/>
  <c r="H229" i="3"/>
  <c r="F229" i="3"/>
  <c r="C229" i="3"/>
  <c r="AA227" i="3"/>
  <c r="Z227" i="3"/>
  <c r="T227" i="3"/>
  <c r="U227" i="3" s="1"/>
  <c r="R227" i="3"/>
  <c r="Q227" i="3"/>
  <c r="W227" i="3" s="1"/>
  <c r="X227" i="3" s="1"/>
  <c r="L227" i="3"/>
  <c r="K227" i="3"/>
  <c r="E227" i="3"/>
  <c r="H227" i="3" s="1"/>
  <c r="I227" i="3" s="1"/>
  <c r="C227" i="3"/>
  <c r="B227" i="3"/>
  <c r="N227" i="3" s="1"/>
  <c r="O227" i="3" s="1"/>
  <c r="AD226" i="3"/>
  <c r="AC226" i="3"/>
  <c r="AA226" i="3"/>
  <c r="W226" i="3"/>
  <c r="X226" i="3" s="1"/>
  <c r="U226" i="3"/>
  <c r="R226" i="3"/>
  <c r="N226" i="3"/>
  <c r="O226" i="3" s="1"/>
  <c r="L226" i="3"/>
  <c r="H226" i="3"/>
  <c r="I226" i="3" s="1"/>
  <c r="F226" i="3"/>
  <c r="C226" i="3"/>
  <c r="AD225" i="3"/>
  <c r="AC225" i="3"/>
  <c r="AA225" i="3"/>
  <c r="W225" i="3"/>
  <c r="U225" i="3"/>
  <c r="R225" i="3"/>
  <c r="N225" i="3"/>
  <c r="O225" i="3" s="1"/>
  <c r="L225" i="3"/>
  <c r="I225" i="3"/>
  <c r="H225" i="3"/>
  <c r="F225" i="3"/>
  <c r="C225" i="3"/>
  <c r="AC224" i="3"/>
  <c r="AD224" i="3" s="1"/>
  <c r="AA224" i="3"/>
  <c r="W224" i="3"/>
  <c r="X224" i="3" s="1"/>
  <c r="U224" i="3"/>
  <c r="R224" i="3"/>
  <c r="N224" i="3"/>
  <c r="O224" i="3" s="1"/>
  <c r="L224" i="3"/>
  <c r="I224" i="3"/>
  <c r="H224" i="3"/>
  <c r="F224" i="3"/>
  <c r="C224" i="3"/>
  <c r="AC223" i="3"/>
  <c r="AD223" i="3" s="1"/>
  <c r="AA223" i="3"/>
  <c r="W223" i="3"/>
  <c r="X223" i="3" s="1"/>
  <c r="U223" i="3"/>
  <c r="R223" i="3"/>
  <c r="O223" i="3"/>
  <c r="N223" i="3"/>
  <c r="L223" i="3"/>
  <c r="H223" i="3"/>
  <c r="I223" i="3" s="1"/>
  <c r="F223" i="3"/>
  <c r="C223" i="3"/>
  <c r="AD222" i="3"/>
  <c r="AC222" i="3"/>
  <c r="AA222" i="3"/>
  <c r="W222" i="3"/>
  <c r="X222" i="3" s="1"/>
  <c r="U222" i="3"/>
  <c r="R222" i="3"/>
  <c r="N222" i="3"/>
  <c r="O222" i="3" s="1"/>
  <c r="L222" i="3"/>
  <c r="H222" i="3"/>
  <c r="I222" i="3" s="1"/>
  <c r="F222" i="3"/>
  <c r="C222" i="3"/>
  <c r="AD221" i="3"/>
  <c r="AC221" i="3"/>
  <c r="AA221" i="3"/>
  <c r="W221" i="3"/>
  <c r="U221" i="3"/>
  <c r="R221" i="3"/>
  <c r="N221" i="3"/>
  <c r="O221" i="3" s="1"/>
  <c r="L221" i="3"/>
  <c r="I221" i="3"/>
  <c r="H221" i="3"/>
  <c r="F221" i="3"/>
  <c r="C221" i="3"/>
  <c r="AC220" i="3"/>
  <c r="AD220" i="3" s="1"/>
  <c r="AA220" i="3"/>
  <c r="W220" i="3"/>
  <c r="X220" i="3" s="1"/>
  <c r="U220" i="3"/>
  <c r="R220" i="3"/>
  <c r="N220" i="3"/>
  <c r="O220" i="3" s="1"/>
  <c r="L220" i="3"/>
  <c r="I220" i="3"/>
  <c r="H220" i="3"/>
  <c r="F220" i="3"/>
  <c r="C220" i="3"/>
  <c r="AC219" i="3"/>
  <c r="AD219" i="3" s="1"/>
  <c r="AA219" i="3"/>
  <c r="W219" i="3"/>
  <c r="X219" i="3" s="1"/>
  <c r="U219" i="3"/>
  <c r="R219" i="3"/>
  <c r="O219" i="3"/>
  <c r="N219" i="3"/>
  <c r="L219" i="3"/>
  <c r="H219" i="3"/>
  <c r="I219" i="3" s="1"/>
  <c r="F219" i="3"/>
  <c r="C219" i="3"/>
  <c r="AD218" i="3"/>
  <c r="Z218" i="3"/>
  <c r="AA218" i="3" s="1"/>
  <c r="W218" i="3"/>
  <c r="X218" i="3" s="1"/>
  <c r="U218" i="3"/>
  <c r="T218" i="3"/>
  <c r="R218" i="3"/>
  <c r="Q218" i="3"/>
  <c r="AC218" i="3" s="1"/>
  <c r="K218" i="3"/>
  <c r="L218" i="3" s="1"/>
  <c r="F218" i="3"/>
  <c r="E218" i="3"/>
  <c r="B218" i="3"/>
  <c r="C218" i="3" s="1"/>
  <c r="AC217" i="3"/>
  <c r="AD217" i="3" s="1"/>
  <c r="AA217" i="3"/>
  <c r="W217" i="3"/>
  <c r="X217" i="3" s="1"/>
  <c r="U217" i="3"/>
  <c r="R217" i="3"/>
  <c r="N217" i="3"/>
  <c r="O217" i="3" s="1"/>
  <c r="L217" i="3"/>
  <c r="I217" i="3"/>
  <c r="H217" i="3"/>
  <c r="F217" i="3"/>
  <c r="C217" i="3"/>
  <c r="AC216" i="3"/>
  <c r="AD216" i="3" s="1"/>
  <c r="AA216" i="3"/>
  <c r="W216" i="3"/>
  <c r="X216" i="3" s="1"/>
  <c r="U216" i="3"/>
  <c r="R216" i="3"/>
  <c r="O216" i="3"/>
  <c r="N216" i="3"/>
  <c r="L216" i="3"/>
  <c r="H216" i="3"/>
  <c r="I216" i="3" s="1"/>
  <c r="F216" i="3"/>
  <c r="C216" i="3"/>
  <c r="AD215" i="3"/>
  <c r="AC215" i="3"/>
  <c r="AA215" i="3"/>
  <c r="W215" i="3"/>
  <c r="X215" i="3" s="1"/>
  <c r="U215" i="3"/>
  <c r="R215" i="3"/>
  <c r="N215" i="3"/>
  <c r="O215" i="3" s="1"/>
  <c r="L215" i="3"/>
  <c r="H215" i="3"/>
  <c r="I215" i="3" s="1"/>
  <c r="F215" i="3"/>
  <c r="C215" i="3"/>
  <c r="AD214" i="3"/>
  <c r="AC214" i="3"/>
  <c r="AA214" i="3"/>
  <c r="W214" i="3"/>
  <c r="U214" i="3"/>
  <c r="R214" i="3"/>
  <c r="N214" i="3"/>
  <c r="O214" i="3" s="1"/>
  <c r="L214" i="3"/>
  <c r="I214" i="3"/>
  <c r="H214" i="3"/>
  <c r="F214" i="3"/>
  <c r="C214" i="3"/>
  <c r="AC213" i="3"/>
  <c r="AD213" i="3" s="1"/>
  <c r="AA213" i="3"/>
  <c r="W213" i="3"/>
  <c r="X213" i="3" s="1"/>
  <c r="U213" i="3"/>
  <c r="R213" i="3"/>
  <c r="N213" i="3"/>
  <c r="O213" i="3" s="1"/>
  <c r="L213" i="3"/>
  <c r="I213" i="3"/>
  <c r="H213" i="3"/>
  <c r="F213" i="3"/>
  <c r="C213" i="3"/>
  <c r="AC211" i="3"/>
  <c r="AD211" i="3" s="1"/>
  <c r="AA211" i="3"/>
  <c r="W211" i="3"/>
  <c r="X211" i="3" s="1"/>
  <c r="U211" i="3"/>
  <c r="R211" i="3"/>
  <c r="O211" i="3"/>
  <c r="N211" i="3"/>
  <c r="L211" i="3"/>
  <c r="H211" i="3"/>
  <c r="I211" i="3" s="1"/>
  <c r="F211" i="3"/>
  <c r="C211" i="3"/>
  <c r="Z209" i="3"/>
  <c r="AA209" i="3" s="1"/>
  <c r="W209" i="3"/>
  <c r="X209" i="3" s="1"/>
  <c r="U209" i="3"/>
  <c r="T209" i="3"/>
  <c r="R209" i="3"/>
  <c r="Q209" i="3"/>
  <c r="AC209" i="3" s="1"/>
  <c r="AD209" i="3" s="1"/>
  <c r="K209" i="3"/>
  <c r="L209" i="3" s="1"/>
  <c r="F209" i="3"/>
  <c r="E209" i="3"/>
  <c r="B209" i="3"/>
  <c r="C209" i="3" s="1"/>
  <c r="AC208" i="3"/>
  <c r="AD208" i="3" s="1"/>
  <c r="AA208" i="3"/>
  <c r="W208" i="3"/>
  <c r="X208" i="3" s="1"/>
  <c r="U208" i="3"/>
  <c r="R208" i="3"/>
  <c r="O208" i="3"/>
  <c r="N208" i="3"/>
  <c r="L208" i="3"/>
  <c r="I208" i="3"/>
  <c r="H208" i="3"/>
  <c r="F208" i="3"/>
  <c r="C208" i="3"/>
  <c r="AC207" i="3"/>
  <c r="AD207" i="3" s="1"/>
  <c r="AA207" i="3"/>
  <c r="W207" i="3"/>
  <c r="X207" i="3" s="1"/>
  <c r="U207" i="3"/>
  <c r="R207" i="3"/>
  <c r="O207" i="3"/>
  <c r="N207" i="3"/>
  <c r="L207" i="3"/>
  <c r="H207" i="3"/>
  <c r="I207" i="3" s="1"/>
  <c r="F207" i="3"/>
  <c r="C207" i="3"/>
  <c r="AD206" i="3"/>
  <c r="AC206" i="3"/>
  <c r="AA206" i="3"/>
  <c r="W206" i="3"/>
  <c r="U206" i="3"/>
  <c r="R206" i="3"/>
  <c r="N206" i="3"/>
  <c r="O206" i="3" s="1"/>
  <c r="L206" i="3"/>
  <c r="H206" i="3"/>
  <c r="I206" i="3" s="1"/>
  <c r="F206" i="3"/>
  <c r="C206" i="3"/>
  <c r="AD205" i="3"/>
  <c r="AC205" i="3"/>
  <c r="AA205" i="3"/>
  <c r="W205" i="3"/>
  <c r="U205" i="3"/>
  <c r="R205" i="3"/>
  <c r="N205" i="3"/>
  <c r="O205" i="3" s="1"/>
  <c r="L205" i="3"/>
  <c r="I205" i="3"/>
  <c r="H205" i="3"/>
  <c r="F205" i="3"/>
  <c r="C205" i="3"/>
  <c r="AC204" i="3"/>
  <c r="AD204" i="3" s="1"/>
  <c r="AA204" i="3"/>
  <c r="W204" i="3"/>
  <c r="X204" i="3" s="1"/>
  <c r="U204" i="3"/>
  <c r="R204" i="3"/>
  <c r="O204" i="3"/>
  <c r="N204" i="3"/>
  <c r="L204" i="3"/>
  <c r="I204" i="3"/>
  <c r="H204" i="3"/>
  <c r="F204" i="3"/>
  <c r="C204" i="3"/>
  <c r="AC203" i="3"/>
  <c r="AD203" i="3" s="1"/>
  <c r="AA203" i="3"/>
  <c r="W203" i="3"/>
  <c r="X203" i="3" s="1"/>
  <c r="U203" i="3"/>
  <c r="R203" i="3"/>
  <c r="O203" i="3"/>
  <c r="N203" i="3"/>
  <c r="L203" i="3"/>
  <c r="H203" i="3"/>
  <c r="I203" i="3" s="1"/>
  <c r="F203" i="3"/>
  <c r="C203" i="3"/>
  <c r="AD202" i="3"/>
  <c r="AC202" i="3"/>
  <c r="AA202" i="3"/>
  <c r="W202" i="3"/>
  <c r="U202" i="3"/>
  <c r="R202" i="3"/>
  <c r="N202" i="3"/>
  <c r="O202" i="3" s="1"/>
  <c r="L202" i="3"/>
  <c r="H202" i="3"/>
  <c r="I202" i="3" s="1"/>
  <c r="F202" i="3"/>
  <c r="C202" i="3"/>
  <c r="AD201" i="3"/>
  <c r="AC201" i="3"/>
  <c r="AA201" i="3"/>
  <c r="W201" i="3"/>
  <c r="U201" i="3"/>
  <c r="R201" i="3"/>
  <c r="N201" i="3"/>
  <c r="O201" i="3" s="1"/>
  <c r="L201" i="3"/>
  <c r="I201" i="3"/>
  <c r="H201" i="3"/>
  <c r="F201" i="3"/>
  <c r="C201" i="3"/>
  <c r="AD197" i="3"/>
  <c r="Z197" i="3"/>
  <c r="AA197" i="3" s="1"/>
  <c r="W197" i="3"/>
  <c r="X197" i="3" s="1"/>
  <c r="U197" i="3"/>
  <c r="T197" i="3"/>
  <c r="R197" i="3"/>
  <c r="Q197" i="3"/>
  <c r="AC197" i="3" s="1"/>
  <c r="K197" i="3"/>
  <c r="L197" i="3" s="1"/>
  <c r="F197" i="3"/>
  <c r="E197" i="3"/>
  <c r="B197" i="3"/>
  <c r="C197" i="3" s="1"/>
  <c r="AA196" i="3"/>
  <c r="Z196" i="3"/>
  <c r="X196" i="3"/>
  <c r="T196" i="3"/>
  <c r="U196" i="3" s="1"/>
  <c r="Q196" i="3"/>
  <c r="W196" i="3" s="1"/>
  <c r="L196" i="3"/>
  <c r="K196" i="3"/>
  <c r="E196" i="3"/>
  <c r="H196" i="3" s="1"/>
  <c r="I196" i="3" s="1"/>
  <c r="C196" i="3"/>
  <c r="B196" i="3"/>
  <c r="N196" i="3" s="1"/>
  <c r="O196" i="3" s="1"/>
  <c r="AD195" i="3"/>
  <c r="AC195" i="3"/>
  <c r="AA195" i="3"/>
  <c r="W195" i="3"/>
  <c r="U195" i="3"/>
  <c r="R195" i="3"/>
  <c r="N195" i="3"/>
  <c r="O195" i="3" s="1"/>
  <c r="L195" i="3"/>
  <c r="H195" i="3"/>
  <c r="I195" i="3" s="1"/>
  <c r="F195" i="3"/>
  <c r="C195" i="3"/>
  <c r="AD194" i="3"/>
  <c r="AC194" i="3"/>
  <c r="AA194" i="3"/>
  <c r="W194" i="3"/>
  <c r="U194" i="3"/>
  <c r="R194" i="3"/>
  <c r="N194" i="3"/>
  <c r="O194" i="3" s="1"/>
  <c r="L194" i="3"/>
  <c r="I194" i="3"/>
  <c r="H194" i="3"/>
  <c r="F194" i="3"/>
  <c r="C194" i="3"/>
  <c r="AA193" i="3"/>
  <c r="Z193" i="3"/>
  <c r="T193" i="3"/>
  <c r="U193" i="3" s="1"/>
  <c r="Q193" i="3"/>
  <c r="W193" i="3" s="1"/>
  <c r="X193" i="3" s="1"/>
  <c r="L193" i="3"/>
  <c r="K193" i="3"/>
  <c r="E193" i="3"/>
  <c r="H193" i="3" s="1"/>
  <c r="I193" i="3" s="1"/>
  <c r="C193" i="3"/>
  <c r="B193" i="3"/>
  <c r="N193" i="3" s="1"/>
  <c r="O193" i="3" s="1"/>
  <c r="AD192" i="3"/>
  <c r="AC192" i="3"/>
  <c r="AA192" i="3"/>
  <c r="W192" i="3"/>
  <c r="U192" i="3"/>
  <c r="R192" i="3"/>
  <c r="N192" i="3"/>
  <c r="O192" i="3" s="1"/>
  <c r="L192" i="3"/>
  <c r="H192" i="3"/>
  <c r="I192" i="3" s="1"/>
  <c r="F192" i="3"/>
  <c r="C192" i="3"/>
  <c r="AD191" i="3"/>
  <c r="AC191" i="3"/>
  <c r="AA191" i="3"/>
  <c r="W191" i="3"/>
  <c r="U191" i="3"/>
  <c r="R191" i="3"/>
  <c r="N191" i="3"/>
  <c r="O191" i="3" s="1"/>
  <c r="L191" i="3"/>
  <c r="I191" i="3"/>
  <c r="H191" i="3"/>
  <c r="F191" i="3"/>
  <c r="C191" i="3"/>
  <c r="AC190" i="3"/>
  <c r="AD190" i="3" s="1"/>
  <c r="AA190" i="3"/>
  <c r="W190" i="3"/>
  <c r="X190" i="3" s="1"/>
  <c r="U190" i="3"/>
  <c r="R190" i="3"/>
  <c r="O190" i="3"/>
  <c r="N190" i="3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W188" i="3"/>
  <c r="U188" i="3"/>
  <c r="R188" i="3"/>
  <c r="N188" i="3"/>
  <c r="O188" i="3" s="1"/>
  <c r="L188" i="3"/>
  <c r="H188" i="3"/>
  <c r="I188" i="3" s="1"/>
  <c r="F188" i="3"/>
  <c r="C188" i="3"/>
  <c r="AD187" i="3"/>
  <c r="AC187" i="3"/>
  <c r="AA187" i="3"/>
  <c r="W187" i="3"/>
  <c r="U187" i="3"/>
  <c r="R187" i="3"/>
  <c r="N187" i="3"/>
  <c r="O187" i="3" s="1"/>
  <c r="L187" i="3"/>
  <c r="I187" i="3"/>
  <c r="H187" i="3"/>
  <c r="F187" i="3"/>
  <c r="C187" i="3"/>
  <c r="AC186" i="3"/>
  <c r="AD186" i="3" s="1"/>
  <c r="AA186" i="3"/>
  <c r="W186" i="3"/>
  <c r="X186" i="3" s="1"/>
  <c r="U186" i="3"/>
  <c r="R186" i="3"/>
  <c r="O186" i="3"/>
  <c r="N186" i="3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O184" i="3"/>
  <c r="N184" i="3"/>
  <c r="L184" i="3"/>
  <c r="H184" i="3"/>
  <c r="I184" i="3" s="1"/>
  <c r="F184" i="3"/>
  <c r="C184" i="3"/>
  <c r="AD183" i="3"/>
  <c r="AC183" i="3"/>
  <c r="AA183" i="3"/>
  <c r="W183" i="3"/>
  <c r="U183" i="3"/>
  <c r="R183" i="3"/>
  <c r="N183" i="3"/>
  <c r="O183" i="3" s="1"/>
  <c r="L183" i="3"/>
  <c r="H183" i="3"/>
  <c r="I183" i="3" s="1"/>
  <c r="F183" i="3"/>
  <c r="C183" i="3"/>
  <c r="AA182" i="3"/>
  <c r="Z182" i="3"/>
  <c r="T182" i="3"/>
  <c r="W182" i="3" s="1"/>
  <c r="X182" i="3" s="1"/>
  <c r="R182" i="3"/>
  <c r="Q182" i="3"/>
  <c r="AC182" i="3" s="1"/>
  <c r="AD182" i="3" s="1"/>
  <c r="K182" i="3"/>
  <c r="L182" i="3" s="1"/>
  <c r="H182" i="3"/>
  <c r="I182" i="3" s="1"/>
  <c r="F182" i="3"/>
  <c r="E182" i="3"/>
  <c r="C182" i="3"/>
  <c r="B182" i="3"/>
  <c r="N182" i="3" s="1"/>
  <c r="O182" i="3" s="1"/>
  <c r="AC181" i="3"/>
  <c r="AD181" i="3" s="1"/>
  <c r="AA181" i="3"/>
  <c r="W181" i="3"/>
  <c r="X181" i="3" s="1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W180" i="3"/>
  <c r="U180" i="3"/>
  <c r="R180" i="3"/>
  <c r="N180" i="3"/>
  <c r="O180" i="3" s="1"/>
  <c r="L180" i="3"/>
  <c r="H180" i="3"/>
  <c r="I180" i="3" s="1"/>
  <c r="F180" i="3"/>
  <c r="C180" i="3"/>
  <c r="AD179" i="3"/>
  <c r="AC179" i="3"/>
  <c r="AA179" i="3"/>
  <c r="W179" i="3"/>
  <c r="U179" i="3"/>
  <c r="R179" i="3"/>
  <c r="N179" i="3"/>
  <c r="O179" i="3" s="1"/>
  <c r="L179" i="3"/>
  <c r="I179" i="3"/>
  <c r="H179" i="3"/>
  <c r="F179" i="3"/>
  <c r="C179" i="3"/>
  <c r="AC178" i="3"/>
  <c r="AD178" i="3" s="1"/>
  <c r="AA178" i="3"/>
  <c r="W178" i="3"/>
  <c r="X178" i="3" s="1"/>
  <c r="U178" i="3"/>
  <c r="R178" i="3"/>
  <c r="O178" i="3"/>
  <c r="N178" i="3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H177" i="3"/>
  <c r="I177" i="3" s="1"/>
  <c r="F177" i="3"/>
  <c r="C177" i="3"/>
  <c r="AD175" i="3"/>
  <c r="AC175" i="3"/>
  <c r="AA175" i="3"/>
  <c r="W175" i="3"/>
  <c r="U175" i="3"/>
  <c r="R175" i="3"/>
  <c r="N175" i="3"/>
  <c r="O175" i="3" s="1"/>
  <c r="L175" i="3"/>
  <c r="H175" i="3"/>
  <c r="I175" i="3" s="1"/>
  <c r="F175" i="3"/>
  <c r="C175" i="3"/>
  <c r="AA172" i="3"/>
  <c r="K172" i="3"/>
  <c r="K198" i="3" s="1"/>
  <c r="K345" i="3" s="1"/>
  <c r="Z171" i="3"/>
  <c r="AA171" i="3" s="1"/>
  <c r="U171" i="3"/>
  <c r="T171" i="3"/>
  <c r="Q171" i="3"/>
  <c r="R171" i="3" s="1"/>
  <c r="L171" i="3"/>
  <c r="K171" i="3"/>
  <c r="E171" i="3"/>
  <c r="F171" i="3" s="1"/>
  <c r="B171" i="3"/>
  <c r="H171" i="3" s="1"/>
  <c r="I171" i="3" s="1"/>
  <c r="AA170" i="3"/>
  <c r="Z170" i="3"/>
  <c r="T170" i="3"/>
  <c r="W170" i="3" s="1"/>
  <c r="X170" i="3" s="1"/>
  <c r="R170" i="3"/>
  <c r="Q170" i="3"/>
  <c r="AC170" i="3" s="1"/>
  <c r="AD170" i="3" s="1"/>
  <c r="K170" i="3"/>
  <c r="L170" i="3" s="1"/>
  <c r="H170" i="3"/>
  <c r="I170" i="3" s="1"/>
  <c r="F170" i="3"/>
  <c r="E170" i="3"/>
  <c r="C170" i="3"/>
  <c r="B170" i="3"/>
  <c r="N170" i="3" s="1"/>
  <c r="O170" i="3" s="1"/>
  <c r="AC169" i="3"/>
  <c r="AD169" i="3" s="1"/>
  <c r="AA169" i="3"/>
  <c r="W169" i="3"/>
  <c r="U169" i="3"/>
  <c r="R169" i="3"/>
  <c r="O169" i="3"/>
  <c r="N169" i="3"/>
  <c r="L169" i="3"/>
  <c r="H169" i="3"/>
  <c r="I169" i="3" s="1"/>
  <c r="F169" i="3"/>
  <c r="C169" i="3"/>
  <c r="AD168" i="3"/>
  <c r="AC168" i="3"/>
  <c r="AA168" i="3"/>
  <c r="W168" i="3"/>
  <c r="U168" i="3"/>
  <c r="R168" i="3"/>
  <c r="N168" i="3"/>
  <c r="O168" i="3" s="1"/>
  <c r="L168" i="3"/>
  <c r="H168" i="3"/>
  <c r="I168" i="3" s="1"/>
  <c r="F168" i="3"/>
  <c r="C168" i="3"/>
  <c r="AD167" i="3"/>
  <c r="AC167" i="3"/>
  <c r="AA167" i="3"/>
  <c r="W167" i="3"/>
  <c r="U167" i="3"/>
  <c r="R167" i="3"/>
  <c r="O167" i="3"/>
  <c r="N167" i="3"/>
  <c r="L167" i="3"/>
  <c r="I167" i="3"/>
  <c r="H167" i="3"/>
  <c r="F167" i="3"/>
  <c r="C167" i="3"/>
  <c r="AA166" i="3"/>
  <c r="Z166" i="3"/>
  <c r="T166" i="3"/>
  <c r="U166" i="3" s="1"/>
  <c r="Q166" i="3"/>
  <c r="W166" i="3" s="1"/>
  <c r="X166" i="3" s="1"/>
  <c r="L166" i="3"/>
  <c r="K166" i="3"/>
  <c r="E166" i="3"/>
  <c r="H166" i="3" s="1"/>
  <c r="I166" i="3" s="1"/>
  <c r="C166" i="3"/>
  <c r="B166" i="3"/>
  <c r="N166" i="3" s="1"/>
  <c r="O166" i="3" s="1"/>
  <c r="AD165" i="3"/>
  <c r="AC165" i="3"/>
  <c r="AA165" i="3"/>
  <c r="W165" i="3"/>
  <c r="U165" i="3"/>
  <c r="R165" i="3"/>
  <c r="N165" i="3"/>
  <c r="O165" i="3" s="1"/>
  <c r="L165" i="3"/>
  <c r="H165" i="3"/>
  <c r="I165" i="3" s="1"/>
  <c r="F165" i="3"/>
  <c r="C165" i="3"/>
  <c r="AD164" i="3"/>
  <c r="AC164" i="3"/>
  <c r="AA164" i="3"/>
  <c r="W164" i="3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W163" i="3"/>
  <c r="X163" i="3" s="1"/>
  <c r="U163" i="3"/>
  <c r="R163" i="3"/>
  <c r="O163" i="3"/>
  <c r="N163" i="3"/>
  <c r="L163" i="3"/>
  <c r="I163" i="3"/>
  <c r="H163" i="3"/>
  <c r="F163" i="3"/>
  <c r="C163" i="3"/>
  <c r="AC162" i="3"/>
  <c r="AD162" i="3" s="1"/>
  <c r="AA162" i="3"/>
  <c r="W162" i="3"/>
  <c r="U162" i="3"/>
  <c r="R162" i="3"/>
  <c r="O162" i="3"/>
  <c r="N162" i="3"/>
  <c r="L162" i="3"/>
  <c r="H162" i="3"/>
  <c r="I162" i="3" s="1"/>
  <c r="F162" i="3"/>
  <c r="C162" i="3"/>
  <c r="AD161" i="3"/>
  <c r="AC161" i="3"/>
  <c r="AA161" i="3"/>
  <c r="W161" i="3"/>
  <c r="U161" i="3"/>
  <c r="R161" i="3"/>
  <c r="N161" i="3"/>
  <c r="O161" i="3" s="1"/>
  <c r="L161" i="3"/>
  <c r="H161" i="3"/>
  <c r="I161" i="3" s="1"/>
  <c r="F161" i="3"/>
  <c r="C161" i="3"/>
  <c r="AD160" i="3"/>
  <c r="AC160" i="3"/>
  <c r="AA160" i="3"/>
  <c r="W160" i="3"/>
  <c r="U160" i="3"/>
  <c r="R160" i="3"/>
  <c r="O160" i="3"/>
  <c r="N160" i="3"/>
  <c r="L160" i="3"/>
  <c r="I160" i="3"/>
  <c r="H160" i="3"/>
  <c r="F160" i="3"/>
  <c r="C160" i="3"/>
  <c r="AA158" i="3"/>
  <c r="Z158" i="3"/>
  <c r="X158" i="3"/>
  <c r="T158" i="3"/>
  <c r="U158" i="3" s="1"/>
  <c r="Q158" i="3"/>
  <c r="W158" i="3" s="1"/>
  <c r="L158" i="3"/>
  <c r="K158" i="3"/>
  <c r="E158" i="3"/>
  <c r="H158" i="3" s="1"/>
  <c r="I158" i="3" s="1"/>
  <c r="C158" i="3"/>
  <c r="B158" i="3"/>
  <c r="N158" i="3" s="1"/>
  <c r="O158" i="3" s="1"/>
  <c r="AD157" i="3"/>
  <c r="AC157" i="3"/>
  <c r="AA157" i="3"/>
  <c r="W157" i="3"/>
  <c r="U157" i="3"/>
  <c r="R157" i="3"/>
  <c r="N157" i="3"/>
  <c r="O157" i="3" s="1"/>
  <c r="L157" i="3"/>
  <c r="H157" i="3"/>
  <c r="I157" i="3" s="1"/>
  <c r="F157" i="3"/>
  <c r="C157" i="3"/>
  <c r="AD156" i="3"/>
  <c r="AC156" i="3"/>
  <c r="AA156" i="3"/>
  <c r="W156" i="3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W155" i="3"/>
  <c r="X155" i="3" s="1"/>
  <c r="U155" i="3"/>
  <c r="R155" i="3"/>
  <c r="O155" i="3"/>
  <c r="N155" i="3"/>
  <c r="L155" i="3"/>
  <c r="I155" i="3"/>
  <c r="H155" i="3"/>
  <c r="F155" i="3"/>
  <c r="C155" i="3"/>
  <c r="AC154" i="3"/>
  <c r="AD154" i="3" s="1"/>
  <c r="AA154" i="3"/>
  <c r="W154" i="3"/>
  <c r="U154" i="3"/>
  <c r="R154" i="3"/>
  <c r="O154" i="3"/>
  <c r="N154" i="3"/>
  <c r="L154" i="3"/>
  <c r="H154" i="3"/>
  <c r="I154" i="3" s="1"/>
  <c r="F154" i="3"/>
  <c r="C154" i="3"/>
  <c r="AD153" i="3"/>
  <c r="AC153" i="3"/>
  <c r="AA153" i="3"/>
  <c r="W153" i="3"/>
  <c r="X153" i="3" s="1"/>
  <c r="U153" i="3"/>
  <c r="R153" i="3"/>
  <c r="N153" i="3"/>
  <c r="O153" i="3" s="1"/>
  <c r="L153" i="3"/>
  <c r="H153" i="3"/>
  <c r="I153" i="3" s="1"/>
  <c r="F153" i="3"/>
  <c r="C153" i="3"/>
  <c r="AD151" i="3"/>
  <c r="AC151" i="3"/>
  <c r="AA151" i="3"/>
  <c r="W151" i="3"/>
  <c r="U151" i="3"/>
  <c r="R151" i="3"/>
  <c r="O151" i="3"/>
  <c r="N151" i="3"/>
  <c r="L151" i="3"/>
  <c r="I151" i="3"/>
  <c r="H151" i="3"/>
  <c r="F151" i="3"/>
  <c r="C151" i="3"/>
  <c r="AA149" i="3"/>
  <c r="Z149" i="3"/>
  <c r="X149" i="3"/>
  <c r="T149" i="3"/>
  <c r="U149" i="3" s="1"/>
  <c r="R149" i="3"/>
  <c r="Q149" i="3"/>
  <c r="W149" i="3" s="1"/>
  <c r="L149" i="3"/>
  <c r="K149" i="3"/>
  <c r="F149" i="3"/>
  <c r="E149" i="3"/>
  <c r="H149" i="3" s="1"/>
  <c r="I149" i="3" s="1"/>
  <c r="C149" i="3"/>
  <c r="B149" i="3"/>
  <c r="N149" i="3" s="1"/>
  <c r="O149" i="3" s="1"/>
  <c r="Z148" i="3"/>
  <c r="AA148" i="3" s="1"/>
  <c r="W148" i="3"/>
  <c r="U148" i="3"/>
  <c r="T148" i="3"/>
  <c r="R148" i="3"/>
  <c r="Q148" i="3"/>
  <c r="AC148" i="3" s="1"/>
  <c r="AD148" i="3" s="1"/>
  <c r="L148" i="3"/>
  <c r="K148" i="3"/>
  <c r="F148" i="3"/>
  <c r="E148" i="3"/>
  <c r="B148" i="3"/>
  <c r="C148" i="3" s="1"/>
  <c r="AD147" i="3"/>
  <c r="AC147" i="3"/>
  <c r="AA147" i="3"/>
  <c r="W147" i="3"/>
  <c r="X147" i="3" s="1"/>
  <c r="U147" i="3"/>
  <c r="R147" i="3"/>
  <c r="N147" i="3"/>
  <c r="O147" i="3" s="1"/>
  <c r="L147" i="3"/>
  <c r="I147" i="3"/>
  <c r="H147" i="3"/>
  <c r="F147" i="3"/>
  <c r="C147" i="3"/>
  <c r="AC146" i="3"/>
  <c r="AD146" i="3" s="1"/>
  <c r="AA146" i="3"/>
  <c r="W146" i="3"/>
  <c r="U146" i="3"/>
  <c r="R146" i="3"/>
  <c r="O146" i="3"/>
  <c r="N146" i="3"/>
  <c r="L146" i="3"/>
  <c r="I146" i="3"/>
  <c r="H146" i="3"/>
  <c r="F146" i="3"/>
  <c r="C146" i="3"/>
  <c r="AD145" i="3"/>
  <c r="AC145" i="3"/>
  <c r="AA145" i="3"/>
  <c r="W145" i="3"/>
  <c r="X145" i="3" s="1"/>
  <c r="U145" i="3"/>
  <c r="R145" i="3"/>
  <c r="N145" i="3"/>
  <c r="O145" i="3" s="1"/>
  <c r="L145" i="3"/>
  <c r="H145" i="3"/>
  <c r="I145" i="3" s="1"/>
  <c r="F145" i="3"/>
  <c r="C145" i="3"/>
  <c r="AD144" i="3"/>
  <c r="AC144" i="3"/>
  <c r="AA144" i="3"/>
  <c r="W144" i="3"/>
  <c r="U144" i="3"/>
  <c r="R144" i="3"/>
  <c r="O144" i="3"/>
  <c r="N144" i="3"/>
  <c r="L144" i="3"/>
  <c r="I144" i="3"/>
  <c r="H144" i="3"/>
  <c r="F144" i="3"/>
  <c r="C144" i="3"/>
  <c r="AD143" i="3"/>
  <c r="AC143" i="3"/>
  <c r="AA143" i="3"/>
  <c r="W143" i="3"/>
  <c r="X143" i="3" s="1"/>
  <c r="U143" i="3"/>
  <c r="R143" i="3"/>
  <c r="N143" i="3"/>
  <c r="O143" i="3" s="1"/>
  <c r="L143" i="3"/>
  <c r="I143" i="3"/>
  <c r="H143" i="3"/>
  <c r="F143" i="3"/>
  <c r="C143" i="3"/>
  <c r="AA141" i="3"/>
  <c r="Z141" i="3"/>
  <c r="U141" i="3"/>
  <c r="T141" i="3"/>
  <c r="Q141" i="3"/>
  <c r="R141" i="3" s="1"/>
  <c r="L141" i="3"/>
  <c r="K141" i="3"/>
  <c r="E141" i="3"/>
  <c r="F141" i="3" s="1"/>
  <c r="C141" i="3"/>
  <c r="B141" i="3"/>
  <c r="H141" i="3" s="1"/>
  <c r="I141" i="3" s="1"/>
  <c r="AD140" i="3"/>
  <c r="AC140" i="3"/>
  <c r="AA140" i="3"/>
  <c r="W140" i="3"/>
  <c r="U140" i="3"/>
  <c r="R140" i="3"/>
  <c r="O140" i="3"/>
  <c r="N140" i="3"/>
  <c r="L140" i="3"/>
  <c r="I140" i="3"/>
  <c r="H140" i="3"/>
  <c r="F140" i="3"/>
  <c r="C140" i="3"/>
  <c r="AD139" i="3"/>
  <c r="AC139" i="3"/>
  <c r="AA139" i="3"/>
  <c r="W139" i="3"/>
  <c r="X139" i="3" s="1"/>
  <c r="U139" i="3"/>
  <c r="R139" i="3"/>
  <c r="N139" i="3"/>
  <c r="O139" i="3" s="1"/>
  <c r="L139" i="3"/>
  <c r="I139" i="3"/>
  <c r="H139" i="3"/>
  <c r="F139" i="3"/>
  <c r="C139" i="3"/>
  <c r="AC138" i="3"/>
  <c r="AD138" i="3" s="1"/>
  <c r="AA138" i="3"/>
  <c r="W138" i="3"/>
  <c r="U138" i="3"/>
  <c r="R138" i="3"/>
  <c r="O138" i="3"/>
  <c r="N138" i="3"/>
  <c r="L138" i="3"/>
  <c r="I138" i="3"/>
  <c r="H138" i="3"/>
  <c r="F138" i="3"/>
  <c r="C138" i="3"/>
  <c r="AD137" i="3"/>
  <c r="AC137" i="3"/>
  <c r="AA137" i="3"/>
  <c r="W137" i="3"/>
  <c r="X137" i="3" s="1"/>
  <c r="U137" i="3"/>
  <c r="R137" i="3"/>
  <c r="N137" i="3"/>
  <c r="O137" i="3" s="1"/>
  <c r="L137" i="3"/>
  <c r="H137" i="3"/>
  <c r="I137" i="3" s="1"/>
  <c r="F137" i="3"/>
  <c r="C137" i="3"/>
  <c r="AD136" i="3"/>
  <c r="AC136" i="3"/>
  <c r="AA136" i="3"/>
  <c r="W136" i="3"/>
  <c r="U136" i="3"/>
  <c r="R136" i="3"/>
  <c r="O136" i="3"/>
  <c r="N136" i="3"/>
  <c r="L136" i="3"/>
  <c r="I136" i="3"/>
  <c r="H136" i="3"/>
  <c r="F136" i="3"/>
  <c r="C136" i="3"/>
  <c r="AD135" i="3"/>
  <c r="AC135" i="3"/>
  <c r="AA135" i="3"/>
  <c r="W135" i="3"/>
  <c r="X135" i="3" s="1"/>
  <c r="U135" i="3"/>
  <c r="R135" i="3"/>
  <c r="N135" i="3"/>
  <c r="O135" i="3" s="1"/>
  <c r="L135" i="3"/>
  <c r="I135" i="3"/>
  <c r="H135" i="3"/>
  <c r="F135" i="3"/>
  <c r="C135" i="3"/>
  <c r="AC134" i="3"/>
  <c r="AD134" i="3" s="1"/>
  <c r="AA134" i="3"/>
  <c r="W134" i="3"/>
  <c r="U134" i="3"/>
  <c r="R134" i="3"/>
  <c r="O134" i="3"/>
  <c r="N134" i="3"/>
  <c r="L134" i="3"/>
  <c r="I134" i="3"/>
  <c r="H134" i="3"/>
  <c r="F134" i="3"/>
  <c r="C134" i="3"/>
  <c r="AD133" i="3"/>
  <c r="AC133" i="3"/>
  <c r="AA133" i="3"/>
  <c r="W133" i="3"/>
  <c r="X133" i="3" s="1"/>
  <c r="U133" i="3"/>
  <c r="R133" i="3"/>
  <c r="N133" i="3"/>
  <c r="O133" i="3" s="1"/>
  <c r="L133" i="3"/>
  <c r="H133" i="3"/>
  <c r="I133" i="3" s="1"/>
  <c r="F133" i="3"/>
  <c r="C133" i="3"/>
  <c r="AD132" i="3"/>
  <c r="AC132" i="3"/>
  <c r="AA132" i="3"/>
  <c r="W132" i="3"/>
  <c r="U132" i="3"/>
  <c r="R132" i="3"/>
  <c r="O132" i="3"/>
  <c r="N132" i="3"/>
  <c r="L132" i="3"/>
  <c r="I132" i="3"/>
  <c r="H132" i="3"/>
  <c r="F132" i="3"/>
  <c r="C132" i="3"/>
  <c r="AD131" i="3"/>
  <c r="AC131" i="3"/>
  <c r="AA131" i="3"/>
  <c r="W131" i="3"/>
  <c r="X131" i="3" s="1"/>
  <c r="U131" i="3"/>
  <c r="R131" i="3"/>
  <c r="N131" i="3"/>
  <c r="O131" i="3" s="1"/>
  <c r="L131" i="3"/>
  <c r="I131" i="3"/>
  <c r="H131" i="3"/>
  <c r="F131" i="3"/>
  <c r="C131" i="3"/>
  <c r="AC130" i="3"/>
  <c r="AD130" i="3" s="1"/>
  <c r="AA130" i="3"/>
  <c r="W130" i="3"/>
  <c r="U130" i="3"/>
  <c r="R130" i="3"/>
  <c r="O130" i="3"/>
  <c r="N130" i="3"/>
  <c r="L130" i="3"/>
  <c r="I130" i="3"/>
  <c r="H130" i="3"/>
  <c r="F130" i="3"/>
  <c r="C130" i="3"/>
  <c r="AD129" i="3"/>
  <c r="AC129" i="3"/>
  <c r="AA129" i="3"/>
  <c r="W129" i="3"/>
  <c r="X129" i="3" s="1"/>
  <c r="U129" i="3"/>
  <c r="R129" i="3"/>
  <c r="N129" i="3"/>
  <c r="O129" i="3" s="1"/>
  <c r="L129" i="3"/>
  <c r="H129" i="3"/>
  <c r="I129" i="3" s="1"/>
  <c r="F129" i="3"/>
  <c r="C129" i="3"/>
  <c r="AD127" i="3"/>
  <c r="AC127" i="3"/>
  <c r="AA127" i="3"/>
  <c r="W127" i="3"/>
  <c r="U127" i="3"/>
  <c r="R127" i="3"/>
  <c r="O127" i="3"/>
  <c r="N127" i="3"/>
  <c r="L127" i="3"/>
  <c r="I127" i="3"/>
  <c r="H127" i="3"/>
  <c r="F127" i="3"/>
  <c r="C127" i="3"/>
  <c r="AA124" i="3"/>
  <c r="Z124" i="3"/>
  <c r="Z172" i="3" s="1"/>
  <c r="Z198" i="3" s="1"/>
  <c r="T124" i="3"/>
  <c r="U124" i="3" s="1"/>
  <c r="R124" i="3"/>
  <c r="Q124" i="3"/>
  <c r="W124" i="3" s="1"/>
  <c r="X124" i="3" s="1"/>
  <c r="L124" i="3"/>
  <c r="K124" i="3"/>
  <c r="F124" i="3"/>
  <c r="E124" i="3"/>
  <c r="H124" i="3" s="1"/>
  <c r="I124" i="3" s="1"/>
  <c r="C124" i="3"/>
  <c r="B124" i="3"/>
  <c r="B172" i="3" s="1"/>
  <c r="AD123" i="3"/>
  <c r="AC123" i="3"/>
  <c r="AA123" i="3"/>
  <c r="W123" i="3"/>
  <c r="X123" i="3" s="1"/>
  <c r="U123" i="3"/>
  <c r="R123" i="3"/>
  <c r="N123" i="3"/>
  <c r="O123" i="3" s="1"/>
  <c r="L123" i="3"/>
  <c r="H123" i="3"/>
  <c r="I123" i="3" s="1"/>
  <c r="F123" i="3"/>
  <c r="C123" i="3"/>
  <c r="AA122" i="3"/>
  <c r="Z122" i="3"/>
  <c r="T122" i="3"/>
  <c r="W122" i="3" s="1"/>
  <c r="X122" i="3" s="1"/>
  <c r="R122" i="3"/>
  <c r="Q122" i="3"/>
  <c r="AC122" i="3" s="1"/>
  <c r="AD122" i="3" s="1"/>
  <c r="K122" i="3"/>
  <c r="L122" i="3" s="1"/>
  <c r="H122" i="3"/>
  <c r="I122" i="3" s="1"/>
  <c r="F122" i="3"/>
  <c r="E122" i="3"/>
  <c r="C122" i="3"/>
  <c r="B122" i="3"/>
  <c r="N122" i="3" s="1"/>
  <c r="O122" i="3" s="1"/>
  <c r="AC121" i="3"/>
  <c r="AD121" i="3" s="1"/>
  <c r="AA121" i="3"/>
  <c r="W121" i="3"/>
  <c r="U121" i="3"/>
  <c r="R121" i="3"/>
  <c r="O121" i="3"/>
  <c r="N121" i="3"/>
  <c r="L121" i="3"/>
  <c r="H121" i="3"/>
  <c r="I121" i="3" s="1"/>
  <c r="F121" i="3"/>
  <c r="C121" i="3"/>
  <c r="AD120" i="3"/>
  <c r="AC120" i="3"/>
  <c r="AA120" i="3"/>
  <c r="W120" i="3"/>
  <c r="X120" i="3" s="1"/>
  <c r="U120" i="3"/>
  <c r="R120" i="3"/>
  <c r="N120" i="3"/>
  <c r="O120" i="3" s="1"/>
  <c r="L120" i="3"/>
  <c r="H120" i="3"/>
  <c r="I120" i="3" s="1"/>
  <c r="F120" i="3"/>
  <c r="C120" i="3"/>
  <c r="AD119" i="3"/>
  <c r="AC119" i="3"/>
  <c r="AA119" i="3"/>
  <c r="W119" i="3"/>
  <c r="U119" i="3"/>
  <c r="R119" i="3"/>
  <c r="O119" i="3"/>
  <c r="N119" i="3"/>
  <c r="L119" i="3"/>
  <c r="I119" i="3"/>
  <c r="H119" i="3"/>
  <c r="F119" i="3"/>
  <c r="C119" i="3"/>
  <c r="AA118" i="3"/>
  <c r="Z118" i="3"/>
  <c r="T118" i="3"/>
  <c r="U118" i="3" s="1"/>
  <c r="Q118" i="3"/>
  <c r="W118" i="3" s="1"/>
  <c r="X118" i="3" s="1"/>
  <c r="L118" i="3"/>
  <c r="K118" i="3"/>
  <c r="E118" i="3"/>
  <c r="H118" i="3" s="1"/>
  <c r="I118" i="3" s="1"/>
  <c r="C118" i="3"/>
  <c r="B118" i="3"/>
  <c r="N118" i="3" s="1"/>
  <c r="O118" i="3" s="1"/>
  <c r="AD117" i="3"/>
  <c r="AC117" i="3"/>
  <c r="AA117" i="3"/>
  <c r="W117" i="3"/>
  <c r="X117" i="3" s="1"/>
  <c r="U117" i="3"/>
  <c r="R117" i="3"/>
  <c r="N117" i="3"/>
  <c r="O117" i="3" s="1"/>
  <c r="L117" i="3"/>
  <c r="H117" i="3"/>
  <c r="I117" i="3" s="1"/>
  <c r="F117" i="3"/>
  <c r="C117" i="3"/>
  <c r="AD116" i="3"/>
  <c r="AC116" i="3"/>
  <c r="AA116" i="3"/>
  <c r="W116" i="3"/>
  <c r="U116" i="3"/>
  <c r="R116" i="3"/>
  <c r="O116" i="3"/>
  <c r="N116" i="3"/>
  <c r="L116" i="3"/>
  <c r="I116" i="3"/>
  <c r="H116" i="3"/>
  <c r="F116" i="3"/>
  <c r="C116" i="3"/>
  <c r="AC115" i="3"/>
  <c r="AD115" i="3" s="1"/>
  <c r="AA115" i="3"/>
  <c r="W115" i="3"/>
  <c r="X115" i="3" s="1"/>
  <c r="U115" i="3"/>
  <c r="R115" i="3"/>
  <c r="N115" i="3"/>
  <c r="O115" i="3" s="1"/>
  <c r="L115" i="3"/>
  <c r="I115" i="3"/>
  <c r="H115" i="3"/>
  <c r="F115" i="3"/>
  <c r="C115" i="3"/>
  <c r="AC114" i="3"/>
  <c r="AD114" i="3" s="1"/>
  <c r="AA114" i="3"/>
  <c r="W114" i="3"/>
  <c r="U114" i="3"/>
  <c r="R114" i="3"/>
  <c r="O114" i="3"/>
  <c r="N114" i="3"/>
  <c r="L114" i="3"/>
  <c r="H114" i="3"/>
  <c r="I114" i="3" s="1"/>
  <c r="F114" i="3"/>
  <c r="C114" i="3"/>
  <c r="AD113" i="3"/>
  <c r="AC113" i="3"/>
  <c r="AA113" i="3"/>
  <c r="W113" i="3"/>
  <c r="X113" i="3" s="1"/>
  <c r="U113" i="3"/>
  <c r="R113" i="3"/>
  <c r="N113" i="3"/>
  <c r="O113" i="3" s="1"/>
  <c r="L113" i="3"/>
  <c r="H113" i="3"/>
  <c r="I113" i="3" s="1"/>
  <c r="F113" i="3"/>
  <c r="C113" i="3"/>
  <c r="AD112" i="3"/>
  <c r="AC112" i="3"/>
  <c r="AA112" i="3"/>
  <c r="W112" i="3"/>
  <c r="U112" i="3"/>
  <c r="R112" i="3"/>
  <c r="O112" i="3"/>
  <c r="N112" i="3"/>
  <c r="L112" i="3"/>
  <c r="I112" i="3"/>
  <c r="H112" i="3"/>
  <c r="F112" i="3"/>
  <c r="C112" i="3"/>
  <c r="AC111" i="3"/>
  <c r="AD111" i="3" s="1"/>
  <c r="AA111" i="3"/>
  <c r="W111" i="3"/>
  <c r="X111" i="3" s="1"/>
  <c r="U111" i="3"/>
  <c r="R111" i="3"/>
  <c r="N111" i="3"/>
  <c r="O111" i="3" s="1"/>
  <c r="L111" i="3"/>
  <c r="I111" i="3"/>
  <c r="H111" i="3"/>
  <c r="F111" i="3"/>
  <c r="C111" i="3"/>
  <c r="AC110" i="3"/>
  <c r="AD110" i="3" s="1"/>
  <c r="AA110" i="3"/>
  <c r="X110" i="3"/>
  <c r="W110" i="3"/>
  <c r="U110" i="3"/>
  <c r="R110" i="3"/>
  <c r="O110" i="3"/>
  <c r="N110" i="3"/>
  <c r="L110" i="3"/>
  <c r="H110" i="3"/>
  <c r="I110" i="3" s="1"/>
  <c r="F110" i="3"/>
  <c r="C110" i="3"/>
  <c r="AD109" i="3"/>
  <c r="AC109" i="3"/>
  <c r="AA109" i="3"/>
  <c r="W109" i="3"/>
  <c r="X109" i="3" s="1"/>
  <c r="U109" i="3"/>
  <c r="R109" i="3"/>
  <c r="N109" i="3"/>
  <c r="O109" i="3" s="1"/>
  <c r="L109" i="3"/>
  <c r="H109" i="3"/>
  <c r="I109" i="3" s="1"/>
  <c r="F109" i="3"/>
  <c r="C109" i="3"/>
  <c r="AD108" i="3"/>
  <c r="AC108" i="3"/>
  <c r="AA108" i="3"/>
  <c r="W108" i="3"/>
  <c r="U108" i="3"/>
  <c r="R108" i="3"/>
  <c r="O108" i="3"/>
  <c r="N108" i="3"/>
  <c r="L108" i="3"/>
  <c r="I108" i="3"/>
  <c r="H108" i="3"/>
  <c r="F108" i="3"/>
  <c r="C108" i="3"/>
  <c r="AC107" i="3"/>
  <c r="AD107" i="3" s="1"/>
  <c r="AA107" i="3"/>
  <c r="W107" i="3"/>
  <c r="X107" i="3" s="1"/>
  <c r="U107" i="3"/>
  <c r="R107" i="3"/>
  <c r="O107" i="3"/>
  <c r="N107" i="3"/>
  <c r="L107" i="3"/>
  <c r="I107" i="3"/>
  <c r="H107" i="3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I106" i="3"/>
  <c r="H106" i="3"/>
  <c r="F106" i="3"/>
  <c r="C106" i="3"/>
  <c r="AD105" i="3"/>
  <c r="AC105" i="3"/>
  <c r="AA105" i="3"/>
  <c r="W105" i="3"/>
  <c r="X105" i="3" s="1"/>
  <c r="U105" i="3"/>
  <c r="R105" i="3"/>
  <c r="N105" i="3"/>
  <c r="O105" i="3" s="1"/>
  <c r="L105" i="3"/>
  <c r="H105" i="3"/>
  <c r="I105" i="3" s="1"/>
  <c r="F105" i="3"/>
  <c r="C105" i="3"/>
  <c r="AD104" i="3"/>
  <c r="AC104" i="3"/>
  <c r="AA104" i="3"/>
  <c r="W104" i="3"/>
  <c r="U104" i="3"/>
  <c r="R104" i="3"/>
  <c r="N104" i="3"/>
  <c r="O104" i="3" s="1"/>
  <c r="L104" i="3"/>
  <c r="I104" i="3"/>
  <c r="H104" i="3"/>
  <c r="F104" i="3"/>
  <c r="C104" i="3"/>
  <c r="AC103" i="3"/>
  <c r="AD103" i="3" s="1"/>
  <c r="AA103" i="3"/>
  <c r="W103" i="3"/>
  <c r="X103" i="3" s="1"/>
  <c r="U103" i="3"/>
  <c r="R103" i="3"/>
  <c r="O103" i="3"/>
  <c r="N103" i="3"/>
  <c r="L103" i="3"/>
  <c r="I103" i="3"/>
  <c r="H103" i="3"/>
  <c r="F103" i="3"/>
  <c r="C103" i="3"/>
  <c r="AC102" i="3"/>
  <c r="AD102" i="3" s="1"/>
  <c r="AA102" i="3"/>
  <c r="W102" i="3"/>
  <c r="X102" i="3" s="1"/>
  <c r="U102" i="3"/>
  <c r="R102" i="3"/>
  <c r="O102" i="3"/>
  <c r="N102" i="3"/>
  <c r="L102" i="3"/>
  <c r="I102" i="3"/>
  <c r="H102" i="3"/>
  <c r="F102" i="3"/>
  <c r="C102" i="3"/>
  <c r="AD101" i="3"/>
  <c r="AC101" i="3"/>
  <c r="AA101" i="3"/>
  <c r="W101" i="3"/>
  <c r="X101" i="3" s="1"/>
  <c r="U101" i="3"/>
  <c r="R101" i="3"/>
  <c r="N101" i="3"/>
  <c r="O101" i="3" s="1"/>
  <c r="L101" i="3"/>
  <c r="H101" i="3"/>
  <c r="I101" i="3" s="1"/>
  <c r="F101" i="3"/>
  <c r="C101" i="3"/>
  <c r="AD100" i="3"/>
  <c r="AC100" i="3"/>
  <c r="AA100" i="3"/>
  <c r="W100" i="3"/>
  <c r="U100" i="3"/>
  <c r="R100" i="3"/>
  <c r="N100" i="3"/>
  <c r="O100" i="3" s="1"/>
  <c r="L100" i="3"/>
  <c r="I100" i="3"/>
  <c r="H100" i="3"/>
  <c r="F100" i="3"/>
  <c r="C100" i="3"/>
  <c r="AD99" i="3"/>
  <c r="AC99" i="3"/>
  <c r="AA99" i="3"/>
  <c r="W99" i="3"/>
  <c r="X99" i="3" s="1"/>
  <c r="U99" i="3"/>
  <c r="R99" i="3"/>
  <c r="N99" i="3"/>
  <c r="O99" i="3" s="1"/>
  <c r="L99" i="3"/>
  <c r="I99" i="3"/>
  <c r="H99" i="3"/>
  <c r="F99" i="3"/>
  <c r="C99" i="3"/>
  <c r="AC98" i="3"/>
  <c r="AD98" i="3" s="1"/>
  <c r="AA98" i="3"/>
  <c r="W98" i="3"/>
  <c r="X98" i="3" s="1"/>
  <c r="U98" i="3"/>
  <c r="R98" i="3"/>
  <c r="O98" i="3"/>
  <c r="N98" i="3"/>
  <c r="L98" i="3"/>
  <c r="H98" i="3"/>
  <c r="I98" i="3" s="1"/>
  <c r="F98" i="3"/>
  <c r="C98" i="3"/>
  <c r="AD97" i="3"/>
  <c r="AC97" i="3"/>
  <c r="AA97" i="3"/>
  <c r="W97" i="3"/>
  <c r="X97" i="3" s="1"/>
  <c r="U97" i="3"/>
  <c r="R97" i="3"/>
  <c r="N97" i="3"/>
  <c r="O97" i="3" s="1"/>
  <c r="L97" i="3"/>
  <c r="H97" i="3"/>
  <c r="I97" i="3" s="1"/>
  <c r="F97" i="3"/>
  <c r="C97" i="3"/>
  <c r="AD96" i="3"/>
  <c r="AC96" i="3"/>
  <c r="AA96" i="3"/>
  <c r="W96" i="3"/>
  <c r="U96" i="3"/>
  <c r="R96" i="3"/>
  <c r="N96" i="3"/>
  <c r="O96" i="3" s="1"/>
  <c r="L96" i="3"/>
  <c r="I96" i="3"/>
  <c r="H96" i="3"/>
  <c r="F96" i="3"/>
  <c r="C96" i="3"/>
  <c r="AD95" i="3"/>
  <c r="AC95" i="3"/>
  <c r="AA95" i="3"/>
  <c r="W95" i="3"/>
  <c r="X95" i="3" s="1"/>
  <c r="U95" i="3"/>
  <c r="R95" i="3"/>
  <c r="N95" i="3"/>
  <c r="O95" i="3" s="1"/>
  <c r="L95" i="3"/>
  <c r="I95" i="3"/>
  <c r="H95" i="3"/>
  <c r="F95" i="3"/>
  <c r="C95" i="3"/>
  <c r="AC94" i="3"/>
  <c r="AD94" i="3" s="1"/>
  <c r="AA94" i="3"/>
  <c r="W94" i="3"/>
  <c r="X94" i="3" s="1"/>
  <c r="U94" i="3"/>
  <c r="R94" i="3"/>
  <c r="O94" i="3"/>
  <c r="N94" i="3"/>
  <c r="L94" i="3"/>
  <c r="H94" i="3"/>
  <c r="I94" i="3" s="1"/>
  <c r="F94" i="3"/>
  <c r="C94" i="3"/>
  <c r="AD92" i="3"/>
  <c r="AC92" i="3"/>
  <c r="AA92" i="3"/>
  <c r="X92" i="3"/>
  <c r="W92" i="3"/>
  <c r="U92" i="3"/>
  <c r="R92" i="3"/>
  <c r="N92" i="3"/>
  <c r="O92" i="3" s="1"/>
  <c r="L92" i="3"/>
  <c r="H92" i="3"/>
  <c r="I92" i="3" s="1"/>
  <c r="F92" i="3"/>
  <c r="C92" i="3"/>
  <c r="AD91" i="3"/>
  <c r="AC91" i="3"/>
  <c r="AA91" i="3"/>
  <c r="W91" i="3"/>
  <c r="U91" i="3"/>
  <c r="R91" i="3"/>
  <c r="N91" i="3"/>
  <c r="O91" i="3" s="1"/>
  <c r="L91" i="3"/>
  <c r="I91" i="3"/>
  <c r="H91" i="3"/>
  <c r="F91" i="3"/>
  <c r="C91" i="3"/>
  <c r="AC90" i="3"/>
  <c r="AD90" i="3" s="1"/>
  <c r="AA90" i="3"/>
  <c r="W90" i="3"/>
  <c r="X90" i="3" s="1"/>
  <c r="U90" i="3"/>
  <c r="R90" i="3"/>
  <c r="N90" i="3"/>
  <c r="O90" i="3" s="1"/>
  <c r="L90" i="3"/>
  <c r="I90" i="3"/>
  <c r="H90" i="3"/>
  <c r="F90" i="3"/>
  <c r="C90" i="3"/>
  <c r="AC89" i="3"/>
  <c r="AD89" i="3" s="1"/>
  <c r="AA89" i="3"/>
  <c r="W89" i="3"/>
  <c r="X89" i="3" s="1"/>
  <c r="U89" i="3"/>
  <c r="R89" i="3"/>
  <c r="O89" i="3"/>
  <c r="N89" i="3"/>
  <c r="L89" i="3"/>
  <c r="H89" i="3"/>
  <c r="I89" i="3" s="1"/>
  <c r="F89" i="3"/>
  <c r="C89" i="3"/>
  <c r="AD88" i="3"/>
  <c r="Z88" i="3"/>
  <c r="AA88" i="3" s="1"/>
  <c r="W88" i="3"/>
  <c r="X88" i="3" s="1"/>
  <c r="U88" i="3"/>
  <c r="T88" i="3"/>
  <c r="R88" i="3"/>
  <c r="Q88" i="3"/>
  <c r="AC88" i="3" s="1"/>
  <c r="K88" i="3"/>
  <c r="L88" i="3" s="1"/>
  <c r="F88" i="3"/>
  <c r="E88" i="3"/>
  <c r="B88" i="3"/>
  <c r="AC87" i="3"/>
  <c r="AD87" i="3" s="1"/>
  <c r="AA87" i="3"/>
  <c r="W87" i="3"/>
  <c r="X87" i="3" s="1"/>
  <c r="U87" i="3"/>
  <c r="R87" i="3"/>
  <c r="N87" i="3"/>
  <c r="O87" i="3" s="1"/>
  <c r="L87" i="3"/>
  <c r="I87" i="3"/>
  <c r="H87" i="3"/>
  <c r="F87" i="3"/>
  <c r="C87" i="3"/>
  <c r="AC86" i="3"/>
  <c r="AD86" i="3" s="1"/>
  <c r="AA86" i="3"/>
  <c r="X86" i="3"/>
  <c r="W86" i="3"/>
  <c r="U86" i="3"/>
  <c r="R86" i="3"/>
  <c r="O86" i="3"/>
  <c r="N86" i="3"/>
  <c r="L86" i="3"/>
  <c r="H86" i="3"/>
  <c r="I86" i="3" s="1"/>
  <c r="F86" i="3"/>
  <c r="C86" i="3"/>
  <c r="AD85" i="3"/>
  <c r="AC85" i="3"/>
  <c r="AA85" i="3"/>
  <c r="X85" i="3"/>
  <c r="W85" i="3"/>
  <c r="U85" i="3"/>
  <c r="R85" i="3"/>
  <c r="N85" i="3"/>
  <c r="O85" i="3" s="1"/>
  <c r="L85" i="3"/>
  <c r="H85" i="3"/>
  <c r="I85" i="3" s="1"/>
  <c r="F85" i="3"/>
  <c r="C85" i="3"/>
  <c r="AD84" i="3"/>
  <c r="AC84" i="3"/>
  <c r="AA84" i="3"/>
  <c r="W84" i="3"/>
  <c r="U84" i="3"/>
  <c r="R84" i="3"/>
  <c r="O84" i="3"/>
  <c r="N84" i="3"/>
  <c r="L84" i="3"/>
  <c r="I84" i="3"/>
  <c r="H84" i="3"/>
  <c r="F84" i="3"/>
  <c r="C84" i="3"/>
  <c r="AD83" i="3"/>
  <c r="AC83" i="3"/>
  <c r="AA83" i="3"/>
  <c r="W83" i="3"/>
  <c r="X83" i="3" s="1"/>
  <c r="U83" i="3"/>
  <c r="R83" i="3"/>
  <c r="O83" i="3"/>
  <c r="N83" i="3"/>
  <c r="L83" i="3"/>
  <c r="I83" i="3"/>
  <c r="H83" i="3"/>
  <c r="F83" i="3"/>
  <c r="C83" i="3"/>
  <c r="AC82" i="3"/>
  <c r="AD82" i="3" s="1"/>
  <c r="AA82" i="3"/>
  <c r="W82" i="3"/>
  <c r="X82" i="3" s="1"/>
  <c r="U82" i="3"/>
  <c r="R82" i="3"/>
  <c r="O82" i="3"/>
  <c r="N82" i="3"/>
  <c r="L82" i="3"/>
  <c r="I82" i="3"/>
  <c r="H82" i="3"/>
  <c r="F82" i="3"/>
  <c r="C82" i="3"/>
  <c r="AD81" i="3"/>
  <c r="AC81" i="3"/>
  <c r="AA81" i="3"/>
  <c r="W81" i="3"/>
  <c r="X81" i="3" s="1"/>
  <c r="U81" i="3"/>
  <c r="R81" i="3"/>
  <c r="N81" i="3"/>
  <c r="O81" i="3" s="1"/>
  <c r="L81" i="3"/>
  <c r="H81" i="3"/>
  <c r="I81" i="3" s="1"/>
  <c r="F81" i="3"/>
  <c r="C81" i="3"/>
  <c r="AD80" i="3"/>
  <c r="AC80" i="3"/>
  <c r="AA80" i="3"/>
  <c r="W80" i="3"/>
  <c r="U80" i="3"/>
  <c r="R80" i="3"/>
  <c r="N80" i="3"/>
  <c r="O80" i="3" s="1"/>
  <c r="L80" i="3"/>
  <c r="I80" i="3"/>
  <c r="H80" i="3"/>
  <c r="F80" i="3"/>
  <c r="C80" i="3"/>
  <c r="AC79" i="3"/>
  <c r="AD79" i="3" s="1"/>
  <c r="AA79" i="3"/>
  <c r="W79" i="3"/>
  <c r="X79" i="3" s="1"/>
  <c r="U79" i="3"/>
  <c r="R79" i="3"/>
  <c r="O79" i="3"/>
  <c r="N79" i="3"/>
  <c r="L79" i="3"/>
  <c r="I79" i="3"/>
  <c r="H79" i="3"/>
  <c r="F79" i="3"/>
  <c r="C79" i="3"/>
  <c r="AC78" i="3"/>
  <c r="AD78" i="3" s="1"/>
  <c r="AA78" i="3"/>
  <c r="W78" i="3"/>
  <c r="X78" i="3" s="1"/>
  <c r="U78" i="3"/>
  <c r="R78" i="3"/>
  <c r="O78" i="3"/>
  <c r="N78" i="3"/>
  <c r="L78" i="3"/>
  <c r="I78" i="3"/>
  <c r="H78" i="3"/>
  <c r="F78" i="3"/>
  <c r="C78" i="3"/>
  <c r="AD77" i="3"/>
  <c r="AC77" i="3"/>
  <c r="AA77" i="3"/>
  <c r="W77" i="3"/>
  <c r="X77" i="3" s="1"/>
  <c r="U77" i="3"/>
  <c r="R77" i="3"/>
  <c r="N77" i="3"/>
  <c r="O77" i="3" s="1"/>
  <c r="L77" i="3"/>
  <c r="H77" i="3"/>
  <c r="I77" i="3" s="1"/>
  <c r="F77" i="3"/>
  <c r="C77" i="3"/>
  <c r="AD76" i="3"/>
  <c r="AC76" i="3"/>
  <c r="AA76" i="3"/>
  <c r="W76" i="3"/>
  <c r="U76" i="3"/>
  <c r="R76" i="3"/>
  <c r="N76" i="3"/>
  <c r="O76" i="3" s="1"/>
  <c r="L76" i="3"/>
  <c r="I76" i="3"/>
  <c r="H76" i="3"/>
  <c r="F76" i="3"/>
  <c r="C76" i="3"/>
  <c r="AD75" i="3"/>
  <c r="AC75" i="3"/>
  <c r="AA75" i="3"/>
  <c r="W75" i="3"/>
  <c r="X75" i="3" s="1"/>
  <c r="U75" i="3"/>
  <c r="R75" i="3"/>
  <c r="N75" i="3"/>
  <c r="O75" i="3" s="1"/>
  <c r="L75" i="3"/>
  <c r="I75" i="3"/>
  <c r="H75" i="3"/>
  <c r="F75" i="3"/>
  <c r="C75" i="3"/>
  <c r="Z73" i="3"/>
  <c r="AA73" i="3" s="1"/>
  <c r="U73" i="3"/>
  <c r="T73" i="3"/>
  <c r="Q73" i="3"/>
  <c r="L73" i="3"/>
  <c r="K73" i="3"/>
  <c r="E73" i="3"/>
  <c r="F73" i="3" s="1"/>
  <c r="B73" i="3"/>
  <c r="AD72" i="3"/>
  <c r="AC72" i="3"/>
  <c r="AA72" i="3"/>
  <c r="W72" i="3"/>
  <c r="U72" i="3"/>
  <c r="R72" i="3"/>
  <c r="N72" i="3"/>
  <c r="O72" i="3" s="1"/>
  <c r="L72" i="3"/>
  <c r="I72" i="3"/>
  <c r="H72" i="3"/>
  <c r="F72" i="3"/>
  <c r="C72" i="3"/>
  <c r="AC71" i="3"/>
  <c r="AD71" i="3" s="1"/>
  <c r="AA71" i="3"/>
  <c r="W71" i="3"/>
  <c r="X71" i="3" s="1"/>
  <c r="U71" i="3"/>
  <c r="R71" i="3"/>
  <c r="N71" i="3"/>
  <c r="O71" i="3" s="1"/>
  <c r="L71" i="3"/>
  <c r="I71" i="3"/>
  <c r="H71" i="3"/>
  <c r="F71" i="3"/>
  <c r="C71" i="3"/>
  <c r="AC70" i="3"/>
  <c r="AD70" i="3" s="1"/>
  <c r="AA70" i="3"/>
  <c r="X70" i="3"/>
  <c r="W70" i="3"/>
  <c r="U70" i="3"/>
  <c r="R70" i="3"/>
  <c r="O70" i="3"/>
  <c r="N70" i="3"/>
  <c r="L70" i="3"/>
  <c r="H70" i="3"/>
  <c r="I70" i="3" s="1"/>
  <c r="F70" i="3"/>
  <c r="C70" i="3"/>
  <c r="AD69" i="3"/>
  <c r="AC69" i="3"/>
  <c r="AA69" i="3"/>
  <c r="W69" i="3"/>
  <c r="X69" i="3" s="1"/>
  <c r="U69" i="3"/>
  <c r="R69" i="3"/>
  <c r="N69" i="3"/>
  <c r="O69" i="3" s="1"/>
  <c r="L69" i="3"/>
  <c r="H69" i="3"/>
  <c r="I69" i="3" s="1"/>
  <c r="F69" i="3"/>
  <c r="C69" i="3"/>
  <c r="AD68" i="3"/>
  <c r="AC68" i="3"/>
  <c r="AA68" i="3"/>
  <c r="W68" i="3"/>
  <c r="U68" i="3"/>
  <c r="R68" i="3"/>
  <c r="N68" i="3"/>
  <c r="O68" i="3" s="1"/>
  <c r="L68" i="3"/>
  <c r="I68" i="3"/>
  <c r="H68" i="3"/>
  <c r="F68" i="3"/>
  <c r="C68" i="3"/>
  <c r="AD67" i="3"/>
  <c r="AC67" i="3"/>
  <c r="AA67" i="3"/>
  <c r="W67" i="3"/>
  <c r="X67" i="3" s="1"/>
  <c r="U67" i="3"/>
  <c r="R67" i="3"/>
  <c r="N67" i="3"/>
  <c r="O67" i="3" s="1"/>
  <c r="L67" i="3"/>
  <c r="I67" i="3"/>
  <c r="H67" i="3"/>
  <c r="F67" i="3"/>
  <c r="C67" i="3"/>
  <c r="AC66" i="3"/>
  <c r="AD66" i="3" s="1"/>
  <c r="AA66" i="3"/>
  <c r="X66" i="3"/>
  <c r="W66" i="3"/>
  <c r="U66" i="3"/>
  <c r="R66" i="3"/>
  <c r="O66" i="3"/>
  <c r="N66" i="3"/>
  <c r="L66" i="3"/>
  <c r="H66" i="3"/>
  <c r="I66" i="3" s="1"/>
  <c r="F66" i="3"/>
  <c r="C66" i="3"/>
  <c r="AD65" i="3"/>
  <c r="AC65" i="3"/>
  <c r="AA65" i="3"/>
  <c r="W65" i="3"/>
  <c r="X65" i="3" s="1"/>
  <c r="U65" i="3"/>
  <c r="R65" i="3"/>
  <c r="N65" i="3"/>
  <c r="O65" i="3" s="1"/>
  <c r="L65" i="3"/>
  <c r="H65" i="3"/>
  <c r="I65" i="3" s="1"/>
  <c r="F65" i="3"/>
  <c r="C65" i="3"/>
  <c r="AD64" i="3"/>
  <c r="AC64" i="3"/>
  <c r="AA64" i="3"/>
  <c r="W64" i="3"/>
  <c r="U64" i="3"/>
  <c r="R64" i="3"/>
  <c r="O64" i="3"/>
  <c r="N64" i="3"/>
  <c r="L64" i="3"/>
  <c r="I64" i="3"/>
  <c r="H64" i="3"/>
  <c r="F64" i="3"/>
  <c r="C64" i="3"/>
  <c r="AA62" i="3"/>
  <c r="Z62" i="3"/>
  <c r="X62" i="3"/>
  <c r="T62" i="3"/>
  <c r="U62" i="3" s="1"/>
  <c r="Q62" i="3"/>
  <c r="W62" i="3" s="1"/>
  <c r="L62" i="3"/>
  <c r="K62" i="3"/>
  <c r="H62" i="3"/>
  <c r="I62" i="3" s="1"/>
  <c r="F62" i="3"/>
  <c r="E62" i="3"/>
  <c r="C62" i="3"/>
  <c r="B62" i="3"/>
  <c r="N62" i="3" s="1"/>
  <c r="O62" i="3" s="1"/>
  <c r="Z61" i="3"/>
  <c r="AA61" i="3" s="1"/>
  <c r="W61" i="3"/>
  <c r="X61" i="3" s="1"/>
  <c r="U61" i="3"/>
  <c r="T61" i="3"/>
  <c r="R61" i="3"/>
  <c r="Q61" i="3"/>
  <c r="AC61" i="3" s="1"/>
  <c r="AD61" i="3" s="1"/>
  <c r="N61" i="3"/>
  <c r="O61" i="3" s="1"/>
  <c r="L61" i="3"/>
  <c r="K61" i="3"/>
  <c r="F61" i="3"/>
  <c r="E61" i="3"/>
  <c r="B61" i="3"/>
  <c r="AD60" i="3"/>
  <c r="AC60" i="3"/>
  <c r="AA60" i="3"/>
  <c r="W60" i="3"/>
  <c r="X60" i="3" s="1"/>
  <c r="U60" i="3"/>
  <c r="R60" i="3"/>
  <c r="O60" i="3"/>
  <c r="N60" i="3"/>
  <c r="L60" i="3"/>
  <c r="I60" i="3"/>
  <c r="H60" i="3"/>
  <c r="F60" i="3"/>
  <c r="C60" i="3"/>
  <c r="AC59" i="3"/>
  <c r="AD59" i="3" s="1"/>
  <c r="AA59" i="3"/>
  <c r="W59" i="3"/>
  <c r="X59" i="3" s="1"/>
  <c r="U59" i="3"/>
  <c r="R59" i="3"/>
  <c r="O59" i="3"/>
  <c r="N59" i="3"/>
  <c r="L59" i="3"/>
  <c r="I59" i="3"/>
  <c r="H59" i="3"/>
  <c r="F59" i="3"/>
  <c r="C59" i="3"/>
  <c r="AD58" i="3"/>
  <c r="AC58" i="3"/>
  <c r="AA58" i="3"/>
  <c r="X58" i="3"/>
  <c r="W58" i="3"/>
  <c r="U58" i="3"/>
  <c r="R58" i="3"/>
  <c r="N58" i="3"/>
  <c r="O58" i="3" s="1"/>
  <c r="L58" i="3"/>
  <c r="H58" i="3"/>
  <c r="I58" i="3" s="1"/>
  <c r="F58" i="3"/>
  <c r="C58" i="3"/>
  <c r="AD57" i="3"/>
  <c r="AC57" i="3"/>
  <c r="AA57" i="3"/>
  <c r="W57" i="3"/>
  <c r="U57" i="3"/>
  <c r="R57" i="3"/>
  <c r="N57" i="3"/>
  <c r="O57" i="3" s="1"/>
  <c r="L57" i="3"/>
  <c r="I57" i="3"/>
  <c r="H57" i="3"/>
  <c r="F57" i="3"/>
  <c r="C57" i="3"/>
  <c r="AC56" i="3"/>
  <c r="AD56" i="3" s="1"/>
  <c r="AA56" i="3"/>
  <c r="W56" i="3"/>
  <c r="X56" i="3" s="1"/>
  <c r="U56" i="3"/>
  <c r="R56" i="3"/>
  <c r="N56" i="3"/>
  <c r="O56" i="3" s="1"/>
  <c r="L56" i="3"/>
  <c r="I56" i="3"/>
  <c r="H56" i="3"/>
  <c r="F56" i="3"/>
  <c r="C56" i="3"/>
  <c r="AC55" i="3"/>
  <c r="AD55" i="3" s="1"/>
  <c r="AA55" i="3"/>
  <c r="X55" i="3"/>
  <c r="W55" i="3"/>
  <c r="U55" i="3"/>
  <c r="R55" i="3"/>
  <c r="O55" i="3"/>
  <c r="N55" i="3"/>
  <c r="L55" i="3"/>
  <c r="H55" i="3"/>
  <c r="I55" i="3" s="1"/>
  <c r="F55" i="3"/>
  <c r="C55" i="3"/>
  <c r="AD54" i="3"/>
  <c r="AC54" i="3"/>
  <c r="AA54" i="3"/>
  <c r="X54" i="3"/>
  <c r="W54" i="3"/>
  <c r="U54" i="3"/>
  <c r="R54" i="3"/>
  <c r="N54" i="3"/>
  <c r="O54" i="3" s="1"/>
  <c r="L54" i="3"/>
  <c r="H54" i="3"/>
  <c r="I54" i="3" s="1"/>
  <c r="F54" i="3"/>
  <c r="C54" i="3"/>
  <c r="AD53" i="3"/>
  <c r="AC53" i="3"/>
  <c r="AA53" i="3"/>
  <c r="W53" i="3"/>
  <c r="U53" i="3"/>
  <c r="R53" i="3"/>
  <c r="N53" i="3"/>
  <c r="O53" i="3" s="1"/>
  <c r="L53" i="3"/>
  <c r="I53" i="3"/>
  <c r="H53" i="3"/>
  <c r="F53" i="3"/>
  <c r="C53" i="3"/>
  <c r="AD52" i="3"/>
  <c r="AC52" i="3"/>
  <c r="AA52" i="3"/>
  <c r="W52" i="3"/>
  <c r="X52" i="3" s="1"/>
  <c r="U52" i="3"/>
  <c r="R52" i="3"/>
  <c r="N52" i="3"/>
  <c r="O52" i="3" s="1"/>
  <c r="L52" i="3"/>
  <c r="I52" i="3"/>
  <c r="H52" i="3"/>
  <c r="F52" i="3"/>
  <c r="C52" i="3"/>
  <c r="AC51" i="3"/>
  <c r="AD51" i="3" s="1"/>
  <c r="AA51" i="3"/>
  <c r="X51" i="3"/>
  <c r="W51" i="3"/>
  <c r="U51" i="3"/>
  <c r="R51" i="3"/>
  <c r="O51" i="3"/>
  <c r="N51" i="3"/>
  <c r="L51" i="3"/>
  <c r="H51" i="3"/>
  <c r="I51" i="3" s="1"/>
  <c r="F51" i="3"/>
  <c r="C51" i="3"/>
  <c r="AD50" i="3"/>
  <c r="AC50" i="3"/>
  <c r="AA50" i="3"/>
  <c r="W50" i="3"/>
  <c r="X50" i="3" s="1"/>
  <c r="U50" i="3"/>
  <c r="R50" i="3"/>
  <c r="N50" i="3"/>
  <c r="O50" i="3" s="1"/>
  <c r="L50" i="3"/>
  <c r="H50" i="3"/>
  <c r="I50" i="3" s="1"/>
  <c r="F50" i="3"/>
  <c r="C50" i="3"/>
  <c r="AD49" i="3"/>
  <c r="AC49" i="3"/>
  <c r="AA49" i="3"/>
  <c r="W49" i="3"/>
  <c r="U49" i="3"/>
  <c r="R49" i="3"/>
  <c r="O49" i="3"/>
  <c r="N49" i="3"/>
  <c r="L49" i="3"/>
  <c r="I49" i="3"/>
  <c r="H49" i="3"/>
  <c r="F49" i="3"/>
  <c r="C49" i="3"/>
  <c r="AC48" i="3"/>
  <c r="AD48" i="3" s="1"/>
  <c r="AA48" i="3"/>
  <c r="W48" i="3"/>
  <c r="X48" i="3" s="1"/>
  <c r="U48" i="3"/>
  <c r="R48" i="3"/>
  <c r="N48" i="3"/>
  <c r="O48" i="3" s="1"/>
  <c r="L48" i="3"/>
  <c r="I48" i="3"/>
  <c r="H48" i="3"/>
  <c r="F48" i="3"/>
  <c r="C48" i="3"/>
  <c r="AC47" i="3"/>
  <c r="AD47" i="3" s="1"/>
  <c r="AA47" i="3"/>
  <c r="W47" i="3"/>
  <c r="X47" i="3" s="1"/>
  <c r="U47" i="3"/>
  <c r="R47" i="3"/>
  <c r="O47" i="3"/>
  <c r="N47" i="3"/>
  <c r="L47" i="3"/>
  <c r="H47" i="3"/>
  <c r="I47" i="3" s="1"/>
  <c r="F47" i="3"/>
  <c r="C47" i="3"/>
  <c r="AD46" i="3"/>
  <c r="AC46" i="3"/>
  <c r="AA46" i="3"/>
  <c r="X46" i="3"/>
  <c r="W46" i="3"/>
  <c r="U46" i="3"/>
  <c r="R46" i="3"/>
  <c r="N46" i="3"/>
  <c r="O46" i="3" s="1"/>
  <c r="L46" i="3"/>
  <c r="H46" i="3"/>
  <c r="I46" i="3" s="1"/>
  <c r="F46" i="3"/>
  <c r="C46" i="3"/>
  <c r="AD44" i="3"/>
  <c r="AC44" i="3"/>
  <c r="AA44" i="3"/>
  <c r="W44" i="3"/>
  <c r="U44" i="3"/>
  <c r="R44" i="3"/>
  <c r="O44" i="3"/>
  <c r="N44" i="3"/>
  <c r="L44" i="3"/>
  <c r="I44" i="3"/>
  <c r="H44" i="3"/>
  <c r="F44" i="3"/>
  <c r="C44" i="3"/>
  <c r="AC43" i="3"/>
  <c r="AD43" i="3" s="1"/>
  <c r="AA43" i="3"/>
  <c r="W43" i="3"/>
  <c r="X43" i="3" s="1"/>
  <c r="U43" i="3"/>
  <c r="R43" i="3"/>
  <c r="O43" i="3"/>
  <c r="N43" i="3"/>
  <c r="L43" i="3"/>
  <c r="I43" i="3"/>
  <c r="H43" i="3"/>
  <c r="F43" i="3"/>
  <c r="C43" i="3"/>
  <c r="AC42" i="3"/>
  <c r="AD42" i="3" s="1"/>
  <c r="AA42" i="3"/>
  <c r="W42" i="3"/>
  <c r="X42" i="3" s="1"/>
  <c r="U42" i="3"/>
  <c r="R42" i="3"/>
  <c r="O42" i="3"/>
  <c r="N42" i="3"/>
  <c r="L42" i="3"/>
  <c r="I42" i="3"/>
  <c r="H42" i="3"/>
  <c r="F42" i="3"/>
  <c r="C42" i="3"/>
  <c r="Z40" i="3"/>
  <c r="AA40" i="3" s="1"/>
  <c r="W40" i="3"/>
  <c r="X40" i="3" s="1"/>
  <c r="U40" i="3"/>
  <c r="T40" i="3"/>
  <c r="R40" i="3"/>
  <c r="Q40" i="3"/>
  <c r="AC40" i="3" s="1"/>
  <c r="AD40" i="3" s="1"/>
  <c r="K40" i="3"/>
  <c r="L40" i="3" s="1"/>
  <c r="F40" i="3"/>
  <c r="E40" i="3"/>
  <c r="B40" i="3"/>
  <c r="AD39" i="3"/>
  <c r="AC39" i="3"/>
  <c r="AA39" i="3"/>
  <c r="W39" i="3"/>
  <c r="X39" i="3" s="1"/>
  <c r="U39" i="3"/>
  <c r="R39" i="3"/>
  <c r="N39" i="3"/>
  <c r="O39" i="3" s="1"/>
  <c r="L39" i="3"/>
  <c r="I39" i="3"/>
  <c r="H39" i="3"/>
  <c r="F39" i="3"/>
  <c r="C39" i="3"/>
  <c r="AC38" i="3"/>
  <c r="AD38" i="3" s="1"/>
  <c r="AA38" i="3"/>
  <c r="W38" i="3"/>
  <c r="X38" i="3" s="1"/>
  <c r="U38" i="3"/>
  <c r="R38" i="3"/>
  <c r="O38" i="3"/>
  <c r="N38" i="3"/>
  <c r="L38" i="3"/>
  <c r="H38" i="3"/>
  <c r="I38" i="3" s="1"/>
  <c r="F38" i="3"/>
  <c r="C38" i="3"/>
  <c r="AD37" i="3"/>
  <c r="AC37" i="3"/>
  <c r="AA37" i="3"/>
  <c r="X37" i="3"/>
  <c r="W37" i="3"/>
  <c r="U37" i="3"/>
  <c r="R37" i="3"/>
  <c r="N37" i="3"/>
  <c r="O37" i="3" s="1"/>
  <c r="L37" i="3"/>
  <c r="H37" i="3"/>
  <c r="I37" i="3" s="1"/>
  <c r="F37" i="3"/>
  <c r="C37" i="3"/>
  <c r="AD36" i="3"/>
  <c r="AC36" i="3"/>
  <c r="AA36" i="3"/>
  <c r="W36" i="3"/>
  <c r="U36" i="3"/>
  <c r="R36" i="3"/>
  <c r="N36" i="3"/>
  <c r="O36" i="3" s="1"/>
  <c r="L36" i="3"/>
  <c r="I36" i="3"/>
  <c r="H36" i="3"/>
  <c r="F36" i="3"/>
  <c r="C36" i="3"/>
  <c r="AD35" i="3"/>
  <c r="AC35" i="3"/>
  <c r="AA35" i="3"/>
  <c r="W35" i="3"/>
  <c r="X35" i="3" s="1"/>
  <c r="U35" i="3"/>
  <c r="R35" i="3"/>
  <c r="O35" i="3"/>
  <c r="N35" i="3"/>
  <c r="L35" i="3"/>
  <c r="I35" i="3"/>
  <c r="H35" i="3"/>
  <c r="F35" i="3"/>
  <c r="C35" i="3"/>
  <c r="AC34" i="3"/>
  <c r="AD34" i="3" s="1"/>
  <c r="AA34" i="3"/>
  <c r="W34" i="3"/>
  <c r="X34" i="3" s="1"/>
  <c r="U34" i="3"/>
  <c r="R34" i="3"/>
  <c r="O34" i="3"/>
  <c r="N34" i="3"/>
  <c r="L34" i="3"/>
  <c r="I34" i="3"/>
  <c r="H34" i="3"/>
  <c r="F34" i="3"/>
  <c r="C34" i="3"/>
  <c r="AD33" i="3"/>
  <c r="AC33" i="3"/>
  <c r="AA33" i="3"/>
  <c r="X33" i="3"/>
  <c r="W33" i="3"/>
  <c r="U33" i="3"/>
  <c r="R33" i="3"/>
  <c r="N33" i="3"/>
  <c r="O33" i="3" s="1"/>
  <c r="L33" i="3"/>
  <c r="H33" i="3"/>
  <c r="I33" i="3" s="1"/>
  <c r="F33" i="3"/>
  <c r="C33" i="3"/>
  <c r="AD32" i="3"/>
  <c r="AC32" i="3"/>
  <c r="AA32" i="3"/>
  <c r="W32" i="3"/>
  <c r="U32" i="3"/>
  <c r="R32" i="3"/>
  <c r="N32" i="3"/>
  <c r="O32" i="3" s="1"/>
  <c r="L32" i="3"/>
  <c r="I32" i="3"/>
  <c r="H32" i="3"/>
  <c r="F32" i="3"/>
  <c r="C32" i="3"/>
  <c r="AC31" i="3"/>
  <c r="AD31" i="3" s="1"/>
  <c r="AA31" i="3"/>
  <c r="W31" i="3"/>
  <c r="X31" i="3" s="1"/>
  <c r="U31" i="3"/>
  <c r="R31" i="3"/>
  <c r="N31" i="3"/>
  <c r="O31" i="3" s="1"/>
  <c r="L31" i="3"/>
  <c r="I31" i="3"/>
  <c r="H31" i="3"/>
  <c r="F31" i="3"/>
  <c r="C31" i="3"/>
  <c r="Z29" i="3"/>
  <c r="AC29" i="3" s="1"/>
  <c r="AD29" i="3" s="1"/>
  <c r="U29" i="3"/>
  <c r="T29" i="3"/>
  <c r="Q29" i="3"/>
  <c r="N29" i="3"/>
  <c r="O29" i="3" s="1"/>
  <c r="L29" i="3"/>
  <c r="K29" i="3"/>
  <c r="E29" i="3"/>
  <c r="F29" i="3" s="1"/>
  <c r="C29" i="3"/>
  <c r="B29" i="3"/>
  <c r="AD28" i="3"/>
  <c r="AC28" i="3"/>
  <c r="AA28" i="3"/>
  <c r="W28" i="3"/>
  <c r="U28" i="3"/>
  <c r="R28" i="3"/>
  <c r="O28" i="3"/>
  <c r="N28" i="3"/>
  <c r="L28" i="3"/>
  <c r="I28" i="3"/>
  <c r="H28" i="3"/>
  <c r="F28" i="3"/>
  <c r="C28" i="3"/>
  <c r="AD27" i="3"/>
  <c r="AC27" i="3"/>
  <c r="AA27" i="3"/>
  <c r="W27" i="3"/>
  <c r="X27" i="3" s="1"/>
  <c r="U27" i="3"/>
  <c r="R27" i="3"/>
  <c r="O27" i="3"/>
  <c r="N27" i="3"/>
  <c r="L27" i="3"/>
  <c r="I27" i="3"/>
  <c r="H27" i="3"/>
  <c r="F27" i="3"/>
  <c r="C27" i="3"/>
  <c r="AC26" i="3"/>
  <c r="AD26" i="3" s="1"/>
  <c r="AA26" i="3"/>
  <c r="W26" i="3"/>
  <c r="X26" i="3" s="1"/>
  <c r="U26" i="3"/>
  <c r="R26" i="3"/>
  <c r="O26" i="3"/>
  <c r="N26" i="3"/>
  <c r="L26" i="3"/>
  <c r="I26" i="3"/>
  <c r="H26" i="3"/>
  <c r="F26" i="3"/>
  <c r="C26" i="3"/>
  <c r="AD25" i="3"/>
  <c r="AC25" i="3"/>
  <c r="AA25" i="3"/>
  <c r="W25" i="3"/>
  <c r="X25" i="3" s="1"/>
  <c r="U25" i="3"/>
  <c r="R25" i="3"/>
  <c r="N25" i="3"/>
  <c r="O25" i="3" s="1"/>
  <c r="L25" i="3"/>
  <c r="H25" i="3"/>
  <c r="I25" i="3" s="1"/>
  <c r="F25" i="3"/>
  <c r="C25" i="3"/>
  <c r="AD24" i="3"/>
  <c r="AC24" i="3"/>
  <c r="AA24" i="3"/>
  <c r="W24" i="3"/>
  <c r="U24" i="3"/>
  <c r="R24" i="3"/>
  <c r="N24" i="3"/>
  <c r="O24" i="3" s="1"/>
  <c r="L24" i="3"/>
  <c r="I24" i="3"/>
  <c r="H24" i="3"/>
  <c r="F24" i="3"/>
  <c r="C24" i="3"/>
  <c r="AC23" i="3"/>
  <c r="AD23" i="3" s="1"/>
  <c r="AA23" i="3"/>
  <c r="W23" i="3"/>
  <c r="X23" i="3" s="1"/>
  <c r="U23" i="3"/>
  <c r="R23" i="3"/>
  <c r="O23" i="3"/>
  <c r="N23" i="3"/>
  <c r="L23" i="3"/>
  <c r="I23" i="3"/>
  <c r="H23" i="3"/>
  <c r="F23" i="3"/>
  <c r="C23" i="3"/>
  <c r="AC22" i="3"/>
  <c r="AD22" i="3" s="1"/>
  <c r="AA22" i="3"/>
  <c r="X22" i="3"/>
  <c r="W22" i="3"/>
  <c r="U22" i="3"/>
  <c r="R22" i="3"/>
  <c r="O22" i="3"/>
  <c r="N22" i="3"/>
  <c r="L22" i="3"/>
  <c r="I22" i="3"/>
  <c r="H22" i="3"/>
  <c r="F22" i="3"/>
  <c r="C22" i="3"/>
  <c r="AD21" i="3"/>
  <c r="AC21" i="3"/>
  <c r="AA21" i="3"/>
  <c r="W21" i="3"/>
  <c r="X21" i="3" s="1"/>
  <c r="U21" i="3"/>
  <c r="R21" i="3"/>
  <c r="N21" i="3"/>
  <c r="O21" i="3" s="1"/>
  <c r="L21" i="3"/>
  <c r="H21" i="3"/>
  <c r="I21" i="3" s="1"/>
  <c r="F21" i="3"/>
  <c r="C21" i="3"/>
  <c r="AD19" i="3"/>
  <c r="AC19" i="3"/>
  <c r="AA19" i="3"/>
  <c r="W19" i="3"/>
  <c r="U19" i="3"/>
  <c r="R19" i="3"/>
  <c r="N19" i="3"/>
  <c r="O19" i="3" s="1"/>
  <c r="L19" i="3"/>
  <c r="I19" i="3"/>
  <c r="H19" i="3"/>
  <c r="F19" i="3"/>
  <c r="C19" i="3"/>
  <c r="AA18" i="3"/>
  <c r="Z18" i="3"/>
  <c r="T18" i="3"/>
  <c r="U18" i="3" s="1"/>
  <c r="Q18" i="3"/>
  <c r="W18" i="3" s="1"/>
  <c r="X18" i="3" s="1"/>
  <c r="L18" i="3"/>
  <c r="K18" i="3"/>
  <c r="H18" i="3"/>
  <c r="I18" i="3" s="1"/>
  <c r="F18" i="3"/>
  <c r="E18" i="3"/>
  <c r="C18" i="3"/>
  <c r="B18" i="3"/>
  <c r="N18" i="3" s="1"/>
  <c r="O18" i="3" s="1"/>
  <c r="AD17" i="3"/>
  <c r="AC17" i="3"/>
  <c r="AA17" i="3"/>
  <c r="X17" i="3"/>
  <c r="W17" i="3"/>
  <c r="U17" i="3"/>
  <c r="R17" i="3"/>
  <c r="N17" i="3"/>
  <c r="O17" i="3" s="1"/>
  <c r="L17" i="3"/>
  <c r="H17" i="3"/>
  <c r="I17" i="3" s="1"/>
  <c r="F17" i="3"/>
  <c r="C17" i="3"/>
  <c r="AD16" i="3"/>
  <c r="AC16" i="3"/>
  <c r="AA16" i="3"/>
  <c r="W16" i="3"/>
  <c r="U16" i="3"/>
  <c r="R16" i="3"/>
  <c r="N16" i="3"/>
  <c r="O16" i="3" s="1"/>
  <c r="L16" i="3"/>
  <c r="I16" i="3"/>
  <c r="H16" i="3"/>
  <c r="F16" i="3"/>
  <c r="C16" i="3"/>
  <c r="AC15" i="3"/>
  <c r="AD15" i="3" s="1"/>
  <c r="AA15" i="3"/>
  <c r="W15" i="3"/>
  <c r="X15" i="3" s="1"/>
  <c r="U15" i="3"/>
  <c r="R15" i="3"/>
  <c r="O15" i="3"/>
  <c r="N15" i="3"/>
  <c r="L15" i="3"/>
  <c r="I15" i="3"/>
  <c r="H15" i="3"/>
  <c r="F15" i="3"/>
  <c r="C15" i="3"/>
  <c r="AC14" i="3"/>
  <c r="AD14" i="3" s="1"/>
  <c r="AA14" i="3"/>
  <c r="X14" i="3"/>
  <c r="W14" i="3"/>
  <c r="U14" i="3"/>
  <c r="R14" i="3"/>
  <c r="O14" i="3"/>
  <c r="N14" i="3"/>
  <c r="L14" i="3"/>
  <c r="I14" i="3"/>
  <c r="H14" i="3"/>
  <c r="F14" i="3"/>
  <c r="C14" i="3"/>
  <c r="AD13" i="3"/>
  <c r="AC13" i="3"/>
  <c r="AA13" i="3"/>
  <c r="W13" i="3"/>
  <c r="X13" i="3" s="1"/>
  <c r="U13" i="3"/>
  <c r="R13" i="3"/>
  <c r="N13" i="3"/>
  <c r="O13" i="3" s="1"/>
  <c r="L13" i="3"/>
  <c r="H13" i="3"/>
  <c r="I13" i="3" s="1"/>
  <c r="F13" i="3"/>
  <c r="C13" i="3"/>
  <c r="AD12" i="3"/>
  <c r="AC12" i="3"/>
  <c r="AA12" i="3"/>
  <c r="W12" i="3"/>
  <c r="U12" i="3"/>
  <c r="R12" i="3"/>
  <c r="N12" i="3"/>
  <c r="O12" i="3" s="1"/>
  <c r="L12" i="3"/>
  <c r="I12" i="3"/>
  <c r="H12" i="3"/>
  <c r="F12" i="3"/>
  <c r="C12" i="3"/>
  <c r="AD11" i="3"/>
  <c r="AC11" i="3"/>
  <c r="AA11" i="3"/>
  <c r="W11" i="3"/>
  <c r="X11" i="3" s="1"/>
  <c r="U11" i="3"/>
  <c r="R11" i="3"/>
  <c r="N11" i="3"/>
  <c r="O11" i="3" s="1"/>
  <c r="L11" i="3"/>
  <c r="I11" i="3"/>
  <c r="H11" i="3"/>
  <c r="F11" i="3"/>
  <c r="C11" i="3"/>
  <c r="AC10" i="3"/>
  <c r="AD10" i="3" s="1"/>
  <c r="AA10" i="3"/>
  <c r="X10" i="3"/>
  <c r="W10" i="3"/>
  <c r="U10" i="3"/>
  <c r="R10" i="3"/>
  <c r="O10" i="3"/>
  <c r="N10" i="3"/>
  <c r="L10" i="3"/>
  <c r="H10" i="3"/>
  <c r="I10" i="3" s="1"/>
  <c r="F10" i="3"/>
  <c r="C10" i="3"/>
  <c r="AD8" i="3"/>
  <c r="AC8" i="3"/>
  <c r="AA8" i="3"/>
  <c r="W8" i="3"/>
  <c r="X8" i="3" s="1"/>
  <c r="U8" i="3"/>
  <c r="R8" i="3"/>
  <c r="N8" i="3"/>
  <c r="O8" i="3" s="1"/>
  <c r="L8" i="3"/>
  <c r="H8" i="3"/>
  <c r="I8" i="3" s="1"/>
  <c r="F8" i="3"/>
  <c r="C8" i="3"/>
  <c r="AC444" i="2"/>
  <c r="W444" i="2"/>
  <c r="N444" i="2"/>
  <c r="H444" i="2"/>
  <c r="AA442" i="2"/>
  <c r="Z442" i="2"/>
  <c r="T442" i="2"/>
  <c r="W442" i="2" s="1"/>
  <c r="X442" i="2" s="1"/>
  <c r="R442" i="2"/>
  <c r="Q442" i="2"/>
  <c r="AC442" i="2" s="1"/>
  <c r="AD442" i="2" s="1"/>
  <c r="O442" i="2"/>
  <c r="K442" i="2"/>
  <c r="L442" i="2" s="1"/>
  <c r="H442" i="2"/>
  <c r="I442" i="2" s="1"/>
  <c r="F442" i="2"/>
  <c r="E442" i="2"/>
  <c r="C442" i="2"/>
  <c r="B442" i="2"/>
  <c r="N442" i="2" s="1"/>
  <c r="AC441" i="2"/>
  <c r="AD441" i="2" s="1"/>
  <c r="AA441" i="2"/>
  <c r="Z441" i="2"/>
  <c r="U441" i="2"/>
  <c r="T441" i="2"/>
  <c r="Q441" i="2"/>
  <c r="O441" i="2"/>
  <c r="N441" i="2"/>
  <c r="L441" i="2"/>
  <c r="K441" i="2"/>
  <c r="E441" i="2"/>
  <c r="F441" i="2" s="1"/>
  <c r="C441" i="2"/>
  <c r="B441" i="2"/>
  <c r="AD440" i="2"/>
  <c r="AC440" i="2"/>
  <c r="AA440" i="2"/>
  <c r="X440" i="2"/>
  <c r="W440" i="2"/>
  <c r="U440" i="2"/>
  <c r="R440" i="2"/>
  <c r="N440" i="2"/>
  <c r="O440" i="2" s="1"/>
  <c r="L440" i="2"/>
  <c r="I440" i="2"/>
  <c r="H440" i="2"/>
  <c r="F440" i="2"/>
  <c r="C440" i="2"/>
  <c r="AC439" i="2"/>
  <c r="AA439" i="2"/>
  <c r="W439" i="2"/>
  <c r="X439" i="2" s="1"/>
  <c r="U439" i="2"/>
  <c r="R439" i="2"/>
  <c r="N439" i="2"/>
  <c r="O439" i="2" s="1"/>
  <c r="L439" i="2"/>
  <c r="I439" i="2"/>
  <c r="H439" i="2"/>
  <c r="F439" i="2"/>
  <c r="C439" i="2"/>
  <c r="AC438" i="2"/>
  <c r="AA438" i="2"/>
  <c r="X438" i="2"/>
  <c r="W438" i="2"/>
  <c r="U438" i="2"/>
  <c r="R438" i="2"/>
  <c r="N438" i="2"/>
  <c r="L438" i="2"/>
  <c r="H438" i="2"/>
  <c r="I438" i="2" s="1"/>
  <c r="F438" i="2"/>
  <c r="C438" i="2"/>
  <c r="AC437" i="2"/>
  <c r="AA437" i="2"/>
  <c r="X437" i="2"/>
  <c r="W437" i="2"/>
  <c r="U437" i="2"/>
  <c r="R437" i="2"/>
  <c r="N437" i="2"/>
  <c r="O437" i="2" s="1"/>
  <c r="L437" i="2"/>
  <c r="H437" i="2"/>
  <c r="I437" i="2" s="1"/>
  <c r="F437" i="2"/>
  <c r="C437" i="2"/>
  <c r="AC436" i="2"/>
  <c r="AA436" i="2"/>
  <c r="X436" i="2"/>
  <c r="W436" i="2"/>
  <c r="U436" i="2"/>
  <c r="R436" i="2"/>
  <c r="O436" i="2"/>
  <c r="N436" i="2"/>
  <c r="L436" i="2"/>
  <c r="I436" i="2"/>
  <c r="H436" i="2"/>
  <c r="F436" i="2"/>
  <c r="C436" i="2"/>
  <c r="AD435" i="2"/>
  <c r="AC435" i="2"/>
  <c r="AA435" i="2"/>
  <c r="W435" i="2"/>
  <c r="X435" i="2" s="1"/>
  <c r="U435" i="2"/>
  <c r="R435" i="2"/>
  <c r="N435" i="2"/>
  <c r="O435" i="2" s="1"/>
  <c r="L435" i="2"/>
  <c r="I435" i="2"/>
  <c r="H435" i="2"/>
  <c r="F435" i="2"/>
  <c r="C435" i="2"/>
  <c r="AC434" i="2"/>
  <c r="AA434" i="2"/>
  <c r="W434" i="2"/>
  <c r="X434" i="2" s="1"/>
  <c r="U434" i="2"/>
  <c r="R434" i="2"/>
  <c r="N434" i="2"/>
  <c r="L434" i="2"/>
  <c r="I434" i="2"/>
  <c r="H434" i="2"/>
  <c r="F434" i="2"/>
  <c r="C434" i="2"/>
  <c r="AC433" i="2"/>
  <c r="AA433" i="2"/>
  <c r="X433" i="2"/>
  <c r="W433" i="2"/>
  <c r="U433" i="2"/>
  <c r="R433" i="2"/>
  <c r="N433" i="2"/>
  <c r="O433" i="2" s="1"/>
  <c r="L433" i="2"/>
  <c r="H433" i="2"/>
  <c r="I433" i="2" s="1"/>
  <c r="F433" i="2"/>
  <c r="C433" i="2"/>
  <c r="AC432" i="2"/>
  <c r="AA432" i="2"/>
  <c r="X432" i="2"/>
  <c r="W432" i="2"/>
  <c r="U432" i="2"/>
  <c r="R432" i="2"/>
  <c r="O432" i="2"/>
  <c r="N432" i="2"/>
  <c r="L432" i="2"/>
  <c r="I432" i="2"/>
  <c r="H432" i="2"/>
  <c r="F432" i="2"/>
  <c r="C432" i="2"/>
  <c r="AC429" i="2"/>
  <c r="AD429" i="2" s="1"/>
  <c r="AA429" i="2"/>
  <c r="Z429" i="2"/>
  <c r="T429" i="2"/>
  <c r="U429" i="2" s="1"/>
  <c r="R429" i="2"/>
  <c r="Q429" i="2"/>
  <c r="O429" i="2"/>
  <c r="L429" i="2"/>
  <c r="K429" i="2"/>
  <c r="F429" i="2"/>
  <c r="E429" i="2"/>
  <c r="H429" i="2" s="1"/>
  <c r="I429" i="2" s="1"/>
  <c r="C429" i="2"/>
  <c r="B429" i="2"/>
  <c r="N429" i="2" s="1"/>
  <c r="Z428" i="2"/>
  <c r="AA428" i="2" s="1"/>
  <c r="X428" i="2"/>
  <c r="W428" i="2"/>
  <c r="U428" i="2"/>
  <c r="T428" i="2"/>
  <c r="R428" i="2"/>
  <c r="Q428" i="2"/>
  <c r="L428" i="2"/>
  <c r="K428" i="2"/>
  <c r="N428" i="2" s="1"/>
  <c r="O428" i="2" s="1"/>
  <c r="F428" i="2"/>
  <c r="E428" i="2"/>
  <c r="B428" i="2"/>
  <c r="AC427" i="2"/>
  <c r="AD427" i="2" s="1"/>
  <c r="AA427" i="2"/>
  <c r="W427" i="2"/>
  <c r="X427" i="2" s="1"/>
  <c r="U427" i="2"/>
  <c r="R427" i="2"/>
  <c r="O427" i="2"/>
  <c r="N427" i="2"/>
  <c r="L427" i="2"/>
  <c r="I427" i="2"/>
  <c r="H427" i="2"/>
  <c r="F427" i="2"/>
  <c r="C427" i="2"/>
  <c r="AC426" i="2"/>
  <c r="AD426" i="2" s="1"/>
  <c r="AA426" i="2"/>
  <c r="X426" i="2"/>
  <c r="W426" i="2"/>
  <c r="U426" i="2"/>
  <c r="R426" i="2"/>
  <c r="N426" i="2"/>
  <c r="L426" i="2"/>
  <c r="I426" i="2"/>
  <c r="H426" i="2"/>
  <c r="F426" i="2"/>
  <c r="C426" i="2"/>
  <c r="AC425" i="2"/>
  <c r="AA425" i="2"/>
  <c r="W425" i="2"/>
  <c r="X425" i="2" s="1"/>
  <c r="U425" i="2"/>
  <c r="R425" i="2"/>
  <c r="N425" i="2"/>
  <c r="O425" i="2" s="1"/>
  <c r="L425" i="2"/>
  <c r="H425" i="2"/>
  <c r="I425" i="2" s="1"/>
  <c r="F425" i="2"/>
  <c r="C425" i="2"/>
  <c r="AD424" i="2"/>
  <c r="AC424" i="2"/>
  <c r="AA424" i="2"/>
  <c r="X424" i="2"/>
  <c r="W424" i="2"/>
  <c r="U424" i="2"/>
  <c r="R424" i="2"/>
  <c r="N424" i="2"/>
  <c r="O424" i="2" s="1"/>
  <c r="L424" i="2"/>
  <c r="I424" i="2"/>
  <c r="H424" i="2"/>
  <c r="F424" i="2"/>
  <c r="C424" i="2"/>
  <c r="AC423" i="2"/>
  <c r="AA423" i="2"/>
  <c r="W423" i="2"/>
  <c r="X423" i="2" s="1"/>
  <c r="U423" i="2"/>
  <c r="R423" i="2"/>
  <c r="N423" i="2"/>
  <c r="O423" i="2" s="1"/>
  <c r="L423" i="2"/>
  <c r="I423" i="2"/>
  <c r="H423" i="2"/>
  <c r="F423" i="2"/>
  <c r="C423" i="2"/>
  <c r="AC422" i="2"/>
  <c r="AA422" i="2"/>
  <c r="X422" i="2"/>
  <c r="W422" i="2"/>
  <c r="U422" i="2"/>
  <c r="R422" i="2"/>
  <c r="N422" i="2"/>
  <c r="L422" i="2"/>
  <c r="H422" i="2"/>
  <c r="I422" i="2" s="1"/>
  <c r="F422" i="2"/>
  <c r="C422" i="2"/>
  <c r="AC421" i="2"/>
  <c r="AA421" i="2"/>
  <c r="X421" i="2"/>
  <c r="W421" i="2"/>
  <c r="U421" i="2"/>
  <c r="R421" i="2"/>
  <c r="N421" i="2"/>
  <c r="O421" i="2" s="1"/>
  <c r="L421" i="2"/>
  <c r="H421" i="2"/>
  <c r="I421" i="2" s="1"/>
  <c r="F421" i="2"/>
  <c r="C421" i="2"/>
  <c r="AC420" i="2"/>
  <c r="AA420" i="2"/>
  <c r="X420" i="2"/>
  <c r="W420" i="2"/>
  <c r="U420" i="2"/>
  <c r="R420" i="2"/>
  <c r="O420" i="2"/>
  <c r="N420" i="2"/>
  <c r="L420" i="2"/>
  <c r="I420" i="2"/>
  <c r="H420" i="2"/>
  <c r="F420" i="2"/>
  <c r="C420" i="2"/>
  <c r="AD419" i="2"/>
  <c r="AC419" i="2"/>
  <c r="AA419" i="2"/>
  <c r="W419" i="2"/>
  <c r="X419" i="2" s="1"/>
  <c r="U419" i="2"/>
  <c r="R419" i="2"/>
  <c r="N419" i="2"/>
  <c r="O419" i="2" s="1"/>
  <c r="L419" i="2"/>
  <c r="I419" i="2"/>
  <c r="H419" i="2"/>
  <c r="F419" i="2"/>
  <c r="C419" i="2"/>
  <c r="AC418" i="2"/>
  <c r="AA418" i="2"/>
  <c r="W418" i="2"/>
  <c r="X418" i="2" s="1"/>
  <c r="U418" i="2"/>
  <c r="R418" i="2"/>
  <c r="N418" i="2"/>
  <c r="L418" i="2"/>
  <c r="I418" i="2"/>
  <c r="H418" i="2"/>
  <c r="F418" i="2"/>
  <c r="C418" i="2"/>
  <c r="AC417" i="2"/>
  <c r="AA417" i="2"/>
  <c r="X417" i="2"/>
  <c r="W417" i="2"/>
  <c r="U417" i="2"/>
  <c r="R417" i="2"/>
  <c r="N417" i="2"/>
  <c r="O417" i="2" s="1"/>
  <c r="L417" i="2"/>
  <c r="H417" i="2"/>
  <c r="I417" i="2" s="1"/>
  <c r="F417" i="2"/>
  <c r="C417" i="2"/>
  <c r="AC416" i="2"/>
  <c r="AA416" i="2"/>
  <c r="X416" i="2"/>
  <c r="W416" i="2"/>
  <c r="U416" i="2"/>
  <c r="R416" i="2"/>
  <c r="O416" i="2"/>
  <c r="N416" i="2"/>
  <c r="L416" i="2"/>
  <c r="I416" i="2"/>
  <c r="H416" i="2"/>
  <c r="F416" i="2"/>
  <c r="C416" i="2"/>
  <c r="AC415" i="2"/>
  <c r="AD415" i="2" s="1"/>
  <c r="AA415" i="2"/>
  <c r="W415" i="2"/>
  <c r="X415" i="2" s="1"/>
  <c r="U415" i="2"/>
  <c r="R415" i="2"/>
  <c r="O415" i="2"/>
  <c r="N415" i="2"/>
  <c r="L415" i="2"/>
  <c r="I415" i="2"/>
  <c r="H415" i="2"/>
  <c r="F415" i="2"/>
  <c r="C415" i="2"/>
  <c r="AC414" i="2"/>
  <c r="AD414" i="2" s="1"/>
  <c r="AA414" i="2"/>
  <c r="W414" i="2"/>
  <c r="X414" i="2" s="1"/>
  <c r="U414" i="2"/>
  <c r="R414" i="2"/>
  <c r="N414" i="2"/>
  <c r="L414" i="2"/>
  <c r="I414" i="2"/>
  <c r="H414" i="2"/>
  <c r="F414" i="2"/>
  <c r="C414" i="2"/>
  <c r="AC413" i="2"/>
  <c r="AA413" i="2"/>
  <c r="W413" i="2"/>
  <c r="X413" i="2" s="1"/>
  <c r="U413" i="2"/>
  <c r="R413" i="2"/>
  <c r="N413" i="2"/>
  <c r="O413" i="2" s="1"/>
  <c r="L413" i="2"/>
  <c r="H413" i="2"/>
  <c r="I413" i="2" s="1"/>
  <c r="F413" i="2"/>
  <c r="C413" i="2"/>
  <c r="AD412" i="2"/>
  <c r="AC412" i="2"/>
  <c r="AA412" i="2"/>
  <c r="X412" i="2"/>
  <c r="W412" i="2"/>
  <c r="U412" i="2"/>
  <c r="R412" i="2"/>
  <c r="N412" i="2"/>
  <c r="O412" i="2" s="1"/>
  <c r="L412" i="2"/>
  <c r="I412" i="2"/>
  <c r="H412" i="2"/>
  <c r="F412" i="2"/>
  <c r="C412" i="2"/>
  <c r="AC411" i="2"/>
  <c r="AD411" i="2" s="1"/>
  <c r="AA411" i="2"/>
  <c r="W411" i="2"/>
  <c r="X411" i="2" s="1"/>
  <c r="U411" i="2"/>
  <c r="R411" i="2"/>
  <c r="O411" i="2"/>
  <c r="N411" i="2"/>
  <c r="L411" i="2"/>
  <c r="I411" i="2"/>
  <c r="H411" i="2"/>
  <c r="F411" i="2"/>
  <c r="C411" i="2"/>
  <c r="AC410" i="2"/>
  <c r="AA410" i="2"/>
  <c r="X410" i="2"/>
  <c r="W410" i="2"/>
  <c r="U410" i="2"/>
  <c r="R410" i="2"/>
  <c r="N410" i="2"/>
  <c r="L410" i="2"/>
  <c r="H410" i="2"/>
  <c r="I410" i="2" s="1"/>
  <c r="F410" i="2"/>
  <c r="C410" i="2"/>
  <c r="AD409" i="2"/>
  <c r="AC409" i="2"/>
  <c r="AA409" i="2"/>
  <c r="W409" i="2"/>
  <c r="X409" i="2" s="1"/>
  <c r="U409" i="2"/>
  <c r="R409" i="2"/>
  <c r="N409" i="2"/>
  <c r="O409" i="2" s="1"/>
  <c r="L409" i="2"/>
  <c r="H409" i="2"/>
  <c r="I409" i="2" s="1"/>
  <c r="F409" i="2"/>
  <c r="C409" i="2"/>
  <c r="AC408" i="2"/>
  <c r="AA408" i="2"/>
  <c r="X408" i="2"/>
  <c r="W408" i="2"/>
  <c r="U408" i="2"/>
  <c r="R408" i="2"/>
  <c r="N408" i="2"/>
  <c r="O408" i="2" s="1"/>
  <c r="L408" i="2"/>
  <c r="I408" i="2"/>
  <c r="H408" i="2"/>
  <c r="F408" i="2"/>
  <c r="C408" i="2"/>
  <c r="AC407" i="2"/>
  <c r="AA407" i="2"/>
  <c r="W407" i="2"/>
  <c r="X407" i="2" s="1"/>
  <c r="U407" i="2"/>
  <c r="R407" i="2"/>
  <c r="O407" i="2"/>
  <c r="N407" i="2"/>
  <c r="L407" i="2"/>
  <c r="I407" i="2"/>
  <c r="H407" i="2"/>
  <c r="F407" i="2"/>
  <c r="C407" i="2"/>
  <c r="AA403" i="2"/>
  <c r="Z403" i="2"/>
  <c r="U403" i="2"/>
  <c r="T403" i="2"/>
  <c r="W403" i="2" s="1"/>
  <c r="X403" i="2" s="1"/>
  <c r="R403" i="2"/>
  <c r="Q403" i="2"/>
  <c r="AC403" i="2" s="1"/>
  <c r="K403" i="2"/>
  <c r="L403" i="2" s="1"/>
  <c r="I403" i="2"/>
  <c r="H403" i="2"/>
  <c r="F403" i="2"/>
  <c r="E403" i="2"/>
  <c r="C403" i="2"/>
  <c r="B403" i="2"/>
  <c r="AC402" i="2"/>
  <c r="AA402" i="2"/>
  <c r="X402" i="2"/>
  <c r="W402" i="2"/>
  <c r="U402" i="2"/>
  <c r="R402" i="2"/>
  <c r="N402" i="2"/>
  <c r="L402" i="2"/>
  <c r="H402" i="2"/>
  <c r="I402" i="2" s="1"/>
  <c r="F402" i="2"/>
  <c r="C402" i="2"/>
  <c r="AD401" i="2"/>
  <c r="AC401" i="2"/>
  <c r="AA401" i="2"/>
  <c r="W401" i="2"/>
  <c r="X401" i="2" s="1"/>
  <c r="U401" i="2"/>
  <c r="R401" i="2"/>
  <c r="N401" i="2"/>
  <c r="O401" i="2" s="1"/>
  <c r="L401" i="2"/>
  <c r="H401" i="2"/>
  <c r="I401" i="2" s="1"/>
  <c r="F401" i="2"/>
  <c r="C401" i="2"/>
  <c r="AC400" i="2"/>
  <c r="AA400" i="2"/>
  <c r="X400" i="2"/>
  <c r="W400" i="2"/>
  <c r="U400" i="2"/>
  <c r="R400" i="2"/>
  <c r="N400" i="2"/>
  <c r="O400" i="2" s="1"/>
  <c r="L400" i="2"/>
  <c r="I400" i="2"/>
  <c r="H400" i="2"/>
  <c r="F400" i="2"/>
  <c r="C400" i="2"/>
  <c r="AC399" i="2"/>
  <c r="AA399" i="2"/>
  <c r="W399" i="2"/>
  <c r="X399" i="2" s="1"/>
  <c r="U399" i="2"/>
  <c r="R399" i="2"/>
  <c r="N399" i="2"/>
  <c r="O399" i="2" s="1"/>
  <c r="L399" i="2"/>
  <c r="I399" i="2"/>
  <c r="H399" i="2"/>
  <c r="F399" i="2"/>
  <c r="C399" i="2"/>
  <c r="AC398" i="2"/>
  <c r="AA398" i="2"/>
  <c r="X398" i="2"/>
  <c r="W398" i="2"/>
  <c r="U398" i="2"/>
  <c r="R398" i="2"/>
  <c r="N398" i="2"/>
  <c r="L398" i="2"/>
  <c r="H398" i="2"/>
  <c r="I398" i="2" s="1"/>
  <c r="F398" i="2"/>
  <c r="C398" i="2"/>
  <c r="AC397" i="2"/>
  <c r="AA397" i="2"/>
  <c r="X397" i="2"/>
  <c r="W397" i="2"/>
  <c r="U397" i="2"/>
  <c r="R397" i="2"/>
  <c r="N397" i="2"/>
  <c r="O397" i="2" s="1"/>
  <c r="L397" i="2"/>
  <c r="H397" i="2"/>
  <c r="I397" i="2" s="1"/>
  <c r="F397" i="2"/>
  <c r="C397" i="2"/>
  <c r="AA396" i="2"/>
  <c r="Z396" i="2"/>
  <c r="T396" i="2"/>
  <c r="W396" i="2" s="1"/>
  <c r="X396" i="2" s="1"/>
  <c r="R396" i="2"/>
  <c r="Q396" i="2"/>
  <c r="AC396" i="2" s="1"/>
  <c r="AD396" i="2" s="1"/>
  <c r="K396" i="2"/>
  <c r="L396" i="2" s="1"/>
  <c r="I396" i="2"/>
  <c r="H396" i="2"/>
  <c r="F396" i="2"/>
  <c r="E396" i="2"/>
  <c r="C396" i="2"/>
  <c r="B396" i="2"/>
  <c r="AC395" i="2"/>
  <c r="AA395" i="2"/>
  <c r="X395" i="2"/>
  <c r="W395" i="2"/>
  <c r="U395" i="2"/>
  <c r="R395" i="2"/>
  <c r="N395" i="2"/>
  <c r="L395" i="2"/>
  <c r="H395" i="2"/>
  <c r="I395" i="2" s="1"/>
  <c r="F395" i="2"/>
  <c r="C395" i="2"/>
  <c r="AC394" i="2"/>
  <c r="AA394" i="2"/>
  <c r="X394" i="2"/>
  <c r="W394" i="2"/>
  <c r="U394" i="2"/>
  <c r="R394" i="2"/>
  <c r="N394" i="2"/>
  <c r="O394" i="2" s="1"/>
  <c r="L394" i="2"/>
  <c r="H394" i="2"/>
  <c r="I394" i="2" s="1"/>
  <c r="F394" i="2"/>
  <c r="C394" i="2"/>
  <c r="AA393" i="2"/>
  <c r="Z393" i="2"/>
  <c r="T393" i="2"/>
  <c r="W393" i="2" s="1"/>
  <c r="X393" i="2" s="1"/>
  <c r="R393" i="2"/>
  <c r="Q393" i="2"/>
  <c r="AC393" i="2" s="1"/>
  <c r="AD393" i="2" s="1"/>
  <c r="K393" i="2"/>
  <c r="L393" i="2" s="1"/>
  <c r="I393" i="2"/>
  <c r="H393" i="2"/>
  <c r="F393" i="2"/>
  <c r="E393" i="2"/>
  <c r="C393" i="2"/>
  <c r="B393" i="2"/>
  <c r="AC392" i="2"/>
  <c r="AA392" i="2"/>
  <c r="X392" i="2"/>
  <c r="W392" i="2"/>
  <c r="U392" i="2"/>
  <c r="R392" i="2"/>
  <c r="N392" i="2"/>
  <c r="L392" i="2"/>
  <c r="H392" i="2"/>
  <c r="I392" i="2" s="1"/>
  <c r="F392" i="2"/>
  <c r="C392" i="2"/>
  <c r="AC391" i="2"/>
  <c r="AA391" i="2"/>
  <c r="X391" i="2"/>
  <c r="W391" i="2"/>
  <c r="U391" i="2"/>
  <c r="R391" i="2"/>
  <c r="N391" i="2"/>
  <c r="O391" i="2" s="1"/>
  <c r="L391" i="2"/>
  <c r="H391" i="2"/>
  <c r="I391" i="2" s="1"/>
  <c r="F391" i="2"/>
  <c r="C391" i="2"/>
  <c r="AC390" i="2"/>
  <c r="AA390" i="2"/>
  <c r="X390" i="2"/>
  <c r="W390" i="2"/>
  <c r="U390" i="2"/>
  <c r="R390" i="2"/>
  <c r="O390" i="2"/>
  <c r="N390" i="2"/>
  <c r="L390" i="2"/>
  <c r="I390" i="2"/>
  <c r="H390" i="2"/>
  <c r="F390" i="2"/>
  <c r="C390" i="2"/>
  <c r="AC389" i="2"/>
  <c r="AD389" i="2" s="1"/>
  <c r="AA389" i="2"/>
  <c r="W389" i="2"/>
  <c r="X389" i="2" s="1"/>
  <c r="U389" i="2"/>
  <c r="R389" i="2"/>
  <c r="N389" i="2"/>
  <c r="O389" i="2" s="1"/>
  <c r="L389" i="2"/>
  <c r="I389" i="2"/>
  <c r="H389" i="2"/>
  <c r="F389" i="2"/>
  <c r="C389" i="2"/>
  <c r="AC388" i="2"/>
  <c r="AA388" i="2"/>
  <c r="W388" i="2"/>
  <c r="X388" i="2" s="1"/>
  <c r="U388" i="2"/>
  <c r="R388" i="2"/>
  <c r="N388" i="2"/>
  <c r="L388" i="2"/>
  <c r="I388" i="2"/>
  <c r="H388" i="2"/>
  <c r="F388" i="2"/>
  <c r="C388" i="2"/>
  <c r="AC386" i="2"/>
  <c r="AA386" i="2"/>
  <c r="X386" i="2"/>
  <c r="W386" i="2"/>
  <c r="U386" i="2"/>
  <c r="R386" i="2"/>
  <c r="N386" i="2"/>
  <c r="O386" i="2" s="1"/>
  <c r="L386" i="2"/>
  <c r="H386" i="2"/>
  <c r="I386" i="2" s="1"/>
  <c r="F386" i="2"/>
  <c r="C386" i="2"/>
  <c r="AC385" i="2"/>
  <c r="AA385" i="2"/>
  <c r="X385" i="2"/>
  <c r="W385" i="2"/>
  <c r="U385" i="2"/>
  <c r="R385" i="2"/>
  <c r="O385" i="2"/>
  <c r="N385" i="2"/>
  <c r="L385" i="2"/>
  <c r="I385" i="2"/>
  <c r="H385" i="2"/>
  <c r="F385" i="2"/>
  <c r="C385" i="2"/>
  <c r="AC383" i="2"/>
  <c r="AD383" i="2" s="1"/>
  <c r="AA383" i="2"/>
  <c r="W383" i="2"/>
  <c r="X383" i="2" s="1"/>
  <c r="U383" i="2"/>
  <c r="R383" i="2"/>
  <c r="O383" i="2"/>
  <c r="N383" i="2"/>
  <c r="L383" i="2"/>
  <c r="I383" i="2"/>
  <c r="H383" i="2"/>
  <c r="F383" i="2"/>
  <c r="C383" i="2"/>
  <c r="AC382" i="2"/>
  <c r="AA382" i="2"/>
  <c r="W382" i="2"/>
  <c r="X382" i="2" s="1"/>
  <c r="U382" i="2"/>
  <c r="R382" i="2"/>
  <c r="N382" i="2"/>
  <c r="L382" i="2"/>
  <c r="H382" i="2"/>
  <c r="I382" i="2" s="1"/>
  <c r="F382" i="2"/>
  <c r="C382" i="2"/>
  <c r="AD381" i="2"/>
  <c r="AC381" i="2"/>
  <c r="AA381" i="2"/>
  <c r="W381" i="2"/>
  <c r="X381" i="2" s="1"/>
  <c r="U381" i="2"/>
  <c r="R381" i="2"/>
  <c r="N381" i="2"/>
  <c r="O381" i="2" s="1"/>
  <c r="L381" i="2"/>
  <c r="H381" i="2"/>
  <c r="I381" i="2" s="1"/>
  <c r="F381" i="2"/>
  <c r="C381" i="2"/>
  <c r="AC380" i="2"/>
  <c r="AA380" i="2"/>
  <c r="X380" i="2"/>
  <c r="W380" i="2"/>
  <c r="U380" i="2"/>
  <c r="R380" i="2"/>
  <c r="N380" i="2"/>
  <c r="O380" i="2" s="1"/>
  <c r="L380" i="2"/>
  <c r="I380" i="2"/>
  <c r="H380" i="2"/>
  <c r="F380" i="2"/>
  <c r="C380" i="2"/>
  <c r="AC379" i="2"/>
  <c r="AD379" i="2" s="1"/>
  <c r="AA379" i="2"/>
  <c r="W379" i="2"/>
  <c r="X379" i="2" s="1"/>
  <c r="U379" i="2"/>
  <c r="R379" i="2"/>
  <c r="O379" i="2"/>
  <c r="N379" i="2"/>
  <c r="L379" i="2"/>
  <c r="I379" i="2"/>
  <c r="H379" i="2"/>
  <c r="F379" i="2"/>
  <c r="C379" i="2"/>
  <c r="AC378" i="2"/>
  <c r="AD378" i="2" s="1"/>
  <c r="AA378" i="2"/>
  <c r="X378" i="2"/>
  <c r="W378" i="2"/>
  <c r="U378" i="2"/>
  <c r="R378" i="2"/>
  <c r="N378" i="2"/>
  <c r="L378" i="2"/>
  <c r="I378" i="2"/>
  <c r="H378" i="2"/>
  <c r="F378" i="2"/>
  <c r="C378" i="2"/>
  <c r="AC377" i="2"/>
  <c r="AA377" i="2"/>
  <c r="W377" i="2"/>
  <c r="X377" i="2" s="1"/>
  <c r="U377" i="2"/>
  <c r="R377" i="2"/>
  <c r="N377" i="2"/>
  <c r="O377" i="2" s="1"/>
  <c r="L377" i="2"/>
  <c r="H377" i="2"/>
  <c r="I377" i="2" s="1"/>
  <c r="F377" i="2"/>
  <c r="C377" i="2"/>
  <c r="AD376" i="2"/>
  <c r="AC376" i="2"/>
  <c r="AA376" i="2"/>
  <c r="X376" i="2"/>
  <c r="W376" i="2"/>
  <c r="U376" i="2"/>
  <c r="R376" i="2"/>
  <c r="N376" i="2"/>
  <c r="O376" i="2" s="1"/>
  <c r="L376" i="2"/>
  <c r="I376" i="2"/>
  <c r="H376" i="2"/>
  <c r="F376" i="2"/>
  <c r="C376" i="2"/>
  <c r="AC375" i="2"/>
  <c r="AA375" i="2"/>
  <c r="W375" i="2"/>
  <c r="X375" i="2" s="1"/>
  <c r="U375" i="2"/>
  <c r="R375" i="2"/>
  <c r="N375" i="2"/>
  <c r="O375" i="2" s="1"/>
  <c r="L375" i="2"/>
  <c r="I375" i="2"/>
  <c r="H375" i="2"/>
  <c r="F375" i="2"/>
  <c r="C375" i="2"/>
  <c r="AC374" i="2"/>
  <c r="AA374" i="2"/>
  <c r="X374" i="2"/>
  <c r="W374" i="2"/>
  <c r="U374" i="2"/>
  <c r="R374" i="2"/>
  <c r="N374" i="2"/>
  <c r="L374" i="2"/>
  <c r="H374" i="2"/>
  <c r="I374" i="2" s="1"/>
  <c r="F374" i="2"/>
  <c r="C374" i="2"/>
  <c r="AC373" i="2"/>
  <c r="AA373" i="2"/>
  <c r="X373" i="2"/>
  <c r="W373" i="2"/>
  <c r="U373" i="2"/>
  <c r="R373" i="2"/>
  <c r="N373" i="2"/>
  <c r="O373" i="2" s="1"/>
  <c r="L373" i="2"/>
  <c r="H373" i="2"/>
  <c r="I373" i="2" s="1"/>
  <c r="F373" i="2"/>
  <c r="C373" i="2"/>
  <c r="AC372" i="2"/>
  <c r="AA372" i="2"/>
  <c r="X372" i="2"/>
  <c r="W372" i="2"/>
  <c r="U372" i="2"/>
  <c r="R372" i="2"/>
  <c r="O372" i="2"/>
  <c r="N372" i="2"/>
  <c r="L372" i="2"/>
  <c r="I372" i="2"/>
  <c r="H372" i="2"/>
  <c r="F372" i="2"/>
  <c r="C372" i="2"/>
  <c r="AD371" i="2"/>
  <c r="AC371" i="2"/>
  <c r="AA371" i="2"/>
  <c r="W371" i="2"/>
  <c r="X371" i="2" s="1"/>
  <c r="U371" i="2"/>
  <c r="R371" i="2"/>
  <c r="N371" i="2"/>
  <c r="O371" i="2" s="1"/>
  <c r="L371" i="2"/>
  <c r="I371" i="2"/>
  <c r="H371" i="2"/>
  <c r="F371" i="2"/>
  <c r="C371" i="2"/>
  <c r="AC370" i="2"/>
  <c r="AA370" i="2"/>
  <c r="W370" i="2"/>
  <c r="X370" i="2" s="1"/>
  <c r="U370" i="2"/>
  <c r="R370" i="2"/>
  <c r="N370" i="2"/>
  <c r="L370" i="2"/>
  <c r="I370" i="2"/>
  <c r="H370" i="2"/>
  <c r="F370" i="2"/>
  <c r="C370" i="2"/>
  <c r="AC369" i="2"/>
  <c r="AA369" i="2"/>
  <c r="X369" i="2"/>
  <c r="W369" i="2"/>
  <c r="U369" i="2"/>
  <c r="R369" i="2"/>
  <c r="N369" i="2"/>
  <c r="O369" i="2" s="1"/>
  <c r="L369" i="2"/>
  <c r="H369" i="2"/>
  <c r="I369" i="2" s="1"/>
  <c r="F369" i="2"/>
  <c r="C369" i="2"/>
  <c r="AA368" i="2"/>
  <c r="Z368" i="2"/>
  <c r="W368" i="2"/>
  <c r="X368" i="2" s="1"/>
  <c r="U368" i="2"/>
  <c r="T368" i="2"/>
  <c r="R368" i="2"/>
  <c r="Q368" i="2"/>
  <c r="AC368" i="2" s="1"/>
  <c r="AD368" i="2" s="1"/>
  <c r="K368" i="2"/>
  <c r="L368" i="2" s="1"/>
  <c r="H368" i="2"/>
  <c r="I368" i="2" s="1"/>
  <c r="F368" i="2"/>
  <c r="E368" i="2"/>
  <c r="C368" i="2"/>
  <c r="B368" i="2"/>
  <c r="N368" i="2" s="1"/>
  <c r="O368" i="2" s="1"/>
  <c r="AC367" i="2"/>
  <c r="AA367" i="2"/>
  <c r="W367" i="2"/>
  <c r="X367" i="2" s="1"/>
  <c r="U367" i="2"/>
  <c r="R367" i="2"/>
  <c r="N367" i="2"/>
  <c r="L367" i="2"/>
  <c r="I367" i="2"/>
  <c r="H367" i="2"/>
  <c r="F367" i="2"/>
  <c r="C367" i="2"/>
  <c r="AC366" i="2"/>
  <c r="AA366" i="2"/>
  <c r="X366" i="2"/>
  <c r="W366" i="2"/>
  <c r="U366" i="2"/>
  <c r="R366" i="2"/>
  <c r="N366" i="2"/>
  <c r="O366" i="2" s="1"/>
  <c r="L366" i="2"/>
  <c r="H366" i="2"/>
  <c r="I366" i="2" s="1"/>
  <c r="F366" i="2"/>
  <c r="C366" i="2"/>
  <c r="AC365" i="2"/>
  <c r="AA365" i="2"/>
  <c r="X365" i="2"/>
  <c r="W365" i="2"/>
  <c r="U365" i="2"/>
  <c r="R365" i="2"/>
  <c r="O365" i="2"/>
  <c r="N365" i="2"/>
  <c r="L365" i="2"/>
  <c r="I365" i="2"/>
  <c r="H365" i="2"/>
  <c r="F365" i="2"/>
  <c r="C365" i="2"/>
  <c r="AC364" i="2"/>
  <c r="AD364" i="2" s="1"/>
  <c r="AA364" i="2"/>
  <c r="W364" i="2"/>
  <c r="X364" i="2" s="1"/>
  <c r="U364" i="2"/>
  <c r="R364" i="2"/>
  <c r="O364" i="2"/>
  <c r="N364" i="2"/>
  <c r="L364" i="2"/>
  <c r="I364" i="2"/>
  <c r="H364" i="2"/>
  <c r="F364" i="2"/>
  <c r="C364" i="2"/>
  <c r="AC363" i="2"/>
  <c r="AD363" i="2" s="1"/>
  <c r="AA363" i="2"/>
  <c r="W363" i="2"/>
  <c r="X363" i="2" s="1"/>
  <c r="U363" i="2"/>
  <c r="R363" i="2"/>
  <c r="N363" i="2"/>
  <c r="L363" i="2"/>
  <c r="I363" i="2"/>
  <c r="H363" i="2"/>
  <c r="F363" i="2"/>
  <c r="C363" i="2"/>
  <c r="AC362" i="2"/>
  <c r="AA362" i="2"/>
  <c r="W362" i="2"/>
  <c r="X362" i="2" s="1"/>
  <c r="U362" i="2"/>
  <c r="R362" i="2"/>
  <c r="N362" i="2"/>
  <c r="O362" i="2" s="1"/>
  <c r="L362" i="2"/>
  <c r="H362" i="2"/>
  <c r="I362" i="2" s="1"/>
  <c r="F362" i="2"/>
  <c r="C362" i="2"/>
  <c r="AD361" i="2"/>
  <c r="AC361" i="2"/>
  <c r="AA361" i="2"/>
  <c r="X361" i="2"/>
  <c r="W361" i="2"/>
  <c r="U361" i="2"/>
  <c r="R361" i="2"/>
  <c r="N361" i="2"/>
  <c r="O361" i="2" s="1"/>
  <c r="L361" i="2"/>
  <c r="I361" i="2"/>
  <c r="H361" i="2"/>
  <c r="F361" i="2"/>
  <c r="C361" i="2"/>
  <c r="AC360" i="2"/>
  <c r="AD360" i="2" s="1"/>
  <c r="AA360" i="2"/>
  <c r="W360" i="2"/>
  <c r="X360" i="2" s="1"/>
  <c r="U360" i="2"/>
  <c r="R360" i="2"/>
  <c r="N360" i="2"/>
  <c r="O360" i="2" s="1"/>
  <c r="L360" i="2"/>
  <c r="I360" i="2"/>
  <c r="H360" i="2"/>
  <c r="F360" i="2"/>
  <c r="C360" i="2"/>
  <c r="Z358" i="2"/>
  <c r="AC358" i="2" s="1"/>
  <c r="AD358" i="2" s="1"/>
  <c r="U358" i="2"/>
  <c r="T358" i="2"/>
  <c r="Q358" i="2"/>
  <c r="N358" i="2"/>
  <c r="O358" i="2" s="1"/>
  <c r="L358" i="2"/>
  <c r="K358" i="2"/>
  <c r="E358" i="2"/>
  <c r="F358" i="2" s="1"/>
  <c r="C358" i="2"/>
  <c r="B358" i="2"/>
  <c r="AC357" i="2"/>
  <c r="AA357" i="2"/>
  <c r="X357" i="2"/>
  <c r="W357" i="2"/>
  <c r="U357" i="2"/>
  <c r="R357" i="2"/>
  <c r="O357" i="2"/>
  <c r="N357" i="2"/>
  <c r="L357" i="2"/>
  <c r="I357" i="2"/>
  <c r="H357" i="2"/>
  <c r="F357" i="2"/>
  <c r="C357" i="2"/>
  <c r="AD356" i="2"/>
  <c r="AC356" i="2"/>
  <c r="AA356" i="2"/>
  <c r="W356" i="2"/>
  <c r="X356" i="2" s="1"/>
  <c r="U356" i="2"/>
  <c r="R356" i="2"/>
  <c r="N356" i="2"/>
  <c r="O356" i="2" s="1"/>
  <c r="L356" i="2"/>
  <c r="I356" i="2"/>
  <c r="H356" i="2"/>
  <c r="F356" i="2"/>
  <c r="C356" i="2"/>
  <c r="AC355" i="2"/>
  <c r="AA355" i="2"/>
  <c r="W355" i="2"/>
  <c r="X355" i="2" s="1"/>
  <c r="U355" i="2"/>
  <c r="R355" i="2"/>
  <c r="N355" i="2"/>
  <c r="L355" i="2"/>
  <c r="I355" i="2"/>
  <c r="H355" i="2"/>
  <c r="F355" i="2"/>
  <c r="C355" i="2"/>
  <c r="AC354" i="2"/>
  <c r="AA354" i="2"/>
  <c r="W354" i="2"/>
  <c r="X354" i="2" s="1"/>
  <c r="U354" i="2"/>
  <c r="R354" i="2"/>
  <c r="N354" i="2"/>
  <c r="O354" i="2" s="1"/>
  <c r="L354" i="2"/>
  <c r="H354" i="2"/>
  <c r="I354" i="2" s="1"/>
  <c r="F354" i="2"/>
  <c r="C354" i="2"/>
  <c r="AC353" i="2"/>
  <c r="AA353" i="2"/>
  <c r="X353" i="2"/>
  <c r="W353" i="2"/>
  <c r="U353" i="2"/>
  <c r="R353" i="2"/>
  <c r="N353" i="2"/>
  <c r="O353" i="2" s="1"/>
  <c r="L353" i="2"/>
  <c r="I353" i="2"/>
  <c r="H353" i="2"/>
  <c r="F353" i="2"/>
  <c r="C353" i="2"/>
  <c r="AC352" i="2"/>
  <c r="AD352" i="2" s="1"/>
  <c r="AA352" i="2"/>
  <c r="W352" i="2"/>
  <c r="X352" i="2" s="1"/>
  <c r="U352" i="2"/>
  <c r="R352" i="2"/>
  <c r="O352" i="2"/>
  <c r="N352" i="2"/>
  <c r="L352" i="2"/>
  <c r="I352" i="2"/>
  <c r="H352" i="2"/>
  <c r="F352" i="2"/>
  <c r="C352" i="2"/>
  <c r="AC351" i="2"/>
  <c r="AD351" i="2" s="1"/>
  <c r="AA351" i="2"/>
  <c r="W351" i="2"/>
  <c r="X351" i="2" s="1"/>
  <c r="U351" i="2"/>
  <c r="R351" i="2"/>
  <c r="N351" i="2"/>
  <c r="L351" i="2"/>
  <c r="I351" i="2"/>
  <c r="H351" i="2"/>
  <c r="F351" i="2"/>
  <c r="C351" i="2"/>
  <c r="AC350" i="2"/>
  <c r="AA350" i="2"/>
  <c r="W350" i="2"/>
  <c r="X350" i="2" s="1"/>
  <c r="U350" i="2"/>
  <c r="R350" i="2"/>
  <c r="N350" i="2"/>
  <c r="O350" i="2" s="1"/>
  <c r="L350" i="2"/>
  <c r="H350" i="2"/>
  <c r="I350" i="2" s="1"/>
  <c r="F350" i="2"/>
  <c r="C350" i="2"/>
  <c r="AD349" i="2"/>
  <c r="AC349" i="2"/>
  <c r="AA349" i="2"/>
  <c r="X349" i="2"/>
  <c r="W349" i="2"/>
  <c r="U349" i="2"/>
  <c r="R349" i="2"/>
  <c r="N349" i="2"/>
  <c r="O349" i="2" s="1"/>
  <c r="L349" i="2"/>
  <c r="I349" i="2"/>
  <c r="H349" i="2"/>
  <c r="F349" i="2"/>
  <c r="C349" i="2"/>
  <c r="AC347" i="2"/>
  <c r="AD347" i="2" s="1"/>
  <c r="AA347" i="2"/>
  <c r="W347" i="2"/>
  <c r="X347" i="2" s="1"/>
  <c r="U347" i="2"/>
  <c r="R347" i="2"/>
  <c r="N347" i="2"/>
  <c r="O347" i="2" s="1"/>
  <c r="L347" i="2"/>
  <c r="I347" i="2"/>
  <c r="H347" i="2"/>
  <c r="F347" i="2"/>
  <c r="C347" i="2"/>
  <c r="AA344" i="2"/>
  <c r="Z344" i="2"/>
  <c r="T344" i="2"/>
  <c r="W344" i="2" s="1"/>
  <c r="X344" i="2" s="1"/>
  <c r="R344" i="2"/>
  <c r="Q344" i="2"/>
  <c r="AC344" i="2" s="1"/>
  <c r="AD344" i="2" s="1"/>
  <c r="O344" i="2"/>
  <c r="K344" i="2"/>
  <c r="L344" i="2" s="1"/>
  <c r="H344" i="2"/>
  <c r="I344" i="2" s="1"/>
  <c r="F344" i="2"/>
  <c r="E344" i="2"/>
  <c r="C344" i="2"/>
  <c r="B344" i="2"/>
  <c r="N344" i="2" s="1"/>
  <c r="AC343" i="2"/>
  <c r="AD343" i="2" s="1"/>
  <c r="AA343" i="2"/>
  <c r="Z343" i="2"/>
  <c r="U343" i="2"/>
  <c r="T343" i="2"/>
  <c r="Q343" i="2"/>
  <c r="N343" i="2"/>
  <c r="O343" i="2" s="1"/>
  <c r="L343" i="2"/>
  <c r="K343" i="2"/>
  <c r="E343" i="2"/>
  <c r="F343" i="2" s="1"/>
  <c r="C343" i="2"/>
  <c r="B343" i="2"/>
  <c r="AD342" i="2"/>
  <c r="AA342" i="2"/>
  <c r="Z342" i="2"/>
  <c r="T342" i="2"/>
  <c r="W342" i="2" s="1"/>
  <c r="X342" i="2" s="1"/>
  <c r="R342" i="2"/>
  <c r="Q342" i="2"/>
  <c r="AC342" i="2" s="1"/>
  <c r="K342" i="2"/>
  <c r="L342" i="2" s="1"/>
  <c r="I342" i="2"/>
  <c r="H342" i="2"/>
  <c r="F342" i="2"/>
  <c r="E342" i="2"/>
  <c r="C342" i="2"/>
  <c r="B342" i="2"/>
  <c r="AC341" i="2"/>
  <c r="AD341" i="2" s="1"/>
  <c r="AA341" i="2"/>
  <c r="X341" i="2"/>
  <c r="W341" i="2"/>
  <c r="U341" i="2"/>
  <c r="R341" i="2"/>
  <c r="N341" i="2"/>
  <c r="L341" i="2"/>
  <c r="I341" i="2"/>
  <c r="H341" i="2"/>
  <c r="F341" i="2"/>
  <c r="C341" i="2"/>
  <c r="AC340" i="2"/>
  <c r="AA340" i="2"/>
  <c r="W340" i="2"/>
  <c r="X340" i="2" s="1"/>
  <c r="U340" i="2"/>
  <c r="R340" i="2"/>
  <c r="N340" i="2"/>
  <c r="O340" i="2" s="1"/>
  <c r="L340" i="2"/>
  <c r="H340" i="2"/>
  <c r="I340" i="2" s="1"/>
  <c r="F340" i="2"/>
  <c r="C340" i="2"/>
  <c r="AD339" i="2"/>
  <c r="AC339" i="2"/>
  <c r="AA339" i="2"/>
  <c r="X339" i="2"/>
  <c r="W339" i="2"/>
  <c r="U339" i="2"/>
  <c r="R339" i="2"/>
  <c r="N339" i="2"/>
  <c r="O339" i="2" s="1"/>
  <c r="L339" i="2"/>
  <c r="I339" i="2"/>
  <c r="H339" i="2"/>
  <c r="F339" i="2"/>
  <c r="C339" i="2"/>
  <c r="AC338" i="2"/>
  <c r="AA338" i="2"/>
  <c r="W338" i="2"/>
  <c r="X338" i="2" s="1"/>
  <c r="U338" i="2"/>
  <c r="R338" i="2"/>
  <c r="N338" i="2"/>
  <c r="O338" i="2" s="1"/>
  <c r="L338" i="2"/>
  <c r="I338" i="2"/>
  <c r="H338" i="2"/>
  <c r="F338" i="2"/>
  <c r="C338" i="2"/>
  <c r="AC337" i="2"/>
  <c r="AA337" i="2"/>
  <c r="W337" i="2"/>
  <c r="X337" i="2" s="1"/>
  <c r="U337" i="2"/>
  <c r="R337" i="2"/>
  <c r="N337" i="2"/>
  <c r="L337" i="2"/>
  <c r="H337" i="2"/>
  <c r="I337" i="2" s="1"/>
  <c r="F337" i="2"/>
  <c r="C337" i="2"/>
  <c r="AC335" i="2"/>
  <c r="AA335" i="2"/>
  <c r="X335" i="2"/>
  <c r="W335" i="2"/>
  <c r="U335" i="2"/>
  <c r="R335" i="2"/>
  <c r="N335" i="2"/>
  <c r="O335" i="2" s="1"/>
  <c r="L335" i="2"/>
  <c r="H335" i="2"/>
  <c r="I335" i="2" s="1"/>
  <c r="F335" i="2"/>
  <c r="C335" i="2"/>
  <c r="AC334" i="2"/>
  <c r="AA334" i="2"/>
  <c r="X334" i="2"/>
  <c r="W334" i="2"/>
  <c r="U334" i="2"/>
  <c r="R334" i="2"/>
  <c r="O334" i="2"/>
  <c r="N334" i="2"/>
  <c r="L334" i="2"/>
  <c r="I334" i="2"/>
  <c r="H334" i="2"/>
  <c r="F334" i="2"/>
  <c r="C334" i="2"/>
  <c r="AD333" i="2"/>
  <c r="AC333" i="2"/>
  <c r="AA333" i="2"/>
  <c r="W333" i="2"/>
  <c r="X333" i="2" s="1"/>
  <c r="U333" i="2"/>
  <c r="R333" i="2"/>
  <c r="N333" i="2"/>
  <c r="O333" i="2" s="1"/>
  <c r="L333" i="2"/>
  <c r="I333" i="2"/>
  <c r="H333" i="2"/>
  <c r="F333" i="2"/>
  <c r="C333" i="2"/>
  <c r="AC332" i="2"/>
  <c r="AA332" i="2"/>
  <c r="W332" i="2"/>
  <c r="X332" i="2" s="1"/>
  <c r="U332" i="2"/>
  <c r="R332" i="2"/>
  <c r="N332" i="2"/>
  <c r="L332" i="2"/>
  <c r="I332" i="2"/>
  <c r="H332" i="2"/>
  <c r="F332" i="2"/>
  <c r="C332" i="2"/>
  <c r="AC331" i="2"/>
  <c r="AA331" i="2"/>
  <c r="W331" i="2"/>
  <c r="X331" i="2" s="1"/>
  <c r="U331" i="2"/>
  <c r="R331" i="2"/>
  <c r="N331" i="2"/>
  <c r="O331" i="2" s="1"/>
  <c r="L331" i="2"/>
  <c r="H331" i="2"/>
  <c r="I331" i="2" s="1"/>
  <c r="F331" i="2"/>
  <c r="C331" i="2"/>
  <c r="AC330" i="2"/>
  <c r="AA330" i="2"/>
  <c r="X330" i="2"/>
  <c r="W330" i="2"/>
  <c r="U330" i="2"/>
  <c r="R330" i="2"/>
  <c r="N330" i="2"/>
  <c r="O330" i="2" s="1"/>
  <c r="L330" i="2"/>
  <c r="I330" i="2"/>
  <c r="H330" i="2"/>
  <c r="F330" i="2"/>
  <c r="C330" i="2"/>
  <c r="AC329" i="2"/>
  <c r="AD329" i="2" s="1"/>
  <c r="AA329" i="2"/>
  <c r="W329" i="2"/>
  <c r="X329" i="2" s="1"/>
  <c r="U329" i="2"/>
  <c r="R329" i="2"/>
  <c r="O329" i="2"/>
  <c r="N329" i="2"/>
  <c r="L329" i="2"/>
  <c r="I329" i="2"/>
  <c r="H329" i="2"/>
  <c r="F329" i="2"/>
  <c r="C329" i="2"/>
  <c r="AC328" i="2"/>
  <c r="AD328" i="2" s="1"/>
  <c r="AA328" i="2"/>
  <c r="W328" i="2"/>
  <c r="X328" i="2" s="1"/>
  <c r="U328" i="2"/>
  <c r="R328" i="2"/>
  <c r="N328" i="2"/>
  <c r="L328" i="2"/>
  <c r="I328" i="2"/>
  <c r="H328" i="2"/>
  <c r="F328" i="2"/>
  <c r="C328" i="2"/>
  <c r="Z325" i="2"/>
  <c r="AA325" i="2" s="1"/>
  <c r="W325" i="2"/>
  <c r="X325" i="2" s="1"/>
  <c r="U325" i="2"/>
  <c r="T325" i="2"/>
  <c r="R325" i="2"/>
  <c r="Q325" i="2"/>
  <c r="N325" i="2"/>
  <c r="O325" i="2" s="1"/>
  <c r="L325" i="2"/>
  <c r="K325" i="2"/>
  <c r="F325" i="2"/>
  <c r="E325" i="2"/>
  <c r="B325" i="2"/>
  <c r="AC324" i="2"/>
  <c r="AD324" i="2" s="1"/>
  <c r="AA324" i="2"/>
  <c r="Z324" i="2"/>
  <c r="T324" i="2"/>
  <c r="U324" i="2" s="1"/>
  <c r="R324" i="2"/>
  <c r="Q324" i="2"/>
  <c r="O324" i="2"/>
  <c r="L324" i="2"/>
  <c r="K324" i="2"/>
  <c r="F324" i="2"/>
  <c r="E324" i="2"/>
  <c r="H324" i="2" s="1"/>
  <c r="I324" i="2" s="1"/>
  <c r="C324" i="2"/>
  <c r="B324" i="2"/>
  <c r="N324" i="2" s="1"/>
  <c r="AC323" i="2"/>
  <c r="AA323" i="2"/>
  <c r="W323" i="2"/>
  <c r="X323" i="2" s="1"/>
  <c r="U323" i="2"/>
  <c r="R323" i="2"/>
  <c r="N323" i="2"/>
  <c r="O323" i="2" s="1"/>
  <c r="L323" i="2"/>
  <c r="H323" i="2"/>
  <c r="I323" i="2" s="1"/>
  <c r="F323" i="2"/>
  <c r="C323" i="2"/>
  <c r="AD322" i="2"/>
  <c r="AC322" i="2"/>
  <c r="AA322" i="2"/>
  <c r="X322" i="2"/>
  <c r="W322" i="2"/>
  <c r="U322" i="2"/>
  <c r="R322" i="2"/>
  <c r="N322" i="2"/>
  <c r="O322" i="2" s="1"/>
  <c r="L322" i="2"/>
  <c r="I322" i="2"/>
  <c r="H322" i="2"/>
  <c r="F322" i="2"/>
  <c r="C322" i="2"/>
  <c r="AC321" i="2"/>
  <c r="AA321" i="2"/>
  <c r="W321" i="2"/>
  <c r="X321" i="2" s="1"/>
  <c r="U321" i="2"/>
  <c r="R321" i="2"/>
  <c r="N321" i="2"/>
  <c r="O321" i="2" s="1"/>
  <c r="L321" i="2"/>
  <c r="I321" i="2"/>
  <c r="H321" i="2"/>
  <c r="F321" i="2"/>
  <c r="C321" i="2"/>
  <c r="AC320" i="2"/>
  <c r="AA320" i="2"/>
  <c r="W320" i="2"/>
  <c r="X320" i="2" s="1"/>
  <c r="U320" i="2"/>
  <c r="R320" i="2"/>
  <c r="N320" i="2"/>
  <c r="L320" i="2"/>
  <c r="H320" i="2"/>
  <c r="I320" i="2" s="1"/>
  <c r="F320" i="2"/>
  <c r="C320" i="2"/>
  <c r="AC319" i="2"/>
  <c r="AA319" i="2"/>
  <c r="X319" i="2"/>
  <c r="W319" i="2"/>
  <c r="U319" i="2"/>
  <c r="R319" i="2"/>
  <c r="N319" i="2"/>
  <c r="O319" i="2" s="1"/>
  <c r="L319" i="2"/>
  <c r="H319" i="2"/>
  <c r="I319" i="2" s="1"/>
  <c r="F319" i="2"/>
  <c r="C319" i="2"/>
  <c r="AC318" i="2"/>
  <c r="AA318" i="2"/>
  <c r="X318" i="2"/>
  <c r="W318" i="2"/>
  <c r="U318" i="2"/>
  <c r="R318" i="2"/>
  <c r="O318" i="2"/>
  <c r="N318" i="2"/>
  <c r="L318" i="2"/>
  <c r="H318" i="2"/>
  <c r="I318" i="2" s="1"/>
  <c r="F318" i="2"/>
  <c r="C318" i="2"/>
  <c r="AD317" i="2"/>
  <c r="AC317" i="2"/>
  <c r="AA317" i="2"/>
  <c r="W317" i="2"/>
  <c r="X317" i="2" s="1"/>
  <c r="U317" i="2"/>
  <c r="R317" i="2"/>
  <c r="N317" i="2"/>
  <c r="O317" i="2" s="1"/>
  <c r="L317" i="2"/>
  <c r="I317" i="2"/>
  <c r="H317" i="2"/>
  <c r="F317" i="2"/>
  <c r="C317" i="2"/>
  <c r="AC316" i="2"/>
  <c r="AA316" i="2"/>
  <c r="W316" i="2"/>
  <c r="X316" i="2" s="1"/>
  <c r="U316" i="2"/>
  <c r="R316" i="2"/>
  <c r="O316" i="2"/>
  <c r="N316" i="2"/>
  <c r="L316" i="2"/>
  <c r="H316" i="2"/>
  <c r="I316" i="2" s="1"/>
  <c r="F316" i="2"/>
  <c r="C316" i="2"/>
  <c r="AC315" i="2"/>
  <c r="AD315" i="2" s="1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D314" i="2"/>
  <c r="AC314" i="2"/>
  <c r="AA314" i="2"/>
  <c r="X314" i="2"/>
  <c r="W314" i="2"/>
  <c r="U314" i="2"/>
  <c r="R314" i="2"/>
  <c r="N314" i="2"/>
  <c r="O314" i="2" s="1"/>
  <c r="L314" i="2"/>
  <c r="I314" i="2"/>
  <c r="H314" i="2"/>
  <c r="F314" i="2"/>
  <c r="C314" i="2"/>
  <c r="AC313" i="2"/>
  <c r="AA313" i="2"/>
  <c r="X313" i="2"/>
  <c r="W313" i="2"/>
  <c r="U313" i="2"/>
  <c r="R313" i="2"/>
  <c r="N313" i="2"/>
  <c r="O313" i="2" s="1"/>
  <c r="L313" i="2"/>
  <c r="I313" i="2"/>
  <c r="H313" i="2"/>
  <c r="F313" i="2"/>
  <c r="C313" i="2"/>
  <c r="AC312" i="2"/>
  <c r="AA312" i="2"/>
  <c r="X312" i="2"/>
  <c r="W312" i="2"/>
  <c r="U312" i="2"/>
  <c r="R312" i="2"/>
  <c r="O312" i="2"/>
  <c r="N312" i="2"/>
  <c r="L312" i="2"/>
  <c r="H312" i="2"/>
  <c r="I312" i="2" s="1"/>
  <c r="F312" i="2"/>
  <c r="C312" i="2"/>
  <c r="AD311" i="2"/>
  <c r="AC311" i="2"/>
  <c r="AA311" i="2"/>
  <c r="W311" i="2"/>
  <c r="X311" i="2" s="1"/>
  <c r="U311" i="2"/>
  <c r="R311" i="2"/>
  <c r="N311" i="2"/>
  <c r="O311" i="2" s="1"/>
  <c r="L311" i="2"/>
  <c r="H311" i="2"/>
  <c r="I311" i="2" s="1"/>
  <c r="F311" i="2"/>
  <c r="C311" i="2"/>
  <c r="AC310" i="2"/>
  <c r="AA310" i="2"/>
  <c r="X310" i="2"/>
  <c r="W310" i="2"/>
  <c r="U310" i="2"/>
  <c r="R310" i="2"/>
  <c r="N310" i="2"/>
  <c r="O310" i="2" s="1"/>
  <c r="L310" i="2"/>
  <c r="H310" i="2"/>
  <c r="I310" i="2" s="1"/>
  <c r="F310" i="2"/>
  <c r="C310" i="2"/>
  <c r="AC309" i="2"/>
  <c r="AD309" i="2" s="1"/>
  <c r="AA309" i="2"/>
  <c r="W309" i="2"/>
  <c r="X309" i="2" s="1"/>
  <c r="U309" i="2"/>
  <c r="R309" i="2"/>
  <c r="N309" i="2"/>
  <c r="O309" i="2" s="1"/>
  <c r="L309" i="2"/>
  <c r="I309" i="2"/>
  <c r="H309" i="2"/>
  <c r="F309" i="2"/>
  <c r="C309" i="2"/>
  <c r="AC308" i="2"/>
  <c r="AA308" i="2"/>
  <c r="W308" i="2"/>
  <c r="X308" i="2" s="1"/>
  <c r="U308" i="2"/>
  <c r="R308" i="2"/>
  <c r="O308" i="2"/>
  <c r="N308" i="2"/>
  <c r="L308" i="2"/>
  <c r="H308" i="2"/>
  <c r="I308" i="2" s="1"/>
  <c r="F308" i="2"/>
  <c r="C308" i="2"/>
  <c r="AC307" i="2"/>
  <c r="AD307" i="2" s="1"/>
  <c r="AA307" i="2"/>
  <c r="X307" i="2"/>
  <c r="W307" i="2"/>
  <c r="U307" i="2"/>
  <c r="R307" i="2"/>
  <c r="O307" i="2"/>
  <c r="N307" i="2"/>
  <c r="L307" i="2"/>
  <c r="H307" i="2"/>
  <c r="I307" i="2" s="1"/>
  <c r="F307" i="2"/>
  <c r="C307" i="2"/>
  <c r="AC306" i="2"/>
  <c r="AD306" i="2" s="1"/>
  <c r="AA306" i="2"/>
  <c r="X306" i="2"/>
  <c r="W306" i="2"/>
  <c r="U306" i="2"/>
  <c r="R306" i="2"/>
  <c r="N306" i="2"/>
  <c r="O306" i="2" s="1"/>
  <c r="L306" i="2"/>
  <c r="I306" i="2"/>
  <c r="H306" i="2"/>
  <c r="F306" i="2"/>
  <c r="C306" i="2"/>
  <c r="AC305" i="2"/>
  <c r="AA305" i="2"/>
  <c r="W305" i="2"/>
  <c r="X305" i="2" s="1"/>
  <c r="U305" i="2"/>
  <c r="R305" i="2"/>
  <c r="O305" i="2"/>
  <c r="N305" i="2"/>
  <c r="L305" i="2"/>
  <c r="H305" i="2"/>
  <c r="I305" i="2" s="1"/>
  <c r="F305" i="2"/>
  <c r="C305" i="2"/>
  <c r="AC304" i="2"/>
  <c r="AD304" i="2" s="1"/>
  <c r="AA304" i="2"/>
  <c r="X304" i="2"/>
  <c r="W304" i="2"/>
  <c r="U304" i="2"/>
  <c r="R304" i="2"/>
  <c r="O304" i="2"/>
  <c r="N304" i="2"/>
  <c r="L304" i="2"/>
  <c r="I304" i="2"/>
  <c r="H304" i="2"/>
  <c r="F304" i="2"/>
  <c r="C304" i="2"/>
  <c r="AC303" i="2"/>
  <c r="AD303" i="2" s="1"/>
  <c r="AA303" i="2"/>
  <c r="X303" i="2"/>
  <c r="W303" i="2"/>
  <c r="U303" i="2"/>
  <c r="R303" i="2"/>
  <c r="N303" i="2"/>
  <c r="O303" i="2" s="1"/>
  <c r="L303" i="2"/>
  <c r="H303" i="2"/>
  <c r="I303" i="2" s="1"/>
  <c r="F303" i="2"/>
  <c r="C303" i="2"/>
  <c r="AC302" i="2"/>
  <c r="AA302" i="2"/>
  <c r="X302" i="2"/>
  <c r="W302" i="2"/>
  <c r="U302" i="2"/>
  <c r="R302" i="2"/>
  <c r="O302" i="2"/>
  <c r="N302" i="2"/>
  <c r="L302" i="2"/>
  <c r="H302" i="2"/>
  <c r="I302" i="2" s="1"/>
  <c r="F302" i="2"/>
  <c r="C302" i="2"/>
  <c r="AC301" i="2"/>
  <c r="AD301" i="2" s="1"/>
  <c r="AA301" i="2"/>
  <c r="W301" i="2"/>
  <c r="X301" i="2" s="1"/>
  <c r="U301" i="2"/>
  <c r="R301" i="2"/>
  <c r="N301" i="2"/>
  <c r="O301" i="2" s="1"/>
  <c r="L301" i="2"/>
  <c r="I301" i="2"/>
  <c r="H301" i="2"/>
  <c r="F301" i="2"/>
  <c r="C301" i="2"/>
  <c r="AC300" i="2"/>
  <c r="AA300" i="2"/>
  <c r="X300" i="2"/>
  <c r="W300" i="2"/>
  <c r="U300" i="2"/>
  <c r="R300" i="2"/>
  <c r="O300" i="2"/>
  <c r="N300" i="2"/>
  <c r="L300" i="2"/>
  <c r="H300" i="2"/>
  <c r="I300" i="2" s="1"/>
  <c r="F300" i="2"/>
  <c r="C300" i="2"/>
  <c r="AC299" i="2"/>
  <c r="AD299" i="2" s="1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C298" i="2"/>
  <c r="AD298" i="2" s="1"/>
  <c r="AA298" i="2"/>
  <c r="X298" i="2"/>
  <c r="W298" i="2"/>
  <c r="U298" i="2"/>
  <c r="R298" i="2"/>
  <c r="N298" i="2"/>
  <c r="O298" i="2" s="1"/>
  <c r="L298" i="2"/>
  <c r="I298" i="2"/>
  <c r="H298" i="2"/>
  <c r="F298" i="2"/>
  <c r="C298" i="2"/>
  <c r="AC297" i="2"/>
  <c r="AA297" i="2"/>
  <c r="X297" i="2"/>
  <c r="W297" i="2"/>
  <c r="U297" i="2"/>
  <c r="R297" i="2"/>
  <c r="N297" i="2"/>
  <c r="O297" i="2" s="1"/>
  <c r="L297" i="2"/>
  <c r="H297" i="2"/>
  <c r="I297" i="2" s="1"/>
  <c r="F297" i="2"/>
  <c r="C297" i="2"/>
  <c r="Z295" i="2"/>
  <c r="AC295" i="2" s="1"/>
  <c r="AD295" i="2" s="1"/>
  <c r="W295" i="2"/>
  <c r="X295" i="2" s="1"/>
  <c r="U295" i="2"/>
  <c r="T295" i="2"/>
  <c r="Q295" i="2"/>
  <c r="R295" i="2" s="1"/>
  <c r="N295" i="2"/>
  <c r="O295" i="2" s="1"/>
  <c r="L295" i="2"/>
  <c r="K295" i="2"/>
  <c r="H295" i="2"/>
  <c r="I295" i="2" s="1"/>
  <c r="E295" i="2"/>
  <c r="F295" i="2" s="1"/>
  <c r="B295" i="2"/>
  <c r="C295" i="2" s="1"/>
  <c r="AC294" i="2"/>
  <c r="AD294" i="2" s="1"/>
  <c r="AA294" i="2"/>
  <c r="X294" i="2"/>
  <c r="W294" i="2"/>
  <c r="U294" i="2"/>
  <c r="R294" i="2"/>
  <c r="N294" i="2"/>
  <c r="O294" i="2" s="1"/>
  <c r="L294" i="2"/>
  <c r="H294" i="2"/>
  <c r="I294" i="2" s="1"/>
  <c r="F294" i="2"/>
  <c r="C294" i="2"/>
  <c r="AC293" i="2"/>
  <c r="AD293" i="2" s="1"/>
  <c r="AA293" i="2"/>
  <c r="X293" i="2"/>
  <c r="W293" i="2"/>
  <c r="U293" i="2"/>
  <c r="R293" i="2"/>
  <c r="O293" i="2"/>
  <c r="N293" i="2"/>
  <c r="L293" i="2"/>
  <c r="H293" i="2"/>
  <c r="I293" i="2" s="1"/>
  <c r="F293" i="2"/>
  <c r="C293" i="2"/>
  <c r="AC292" i="2"/>
  <c r="AD292" i="2" s="1"/>
  <c r="AA292" i="2"/>
  <c r="W292" i="2"/>
  <c r="X292" i="2" s="1"/>
  <c r="U292" i="2"/>
  <c r="R292" i="2"/>
  <c r="O292" i="2"/>
  <c r="N292" i="2"/>
  <c r="L292" i="2"/>
  <c r="I292" i="2"/>
  <c r="H292" i="2"/>
  <c r="F292" i="2"/>
  <c r="C292" i="2"/>
  <c r="AC291" i="2"/>
  <c r="AA291" i="2"/>
  <c r="X291" i="2"/>
  <c r="W291" i="2"/>
  <c r="U291" i="2"/>
  <c r="R291" i="2"/>
  <c r="N291" i="2"/>
  <c r="O291" i="2" s="1"/>
  <c r="L291" i="2"/>
  <c r="H291" i="2"/>
  <c r="I291" i="2" s="1"/>
  <c r="F291" i="2"/>
  <c r="C291" i="2"/>
  <c r="AC290" i="2"/>
  <c r="AD290" i="2" s="1"/>
  <c r="AA290" i="2"/>
  <c r="X290" i="2"/>
  <c r="W290" i="2"/>
  <c r="U290" i="2"/>
  <c r="R290" i="2"/>
  <c r="O290" i="2"/>
  <c r="N290" i="2"/>
  <c r="L290" i="2"/>
  <c r="H290" i="2"/>
  <c r="I290" i="2" s="1"/>
  <c r="F290" i="2"/>
  <c r="C290" i="2"/>
  <c r="AD289" i="2"/>
  <c r="AC289" i="2"/>
  <c r="AA289" i="2"/>
  <c r="W289" i="2"/>
  <c r="X289" i="2" s="1"/>
  <c r="U289" i="2"/>
  <c r="R289" i="2"/>
  <c r="N289" i="2"/>
  <c r="O289" i="2" s="1"/>
  <c r="L289" i="2"/>
  <c r="H289" i="2"/>
  <c r="I289" i="2" s="1"/>
  <c r="F289" i="2"/>
  <c r="C289" i="2"/>
  <c r="AC288" i="2"/>
  <c r="AA288" i="2"/>
  <c r="X288" i="2"/>
  <c r="W288" i="2"/>
  <c r="U288" i="2"/>
  <c r="R288" i="2"/>
  <c r="O288" i="2"/>
  <c r="N288" i="2"/>
  <c r="L288" i="2"/>
  <c r="H288" i="2"/>
  <c r="I288" i="2" s="1"/>
  <c r="F288" i="2"/>
  <c r="C288" i="2"/>
  <c r="AC287" i="2"/>
  <c r="AD287" i="2" s="1"/>
  <c r="AA287" i="2"/>
  <c r="W287" i="2"/>
  <c r="X287" i="2" s="1"/>
  <c r="U287" i="2"/>
  <c r="R287" i="2"/>
  <c r="N287" i="2"/>
  <c r="O287" i="2" s="1"/>
  <c r="L287" i="2"/>
  <c r="H287" i="2"/>
  <c r="I287" i="2" s="1"/>
  <c r="F287" i="2"/>
  <c r="C287" i="2"/>
  <c r="AD286" i="2"/>
  <c r="AC286" i="2"/>
  <c r="AA286" i="2"/>
  <c r="X286" i="2"/>
  <c r="W286" i="2"/>
  <c r="U286" i="2"/>
  <c r="R286" i="2"/>
  <c r="N286" i="2"/>
  <c r="O286" i="2" s="1"/>
  <c r="L286" i="2"/>
  <c r="H286" i="2"/>
  <c r="I286" i="2" s="1"/>
  <c r="F286" i="2"/>
  <c r="C286" i="2"/>
  <c r="AC284" i="2"/>
  <c r="AD284" i="2" s="1"/>
  <c r="AA284" i="2"/>
  <c r="Z284" i="2"/>
  <c r="T284" i="2"/>
  <c r="U284" i="2" s="1"/>
  <c r="R284" i="2"/>
  <c r="Q284" i="2"/>
  <c r="L284" i="2"/>
  <c r="K284" i="2"/>
  <c r="E284" i="2"/>
  <c r="F284" i="2" s="1"/>
  <c r="B284" i="2"/>
  <c r="N284" i="2" s="1"/>
  <c r="O284" i="2" s="1"/>
  <c r="AD283" i="2"/>
  <c r="AC283" i="2"/>
  <c r="AA283" i="2"/>
  <c r="W283" i="2"/>
  <c r="X283" i="2" s="1"/>
  <c r="U283" i="2"/>
  <c r="R283" i="2"/>
  <c r="N283" i="2"/>
  <c r="O283" i="2" s="1"/>
  <c r="L283" i="2"/>
  <c r="H283" i="2"/>
  <c r="I283" i="2" s="1"/>
  <c r="F283" i="2"/>
  <c r="C283" i="2"/>
  <c r="AC282" i="2"/>
  <c r="AD282" i="2" s="1"/>
  <c r="AA282" i="2"/>
  <c r="X282" i="2"/>
  <c r="W282" i="2"/>
  <c r="U282" i="2"/>
  <c r="R282" i="2"/>
  <c r="O282" i="2"/>
  <c r="N282" i="2"/>
  <c r="L282" i="2"/>
  <c r="I282" i="2"/>
  <c r="H282" i="2"/>
  <c r="F282" i="2"/>
  <c r="C282" i="2"/>
  <c r="AC281" i="2"/>
  <c r="AD281" i="2" s="1"/>
  <c r="AA281" i="2"/>
  <c r="W281" i="2"/>
  <c r="X281" i="2" s="1"/>
  <c r="U281" i="2"/>
  <c r="R281" i="2"/>
  <c r="N281" i="2"/>
  <c r="O281" i="2" s="1"/>
  <c r="L281" i="2"/>
  <c r="H281" i="2"/>
  <c r="I281" i="2" s="1"/>
  <c r="F281" i="2"/>
  <c r="C281" i="2"/>
  <c r="AC280" i="2"/>
  <c r="AD280" i="2" s="1"/>
  <c r="AA280" i="2"/>
  <c r="X280" i="2"/>
  <c r="W280" i="2"/>
  <c r="U280" i="2"/>
  <c r="R280" i="2"/>
  <c r="O280" i="2"/>
  <c r="N280" i="2"/>
  <c r="L280" i="2"/>
  <c r="H280" i="2"/>
  <c r="I280" i="2" s="1"/>
  <c r="F280" i="2"/>
  <c r="C280" i="2"/>
  <c r="AD279" i="2"/>
  <c r="AC279" i="2"/>
  <c r="AA279" i="2"/>
  <c r="W279" i="2"/>
  <c r="X279" i="2" s="1"/>
  <c r="U279" i="2"/>
  <c r="R279" i="2"/>
  <c r="N279" i="2"/>
  <c r="O279" i="2" s="1"/>
  <c r="L279" i="2"/>
  <c r="H279" i="2"/>
  <c r="I279" i="2" s="1"/>
  <c r="F279" i="2"/>
  <c r="C279" i="2"/>
  <c r="AC278" i="2"/>
  <c r="AD278" i="2" s="1"/>
  <c r="AA278" i="2"/>
  <c r="X278" i="2"/>
  <c r="W278" i="2"/>
  <c r="U278" i="2"/>
  <c r="R278" i="2"/>
  <c r="O278" i="2"/>
  <c r="N278" i="2"/>
  <c r="L278" i="2"/>
  <c r="I278" i="2"/>
  <c r="H278" i="2"/>
  <c r="F278" i="2"/>
  <c r="C278" i="2"/>
  <c r="AC277" i="2"/>
  <c r="AD277" i="2" s="1"/>
  <c r="AA277" i="2"/>
  <c r="W277" i="2"/>
  <c r="X277" i="2" s="1"/>
  <c r="U277" i="2"/>
  <c r="R277" i="2"/>
  <c r="N277" i="2"/>
  <c r="O277" i="2" s="1"/>
  <c r="L277" i="2"/>
  <c r="H277" i="2"/>
  <c r="I277" i="2" s="1"/>
  <c r="F277" i="2"/>
  <c r="C277" i="2"/>
  <c r="AC276" i="2"/>
  <c r="AD276" i="2" s="1"/>
  <c r="AA276" i="2"/>
  <c r="X276" i="2"/>
  <c r="W276" i="2"/>
  <c r="U276" i="2"/>
  <c r="R276" i="2"/>
  <c r="O276" i="2"/>
  <c r="N276" i="2"/>
  <c r="L276" i="2"/>
  <c r="H276" i="2"/>
  <c r="I276" i="2" s="1"/>
  <c r="F276" i="2"/>
  <c r="C276" i="2"/>
  <c r="AD275" i="2"/>
  <c r="AC275" i="2"/>
  <c r="AA275" i="2"/>
  <c r="W275" i="2"/>
  <c r="X275" i="2" s="1"/>
  <c r="U275" i="2"/>
  <c r="R275" i="2"/>
  <c r="N275" i="2"/>
  <c r="O275" i="2" s="1"/>
  <c r="L275" i="2"/>
  <c r="H275" i="2"/>
  <c r="I275" i="2" s="1"/>
  <c r="F275" i="2"/>
  <c r="C275" i="2"/>
  <c r="AC273" i="2"/>
  <c r="AD273" i="2" s="1"/>
  <c r="AA273" i="2"/>
  <c r="Z273" i="2"/>
  <c r="T273" i="2"/>
  <c r="U273" i="2" s="1"/>
  <c r="Q273" i="2"/>
  <c r="K273" i="2"/>
  <c r="L273" i="2" s="1"/>
  <c r="E273" i="2"/>
  <c r="C273" i="2"/>
  <c r="B273" i="2"/>
  <c r="N273" i="2" s="1"/>
  <c r="O273" i="2" s="1"/>
  <c r="AC272" i="2"/>
  <c r="AD272" i="2" s="1"/>
  <c r="AA272" i="2"/>
  <c r="X272" i="2"/>
  <c r="W272" i="2"/>
  <c r="U272" i="2"/>
  <c r="R272" i="2"/>
  <c r="O272" i="2"/>
  <c r="N272" i="2"/>
  <c r="L272" i="2"/>
  <c r="H272" i="2"/>
  <c r="I272" i="2" s="1"/>
  <c r="F272" i="2"/>
  <c r="C272" i="2"/>
  <c r="AD271" i="2"/>
  <c r="AC271" i="2"/>
  <c r="AA271" i="2"/>
  <c r="X271" i="2"/>
  <c r="W271" i="2"/>
  <c r="U271" i="2"/>
  <c r="R271" i="2"/>
  <c r="N271" i="2"/>
  <c r="O271" i="2" s="1"/>
  <c r="L271" i="2"/>
  <c r="H271" i="2"/>
  <c r="I271" i="2" s="1"/>
  <c r="F271" i="2"/>
  <c r="C271" i="2"/>
  <c r="AC270" i="2"/>
  <c r="AD270" i="2" s="1"/>
  <c r="AA270" i="2"/>
  <c r="X270" i="2"/>
  <c r="W270" i="2"/>
  <c r="U270" i="2"/>
  <c r="R270" i="2"/>
  <c r="O270" i="2"/>
  <c r="N270" i="2"/>
  <c r="L270" i="2"/>
  <c r="I270" i="2"/>
  <c r="H270" i="2"/>
  <c r="F270" i="2"/>
  <c r="C270" i="2"/>
  <c r="AC269" i="2"/>
  <c r="AD269" i="2" s="1"/>
  <c r="AA269" i="2"/>
  <c r="W269" i="2"/>
  <c r="X269" i="2" s="1"/>
  <c r="U269" i="2"/>
  <c r="R269" i="2"/>
  <c r="O269" i="2"/>
  <c r="N269" i="2"/>
  <c r="L269" i="2"/>
  <c r="H269" i="2"/>
  <c r="I269" i="2" s="1"/>
  <c r="F269" i="2"/>
  <c r="C269" i="2"/>
  <c r="Z267" i="2"/>
  <c r="AA267" i="2" s="1"/>
  <c r="W267" i="2"/>
  <c r="X267" i="2" s="1"/>
  <c r="U267" i="2"/>
  <c r="T267" i="2"/>
  <c r="Q267" i="2"/>
  <c r="R267" i="2" s="1"/>
  <c r="K267" i="2"/>
  <c r="L267" i="2" s="1"/>
  <c r="I267" i="2"/>
  <c r="E267" i="2"/>
  <c r="F267" i="2" s="1"/>
  <c r="B267" i="2"/>
  <c r="H267" i="2" s="1"/>
  <c r="AC266" i="2"/>
  <c r="AD266" i="2" s="1"/>
  <c r="AA266" i="2"/>
  <c r="X266" i="2"/>
  <c r="W266" i="2"/>
  <c r="U266" i="2"/>
  <c r="R266" i="2"/>
  <c r="O266" i="2"/>
  <c r="N266" i="2"/>
  <c r="L266" i="2"/>
  <c r="I266" i="2"/>
  <c r="H266" i="2"/>
  <c r="F266" i="2"/>
  <c r="C266" i="2"/>
  <c r="AC265" i="2"/>
  <c r="AD265" i="2" s="1"/>
  <c r="AA265" i="2"/>
  <c r="W265" i="2"/>
  <c r="X265" i="2" s="1"/>
  <c r="U265" i="2"/>
  <c r="R265" i="2"/>
  <c r="O265" i="2"/>
  <c r="N265" i="2"/>
  <c r="L265" i="2"/>
  <c r="H265" i="2"/>
  <c r="I265" i="2" s="1"/>
  <c r="F265" i="2"/>
  <c r="C265" i="2"/>
  <c r="Z263" i="2"/>
  <c r="AA263" i="2" s="1"/>
  <c r="W263" i="2"/>
  <c r="X263" i="2" s="1"/>
  <c r="U263" i="2"/>
  <c r="T263" i="2"/>
  <c r="Q263" i="2"/>
  <c r="R263" i="2" s="1"/>
  <c r="K263" i="2"/>
  <c r="L263" i="2" s="1"/>
  <c r="E263" i="2"/>
  <c r="F263" i="2" s="1"/>
  <c r="B263" i="2"/>
  <c r="H263" i="2" s="1"/>
  <c r="I263" i="2" s="1"/>
  <c r="AA262" i="2"/>
  <c r="Z262" i="2"/>
  <c r="T262" i="2"/>
  <c r="U262" i="2" s="1"/>
  <c r="Q262" i="2"/>
  <c r="AC262" i="2" s="1"/>
  <c r="AD262" i="2" s="1"/>
  <c r="K262" i="2"/>
  <c r="L262" i="2" s="1"/>
  <c r="E262" i="2"/>
  <c r="C262" i="2"/>
  <c r="B262" i="2"/>
  <c r="N262" i="2" s="1"/>
  <c r="O262" i="2" s="1"/>
  <c r="AC261" i="2"/>
  <c r="AD261" i="2" s="1"/>
  <c r="AA261" i="2"/>
  <c r="X261" i="2"/>
  <c r="W261" i="2"/>
  <c r="U261" i="2"/>
  <c r="R261" i="2"/>
  <c r="O261" i="2"/>
  <c r="N261" i="2"/>
  <c r="L261" i="2"/>
  <c r="H261" i="2"/>
  <c r="I261" i="2" s="1"/>
  <c r="F261" i="2"/>
  <c r="C261" i="2"/>
  <c r="AD260" i="2"/>
  <c r="AC260" i="2"/>
  <c r="AA260" i="2"/>
  <c r="X260" i="2"/>
  <c r="W260" i="2"/>
  <c r="U260" i="2"/>
  <c r="R260" i="2"/>
  <c r="N260" i="2"/>
  <c r="O260" i="2" s="1"/>
  <c r="L260" i="2"/>
  <c r="H260" i="2"/>
  <c r="I260" i="2" s="1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I259" i="2"/>
  <c r="H259" i="2"/>
  <c r="F259" i="2"/>
  <c r="C259" i="2"/>
  <c r="AC258" i="2"/>
  <c r="AD258" i="2" s="1"/>
  <c r="AA258" i="2"/>
  <c r="W258" i="2"/>
  <c r="X258" i="2" s="1"/>
  <c r="U258" i="2"/>
  <c r="R258" i="2"/>
  <c r="O258" i="2"/>
  <c r="N258" i="2"/>
  <c r="L258" i="2"/>
  <c r="H258" i="2"/>
  <c r="I258" i="2" s="1"/>
  <c r="F258" i="2"/>
  <c r="C258" i="2"/>
  <c r="AC257" i="2"/>
  <c r="AD257" i="2" s="1"/>
  <c r="AA257" i="2"/>
  <c r="X257" i="2"/>
  <c r="W257" i="2"/>
  <c r="U257" i="2"/>
  <c r="R257" i="2"/>
  <c r="O257" i="2"/>
  <c r="N257" i="2"/>
  <c r="L257" i="2"/>
  <c r="H257" i="2"/>
  <c r="I257" i="2" s="1"/>
  <c r="F257" i="2"/>
  <c r="C257" i="2"/>
  <c r="AD256" i="2"/>
  <c r="AC256" i="2"/>
  <c r="AA256" i="2"/>
  <c r="X256" i="2"/>
  <c r="W256" i="2"/>
  <c r="U256" i="2"/>
  <c r="R256" i="2"/>
  <c r="N256" i="2"/>
  <c r="O256" i="2" s="1"/>
  <c r="L256" i="2"/>
  <c r="H256" i="2"/>
  <c r="I256" i="2" s="1"/>
  <c r="F256" i="2"/>
  <c r="C256" i="2"/>
  <c r="AC255" i="2"/>
  <c r="AD255" i="2" s="1"/>
  <c r="AA255" i="2"/>
  <c r="X255" i="2"/>
  <c r="W255" i="2"/>
  <c r="U255" i="2"/>
  <c r="R255" i="2"/>
  <c r="O255" i="2"/>
  <c r="N255" i="2"/>
  <c r="L255" i="2"/>
  <c r="I255" i="2"/>
  <c r="H255" i="2"/>
  <c r="F255" i="2"/>
  <c r="C255" i="2"/>
  <c r="AC254" i="2"/>
  <c r="AD254" i="2" s="1"/>
  <c r="AA254" i="2"/>
  <c r="X254" i="2"/>
  <c r="W254" i="2"/>
  <c r="U254" i="2"/>
  <c r="R254" i="2"/>
  <c r="O254" i="2"/>
  <c r="N254" i="2"/>
  <c r="L254" i="2"/>
  <c r="H254" i="2"/>
  <c r="I254" i="2" s="1"/>
  <c r="F254" i="2"/>
  <c r="C254" i="2"/>
  <c r="AC253" i="2"/>
  <c r="AD253" i="2" s="1"/>
  <c r="AA253" i="2"/>
  <c r="X253" i="2"/>
  <c r="W253" i="2"/>
  <c r="U253" i="2"/>
  <c r="R253" i="2"/>
  <c r="O253" i="2"/>
  <c r="N253" i="2"/>
  <c r="L253" i="2"/>
  <c r="H253" i="2"/>
  <c r="I253" i="2" s="1"/>
  <c r="F253" i="2"/>
  <c r="C253" i="2"/>
  <c r="AD252" i="2"/>
  <c r="AC252" i="2"/>
  <c r="AA252" i="2"/>
  <c r="X252" i="2"/>
  <c r="W252" i="2"/>
  <c r="U252" i="2"/>
  <c r="R252" i="2"/>
  <c r="O252" i="2"/>
  <c r="N252" i="2"/>
  <c r="L252" i="2"/>
  <c r="H252" i="2"/>
  <c r="I252" i="2" s="1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I251" i="2"/>
  <c r="H251" i="2"/>
  <c r="F251" i="2"/>
  <c r="C251" i="2"/>
  <c r="AC250" i="2"/>
  <c r="AD250" i="2" s="1"/>
  <c r="AA250" i="2"/>
  <c r="W250" i="2"/>
  <c r="X250" i="2" s="1"/>
  <c r="U250" i="2"/>
  <c r="R250" i="2"/>
  <c r="O250" i="2"/>
  <c r="N250" i="2"/>
  <c r="L250" i="2"/>
  <c r="H250" i="2"/>
  <c r="I250" i="2" s="1"/>
  <c r="F250" i="2"/>
  <c r="C250" i="2"/>
  <c r="AC249" i="2"/>
  <c r="AD249" i="2" s="1"/>
  <c r="AA249" i="2"/>
  <c r="X249" i="2"/>
  <c r="W249" i="2"/>
  <c r="U249" i="2"/>
  <c r="R249" i="2"/>
  <c r="O249" i="2"/>
  <c r="N249" i="2"/>
  <c r="L249" i="2"/>
  <c r="H249" i="2"/>
  <c r="I249" i="2" s="1"/>
  <c r="F249" i="2"/>
  <c r="C249" i="2"/>
  <c r="AD248" i="2"/>
  <c r="AC248" i="2"/>
  <c r="AA248" i="2"/>
  <c r="X248" i="2"/>
  <c r="W248" i="2"/>
  <c r="U248" i="2"/>
  <c r="R248" i="2"/>
  <c r="N248" i="2"/>
  <c r="O248" i="2" s="1"/>
  <c r="L248" i="2"/>
  <c r="H248" i="2"/>
  <c r="I248" i="2" s="1"/>
  <c r="F248" i="2"/>
  <c r="C248" i="2"/>
  <c r="AC247" i="2"/>
  <c r="AD247" i="2" s="1"/>
  <c r="AA247" i="2"/>
  <c r="X247" i="2"/>
  <c r="W247" i="2"/>
  <c r="U247" i="2"/>
  <c r="R247" i="2"/>
  <c r="O247" i="2"/>
  <c r="N247" i="2"/>
  <c r="L247" i="2"/>
  <c r="I247" i="2"/>
  <c r="H247" i="2"/>
  <c r="F247" i="2"/>
  <c r="C247" i="2"/>
  <c r="AC246" i="2"/>
  <c r="AD246" i="2" s="1"/>
  <c r="AA246" i="2"/>
  <c r="W246" i="2"/>
  <c r="X246" i="2" s="1"/>
  <c r="U246" i="2"/>
  <c r="R246" i="2"/>
  <c r="O246" i="2"/>
  <c r="N246" i="2"/>
  <c r="L246" i="2"/>
  <c r="H246" i="2"/>
  <c r="I246" i="2" s="1"/>
  <c r="F246" i="2"/>
  <c r="C246" i="2"/>
  <c r="AC245" i="2"/>
  <c r="AD245" i="2" s="1"/>
  <c r="AA245" i="2"/>
  <c r="X245" i="2"/>
  <c r="W245" i="2"/>
  <c r="U245" i="2"/>
  <c r="R245" i="2"/>
  <c r="O245" i="2"/>
  <c r="N245" i="2"/>
  <c r="L245" i="2"/>
  <c r="H245" i="2"/>
  <c r="I245" i="2" s="1"/>
  <c r="F245" i="2"/>
  <c r="C245" i="2"/>
  <c r="AD244" i="2"/>
  <c r="AC244" i="2"/>
  <c r="AA244" i="2"/>
  <c r="X244" i="2"/>
  <c r="W244" i="2"/>
  <c r="U244" i="2"/>
  <c r="R244" i="2"/>
  <c r="N244" i="2"/>
  <c r="O244" i="2" s="1"/>
  <c r="L244" i="2"/>
  <c r="H244" i="2"/>
  <c r="I244" i="2" s="1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I243" i="2"/>
  <c r="H243" i="2"/>
  <c r="F243" i="2"/>
  <c r="C243" i="2"/>
  <c r="AC242" i="2"/>
  <c r="AD242" i="2" s="1"/>
  <c r="AA242" i="2"/>
  <c r="W242" i="2"/>
  <c r="X242" i="2" s="1"/>
  <c r="U242" i="2"/>
  <c r="R242" i="2"/>
  <c r="O242" i="2"/>
  <c r="N242" i="2"/>
  <c r="L242" i="2"/>
  <c r="H242" i="2"/>
  <c r="I242" i="2" s="1"/>
  <c r="F242" i="2"/>
  <c r="C242" i="2"/>
  <c r="AC241" i="2"/>
  <c r="AD241" i="2" s="1"/>
  <c r="AA241" i="2"/>
  <c r="X241" i="2"/>
  <c r="W241" i="2"/>
  <c r="U241" i="2"/>
  <c r="R241" i="2"/>
  <c r="O241" i="2"/>
  <c r="N241" i="2"/>
  <c r="L241" i="2"/>
  <c r="H241" i="2"/>
  <c r="I241" i="2" s="1"/>
  <c r="F241" i="2"/>
  <c r="C241" i="2"/>
  <c r="AD240" i="2"/>
  <c r="AC240" i="2"/>
  <c r="AA240" i="2"/>
  <c r="X240" i="2"/>
  <c r="W240" i="2"/>
  <c r="U240" i="2"/>
  <c r="R240" i="2"/>
  <c r="N240" i="2"/>
  <c r="O240" i="2" s="1"/>
  <c r="L240" i="2"/>
  <c r="H240" i="2"/>
  <c r="I240" i="2" s="1"/>
  <c r="F240" i="2"/>
  <c r="C240" i="2"/>
  <c r="AC238" i="2"/>
  <c r="AD238" i="2" s="1"/>
  <c r="AA238" i="2"/>
  <c r="X238" i="2"/>
  <c r="W238" i="2"/>
  <c r="U238" i="2"/>
  <c r="R238" i="2"/>
  <c r="O238" i="2"/>
  <c r="N238" i="2"/>
  <c r="L238" i="2"/>
  <c r="I238" i="2"/>
  <c r="H238" i="2"/>
  <c r="F238" i="2"/>
  <c r="C238" i="2"/>
  <c r="Z236" i="2"/>
  <c r="AA236" i="2" s="1"/>
  <c r="X236" i="2"/>
  <c r="T236" i="2"/>
  <c r="U236" i="2" s="1"/>
  <c r="Q236" i="2"/>
  <c r="W236" i="2" s="1"/>
  <c r="L236" i="2"/>
  <c r="K236" i="2"/>
  <c r="E236" i="2"/>
  <c r="F236" i="2" s="1"/>
  <c r="B236" i="2"/>
  <c r="AD235" i="2"/>
  <c r="AC235" i="2"/>
  <c r="AA235" i="2"/>
  <c r="X235" i="2"/>
  <c r="W235" i="2"/>
  <c r="U235" i="2"/>
  <c r="R235" i="2"/>
  <c r="N235" i="2"/>
  <c r="O235" i="2" s="1"/>
  <c r="L235" i="2"/>
  <c r="H235" i="2"/>
  <c r="I235" i="2" s="1"/>
  <c r="F235" i="2"/>
  <c r="C235" i="2"/>
  <c r="AC234" i="2"/>
  <c r="AD234" i="2" s="1"/>
  <c r="AA234" i="2"/>
  <c r="X234" i="2"/>
  <c r="W234" i="2"/>
  <c r="U234" i="2"/>
  <c r="R234" i="2"/>
  <c r="O234" i="2"/>
  <c r="N234" i="2"/>
  <c r="L234" i="2"/>
  <c r="I234" i="2"/>
  <c r="H234" i="2"/>
  <c r="F234" i="2"/>
  <c r="C234" i="2"/>
  <c r="AC233" i="2"/>
  <c r="AD233" i="2" s="1"/>
  <c r="AA233" i="2"/>
  <c r="W233" i="2"/>
  <c r="X233" i="2" s="1"/>
  <c r="U233" i="2"/>
  <c r="R233" i="2"/>
  <c r="O233" i="2"/>
  <c r="N233" i="2"/>
  <c r="L233" i="2"/>
  <c r="H233" i="2"/>
  <c r="I233" i="2" s="1"/>
  <c r="F233" i="2"/>
  <c r="C233" i="2"/>
  <c r="AC232" i="2"/>
  <c r="AD232" i="2" s="1"/>
  <c r="AA232" i="2"/>
  <c r="X232" i="2"/>
  <c r="W232" i="2"/>
  <c r="U232" i="2"/>
  <c r="R232" i="2"/>
  <c r="O232" i="2"/>
  <c r="N232" i="2"/>
  <c r="L232" i="2"/>
  <c r="H232" i="2"/>
  <c r="I232" i="2" s="1"/>
  <c r="F232" i="2"/>
  <c r="C232" i="2"/>
  <c r="AD231" i="2"/>
  <c r="AC231" i="2"/>
  <c r="AA231" i="2"/>
  <c r="X231" i="2"/>
  <c r="W231" i="2"/>
  <c r="U231" i="2"/>
  <c r="R231" i="2"/>
  <c r="O231" i="2"/>
  <c r="N231" i="2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O230" i="2"/>
  <c r="N230" i="2"/>
  <c r="L230" i="2"/>
  <c r="I230" i="2"/>
  <c r="H230" i="2"/>
  <c r="F230" i="2"/>
  <c r="C230" i="2"/>
  <c r="AC229" i="2"/>
  <c r="AD229" i="2" s="1"/>
  <c r="AA229" i="2"/>
  <c r="X229" i="2"/>
  <c r="W229" i="2"/>
  <c r="U229" i="2"/>
  <c r="R229" i="2"/>
  <c r="O229" i="2"/>
  <c r="N229" i="2"/>
  <c r="L229" i="2"/>
  <c r="H229" i="2"/>
  <c r="I229" i="2" s="1"/>
  <c r="F229" i="2"/>
  <c r="C229" i="2"/>
  <c r="Z227" i="2"/>
  <c r="AA227" i="2" s="1"/>
  <c r="W227" i="2"/>
  <c r="X227" i="2" s="1"/>
  <c r="U227" i="2"/>
  <c r="T227" i="2"/>
  <c r="Q227" i="2"/>
  <c r="R227" i="2" s="1"/>
  <c r="K227" i="2"/>
  <c r="L227" i="2" s="1"/>
  <c r="E227" i="2"/>
  <c r="F227" i="2" s="1"/>
  <c r="B227" i="2"/>
  <c r="H227" i="2" s="1"/>
  <c r="I227" i="2" s="1"/>
  <c r="AC226" i="2"/>
  <c r="AD226" i="2" s="1"/>
  <c r="AA226" i="2"/>
  <c r="X226" i="2"/>
  <c r="W226" i="2"/>
  <c r="U226" i="2"/>
  <c r="R226" i="2"/>
  <c r="O226" i="2"/>
  <c r="N226" i="2"/>
  <c r="L226" i="2"/>
  <c r="I226" i="2"/>
  <c r="H226" i="2"/>
  <c r="F226" i="2"/>
  <c r="C226" i="2"/>
  <c r="AC225" i="2"/>
  <c r="AD225" i="2" s="1"/>
  <c r="AA225" i="2"/>
  <c r="W225" i="2"/>
  <c r="X225" i="2" s="1"/>
  <c r="U225" i="2"/>
  <c r="R225" i="2"/>
  <c r="O225" i="2"/>
  <c r="N225" i="2"/>
  <c r="L225" i="2"/>
  <c r="H225" i="2"/>
  <c r="I225" i="2" s="1"/>
  <c r="F225" i="2"/>
  <c r="C225" i="2"/>
  <c r="AC224" i="2"/>
  <c r="AD224" i="2" s="1"/>
  <c r="AA224" i="2"/>
  <c r="X224" i="2"/>
  <c r="W224" i="2"/>
  <c r="U224" i="2"/>
  <c r="R224" i="2"/>
  <c r="O224" i="2"/>
  <c r="N224" i="2"/>
  <c r="L224" i="2"/>
  <c r="H224" i="2"/>
  <c r="I224" i="2" s="1"/>
  <c r="F224" i="2"/>
  <c r="C224" i="2"/>
  <c r="AD223" i="2"/>
  <c r="AC223" i="2"/>
  <c r="AA223" i="2"/>
  <c r="X223" i="2"/>
  <c r="W223" i="2"/>
  <c r="U223" i="2"/>
  <c r="R223" i="2"/>
  <c r="O223" i="2"/>
  <c r="N223" i="2"/>
  <c r="L223" i="2"/>
  <c r="H223" i="2"/>
  <c r="I223" i="2" s="1"/>
  <c r="F223" i="2"/>
  <c r="C223" i="2"/>
  <c r="AC222" i="2"/>
  <c r="AD222" i="2" s="1"/>
  <c r="AA222" i="2"/>
  <c r="X222" i="2"/>
  <c r="W222" i="2"/>
  <c r="U222" i="2"/>
  <c r="R222" i="2"/>
  <c r="O222" i="2"/>
  <c r="N222" i="2"/>
  <c r="L222" i="2"/>
  <c r="I222" i="2"/>
  <c r="H222" i="2"/>
  <c r="F222" i="2"/>
  <c r="C222" i="2"/>
  <c r="AC221" i="2"/>
  <c r="AD221" i="2" s="1"/>
  <c r="AA221" i="2"/>
  <c r="X221" i="2"/>
  <c r="W221" i="2"/>
  <c r="U221" i="2"/>
  <c r="R221" i="2"/>
  <c r="O221" i="2"/>
  <c r="N221" i="2"/>
  <c r="L221" i="2"/>
  <c r="H221" i="2"/>
  <c r="I221" i="2" s="1"/>
  <c r="F221" i="2"/>
  <c r="C221" i="2"/>
  <c r="AC220" i="2"/>
  <c r="AD220" i="2" s="1"/>
  <c r="AA220" i="2"/>
  <c r="X220" i="2"/>
  <c r="W220" i="2"/>
  <c r="U220" i="2"/>
  <c r="R220" i="2"/>
  <c r="O220" i="2"/>
  <c r="N220" i="2"/>
  <c r="L220" i="2"/>
  <c r="H220" i="2"/>
  <c r="I220" i="2" s="1"/>
  <c r="F220" i="2"/>
  <c r="C220" i="2"/>
  <c r="AD219" i="2"/>
  <c r="AC219" i="2"/>
  <c r="AA219" i="2"/>
  <c r="X219" i="2"/>
  <c r="W219" i="2"/>
  <c r="U219" i="2"/>
  <c r="R219" i="2"/>
  <c r="N219" i="2"/>
  <c r="O219" i="2" s="1"/>
  <c r="L219" i="2"/>
  <c r="H219" i="2"/>
  <c r="I219" i="2" s="1"/>
  <c r="F219" i="2"/>
  <c r="C219" i="2"/>
  <c r="AA218" i="2"/>
  <c r="Z218" i="2"/>
  <c r="T218" i="2"/>
  <c r="U218" i="2" s="1"/>
  <c r="Q218" i="2"/>
  <c r="AC218" i="2" s="1"/>
  <c r="AD218" i="2" s="1"/>
  <c r="K218" i="2"/>
  <c r="L218" i="2" s="1"/>
  <c r="E218" i="2"/>
  <c r="C218" i="2"/>
  <c r="B218" i="2"/>
  <c r="N218" i="2" s="1"/>
  <c r="O218" i="2" s="1"/>
  <c r="AC217" i="2"/>
  <c r="AD217" i="2" s="1"/>
  <c r="AA217" i="2"/>
  <c r="X217" i="2"/>
  <c r="W217" i="2"/>
  <c r="U217" i="2"/>
  <c r="R217" i="2"/>
  <c r="O217" i="2"/>
  <c r="N217" i="2"/>
  <c r="L217" i="2"/>
  <c r="H217" i="2"/>
  <c r="I217" i="2" s="1"/>
  <c r="F217" i="2"/>
  <c r="C217" i="2"/>
  <c r="AD216" i="2"/>
  <c r="AC216" i="2"/>
  <c r="AA216" i="2"/>
  <c r="X216" i="2"/>
  <c r="W216" i="2"/>
  <c r="U216" i="2"/>
  <c r="R216" i="2"/>
  <c r="O216" i="2"/>
  <c r="N216" i="2"/>
  <c r="L216" i="2"/>
  <c r="H216" i="2"/>
  <c r="I216" i="2" s="1"/>
  <c r="F216" i="2"/>
  <c r="C216" i="2"/>
  <c r="AC215" i="2"/>
  <c r="AD215" i="2" s="1"/>
  <c r="AA215" i="2"/>
  <c r="X215" i="2"/>
  <c r="W215" i="2"/>
  <c r="U215" i="2"/>
  <c r="R215" i="2"/>
  <c r="O215" i="2"/>
  <c r="N215" i="2"/>
  <c r="L215" i="2"/>
  <c r="I215" i="2"/>
  <c r="H215" i="2"/>
  <c r="F215" i="2"/>
  <c r="C215" i="2"/>
  <c r="AC214" i="2"/>
  <c r="AD214" i="2" s="1"/>
  <c r="AA214" i="2"/>
  <c r="W214" i="2"/>
  <c r="X214" i="2" s="1"/>
  <c r="U214" i="2"/>
  <c r="R214" i="2"/>
  <c r="O214" i="2"/>
  <c r="N214" i="2"/>
  <c r="L214" i="2"/>
  <c r="H214" i="2"/>
  <c r="I214" i="2" s="1"/>
  <c r="F214" i="2"/>
  <c r="C214" i="2"/>
  <c r="AC213" i="2"/>
  <c r="AD213" i="2" s="1"/>
  <c r="AA213" i="2"/>
  <c r="X213" i="2"/>
  <c r="W213" i="2"/>
  <c r="U213" i="2"/>
  <c r="R213" i="2"/>
  <c r="O213" i="2"/>
  <c r="N213" i="2"/>
  <c r="L213" i="2"/>
  <c r="H213" i="2"/>
  <c r="I213" i="2" s="1"/>
  <c r="F213" i="2"/>
  <c r="C213" i="2"/>
  <c r="AD211" i="2"/>
  <c r="AC211" i="2"/>
  <c r="AA211" i="2"/>
  <c r="X211" i="2"/>
  <c r="W211" i="2"/>
  <c r="U211" i="2"/>
  <c r="R211" i="2"/>
  <c r="N211" i="2"/>
  <c r="O211" i="2" s="1"/>
  <c r="L211" i="2"/>
  <c r="H211" i="2"/>
  <c r="I211" i="2" s="1"/>
  <c r="F211" i="2"/>
  <c r="C211" i="2"/>
  <c r="AA209" i="2"/>
  <c r="Z209" i="2"/>
  <c r="T209" i="2"/>
  <c r="U209" i="2" s="1"/>
  <c r="Q209" i="2"/>
  <c r="O209" i="2"/>
  <c r="K209" i="2"/>
  <c r="L209" i="2" s="1"/>
  <c r="E209" i="2"/>
  <c r="C209" i="2"/>
  <c r="B209" i="2"/>
  <c r="N209" i="2" s="1"/>
  <c r="AC208" i="2"/>
  <c r="AD208" i="2" s="1"/>
  <c r="AA208" i="2"/>
  <c r="X208" i="2"/>
  <c r="W208" i="2"/>
  <c r="U208" i="2"/>
  <c r="R208" i="2"/>
  <c r="O208" i="2"/>
  <c r="N208" i="2"/>
  <c r="L208" i="2"/>
  <c r="H208" i="2"/>
  <c r="I208" i="2" s="1"/>
  <c r="F208" i="2"/>
  <c r="C208" i="2"/>
  <c r="AD207" i="2"/>
  <c r="AC207" i="2"/>
  <c r="AA207" i="2"/>
  <c r="X207" i="2"/>
  <c r="W207" i="2"/>
  <c r="U207" i="2"/>
  <c r="R207" i="2"/>
  <c r="N207" i="2"/>
  <c r="O207" i="2" s="1"/>
  <c r="L207" i="2"/>
  <c r="H207" i="2"/>
  <c r="I207" i="2" s="1"/>
  <c r="F207" i="2"/>
  <c r="C207" i="2"/>
  <c r="AC206" i="2"/>
  <c r="AD206" i="2" s="1"/>
  <c r="AA206" i="2"/>
  <c r="X206" i="2"/>
  <c r="W206" i="2"/>
  <c r="U206" i="2"/>
  <c r="R206" i="2"/>
  <c r="O206" i="2"/>
  <c r="N206" i="2"/>
  <c r="L206" i="2"/>
  <c r="I206" i="2"/>
  <c r="H206" i="2"/>
  <c r="F206" i="2"/>
  <c r="C206" i="2"/>
  <c r="AC205" i="2"/>
  <c r="AD205" i="2" s="1"/>
  <c r="AA205" i="2"/>
  <c r="W205" i="2"/>
  <c r="X205" i="2" s="1"/>
  <c r="U205" i="2"/>
  <c r="R205" i="2"/>
  <c r="O205" i="2"/>
  <c r="N205" i="2"/>
  <c r="L205" i="2"/>
  <c r="H205" i="2"/>
  <c r="I205" i="2" s="1"/>
  <c r="F205" i="2"/>
  <c r="C205" i="2"/>
  <c r="AC204" i="2"/>
  <c r="AD204" i="2" s="1"/>
  <c r="AA204" i="2"/>
  <c r="X204" i="2"/>
  <c r="W204" i="2"/>
  <c r="U204" i="2"/>
  <c r="R204" i="2"/>
  <c r="O204" i="2"/>
  <c r="N204" i="2"/>
  <c r="L204" i="2"/>
  <c r="H204" i="2"/>
  <c r="I204" i="2" s="1"/>
  <c r="F204" i="2"/>
  <c r="C204" i="2"/>
  <c r="AD203" i="2"/>
  <c r="AC203" i="2"/>
  <c r="AA203" i="2"/>
  <c r="X203" i="2"/>
  <c r="W203" i="2"/>
  <c r="U203" i="2"/>
  <c r="R203" i="2"/>
  <c r="O203" i="2"/>
  <c r="N203" i="2"/>
  <c r="L203" i="2"/>
  <c r="H203" i="2"/>
  <c r="I203" i="2" s="1"/>
  <c r="F203" i="2"/>
  <c r="C203" i="2"/>
  <c r="AC202" i="2"/>
  <c r="AD202" i="2" s="1"/>
  <c r="AA202" i="2"/>
  <c r="X202" i="2"/>
  <c r="W202" i="2"/>
  <c r="U202" i="2"/>
  <c r="R202" i="2"/>
  <c r="O202" i="2"/>
  <c r="N202" i="2"/>
  <c r="L202" i="2"/>
  <c r="I202" i="2"/>
  <c r="H202" i="2"/>
  <c r="F202" i="2"/>
  <c r="C202" i="2"/>
  <c r="AC201" i="2"/>
  <c r="AD201" i="2" s="1"/>
  <c r="AA201" i="2"/>
  <c r="X201" i="2"/>
  <c r="W201" i="2"/>
  <c r="U201" i="2"/>
  <c r="R201" i="2"/>
  <c r="O201" i="2"/>
  <c r="N201" i="2"/>
  <c r="L201" i="2"/>
  <c r="H201" i="2"/>
  <c r="I201" i="2" s="1"/>
  <c r="F201" i="2"/>
  <c r="C201" i="2"/>
  <c r="AA197" i="2"/>
  <c r="Z197" i="2"/>
  <c r="T197" i="2"/>
  <c r="U197" i="2" s="1"/>
  <c r="Q197" i="2"/>
  <c r="O197" i="2"/>
  <c r="K197" i="2"/>
  <c r="L197" i="2" s="1"/>
  <c r="E197" i="2"/>
  <c r="C197" i="2"/>
  <c r="B197" i="2"/>
  <c r="N197" i="2" s="1"/>
  <c r="Z196" i="2"/>
  <c r="AA196" i="2" s="1"/>
  <c r="W196" i="2"/>
  <c r="X196" i="2" s="1"/>
  <c r="U196" i="2"/>
  <c r="T196" i="2"/>
  <c r="Q196" i="2"/>
  <c r="R196" i="2" s="1"/>
  <c r="K196" i="2"/>
  <c r="L196" i="2" s="1"/>
  <c r="E196" i="2"/>
  <c r="F196" i="2" s="1"/>
  <c r="B196" i="2"/>
  <c r="H196" i="2" s="1"/>
  <c r="I196" i="2" s="1"/>
  <c r="AC195" i="2"/>
  <c r="AD195" i="2" s="1"/>
  <c r="AA195" i="2"/>
  <c r="X195" i="2"/>
  <c r="W195" i="2"/>
  <c r="U195" i="2"/>
  <c r="R195" i="2"/>
  <c r="O195" i="2"/>
  <c r="N195" i="2"/>
  <c r="L195" i="2"/>
  <c r="I195" i="2"/>
  <c r="H195" i="2"/>
  <c r="F195" i="2"/>
  <c r="C195" i="2"/>
  <c r="AC194" i="2"/>
  <c r="AD194" i="2" s="1"/>
  <c r="AA194" i="2"/>
  <c r="X194" i="2"/>
  <c r="W194" i="2"/>
  <c r="U194" i="2"/>
  <c r="R194" i="2"/>
  <c r="O194" i="2"/>
  <c r="N194" i="2"/>
  <c r="L194" i="2"/>
  <c r="H194" i="2"/>
  <c r="I194" i="2" s="1"/>
  <c r="F194" i="2"/>
  <c r="C194" i="2"/>
  <c r="Z193" i="2"/>
  <c r="AA193" i="2" s="1"/>
  <c r="W193" i="2"/>
  <c r="X193" i="2" s="1"/>
  <c r="U193" i="2"/>
  <c r="T193" i="2"/>
  <c r="Q193" i="2"/>
  <c r="R193" i="2" s="1"/>
  <c r="K193" i="2"/>
  <c r="L193" i="2" s="1"/>
  <c r="E193" i="2"/>
  <c r="F193" i="2" s="1"/>
  <c r="B193" i="2"/>
  <c r="H193" i="2" s="1"/>
  <c r="I193" i="2" s="1"/>
  <c r="AC192" i="2"/>
  <c r="AD192" i="2" s="1"/>
  <c r="AA192" i="2"/>
  <c r="X192" i="2"/>
  <c r="W192" i="2"/>
  <c r="U192" i="2"/>
  <c r="R192" i="2"/>
  <c r="O192" i="2"/>
  <c r="N192" i="2"/>
  <c r="L192" i="2"/>
  <c r="I192" i="2"/>
  <c r="H192" i="2"/>
  <c r="F192" i="2"/>
  <c r="C192" i="2"/>
  <c r="AC191" i="2"/>
  <c r="AD191" i="2" s="1"/>
  <c r="AA191" i="2"/>
  <c r="W191" i="2"/>
  <c r="X191" i="2" s="1"/>
  <c r="U191" i="2"/>
  <c r="R191" i="2"/>
  <c r="O191" i="2"/>
  <c r="N191" i="2"/>
  <c r="L191" i="2"/>
  <c r="H191" i="2"/>
  <c r="I191" i="2" s="1"/>
  <c r="F191" i="2"/>
  <c r="C191" i="2"/>
  <c r="AC190" i="2"/>
  <c r="AD190" i="2" s="1"/>
  <c r="AA190" i="2"/>
  <c r="X190" i="2"/>
  <c r="W190" i="2"/>
  <c r="U190" i="2"/>
  <c r="R190" i="2"/>
  <c r="O190" i="2"/>
  <c r="N190" i="2"/>
  <c r="L190" i="2"/>
  <c r="H190" i="2"/>
  <c r="I190" i="2" s="1"/>
  <c r="F190" i="2"/>
  <c r="C190" i="2"/>
  <c r="AD189" i="2"/>
  <c r="AC189" i="2"/>
  <c r="AA189" i="2"/>
  <c r="X189" i="2"/>
  <c r="W189" i="2"/>
  <c r="U189" i="2"/>
  <c r="R189" i="2"/>
  <c r="N189" i="2"/>
  <c r="O189" i="2" s="1"/>
  <c r="L189" i="2"/>
  <c r="H189" i="2"/>
  <c r="I189" i="2" s="1"/>
  <c r="F189" i="2"/>
  <c r="C189" i="2"/>
  <c r="AC188" i="2"/>
  <c r="AD188" i="2" s="1"/>
  <c r="AA188" i="2"/>
  <c r="X188" i="2"/>
  <c r="W188" i="2"/>
  <c r="U188" i="2"/>
  <c r="R188" i="2"/>
  <c r="O188" i="2"/>
  <c r="N188" i="2"/>
  <c r="L188" i="2"/>
  <c r="I188" i="2"/>
  <c r="H188" i="2"/>
  <c r="F188" i="2"/>
  <c r="C188" i="2"/>
  <c r="AC187" i="2"/>
  <c r="AD187" i="2" s="1"/>
  <c r="AA187" i="2"/>
  <c r="X187" i="2"/>
  <c r="W187" i="2"/>
  <c r="U187" i="2"/>
  <c r="R187" i="2"/>
  <c r="O187" i="2"/>
  <c r="N187" i="2"/>
  <c r="L187" i="2"/>
  <c r="H187" i="2"/>
  <c r="I187" i="2" s="1"/>
  <c r="F187" i="2"/>
  <c r="C187" i="2"/>
  <c r="AC186" i="2"/>
  <c r="AD186" i="2" s="1"/>
  <c r="AA186" i="2"/>
  <c r="X186" i="2"/>
  <c r="W186" i="2"/>
  <c r="U186" i="2"/>
  <c r="R186" i="2"/>
  <c r="O186" i="2"/>
  <c r="N186" i="2"/>
  <c r="L186" i="2"/>
  <c r="H186" i="2"/>
  <c r="I186" i="2" s="1"/>
  <c r="F186" i="2"/>
  <c r="C186" i="2"/>
  <c r="AD184" i="2"/>
  <c r="AC184" i="2"/>
  <c r="AA184" i="2"/>
  <c r="X184" i="2"/>
  <c r="W184" i="2"/>
  <c r="U184" i="2"/>
  <c r="R184" i="2"/>
  <c r="N184" i="2"/>
  <c r="O184" i="2" s="1"/>
  <c r="L184" i="2"/>
  <c r="H184" i="2"/>
  <c r="I184" i="2" s="1"/>
  <c r="F184" i="2"/>
  <c r="C184" i="2"/>
  <c r="AC183" i="2"/>
  <c r="AD183" i="2" s="1"/>
  <c r="AA183" i="2"/>
  <c r="X183" i="2"/>
  <c r="W183" i="2"/>
  <c r="U183" i="2"/>
  <c r="R183" i="2"/>
  <c r="O183" i="2"/>
  <c r="N183" i="2"/>
  <c r="L183" i="2"/>
  <c r="I183" i="2"/>
  <c r="H183" i="2"/>
  <c r="F183" i="2"/>
  <c r="C183" i="2"/>
  <c r="Z182" i="2"/>
  <c r="AA182" i="2" s="1"/>
  <c r="T182" i="2"/>
  <c r="U182" i="2" s="1"/>
  <c r="Q182" i="2"/>
  <c r="W182" i="2" s="1"/>
  <c r="X182" i="2" s="1"/>
  <c r="N182" i="2"/>
  <c r="O182" i="2" s="1"/>
  <c r="L182" i="2"/>
  <c r="K182" i="2"/>
  <c r="E182" i="2"/>
  <c r="F182" i="2" s="1"/>
  <c r="B182" i="2"/>
  <c r="AD181" i="2"/>
  <c r="AC181" i="2"/>
  <c r="AA181" i="2"/>
  <c r="X181" i="2"/>
  <c r="W181" i="2"/>
  <c r="U181" i="2"/>
  <c r="R181" i="2"/>
  <c r="O181" i="2"/>
  <c r="N181" i="2"/>
  <c r="L181" i="2"/>
  <c r="H181" i="2"/>
  <c r="I181" i="2" s="1"/>
  <c r="F181" i="2"/>
  <c r="C181" i="2"/>
  <c r="AC180" i="2"/>
  <c r="AD180" i="2" s="1"/>
  <c r="AA180" i="2"/>
  <c r="X180" i="2"/>
  <c r="W180" i="2"/>
  <c r="U180" i="2"/>
  <c r="R180" i="2"/>
  <c r="O180" i="2"/>
  <c r="N180" i="2"/>
  <c r="L180" i="2"/>
  <c r="I180" i="2"/>
  <c r="H180" i="2"/>
  <c r="F180" i="2"/>
  <c r="C180" i="2"/>
  <c r="AC179" i="2"/>
  <c r="AD179" i="2" s="1"/>
  <c r="AA179" i="2"/>
  <c r="W179" i="2"/>
  <c r="X179" i="2" s="1"/>
  <c r="U179" i="2"/>
  <c r="R179" i="2"/>
  <c r="O179" i="2"/>
  <c r="N179" i="2"/>
  <c r="L179" i="2"/>
  <c r="H179" i="2"/>
  <c r="I179" i="2" s="1"/>
  <c r="F179" i="2"/>
  <c r="C179" i="2"/>
  <c r="AC178" i="2"/>
  <c r="AD178" i="2" s="1"/>
  <c r="AA178" i="2"/>
  <c r="X178" i="2"/>
  <c r="W178" i="2"/>
  <c r="U178" i="2"/>
  <c r="R178" i="2"/>
  <c r="O178" i="2"/>
  <c r="N178" i="2"/>
  <c r="L178" i="2"/>
  <c r="H178" i="2"/>
  <c r="I178" i="2" s="1"/>
  <c r="F178" i="2"/>
  <c r="C178" i="2"/>
  <c r="AD177" i="2"/>
  <c r="AC177" i="2"/>
  <c r="AA177" i="2"/>
  <c r="X177" i="2"/>
  <c r="W177" i="2"/>
  <c r="U177" i="2"/>
  <c r="R177" i="2"/>
  <c r="N177" i="2"/>
  <c r="O177" i="2" s="1"/>
  <c r="L177" i="2"/>
  <c r="H177" i="2"/>
  <c r="I177" i="2" s="1"/>
  <c r="F177" i="2"/>
  <c r="C177" i="2"/>
  <c r="AC175" i="2"/>
  <c r="AD175" i="2" s="1"/>
  <c r="AA175" i="2"/>
  <c r="X175" i="2"/>
  <c r="W175" i="2"/>
  <c r="U175" i="2"/>
  <c r="R175" i="2"/>
  <c r="O175" i="2"/>
  <c r="N175" i="2"/>
  <c r="L175" i="2"/>
  <c r="I175" i="2"/>
  <c r="H175" i="2"/>
  <c r="F175" i="2"/>
  <c r="C175" i="2"/>
  <c r="Z172" i="2"/>
  <c r="B172" i="2"/>
  <c r="Z171" i="2"/>
  <c r="AA171" i="2" s="1"/>
  <c r="T171" i="2"/>
  <c r="R171" i="2"/>
  <c r="Q171" i="2"/>
  <c r="AC171" i="2" s="1"/>
  <c r="AD171" i="2" s="1"/>
  <c r="K171" i="2"/>
  <c r="L171" i="2" s="1"/>
  <c r="H171" i="2"/>
  <c r="I171" i="2" s="1"/>
  <c r="F171" i="2"/>
  <c r="E171" i="2"/>
  <c r="B171" i="2"/>
  <c r="C171" i="2" s="1"/>
  <c r="Z170" i="2"/>
  <c r="AA170" i="2" s="1"/>
  <c r="T170" i="2"/>
  <c r="U170" i="2" s="1"/>
  <c r="Q170" i="2"/>
  <c r="W170" i="2" s="1"/>
  <c r="X170" i="2" s="1"/>
  <c r="L170" i="2"/>
  <c r="K170" i="2"/>
  <c r="E170" i="2"/>
  <c r="F170" i="2" s="1"/>
  <c r="B170" i="2"/>
  <c r="AD169" i="2"/>
  <c r="AC169" i="2"/>
  <c r="AA169" i="2"/>
  <c r="X169" i="2"/>
  <c r="W169" i="2"/>
  <c r="U169" i="2"/>
  <c r="R169" i="2"/>
  <c r="O169" i="2"/>
  <c r="N169" i="2"/>
  <c r="L169" i="2"/>
  <c r="H169" i="2"/>
  <c r="I169" i="2" s="1"/>
  <c r="F169" i="2"/>
  <c r="C169" i="2"/>
  <c r="AC168" i="2"/>
  <c r="AD168" i="2" s="1"/>
  <c r="AA168" i="2"/>
  <c r="X168" i="2"/>
  <c r="W168" i="2"/>
  <c r="U168" i="2"/>
  <c r="R168" i="2"/>
  <c r="O168" i="2"/>
  <c r="N168" i="2"/>
  <c r="L168" i="2"/>
  <c r="I168" i="2"/>
  <c r="H168" i="2"/>
  <c r="F168" i="2"/>
  <c r="C168" i="2"/>
  <c r="AC167" i="2"/>
  <c r="AD167" i="2" s="1"/>
  <c r="AA167" i="2"/>
  <c r="W167" i="2"/>
  <c r="X167" i="2" s="1"/>
  <c r="U167" i="2"/>
  <c r="R167" i="2"/>
  <c r="O167" i="2"/>
  <c r="N167" i="2"/>
  <c r="L167" i="2"/>
  <c r="H167" i="2"/>
  <c r="I167" i="2" s="1"/>
  <c r="F167" i="2"/>
  <c r="C167" i="2"/>
  <c r="Z166" i="2"/>
  <c r="AA166" i="2" s="1"/>
  <c r="W166" i="2"/>
  <c r="X166" i="2" s="1"/>
  <c r="U166" i="2"/>
  <c r="T166" i="2"/>
  <c r="Q166" i="2"/>
  <c r="R166" i="2" s="1"/>
  <c r="K166" i="2"/>
  <c r="L166" i="2" s="1"/>
  <c r="E166" i="2"/>
  <c r="F166" i="2" s="1"/>
  <c r="B166" i="2"/>
  <c r="H166" i="2" s="1"/>
  <c r="I166" i="2" s="1"/>
  <c r="AC165" i="2"/>
  <c r="AD165" i="2" s="1"/>
  <c r="AA165" i="2"/>
  <c r="X165" i="2"/>
  <c r="W165" i="2"/>
  <c r="U165" i="2"/>
  <c r="R165" i="2"/>
  <c r="O165" i="2"/>
  <c r="N165" i="2"/>
  <c r="L165" i="2"/>
  <c r="I165" i="2"/>
  <c r="H165" i="2"/>
  <c r="F165" i="2"/>
  <c r="C165" i="2"/>
  <c r="AC164" i="2"/>
  <c r="AD164" i="2" s="1"/>
  <c r="AA164" i="2"/>
  <c r="W164" i="2"/>
  <c r="X164" i="2" s="1"/>
  <c r="U164" i="2"/>
  <c r="R164" i="2"/>
  <c r="O164" i="2"/>
  <c r="N164" i="2"/>
  <c r="L164" i="2"/>
  <c r="H164" i="2"/>
  <c r="I164" i="2" s="1"/>
  <c r="F164" i="2"/>
  <c r="C164" i="2"/>
  <c r="AC163" i="2"/>
  <c r="AD163" i="2" s="1"/>
  <c r="AA163" i="2"/>
  <c r="X163" i="2"/>
  <c r="W163" i="2"/>
  <c r="U163" i="2"/>
  <c r="R163" i="2"/>
  <c r="O163" i="2"/>
  <c r="N163" i="2"/>
  <c r="L163" i="2"/>
  <c r="H163" i="2"/>
  <c r="I163" i="2" s="1"/>
  <c r="F163" i="2"/>
  <c r="C163" i="2"/>
  <c r="AD162" i="2"/>
  <c r="AC162" i="2"/>
  <c r="AA162" i="2"/>
  <c r="X162" i="2"/>
  <c r="W162" i="2"/>
  <c r="U162" i="2"/>
  <c r="R162" i="2"/>
  <c r="O162" i="2"/>
  <c r="N162" i="2"/>
  <c r="L162" i="2"/>
  <c r="H162" i="2"/>
  <c r="I162" i="2" s="1"/>
  <c r="F162" i="2"/>
  <c r="C162" i="2"/>
  <c r="AC161" i="2"/>
  <c r="AD161" i="2" s="1"/>
  <c r="AA161" i="2"/>
  <c r="X161" i="2"/>
  <c r="W161" i="2"/>
  <c r="U161" i="2"/>
  <c r="R161" i="2"/>
  <c r="O161" i="2"/>
  <c r="N161" i="2"/>
  <c r="L161" i="2"/>
  <c r="I161" i="2"/>
  <c r="H161" i="2"/>
  <c r="F161" i="2"/>
  <c r="C161" i="2"/>
  <c r="AC160" i="2"/>
  <c r="AD160" i="2" s="1"/>
  <c r="AA160" i="2"/>
  <c r="W160" i="2"/>
  <c r="X160" i="2" s="1"/>
  <c r="U160" i="2"/>
  <c r="R160" i="2"/>
  <c r="O160" i="2"/>
  <c r="N160" i="2"/>
  <c r="L160" i="2"/>
  <c r="H160" i="2"/>
  <c r="I160" i="2" s="1"/>
  <c r="F160" i="2"/>
  <c r="C160" i="2"/>
  <c r="Z158" i="2"/>
  <c r="AA158" i="2" s="1"/>
  <c r="W158" i="2"/>
  <c r="X158" i="2" s="1"/>
  <c r="U158" i="2"/>
  <c r="T158" i="2"/>
  <c r="Q158" i="2"/>
  <c r="R158" i="2" s="1"/>
  <c r="K158" i="2"/>
  <c r="L158" i="2" s="1"/>
  <c r="E158" i="2"/>
  <c r="F158" i="2" s="1"/>
  <c r="B158" i="2"/>
  <c r="H158" i="2" s="1"/>
  <c r="I158" i="2" s="1"/>
  <c r="AC157" i="2"/>
  <c r="AD157" i="2" s="1"/>
  <c r="AA157" i="2"/>
  <c r="X157" i="2"/>
  <c r="W157" i="2"/>
  <c r="U157" i="2"/>
  <c r="R157" i="2"/>
  <c r="O157" i="2"/>
  <c r="N157" i="2"/>
  <c r="L157" i="2"/>
  <c r="I157" i="2"/>
  <c r="H157" i="2"/>
  <c r="F157" i="2"/>
  <c r="C157" i="2"/>
  <c r="AC156" i="2"/>
  <c r="AD156" i="2" s="1"/>
  <c r="AA156" i="2"/>
  <c r="X156" i="2"/>
  <c r="W156" i="2"/>
  <c r="U156" i="2"/>
  <c r="R156" i="2"/>
  <c r="O156" i="2"/>
  <c r="N156" i="2"/>
  <c r="L156" i="2"/>
  <c r="H156" i="2"/>
  <c r="I156" i="2" s="1"/>
  <c r="F156" i="2"/>
  <c r="C156" i="2"/>
  <c r="AC155" i="2"/>
  <c r="AD155" i="2" s="1"/>
  <c r="AA155" i="2"/>
  <c r="X155" i="2"/>
  <c r="W155" i="2"/>
  <c r="U155" i="2"/>
  <c r="R155" i="2"/>
  <c r="O155" i="2"/>
  <c r="N155" i="2"/>
  <c r="L155" i="2"/>
  <c r="H155" i="2"/>
  <c r="I155" i="2" s="1"/>
  <c r="F155" i="2"/>
  <c r="C155" i="2"/>
  <c r="AD154" i="2"/>
  <c r="AC154" i="2"/>
  <c r="AA154" i="2"/>
  <c r="X154" i="2"/>
  <c r="W154" i="2"/>
  <c r="U154" i="2"/>
  <c r="R154" i="2"/>
  <c r="O154" i="2"/>
  <c r="N154" i="2"/>
  <c r="L154" i="2"/>
  <c r="H154" i="2"/>
  <c r="I154" i="2" s="1"/>
  <c r="F154" i="2"/>
  <c r="C154" i="2"/>
  <c r="AC153" i="2"/>
  <c r="AD153" i="2" s="1"/>
  <c r="AA153" i="2"/>
  <c r="X153" i="2"/>
  <c r="W153" i="2"/>
  <c r="U153" i="2"/>
  <c r="R153" i="2"/>
  <c r="O153" i="2"/>
  <c r="N153" i="2"/>
  <c r="L153" i="2"/>
  <c r="I153" i="2"/>
  <c r="H153" i="2"/>
  <c r="F153" i="2"/>
  <c r="C153" i="2"/>
  <c r="AC151" i="2"/>
  <c r="AD151" i="2" s="1"/>
  <c r="AA151" i="2"/>
  <c r="W151" i="2"/>
  <c r="X151" i="2" s="1"/>
  <c r="U151" i="2"/>
  <c r="R151" i="2"/>
  <c r="O151" i="2"/>
  <c r="N151" i="2"/>
  <c r="L151" i="2"/>
  <c r="H151" i="2"/>
  <c r="I151" i="2" s="1"/>
  <c r="F151" i="2"/>
  <c r="C151" i="2"/>
  <c r="Z149" i="2"/>
  <c r="AA149" i="2" s="1"/>
  <c r="W149" i="2"/>
  <c r="X149" i="2" s="1"/>
  <c r="U149" i="2"/>
  <c r="T149" i="2"/>
  <c r="Q149" i="2"/>
  <c r="R149" i="2" s="1"/>
  <c r="K149" i="2"/>
  <c r="L149" i="2" s="1"/>
  <c r="E149" i="2"/>
  <c r="F149" i="2" s="1"/>
  <c r="B149" i="2"/>
  <c r="H149" i="2" s="1"/>
  <c r="I149" i="2" s="1"/>
  <c r="AC148" i="2"/>
  <c r="AD148" i="2" s="1"/>
  <c r="AA148" i="2"/>
  <c r="Z148" i="2"/>
  <c r="T148" i="2"/>
  <c r="U148" i="2" s="1"/>
  <c r="Q148" i="2"/>
  <c r="K148" i="2"/>
  <c r="L148" i="2" s="1"/>
  <c r="E148" i="2"/>
  <c r="C148" i="2"/>
  <c r="B148" i="2"/>
  <c r="N148" i="2" s="1"/>
  <c r="O148" i="2" s="1"/>
  <c r="AC147" i="2"/>
  <c r="AD147" i="2" s="1"/>
  <c r="AA147" i="2"/>
  <c r="X147" i="2"/>
  <c r="W147" i="2"/>
  <c r="U147" i="2"/>
  <c r="R147" i="2"/>
  <c r="O147" i="2"/>
  <c r="N147" i="2"/>
  <c r="L147" i="2"/>
  <c r="H147" i="2"/>
  <c r="I147" i="2" s="1"/>
  <c r="F147" i="2"/>
  <c r="C147" i="2"/>
  <c r="AD146" i="2"/>
  <c r="AC146" i="2"/>
  <c r="AA146" i="2"/>
  <c r="X146" i="2"/>
  <c r="W146" i="2"/>
  <c r="U146" i="2"/>
  <c r="R146" i="2"/>
  <c r="N146" i="2"/>
  <c r="O146" i="2" s="1"/>
  <c r="L146" i="2"/>
  <c r="H146" i="2"/>
  <c r="I146" i="2" s="1"/>
  <c r="F146" i="2"/>
  <c r="C146" i="2"/>
  <c r="AC145" i="2"/>
  <c r="AD145" i="2" s="1"/>
  <c r="AA145" i="2"/>
  <c r="X145" i="2"/>
  <c r="W145" i="2"/>
  <c r="U145" i="2"/>
  <c r="R145" i="2"/>
  <c r="O145" i="2"/>
  <c r="N145" i="2"/>
  <c r="L145" i="2"/>
  <c r="I145" i="2"/>
  <c r="H145" i="2"/>
  <c r="F145" i="2"/>
  <c r="C145" i="2"/>
  <c r="AC144" i="2"/>
  <c r="AD144" i="2" s="1"/>
  <c r="AA144" i="2"/>
  <c r="W144" i="2"/>
  <c r="X144" i="2" s="1"/>
  <c r="U144" i="2"/>
  <c r="R144" i="2"/>
  <c r="O144" i="2"/>
  <c r="N144" i="2"/>
  <c r="L144" i="2"/>
  <c r="H144" i="2"/>
  <c r="I144" i="2" s="1"/>
  <c r="F144" i="2"/>
  <c r="C144" i="2"/>
  <c r="AC143" i="2"/>
  <c r="AD143" i="2" s="1"/>
  <c r="AA143" i="2"/>
  <c r="X143" i="2"/>
  <c r="W143" i="2"/>
  <c r="U143" i="2"/>
  <c r="R143" i="2"/>
  <c r="O143" i="2"/>
  <c r="N143" i="2"/>
  <c r="L143" i="2"/>
  <c r="H143" i="2"/>
  <c r="I143" i="2" s="1"/>
  <c r="F143" i="2"/>
  <c r="C143" i="2"/>
  <c r="AD141" i="2"/>
  <c r="Z141" i="2"/>
  <c r="AA141" i="2" s="1"/>
  <c r="T141" i="2"/>
  <c r="R141" i="2"/>
  <c r="Q141" i="2"/>
  <c r="AC141" i="2" s="1"/>
  <c r="K141" i="2"/>
  <c r="L141" i="2" s="1"/>
  <c r="H141" i="2"/>
  <c r="I141" i="2" s="1"/>
  <c r="F141" i="2"/>
  <c r="E141" i="2"/>
  <c r="B141" i="2"/>
  <c r="C141" i="2" s="1"/>
  <c r="AC140" i="2"/>
  <c r="AD140" i="2" s="1"/>
  <c r="AA140" i="2"/>
  <c r="X140" i="2"/>
  <c r="W140" i="2"/>
  <c r="U140" i="2"/>
  <c r="R140" i="2"/>
  <c r="O140" i="2"/>
  <c r="N140" i="2"/>
  <c r="L140" i="2"/>
  <c r="H140" i="2"/>
  <c r="I140" i="2" s="1"/>
  <c r="F140" i="2"/>
  <c r="C140" i="2"/>
  <c r="AC139" i="2"/>
  <c r="AD139" i="2" s="1"/>
  <c r="AA139" i="2"/>
  <c r="X139" i="2"/>
  <c r="W139" i="2"/>
  <c r="U139" i="2"/>
  <c r="R139" i="2"/>
  <c r="O139" i="2"/>
  <c r="N139" i="2"/>
  <c r="L139" i="2"/>
  <c r="H139" i="2"/>
  <c r="I139" i="2" s="1"/>
  <c r="F139" i="2"/>
  <c r="C139" i="2"/>
  <c r="AD138" i="2"/>
  <c r="AC138" i="2"/>
  <c r="AA138" i="2"/>
  <c r="X138" i="2"/>
  <c r="W138" i="2"/>
  <c r="U138" i="2"/>
  <c r="R138" i="2"/>
  <c r="N138" i="2"/>
  <c r="O138" i="2" s="1"/>
  <c r="L138" i="2"/>
  <c r="H138" i="2"/>
  <c r="I138" i="2" s="1"/>
  <c r="F138" i="2"/>
  <c r="C138" i="2"/>
  <c r="AC137" i="2"/>
  <c r="AD137" i="2" s="1"/>
  <c r="AA137" i="2"/>
  <c r="X137" i="2"/>
  <c r="W137" i="2"/>
  <c r="U137" i="2"/>
  <c r="R137" i="2"/>
  <c r="O137" i="2"/>
  <c r="N137" i="2"/>
  <c r="L137" i="2"/>
  <c r="I137" i="2"/>
  <c r="H137" i="2"/>
  <c r="F137" i="2"/>
  <c r="C137" i="2"/>
  <c r="AC136" i="2"/>
  <c r="AD136" i="2" s="1"/>
  <c r="AA136" i="2"/>
  <c r="W136" i="2"/>
  <c r="X136" i="2" s="1"/>
  <c r="U136" i="2"/>
  <c r="R136" i="2"/>
  <c r="O136" i="2"/>
  <c r="N136" i="2"/>
  <c r="L136" i="2"/>
  <c r="H136" i="2"/>
  <c r="I136" i="2" s="1"/>
  <c r="F136" i="2"/>
  <c r="C136" i="2"/>
  <c r="AC135" i="2"/>
  <c r="AD135" i="2" s="1"/>
  <c r="AA135" i="2"/>
  <c r="X135" i="2"/>
  <c r="W135" i="2"/>
  <c r="U135" i="2"/>
  <c r="R135" i="2"/>
  <c r="O135" i="2"/>
  <c r="N135" i="2"/>
  <c r="L135" i="2"/>
  <c r="H135" i="2"/>
  <c r="I135" i="2" s="1"/>
  <c r="F135" i="2"/>
  <c r="C135" i="2"/>
  <c r="AD134" i="2"/>
  <c r="AC134" i="2"/>
  <c r="AA134" i="2"/>
  <c r="X134" i="2"/>
  <c r="W134" i="2"/>
  <c r="U134" i="2"/>
  <c r="R134" i="2"/>
  <c r="O134" i="2"/>
  <c r="N134" i="2"/>
  <c r="L134" i="2"/>
  <c r="H134" i="2"/>
  <c r="I134" i="2" s="1"/>
  <c r="F134" i="2"/>
  <c r="C134" i="2"/>
  <c r="AC133" i="2"/>
  <c r="AD133" i="2" s="1"/>
  <c r="AA133" i="2"/>
  <c r="X133" i="2"/>
  <c r="W133" i="2"/>
  <c r="U133" i="2"/>
  <c r="R133" i="2"/>
  <c r="O133" i="2"/>
  <c r="N133" i="2"/>
  <c r="L133" i="2"/>
  <c r="I133" i="2"/>
  <c r="H133" i="2"/>
  <c r="F133" i="2"/>
  <c r="C133" i="2"/>
  <c r="AC132" i="2"/>
  <c r="AD132" i="2" s="1"/>
  <c r="AA132" i="2"/>
  <c r="X132" i="2"/>
  <c r="W132" i="2"/>
  <c r="U132" i="2"/>
  <c r="R132" i="2"/>
  <c r="O132" i="2"/>
  <c r="N132" i="2"/>
  <c r="L132" i="2"/>
  <c r="H132" i="2"/>
  <c r="I132" i="2" s="1"/>
  <c r="F132" i="2"/>
  <c r="C132" i="2"/>
  <c r="AC131" i="2"/>
  <c r="AD131" i="2" s="1"/>
  <c r="AA131" i="2"/>
  <c r="X131" i="2"/>
  <c r="W131" i="2"/>
  <c r="U131" i="2"/>
  <c r="R131" i="2"/>
  <c r="O131" i="2"/>
  <c r="N131" i="2"/>
  <c r="L131" i="2"/>
  <c r="H131" i="2"/>
  <c r="I131" i="2" s="1"/>
  <c r="F131" i="2"/>
  <c r="C131" i="2"/>
  <c r="AD130" i="2"/>
  <c r="AC130" i="2"/>
  <c r="AA130" i="2"/>
  <c r="X130" i="2"/>
  <c r="W130" i="2"/>
  <c r="U130" i="2"/>
  <c r="R130" i="2"/>
  <c r="N130" i="2"/>
  <c r="O130" i="2" s="1"/>
  <c r="L130" i="2"/>
  <c r="H130" i="2"/>
  <c r="I130" i="2" s="1"/>
  <c r="F130" i="2"/>
  <c r="C130" i="2"/>
  <c r="AC129" i="2"/>
  <c r="AD129" i="2" s="1"/>
  <c r="AA129" i="2"/>
  <c r="X129" i="2"/>
  <c r="W129" i="2"/>
  <c r="U129" i="2"/>
  <c r="R129" i="2"/>
  <c r="O129" i="2"/>
  <c r="N129" i="2"/>
  <c r="L129" i="2"/>
  <c r="I129" i="2"/>
  <c r="H129" i="2"/>
  <c r="F129" i="2"/>
  <c r="C129" i="2"/>
  <c r="AC127" i="2"/>
  <c r="AD127" i="2" s="1"/>
  <c r="AA127" i="2"/>
  <c r="W127" i="2"/>
  <c r="X127" i="2" s="1"/>
  <c r="U127" i="2"/>
  <c r="R127" i="2"/>
  <c r="O127" i="2"/>
  <c r="N127" i="2"/>
  <c r="L127" i="2"/>
  <c r="H127" i="2"/>
  <c r="I127" i="2" s="1"/>
  <c r="F127" i="2"/>
  <c r="C127" i="2"/>
  <c r="Z124" i="2"/>
  <c r="AA124" i="2" s="1"/>
  <c r="W124" i="2"/>
  <c r="X124" i="2" s="1"/>
  <c r="U124" i="2"/>
  <c r="T124" i="2"/>
  <c r="Q124" i="2"/>
  <c r="R124" i="2" s="1"/>
  <c r="K124" i="2"/>
  <c r="I124" i="2"/>
  <c r="E124" i="2"/>
  <c r="F124" i="2" s="1"/>
  <c r="B124" i="2"/>
  <c r="H124" i="2" s="1"/>
  <c r="AC123" i="2"/>
  <c r="AD123" i="2" s="1"/>
  <c r="AA123" i="2"/>
  <c r="X123" i="2"/>
  <c r="W123" i="2"/>
  <c r="U123" i="2"/>
  <c r="R123" i="2"/>
  <c r="O123" i="2"/>
  <c r="N123" i="2"/>
  <c r="L123" i="2"/>
  <c r="I123" i="2"/>
  <c r="H123" i="2"/>
  <c r="F123" i="2"/>
  <c r="C123" i="2"/>
  <c r="Z122" i="2"/>
  <c r="AA122" i="2" s="1"/>
  <c r="X122" i="2"/>
  <c r="T122" i="2"/>
  <c r="U122" i="2" s="1"/>
  <c r="Q122" i="2"/>
  <c r="W122" i="2" s="1"/>
  <c r="L122" i="2"/>
  <c r="K122" i="2"/>
  <c r="E122" i="2"/>
  <c r="F122" i="2" s="1"/>
  <c r="B122" i="2"/>
  <c r="AD121" i="2"/>
  <c r="AC121" i="2"/>
  <c r="AA121" i="2"/>
  <c r="X121" i="2"/>
  <c r="W121" i="2"/>
  <c r="U121" i="2"/>
  <c r="R121" i="2"/>
  <c r="N121" i="2"/>
  <c r="O121" i="2" s="1"/>
  <c r="L121" i="2"/>
  <c r="H121" i="2"/>
  <c r="I121" i="2" s="1"/>
  <c r="F121" i="2"/>
  <c r="C121" i="2"/>
  <c r="AC120" i="2"/>
  <c r="AD120" i="2" s="1"/>
  <c r="AA120" i="2"/>
  <c r="X120" i="2"/>
  <c r="W120" i="2"/>
  <c r="U120" i="2"/>
  <c r="R120" i="2"/>
  <c r="O120" i="2"/>
  <c r="N120" i="2"/>
  <c r="L120" i="2"/>
  <c r="I120" i="2"/>
  <c r="H120" i="2"/>
  <c r="F120" i="2"/>
  <c r="C120" i="2"/>
  <c r="AC119" i="2"/>
  <c r="AD119" i="2" s="1"/>
  <c r="AA119" i="2"/>
  <c r="W119" i="2"/>
  <c r="X119" i="2" s="1"/>
  <c r="U119" i="2"/>
  <c r="R119" i="2"/>
  <c r="O119" i="2"/>
  <c r="N119" i="2"/>
  <c r="L119" i="2"/>
  <c r="H119" i="2"/>
  <c r="I119" i="2" s="1"/>
  <c r="F119" i="2"/>
  <c r="C119" i="2"/>
  <c r="Z118" i="2"/>
  <c r="AA118" i="2" s="1"/>
  <c r="W118" i="2"/>
  <c r="X118" i="2" s="1"/>
  <c r="U118" i="2"/>
  <c r="T118" i="2"/>
  <c r="Q118" i="2"/>
  <c r="R118" i="2" s="1"/>
  <c r="K118" i="2"/>
  <c r="L118" i="2" s="1"/>
  <c r="I118" i="2"/>
  <c r="E118" i="2"/>
  <c r="F118" i="2" s="1"/>
  <c r="B118" i="2"/>
  <c r="H118" i="2" s="1"/>
  <c r="AC117" i="2"/>
  <c r="AD117" i="2" s="1"/>
  <c r="AA117" i="2"/>
  <c r="X117" i="2"/>
  <c r="W117" i="2"/>
  <c r="U117" i="2"/>
  <c r="R117" i="2"/>
  <c r="O117" i="2"/>
  <c r="N117" i="2"/>
  <c r="L117" i="2"/>
  <c r="I117" i="2"/>
  <c r="H117" i="2"/>
  <c r="F117" i="2"/>
  <c r="C117" i="2"/>
  <c r="AC116" i="2"/>
  <c r="AD116" i="2" s="1"/>
  <c r="AA116" i="2"/>
  <c r="W116" i="2"/>
  <c r="X116" i="2" s="1"/>
  <c r="U116" i="2"/>
  <c r="R116" i="2"/>
  <c r="O116" i="2"/>
  <c r="N116" i="2"/>
  <c r="L116" i="2"/>
  <c r="H116" i="2"/>
  <c r="I116" i="2" s="1"/>
  <c r="F116" i="2"/>
  <c r="C116" i="2"/>
  <c r="AC115" i="2"/>
  <c r="AD115" i="2" s="1"/>
  <c r="AA115" i="2"/>
  <c r="X115" i="2"/>
  <c r="W115" i="2"/>
  <c r="U115" i="2"/>
  <c r="R115" i="2"/>
  <c r="O115" i="2"/>
  <c r="N115" i="2"/>
  <c r="L115" i="2"/>
  <c r="H115" i="2"/>
  <c r="I115" i="2" s="1"/>
  <c r="F115" i="2"/>
  <c r="C115" i="2"/>
  <c r="AD114" i="2"/>
  <c r="AC114" i="2"/>
  <c r="AA114" i="2"/>
  <c r="X114" i="2"/>
  <c r="W114" i="2"/>
  <c r="U114" i="2"/>
  <c r="R114" i="2"/>
  <c r="O114" i="2"/>
  <c r="N114" i="2"/>
  <c r="L114" i="2"/>
  <c r="H114" i="2"/>
  <c r="I114" i="2" s="1"/>
  <c r="F114" i="2"/>
  <c r="C114" i="2"/>
  <c r="AC113" i="2"/>
  <c r="AD113" i="2" s="1"/>
  <c r="AA113" i="2"/>
  <c r="X113" i="2"/>
  <c r="W113" i="2"/>
  <c r="U113" i="2"/>
  <c r="R113" i="2"/>
  <c r="O113" i="2"/>
  <c r="N113" i="2"/>
  <c r="L113" i="2"/>
  <c r="I113" i="2"/>
  <c r="H113" i="2"/>
  <c r="F113" i="2"/>
  <c r="C113" i="2"/>
  <c r="AC112" i="2"/>
  <c r="AD112" i="2" s="1"/>
  <c r="AA112" i="2"/>
  <c r="X112" i="2"/>
  <c r="W112" i="2"/>
  <c r="U112" i="2"/>
  <c r="R112" i="2"/>
  <c r="O112" i="2"/>
  <c r="N112" i="2"/>
  <c r="L112" i="2"/>
  <c r="H112" i="2"/>
  <c r="I112" i="2" s="1"/>
  <c r="F112" i="2"/>
  <c r="C112" i="2"/>
  <c r="AC111" i="2"/>
  <c r="AD111" i="2" s="1"/>
  <c r="AA111" i="2"/>
  <c r="X111" i="2"/>
  <c r="W111" i="2"/>
  <c r="U111" i="2"/>
  <c r="R111" i="2"/>
  <c r="O111" i="2"/>
  <c r="N111" i="2"/>
  <c r="L111" i="2"/>
  <c r="H111" i="2"/>
  <c r="I111" i="2" s="1"/>
  <c r="F111" i="2"/>
  <c r="C111" i="2"/>
  <c r="AD110" i="2"/>
  <c r="AC110" i="2"/>
  <c r="AA110" i="2"/>
  <c r="X110" i="2"/>
  <c r="W110" i="2"/>
  <c r="U110" i="2"/>
  <c r="R110" i="2"/>
  <c r="O110" i="2"/>
  <c r="N110" i="2"/>
  <c r="L110" i="2"/>
  <c r="H110" i="2"/>
  <c r="I110" i="2" s="1"/>
  <c r="F110" i="2"/>
  <c r="C110" i="2"/>
  <c r="AC109" i="2"/>
  <c r="AD109" i="2" s="1"/>
  <c r="AA109" i="2"/>
  <c r="X109" i="2"/>
  <c r="W109" i="2"/>
  <c r="U109" i="2"/>
  <c r="R109" i="2"/>
  <c r="O109" i="2"/>
  <c r="N109" i="2"/>
  <c r="L109" i="2"/>
  <c r="I109" i="2"/>
  <c r="H109" i="2"/>
  <c r="F109" i="2"/>
  <c r="C109" i="2"/>
  <c r="AC108" i="2"/>
  <c r="AD108" i="2" s="1"/>
  <c r="AA108" i="2"/>
  <c r="W108" i="2"/>
  <c r="X108" i="2" s="1"/>
  <c r="U108" i="2"/>
  <c r="R108" i="2"/>
  <c r="O108" i="2"/>
  <c r="N108" i="2"/>
  <c r="L108" i="2"/>
  <c r="H108" i="2"/>
  <c r="I108" i="2" s="1"/>
  <c r="F108" i="2"/>
  <c r="C108" i="2"/>
  <c r="AC107" i="2"/>
  <c r="AD107" i="2" s="1"/>
  <c r="AA107" i="2"/>
  <c r="X107" i="2"/>
  <c r="W107" i="2"/>
  <c r="U107" i="2"/>
  <c r="R107" i="2"/>
  <c r="O107" i="2"/>
  <c r="N107" i="2"/>
  <c r="L107" i="2"/>
  <c r="H107" i="2"/>
  <c r="I107" i="2" s="1"/>
  <c r="F107" i="2"/>
  <c r="C107" i="2"/>
  <c r="AD106" i="2"/>
  <c r="AC106" i="2"/>
  <c r="AA106" i="2"/>
  <c r="X106" i="2"/>
  <c r="W106" i="2"/>
  <c r="U106" i="2"/>
  <c r="R106" i="2"/>
  <c r="N106" i="2"/>
  <c r="O106" i="2" s="1"/>
  <c r="L106" i="2"/>
  <c r="H106" i="2"/>
  <c r="I106" i="2" s="1"/>
  <c r="F106" i="2"/>
  <c r="C106" i="2"/>
  <c r="AC105" i="2"/>
  <c r="AD105" i="2" s="1"/>
  <c r="AA105" i="2"/>
  <c r="X105" i="2"/>
  <c r="W105" i="2"/>
  <c r="U105" i="2"/>
  <c r="R105" i="2"/>
  <c r="O105" i="2"/>
  <c r="N105" i="2"/>
  <c r="L105" i="2"/>
  <c r="I105" i="2"/>
  <c r="H105" i="2"/>
  <c r="F105" i="2"/>
  <c r="C105" i="2"/>
  <c r="AC104" i="2"/>
  <c r="AD104" i="2" s="1"/>
  <c r="AA104" i="2"/>
  <c r="W104" i="2"/>
  <c r="X104" i="2" s="1"/>
  <c r="U104" i="2"/>
  <c r="R104" i="2"/>
  <c r="O104" i="2"/>
  <c r="N104" i="2"/>
  <c r="L104" i="2"/>
  <c r="H104" i="2"/>
  <c r="I104" i="2" s="1"/>
  <c r="F104" i="2"/>
  <c r="C104" i="2"/>
  <c r="AC103" i="2"/>
  <c r="AD103" i="2" s="1"/>
  <c r="AA103" i="2"/>
  <c r="X103" i="2"/>
  <c r="W103" i="2"/>
  <c r="U103" i="2"/>
  <c r="R103" i="2"/>
  <c r="O103" i="2"/>
  <c r="N103" i="2"/>
  <c r="L103" i="2"/>
  <c r="H103" i="2"/>
  <c r="I103" i="2" s="1"/>
  <c r="F103" i="2"/>
  <c r="C103" i="2"/>
  <c r="AD102" i="2"/>
  <c r="AC102" i="2"/>
  <c r="AA102" i="2"/>
  <c r="X102" i="2"/>
  <c r="W102" i="2"/>
  <c r="U102" i="2"/>
  <c r="R102" i="2"/>
  <c r="O102" i="2"/>
  <c r="N102" i="2"/>
  <c r="L102" i="2"/>
  <c r="H102" i="2"/>
  <c r="I102" i="2" s="1"/>
  <c r="F102" i="2"/>
  <c r="C102" i="2"/>
  <c r="AC101" i="2"/>
  <c r="AD101" i="2" s="1"/>
  <c r="AA101" i="2"/>
  <c r="X101" i="2"/>
  <c r="W101" i="2"/>
  <c r="U101" i="2"/>
  <c r="R101" i="2"/>
  <c r="O101" i="2"/>
  <c r="N101" i="2"/>
  <c r="L101" i="2"/>
  <c r="I101" i="2"/>
  <c r="H101" i="2"/>
  <c r="F101" i="2"/>
  <c r="C101" i="2"/>
  <c r="AC100" i="2"/>
  <c r="AD100" i="2" s="1"/>
  <c r="AA100" i="2"/>
  <c r="W100" i="2"/>
  <c r="X100" i="2" s="1"/>
  <c r="U100" i="2"/>
  <c r="R100" i="2"/>
  <c r="O100" i="2"/>
  <c r="N100" i="2"/>
  <c r="L100" i="2"/>
  <c r="H100" i="2"/>
  <c r="I100" i="2" s="1"/>
  <c r="F100" i="2"/>
  <c r="C100" i="2"/>
  <c r="AC99" i="2"/>
  <c r="AD99" i="2" s="1"/>
  <c r="AA99" i="2"/>
  <c r="X99" i="2"/>
  <c r="W99" i="2"/>
  <c r="U99" i="2"/>
  <c r="R99" i="2"/>
  <c r="O99" i="2"/>
  <c r="N99" i="2"/>
  <c r="L99" i="2"/>
  <c r="H99" i="2"/>
  <c r="I99" i="2" s="1"/>
  <c r="F99" i="2"/>
  <c r="C99" i="2"/>
  <c r="AD98" i="2"/>
  <c r="AC98" i="2"/>
  <c r="AA98" i="2"/>
  <c r="X98" i="2"/>
  <c r="W98" i="2"/>
  <c r="U98" i="2"/>
  <c r="R98" i="2"/>
  <c r="N98" i="2"/>
  <c r="O98" i="2" s="1"/>
  <c r="L98" i="2"/>
  <c r="H98" i="2"/>
  <c r="I98" i="2" s="1"/>
  <c r="F98" i="2"/>
  <c r="C98" i="2"/>
  <c r="AC97" i="2"/>
  <c r="AD97" i="2" s="1"/>
  <c r="AA97" i="2"/>
  <c r="X97" i="2"/>
  <c r="W97" i="2"/>
  <c r="U97" i="2"/>
  <c r="R97" i="2"/>
  <c r="O97" i="2"/>
  <c r="N97" i="2"/>
  <c r="L97" i="2"/>
  <c r="I97" i="2"/>
  <c r="H97" i="2"/>
  <c r="F97" i="2"/>
  <c r="C97" i="2"/>
  <c r="AC96" i="2"/>
  <c r="AD96" i="2" s="1"/>
  <c r="AA96" i="2"/>
  <c r="X96" i="2"/>
  <c r="W96" i="2"/>
  <c r="U96" i="2"/>
  <c r="R96" i="2"/>
  <c r="O96" i="2"/>
  <c r="N96" i="2"/>
  <c r="L96" i="2"/>
  <c r="H96" i="2"/>
  <c r="I96" i="2" s="1"/>
  <c r="F96" i="2"/>
  <c r="C96" i="2"/>
  <c r="AC95" i="2"/>
  <c r="AD95" i="2" s="1"/>
  <c r="AA95" i="2"/>
  <c r="X95" i="2"/>
  <c r="W95" i="2"/>
  <c r="U95" i="2"/>
  <c r="R95" i="2"/>
  <c r="O95" i="2"/>
  <c r="N95" i="2"/>
  <c r="L95" i="2"/>
  <c r="H95" i="2"/>
  <c r="I95" i="2" s="1"/>
  <c r="F95" i="2"/>
  <c r="C95" i="2"/>
  <c r="AD94" i="2"/>
  <c r="AC94" i="2"/>
  <c r="AA94" i="2"/>
  <c r="X94" i="2"/>
  <c r="W94" i="2"/>
  <c r="U94" i="2"/>
  <c r="R94" i="2"/>
  <c r="O94" i="2"/>
  <c r="N94" i="2"/>
  <c r="L94" i="2"/>
  <c r="H94" i="2"/>
  <c r="I94" i="2" s="1"/>
  <c r="F94" i="2"/>
  <c r="C94" i="2"/>
  <c r="AC92" i="2"/>
  <c r="AD92" i="2" s="1"/>
  <c r="AA92" i="2"/>
  <c r="X92" i="2"/>
  <c r="W92" i="2"/>
  <c r="U92" i="2"/>
  <c r="R92" i="2"/>
  <c r="O92" i="2"/>
  <c r="N92" i="2"/>
  <c r="L92" i="2"/>
  <c r="I92" i="2"/>
  <c r="H92" i="2"/>
  <c r="F92" i="2"/>
  <c r="C92" i="2"/>
  <c r="AC91" i="2"/>
  <c r="AD91" i="2" s="1"/>
  <c r="AA91" i="2"/>
  <c r="W91" i="2"/>
  <c r="X91" i="2" s="1"/>
  <c r="U91" i="2"/>
  <c r="R91" i="2"/>
  <c r="O91" i="2"/>
  <c r="N91" i="2"/>
  <c r="L91" i="2"/>
  <c r="H91" i="2"/>
  <c r="I91" i="2" s="1"/>
  <c r="F91" i="2"/>
  <c r="C91" i="2"/>
  <c r="AC90" i="2"/>
  <c r="AD90" i="2" s="1"/>
  <c r="AA90" i="2"/>
  <c r="X90" i="2"/>
  <c r="W90" i="2"/>
  <c r="U90" i="2"/>
  <c r="R90" i="2"/>
  <c r="O90" i="2"/>
  <c r="N90" i="2"/>
  <c r="L90" i="2"/>
  <c r="H90" i="2"/>
  <c r="I90" i="2" s="1"/>
  <c r="F90" i="2"/>
  <c r="C90" i="2"/>
  <c r="AD89" i="2"/>
  <c r="AC89" i="2"/>
  <c r="AA89" i="2"/>
  <c r="X89" i="2"/>
  <c r="W89" i="2"/>
  <c r="U89" i="2"/>
  <c r="R89" i="2"/>
  <c r="N89" i="2"/>
  <c r="O89" i="2" s="1"/>
  <c r="L89" i="2"/>
  <c r="H89" i="2"/>
  <c r="I89" i="2" s="1"/>
  <c r="F89" i="2"/>
  <c r="C89" i="2"/>
  <c r="AC88" i="2"/>
  <c r="AD88" i="2" s="1"/>
  <c r="AA88" i="2"/>
  <c r="Z88" i="2"/>
  <c r="W88" i="2"/>
  <c r="X88" i="2" s="1"/>
  <c r="T88" i="2"/>
  <c r="U88" i="2" s="1"/>
  <c r="Q88" i="2"/>
  <c r="R88" i="2" s="1"/>
  <c r="K88" i="2"/>
  <c r="L88" i="2" s="1"/>
  <c r="H88" i="2"/>
  <c r="I88" i="2" s="1"/>
  <c r="E88" i="2"/>
  <c r="F88" i="2" s="1"/>
  <c r="C88" i="2"/>
  <c r="B88" i="2"/>
  <c r="N88" i="2" s="1"/>
  <c r="O88" i="2" s="1"/>
  <c r="AC87" i="2"/>
  <c r="AD87" i="2" s="1"/>
  <c r="AA87" i="2"/>
  <c r="X87" i="2"/>
  <c r="W87" i="2"/>
  <c r="U87" i="2"/>
  <c r="R87" i="2"/>
  <c r="O87" i="2"/>
  <c r="N87" i="2"/>
  <c r="L87" i="2"/>
  <c r="H87" i="2"/>
  <c r="I87" i="2" s="1"/>
  <c r="F87" i="2"/>
  <c r="C87" i="2"/>
  <c r="AD86" i="2"/>
  <c r="AC86" i="2"/>
  <c r="AA86" i="2"/>
  <c r="X86" i="2"/>
  <c r="W86" i="2"/>
  <c r="U86" i="2"/>
  <c r="R86" i="2"/>
  <c r="N86" i="2"/>
  <c r="O86" i="2" s="1"/>
  <c r="L86" i="2"/>
  <c r="H86" i="2"/>
  <c r="I86" i="2" s="1"/>
  <c r="F86" i="2"/>
  <c r="C86" i="2"/>
  <c r="AC85" i="2"/>
  <c r="AD85" i="2" s="1"/>
  <c r="AA85" i="2"/>
  <c r="X85" i="2"/>
  <c r="W85" i="2"/>
  <c r="U85" i="2"/>
  <c r="R85" i="2"/>
  <c r="O85" i="2"/>
  <c r="N85" i="2"/>
  <c r="L85" i="2"/>
  <c r="I85" i="2"/>
  <c r="H85" i="2"/>
  <c r="F85" i="2"/>
  <c r="C85" i="2"/>
  <c r="AC84" i="2"/>
  <c r="AD84" i="2" s="1"/>
  <c r="AA84" i="2"/>
  <c r="X84" i="2"/>
  <c r="W84" i="2"/>
  <c r="U84" i="2"/>
  <c r="R84" i="2"/>
  <c r="O84" i="2"/>
  <c r="N84" i="2"/>
  <c r="L84" i="2"/>
  <c r="H84" i="2"/>
  <c r="I84" i="2" s="1"/>
  <c r="F84" i="2"/>
  <c r="C84" i="2"/>
  <c r="AC83" i="2"/>
  <c r="AD83" i="2" s="1"/>
  <c r="AA83" i="2"/>
  <c r="X83" i="2"/>
  <c r="W83" i="2"/>
  <c r="U83" i="2"/>
  <c r="R83" i="2"/>
  <c r="O83" i="2"/>
  <c r="N83" i="2"/>
  <c r="L83" i="2"/>
  <c r="H83" i="2"/>
  <c r="I83" i="2" s="1"/>
  <c r="F83" i="2"/>
  <c r="C83" i="2"/>
  <c r="AD82" i="2"/>
  <c r="AC82" i="2"/>
  <c r="AA82" i="2"/>
  <c r="X82" i="2"/>
  <c r="W82" i="2"/>
  <c r="U82" i="2"/>
  <c r="R82" i="2"/>
  <c r="N82" i="2"/>
  <c r="O82" i="2" s="1"/>
  <c r="L82" i="2"/>
  <c r="H82" i="2"/>
  <c r="I82" i="2" s="1"/>
  <c r="F82" i="2"/>
  <c r="C82" i="2"/>
  <c r="AC81" i="2"/>
  <c r="AD81" i="2" s="1"/>
  <c r="AA81" i="2"/>
  <c r="X81" i="2"/>
  <c r="W81" i="2"/>
  <c r="U81" i="2"/>
  <c r="R81" i="2"/>
  <c r="O81" i="2"/>
  <c r="N81" i="2"/>
  <c r="L81" i="2"/>
  <c r="I81" i="2"/>
  <c r="H81" i="2"/>
  <c r="F81" i="2"/>
  <c r="C81" i="2"/>
  <c r="AC80" i="2"/>
  <c r="AD80" i="2" s="1"/>
  <c r="AA80" i="2"/>
  <c r="W80" i="2"/>
  <c r="X80" i="2" s="1"/>
  <c r="U80" i="2"/>
  <c r="R80" i="2"/>
  <c r="O80" i="2"/>
  <c r="N80" i="2"/>
  <c r="L80" i="2"/>
  <c r="H80" i="2"/>
  <c r="I80" i="2" s="1"/>
  <c r="F80" i="2"/>
  <c r="C80" i="2"/>
  <c r="AC79" i="2"/>
  <c r="AD79" i="2" s="1"/>
  <c r="AA79" i="2"/>
  <c r="X79" i="2"/>
  <c r="W79" i="2"/>
  <c r="U79" i="2"/>
  <c r="R79" i="2"/>
  <c r="O79" i="2"/>
  <c r="N79" i="2"/>
  <c r="L79" i="2"/>
  <c r="H79" i="2"/>
  <c r="I79" i="2" s="1"/>
  <c r="F79" i="2"/>
  <c r="C79" i="2"/>
  <c r="AD78" i="2"/>
  <c r="AC78" i="2"/>
  <c r="AA78" i="2"/>
  <c r="X78" i="2"/>
  <c r="W78" i="2"/>
  <c r="U78" i="2"/>
  <c r="R78" i="2"/>
  <c r="O78" i="2"/>
  <c r="N78" i="2"/>
  <c r="L78" i="2"/>
  <c r="H78" i="2"/>
  <c r="I78" i="2" s="1"/>
  <c r="F78" i="2"/>
  <c r="C78" i="2"/>
  <c r="AC77" i="2"/>
  <c r="AD77" i="2" s="1"/>
  <c r="AA77" i="2"/>
  <c r="X77" i="2"/>
  <c r="W77" i="2"/>
  <c r="U77" i="2"/>
  <c r="R77" i="2"/>
  <c r="O77" i="2"/>
  <c r="N77" i="2"/>
  <c r="L77" i="2"/>
  <c r="I77" i="2"/>
  <c r="H77" i="2"/>
  <c r="F77" i="2"/>
  <c r="C77" i="2"/>
  <c r="AC76" i="2"/>
  <c r="AD76" i="2" s="1"/>
  <c r="AA76" i="2"/>
  <c r="X76" i="2"/>
  <c r="W76" i="2"/>
  <c r="U76" i="2"/>
  <c r="R76" i="2"/>
  <c r="O76" i="2"/>
  <c r="N76" i="2"/>
  <c r="L76" i="2"/>
  <c r="H76" i="2"/>
  <c r="I76" i="2" s="1"/>
  <c r="F76" i="2"/>
  <c r="C76" i="2"/>
  <c r="AC75" i="2"/>
  <c r="AD75" i="2" s="1"/>
  <c r="AA75" i="2"/>
  <c r="X75" i="2"/>
  <c r="W75" i="2"/>
  <c r="U75" i="2"/>
  <c r="R75" i="2"/>
  <c r="O75" i="2"/>
  <c r="N75" i="2"/>
  <c r="L75" i="2"/>
  <c r="H75" i="2"/>
  <c r="I75" i="2" s="1"/>
  <c r="F75" i="2"/>
  <c r="C75" i="2"/>
  <c r="Z73" i="2"/>
  <c r="AA73" i="2" s="1"/>
  <c r="W73" i="2"/>
  <c r="X73" i="2" s="1"/>
  <c r="T73" i="2"/>
  <c r="U73" i="2" s="1"/>
  <c r="R73" i="2"/>
  <c r="Q73" i="2"/>
  <c r="AC73" i="2" s="1"/>
  <c r="AD73" i="2" s="1"/>
  <c r="K73" i="2"/>
  <c r="L73" i="2" s="1"/>
  <c r="H73" i="2"/>
  <c r="I73" i="2" s="1"/>
  <c r="F73" i="2"/>
  <c r="E73" i="2"/>
  <c r="B73" i="2"/>
  <c r="C73" i="2" s="1"/>
  <c r="AC72" i="2"/>
  <c r="AD72" i="2" s="1"/>
  <c r="AA72" i="2"/>
  <c r="W72" i="2"/>
  <c r="X72" i="2" s="1"/>
  <c r="U72" i="2"/>
  <c r="R72" i="2"/>
  <c r="O72" i="2"/>
  <c r="N72" i="2"/>
  <c r="L72" i="2"/>
  <c r="H72" i="2"/>
  <c r="I72" i="2" s="1"/>
  <c r="F72" i="2"/>
  <c r="C72" i="2"/>
  <c r="AC71" i="2"/>
  <c r="AD71" i="2" s="1"/>
  <c r="AA71" i="2"/>
  <c r="X71" i="2"/>
  <c r="W71" i="2"/>
  <c r="U71" i="2"/>
  <c r="R71" i="2"/>
  <c r="O71" i="2"/>
  <c r="N71" i="2"/>
  <c r="L71" i="2"/>
  <c r="H71" i="2"/>
  <c r="I71" i="2" s="1"/>
  <c r="F71" i="2"/>
  <c r="C71" i="2"/>
  <c r="AD70" i="2"/>
  <c r="AC70" i="2"/>
  <c r="AA70" i="2"/>
  <c r="X70" i="2"/>
  <c r="W70" i="2"/>
  <c r="U70" i="2"/>
  <c r="R70" i="2"/>
  <c r="N70" i="2"/>
  <c r="O70" i="2" s="1"/>
  <c r="L70" i="2"/>
  <c r="H70" i="2"/>
  <c r="I70" i="2" s="1"/>
  <c r="F70" i="2"/>
  <c r="C70" i="2"/>
  <c r="AC69" i="2"/>
  <c r="AD69" i="2" s="1"/>
  <c r="AA69" i="2"/>
  <c r="X69" i="2"/>
  <c r="W69" i="2"/>
  <c r="U69" i="2"/>
  <c r="R69" i="2"/>
  <c r="O69" i="2"/>
  <c r="N69" i="2"/>
  <c r="L69" i="2"/>
  <c r="I69" i="2"/>
  <c r="H69" i="2"/>
  <c r="F69" i="2"/>
  <c r="C69" i="2"/>
  <c r="AC68" i="2"/>
  <c r="AD68" i="2" s="1"/>
  <c r="AA68" i="2"/>
  <c r="W68" i="2"/>
  <c r="X68" i="2" s="1"/>
  <c r="U68" i="2"/>
  <c r="R68" i="2"/>
  <c r="O68" i="2"/>
  <c r="N68" i="2"/>
  <c r="L68" i="2"/>
  <c r="H68" i="2"/>
  <c r="I68" i="2" s="1"/>
  <c r="F68" i="2"/>
  <c r="C68" i="2"/>
  <c r="AC67" i="2"/>
  <c r="AD67" i="2" s="1"/>
  <c r="AA67" i="2"/>
  <c r="X67" i="2"/>
  <c r="W67" i="2"/>
  <c r="U67" i="2"/>
  <c r="R67" i="2"/>
  <c r="O67" i="2"/>
  <c r="N67" i="2"/>
  <c r="L67" i="2"/>
  <c r="H67" i="2"/>
  <c r="I67" i="2" s="1"/>
  <c r="F67" i="2"/>
  <c r="C67" i="2"/>
  <c r="AD66" i="2"/>
  <c r="AC66" i="2"/>
  <c r="AA66" i="2"/>
  <c r="X66" i="2"/>
  <c r="W66" i="2"/>
  <c r="U66" i="2"/>
  <c r="R66" i="2"/>
  <c r="O66" i="2"/>
  <c r="N66" i="2"/>
  <c r="L66" i="2"/>
  <c r="H66" i="2"/>
  <c r="I66" i="2" s="1"/>
  <c r="F66" i="2"/>
  <c r="C66" i="2"/>
  <c r="AC65" i="2"/>
  <c r="AD65" i="2" s="1"/>
  <c r="AA65" i="2"/>
  <c r="X65" i="2"/>
  <c r="W65" i="2"/>
  <c r="U65" i="2"/>
  <c r="R65" i="2"/>
  <c r="O65" i="2"/>
  <c r="N65" i="2"/>
  <c r="L65" i="2"/>
  <c r="I65" i="2"/>
  <c r="H65" i="2"/>
  <c r="F65" i="2"/>
  <c r="C65" i="2"/>
  <c r="AC64" i="2"/>
  <c r="AD64" i="2" s="1"/>
  <c r="AA64" i="2"/>
  <c r="X64" i="2"/>
  <c r="W64" i="2"/>
  <c r="U64" i="2"/>
  <c r="R64" i="2"/>
  <c r="O64" i="2"/>
  <c r="N64" i="2"/>
  <c r="L64" i="2"/>
  <c r="H64" i="2"/>
  <c r="I64" i="2" s="1"/>
  <c r="F64" i="2"/>
  <c r="C64" i="2"/>
  <c r="Z62" i="2"/>
  <c r="AA62" i="2" s="1"/>
  <c r="U62" i="2"/>
  <c r="T62" i="2"/>
  <c r="Q62" i="2"/>
  <c r="R62" i="2" s="1"/>
  <c r="N62" i="2"/>
  <c r="O62" i="2" s="1"/>
  <c r="K62" i="2"/>
  <c r="L62" i="2" s="1"/>
  <c r="E62" i="2"/>
  <c r="F62" i="2" s="1"/>
  <c r="B62" i="2"/>
  <c r="AA61" i="2"/>
  <c r="Z61" i="2"/>
  <c r="T61" i="2"/>
  <c r="U61" i="2" s="1"/>
  <c r="Q61" i="2"/>
  <c r="R61" i="2" s="1"/>
  <c r="O61" i="2"/>
  <c r="K61" i="2"/>
  <c r="L61" i="2" s="1"/>
  <c r="E61" i="2"/>
  <c r="F61" i="2" s="1"/>
  <c r="C61" i="2"/>
  <c r="B61" i="2"/>
  <c r="N61" i="2" s="1"/>
  <c r="AC60" i="2"/>
  <c r="AD60" i="2" s="1"/>
  <c r="AA60" i="2"/>
  <c r="X60" i="2"/>
  <c r="W60" i="2"/>
  <c r="U60" i="2"/>
  <c r="R60" i="2"/>
  <c r="O60" i="2"/>
  <c r="N60" i="2"/>
  <c r="L60" i="2"/>
  <c r="H60" i="2"/>
  <c r="I60" i="2" s="1"/>
  <c r="F60" i="2"/>
  <c r="C60" i="2"/>
  <c r="AD59" i="2"/>
  <c r="AC59" i="2"/>
  <c r="AA59" i="2"/>
  <c r="X59" i="2"/>
  <c r="W59" i="2"/>
  <c r="U59" i="2"/>
  <c r="R59" i="2"/>
  <c r="O59" i="2"/>
  <c r="N59" i="2"/>
  <c r="L59" i="2"/>
  <c r="H59" i="2"/>
  <c r="I59" i="2" s="1"/>
  <c r="F59" i="2"/>
  <c r="C59" i="2"/>
  <c r="AC58" i="2"/>
  <c r="AD58" i="2" s="1"/>
  <c r="AA58" i="2"/>
  <c r="X58" i="2"/>
  <c r="W58" i="2"/>
  <c r="U58" i="2"/>
  <c r="R58" i="2"/>
  <c r="O58" i="2"/>
  <c r="N58" i="2"/>
  <c r="L58" i="2"/>
  <c r="I58" i="2"/>
  <c r="H58" i="2"/>
  <c r="F58" i="2"/>
  <c r="C58" i="2"/>
  <c r="AC57" i="2"/>
  <c r="AD57" i="2" s="1"/>
  <c r="AA57" i="2"/>
  <c r="W57" i="2"/>
  <c r="X57" i="2" s="1"/>
  <c r="U57" i="2"/>
  <c r="R57" i="2"/>
  <c r="O57" i="2"/>
  <c r="N57" i="2"/>
  <c r="L57" i="2"/>
  <c r="H57" i="2"/>
  <c r="I57" i="2" s="1"/>
  <c r="F57" i="2"/>
  <c r="C57" i="2"/>
  <c r="AC56" i="2"/>
  <c r="AD56" i="2" s="1"/>
  <c r="AA56" i="2"/>
  <c r="X56" i="2"/>
  <c r="W56" i="2"/>
  <c r="U56" i="2"/>
  <c r="R56" i="2"/>
  <c r="O56" i="2"/>
  <c r="N56" i="2"/>
  <c r="L56" i="2"/>
  <c r="H56" i="2"/>
  <c r="I56" i="2" s="1"/>
  <c r="F56" i="2"/>
  <c r="C56" i="2"/>
  <c r="AD55" i="2"/>
  <c r="AC55" i="2"/>
  <c r="AA55" i="2"/>
  <c r="X55" i="2"/>
  <c r="W55" i="2"/>
  <c r="U55" i="2"/>
  <c r="R55" i="2"/>
  <c r="N55" i="2"/>
  <c r="O55" i="2" s="1"/>
  <c r="L55" i="2"/>
  <c r="H55" i="2"/>
  <c r="I55" i="2" s="1"/>
  <c r="F55" i="2"/>
  <c r="C55" i="2"/>
  <c r="AC54" i="2"/>
  <c r="AD54" i="2" s="1"/>
  <c r="AA54" i="2"/>
  <c r="X54" i="2"/>
  <c r="W54" i="2"/>
  <c r="U54" i="2"/>
  <c r="R54" i="2"/>
  <c r="O54" i="2"/>
  <c r="N54" i="2"/>
  <c r="L54" i="2"/>
  <c r="I54" i="2"/>
  <c r="H54" i="2"/>
  <c r="F54" i="2"/>
  <c r="C54" i="2"/>
  <c r="AC53" i="2"/>
  <c r="AD53" i="2" s="1"/>
  <c r="AA53" i="2"/>
  <c r="X53" i="2"/>
  <c r="W53" i="2"/>
  <c r="U53" i="2"/>
  <c r="R53" i="2"/>
  <c r="O53" i="2"/>
  <c r="N53" i="2"/>
  <c r="L53" i="2"/>
  <c r="H53" i="2"/>
  <c r="I53" i="2" s="1"/>
  <c r="F53" i="2"/>
  <c r="C53" i="2"/>
  <c r="AC52" i="2"/>
  <c r="AD52" i="2" s="1"/>
  <c r="AA52" i="2"/>
  <c r="X52" i="2"/>
  <c r="W52" i="2"/>
  <c r="U52" i="2"/>
  <c r="R52" i="2"/>
  <c r="O52" i="2"/>
  <c r="N52" i="2"/>
  <c r="L52" i="2"/>
  <c r="H52" i="2"/>
  <c r="I52" i="2" s="1"/>
  <c r="F52" i="2"/>
  <c r="C52" i="2"/>
  <c r="AD51" i="2"/>
  <c r="AC51" i="2"/>
  <c r="AA51" i="2"/>
  <c r="X51" i="2"/>
  <c r="W51" i="2"/>
  <c r="U51" i="2"/>
  <c r="R51" i="2"/>
  <c r="O51" i="2"/>
  <c r="N51" i="2"/>
  <c r="L51" i="2"/>
  <c r="H51" i="2"/>
  <c r="I51" i="2" s="1"/>
  <c r="F51" i="2"/>
  <c r="C51" i="2"/>
  <c r="AC50" i="2"/>
  <c r="AD50" i="2" s="1"/>
  <c r="AA50" i="2"/>
  <c r="X50" i="2"/>
  <c r="W50" i="2"/>
  <c r="U50" i="2"/>
  <c r="R50" i="2"/>
  <c r="O50" i="2"/>
  <c r="N50" i="2"/>
  <c r="L50" i="2"/>
  <c r="I50" i="2"/>
  <c r="H50" i="2"/>
  <c r="F50" i="2"/>
  <c r="C50" i="2"/>
  <c r="AC49" i="2"/>
  <c r="AD49" i="2" s="1"/>
  <c r="AA49" i="2"/>
  <c r="W49" i="2"/>
  <c r="X49" i="2" s="1"/>
  <c r="U49" i="2"/>
  <c r="R49" i="2"/>
  <c r="O49" i="2"/>
  <c r="N49" i="2"/>
  <c r="L49" i="2"/>
  <c r="H49" i="2"/>
  <c r="I49" i="2" s="1"/>
  <c r="F49" i="2"/>
  <c r="C49" i="2"/>
  <c r="AC48" i="2"/>
  <c r="AD48" i="2" s="1"/>
  <c r="AA48" i="2"/>
  <c r="X48" i="2"/>
  <c r="W48" i="2"/>
  <c r="U48" i="2"/>
  <c r="R48" i="2"/>
  <c r="O48" i="2"/>
  <c r="N48" i="2"/>
  <c r="L48" i="2"/>
  <c r="H48" i="2"/>
  <c r="I48" i="2" s="1"/>
  <c r="F48" i="2"/>
  <c r="C48" i="2"/>
  <c r="AD47" i="2"/>
  <c r="AC47" i="2"/>
  <c r="AA47" i="2"/>
  <c r="X47" i="2"/>
  <c r="W47" i="2"/>
  <c r="U47" i="2"/>
  <c r="R47" i="2"/>
  <c r="N47" i="2"/>
  <c r="O47" i="2" s="1"/>
  <c r="L47" i="2"/>
  <c r="H47" i="2"/>
  <c r="I47" i="2" s="1"/>
  <c r="F47" i="2"/>
  <c r="C47" i="2"/>
  <c r="AC46" i="2"/>
  <c r="AD46" i="2" s="1"/>
  <c r="AA46" i="2"/>
  <c r="X46" i="2"/>
  <c r="W46" i="2"/>
  <c r="U46" i="2"/>
  <c r="R46" i="2"/>
  <c r="O46" i="2"/>
  <c r="N46" i="2"/>
  <c r="L46" i="2"/>
  <c r="I46" i="2"/>
  <c r="H46" i="2"/>
  <c r="F46" i="2"/>
  <c r="C46" i="2"/>
  <c r="AC44" i="2"/>
  <c r="AD44" i="2" s="1"/>
  <c r="AA44" i="2"/>
  <c r="X44" i="2"/>
  <c r="W44" i="2"/>
  <c r="U44" i="2"/>
  <c r="R44" i="2"/>
  <c r="O44" i="2"/>
  <c r="N44" i="2"/>
  <c r="L44" i="2"/>
  <c r="H44" i="2"/>
  <c r="I44" i="2" s="1"/>
  <c r="F44" i="2"/>
  <c r="C44" i="2"/>
  <c r="AC43" i="2"/>
  <c r="AD43" i="2" s="1"/>
  <c r="AA43" i="2"/>
  <c r="X43" i="2"/>
  <c r="W43" i="2"/>
  <c r="U43" i="2"/>
  <c r="R43" i="2"/>
  <c r="O43" i="2"/>
  <c r="N43" i="2"/>
  <c r="L43" i="2"/>
  <c r="H43" i="2"/>
  <c r="I43" i="2" s="1"/>
  <c r="F43" i="2"/>
  <c r="C43" i="2"/>
  <c r="AD42" i="2"/>
  <c r="AC42" i="2"/>
  <c r="AA42" i="2"/>
  <c r="X42" i="2"/>
  <c r="W42" i="2"/>
  <c r="U42" i="2"/>
  <c r="R42" i="2"/>
  <c r="O42" i="2"/>
  <c r="N42" i="2"/>
  <c r="L42" i="2"/>
  <c r="H42" i="2"/>
  <c r="I42" i="2" s="1"/>
  <c r="F42" i="2"/>
  <c r="C42" i="2"/>
  <c r="AC40" i="2"/>
  <c r="AD40" i="2" s="1"/>
  <c r="AA40" i="2"/>
  <c r="Z40" i="2"/>
  <c r="T40" i="2"/>
  <c r="U40" i="2" s="1"/>
  <c r="Q40" i="2"/>
  <c r="R40" i="2" s="1"/>
  <c r="K40" i="2"/>
  <c r="L40" i="2" s="1"/>
  <c r="E40" i="2"/>
  <c r="F40" i="2" s="1"/>
  <c r="C40" i="2"/>
  <c r="B40" i="2"/>
  <c r="AC39" i="2"/>
  <c r="AD39" i="2" s="1"/>
  <c r="AA39" i="2"/>
  <c r="X39" i="2"/>
  <c r="W39" i="2"/>
  <c r="U39" i="2"/>
  <c r="R39" i="2"/>
  <c r="O39" i="2"/>
  <c r="N39" i="2"/>
  <c r="L39" i="2"/>
  <c r="H39" i="2"/>
  <c r="I39" i="2" s="1"/>
  <c r="F39" i="2"/>
  <c r="C39" i="2"/>
  <c r="AD38" i="2"/>
  <c r="AC38" i="2"/>
  <c r="AA38" i="2"/>
  <c r="X38" i="2"/>
  <c r="W38" i="2"/>
  <c r="U38" i="2"/>
  <c r="R38" i="2"/>
  <c r="N38" i="2"/>
  <c r="O38" i="2" s="1"/>
  <c r="L38" i="2"/>
  <c r="H38" i="2"/>
  <c r="I38" i="2" s="1"/>
  <c r="F38" i="2"/>
  <c r="C38" i="2"/>
  <c r="AC37" i="2"/>
  <c r="AD37" i="2" s="1"/>
  <c r="AA37" i="2"/>
  <c r="X37" i="2"/>
  <c r="W37" i="2"/>
  <c r="U37" i="2"/>
  <c r="R37" i="2"/>
  <c r="O37" i="2"/>
  <c r="N37" i="2"/>
  <c r="L37" i="2"/>
  <c r="I37" i="2"/>
  <c r="H37" i="2"/>
  <c r="F37" i="2"/>
  <c r="C37" i="2"/>
  <c r="AC36" i="2"/>
  <c r="AD36" i="2" s="1"/>
  <c r="AA36" i="2"/>
  <c r="W36" i="2"/>
  <c r="X36" i="2" s="1"/>
  <c r="U36" i="2"/>
  <c r="R36" i="2"/>
  <c r="O36" i="2"/>
  <c r="N36" i="2"/>
  <c r="L36" i="2"/>
  <c r="H36" i="2"/>
  <c r="I36" i="2" s="1"/>
  <c r="F36" i="2"/>
  <c r="C36" i="2"/>
  <c r="AC35" i="2"/>
  <c r="AD35" i="2" s="1"/>
  <c r="AA35" i="2"/>
  <c r="X35" i="2"/>
  <c r="W35" i="2"/>
  <c r="U35" i="2"/>
  <c r="R35" i="2"/>
  <c r="O35" i="2"/>
  <c r="N35" i="2"/>
  <c r="L35" i="2"/>
  <c r="H35" i="2"/>
  <c r="I35" i="2" s="1"/>
  <c r="F35" i="2"/>
  <c r="C35" i="2"/>
  <c r="AD34" i="2"/>
  <c r="AC34" i="2"/>
  <c r="AA34" i="2"/>
  <c r="X34" i="2"/>
  <c r="W34" i="2"/>
  <c r="U34" i="2"/>
  <c r="R34" i="2"/>
  <c r="O34" i="2"/>
  <c r="N34" i="2"/>
  <c r="L34" i="2"/>
  <c r="H34" i="2"/>
  <c r="I34" i="2" s="1"/>
  <c r="F34" i="2"/>
  <c r="C34" i="2"/>
  <c r="AC33" i="2"/>
  <c r="AD33" i="2" s="1"/>
  <c r="AA33" i="2"/>
  <c r="X33" i="2"/>
  <c r="W33" i="2"/>
  <c r="U33" i="2"/>
  <c r="R33" i="2"/>
  <c r="O33" i="2"/>
  <c r="N33" i="2"/>
  <c r="L33" i="2"/>
  <c r="I33" i="2"/>
  <c r="H33" i="2"/>
  <c r="F33" i="2"/>
  <c r="C33" i="2"/>
  <c r="AC32" i="2"/>
  <c r="AD32" i="2" s="1"/>
  <c r="AA32" i="2"/>
  <c r="X32" i="2"/>
  <c r="W32" i="2"/>
  <c r="U32" i="2"/>
  <c r="R32" i="2"/>
  <c r="O32" i="2"/>
  <c r="N32" i="2"/>
  <c r="L32" i="2"/>
  <c r="H32" i="2"/>
  <c r="I32" i="2" s="1"/>
  <c r="F32" i="2"/>
  <c r="C32" i="2"/>
  <c r="AC31" i="2"/>
  <c r="AD31" i="2" s="1"/>
  <c r="AA31" i="2"/>
  <c r="X31" i="2"/>
  <c r="W31" i="2"/>
  <c r="U31" i="2"/>
  <c r="R31" i="2"/>
  <c r="O31" i="2"/>
  <c r="N31" i="2"/>
  <c r="L31" i="2"/>
  <c r="H31" i="2"/>
  <c r="I31" i="2" s="1"/>
  <c r="F31" i="2"/>
  <c r="C31" i="2"/>
  <c r="Z29" i="2"/>
  <c r="AA29" i="2" s="1"/>
  <c r="W29" i="2"/>
  <c r="X29" i="2" s="1"/>
  <c r="T29" i="2"/>
  <c r="U29" i="2" s="1"/>
  <c r="R29" i="2"/>
  <c r="Q29" i="2"/>
  <c r="AC29" i="2" s="1"/>
  <c r="AD29" i="2" s="1"/>
  <c r="K29" i="2"/>
  <c r="L29" i="2" s="1"/>
  <c r="H29" i="2"/>
  <c r="I29" i="2" s="1"/>
  <c r="F29" i="2"/>
  <c r="E29" i="2"/>
  <c r="B29" i="2"/>
  <c r="C29" i="2" s="1"/>
  <c r="AC28" i="2"/>
  <c r="AD28" i="2" s="1"/>
  <c r="AA28" i="2"/>
  <c r="X28" i="2"/>
  <c r="W28" i="2"/>
  <c r="U28" i="2"/>
  <c r="R28" i="2"/>
  <c r="O28" i="2"/>
  <c r="N28" i="2"/>
  <c r="L28" i="2"/>
  <c r="H28" i="2"/>
  <c r="I28" i="2" s="1"/>
  <c r="F28" i="2"/>
  <c r="C28" i="2"/>
  <c r="AC27" i="2"/>
  <c r="AD27" i="2" s="1"/>
  <c r="AA27" i="2"/>
  <c r="X27" i="2"/>
  <c r="W27" i="2"/>
  <c r="U27" i="2"/>
  <c r="R27" i="2"/>
  <c r="O27" i="2"/>
  <c r="N27" i="2"/>
  <c r="L27" i="2"/>
  <c r="H27" i="2"/>
  <c r="I27" i="2" s="1"/>
  <c r="F27" i="2"/>
  <c r="C27" i="2"/>
  <c r="AD26" i="2"/>
  <c r="AC26" i="2"/>
  <c r="AA26" i="2"/>
  <c r="X26" i="2"/>
  <c r="W26" i="2"/>
  <c r="U26" i="2"/>
  <c r="R26" i="2"/>
  <c r="N26" i="2"/>
  <c r="O26" i="2" s="1"/>
  <c r="L26" i="2"/>
  <c r="H26" i="2"/>
  <c r="I26" i="2" s="1"/>
  <c r="F26" i="2"/>
  <c r="C26" i="2"/>
  <c r="AC25" i="2"/>
  <c r="AD25" i="2" s="1"/>
  <c r="AA25" i="2"/>
  <c r="X25" i="2"/>
  <c r="W25" i="2"/>
  <c r="U25" i="2"/>
  <c r="R25" i="2"/>
  <c r="O25" i="2"/>
  <c r="N25" i="2"/>
  <c r="L25" i="2"/>
  <c r="I25" i="2"/>
  <c r="H25" i="2"/>
  <c r="F25" i="2"/>
  <c r="C25" i="2"/>
  <c r="AC24" i="2"/>
  <c r="AD24" i="2" s="1"/>
  <c r="AA24" i="2"/>
  <c r="W24" i="2"/>
  <c r="X24" i="2" s="1"/>
  <c r="U24" i="2"/>
  <c r="R24" i="2"/>
  <c r="O24" i="2"/>
  <c r="N24" i="2"/>
  <c r="L24" i="2"/>
  <c r="H24" i="2"/>
  <c r="I24" i="2" s="1"/>
  <c r="F24" i="2"/>
  <c r="C24" i="2"/>
  <c r="AC23" i="2"/>
  <c r="AD23" i="2" s="1"/>
  <c r="AA23" i="2"/>
  <c r="X23" i="2"/>
  <c r="W23" i="2"/>
  <c r="U23" i="2"/>
  <c r="R23" i="2"/>
  <c r="O23" i="2"/>
  <c r="N23" i="2"/>
  <c r="L23" i="2"/>
  <c r="H23" i="2"/>
  <c r="I23" i="2" s="1"/>
  <c r="F23" i="2"/>
  <c r="C23" i="2"/>
  <c r="AD22" i="2"/>
  <c r="AC22" i="2"/>
  <c r="AA22" i="2"/>
  <c r="X22" i="2"/>
  <c r="W22" i="2"/>
  <c r="U22" i="2"/>
  <c r="R22" i="2"/>
  <c r="O22" i="2"/>
  <c r="N22" i="2"/>
  <c r="L22" i="2"/>
  <c r="H22" i="2"/>
  <c r="I22" i="2" s="1"/>
  <c r="F22" i="2"/>
  <c r="C22" i="2"/>
  <c r="AC21" i="2"/>
  <c r="AD21" i="2" s="1"/>
  <c r="AA21" i="2"/>
  <c r="X21" i="2"/>
  <c r="W21" i="2"/>
  <c r="U21" i="2"/>
  <c r="R21" i="2"/>
  <c r="O21" i="2"/>
  <c r="N21" i="2"/>
  <c r="L21" i="2"/>
  <c r="I21" i="2"/>
  <c r="H21" i="2"/>
  <c r="F21" i="2"/>
  <c r="C21" i="2"/>
  <c r="AC19" i="2"/>
  <c r="AD19" i="2" s="1"/>
  <c r="AA19" i="2"/>
  <c r="X19" i="2"/>
  <c r="W19" i="2"/>
  <c r="U19" i="2"/>
  <c r="R19" i="2"/>
  <c r="O19" i="2"/>
  <c r="N19" i="2"/>
  <c r="L19" i="2"/>
  <c r="H19" i="2"/>
  <c r="I19" i="2" s="1"/>
  <c r="F19" i="2"/>
  <c r="C19" i="2"/>
  <c r="AC18" i="2"/>
  <c r="AD18" i="2" s="1"/>
  <c r="AA18" i="2"/>
  <c r="Z18" i="2"/>
  <c r="U18" i="2"/>
  <c r="T18" i="2"/>
  <c r="Q18" i="2"/>
  <c r="R18" i="2" s="1"/>
  <c r="K18" i="2"/>
  <c r="L18" i="2" s="1"/>
  <c r="E18" i="2"/>
  <c r="F18" i="2" s="1"/>
  <c r="B18" i="2"/>
  <c r="H18" i="2" s="1"/>
  <c r="I18" i="2" s="1"/>
  <c r="AC17" i="2"/>
  <c r="AD17" i="2" s="1"/>
  <c r="AA17" i="2"/>
  <c r="X17" i="2"/>
  <c r="W17" i="2"/>
  <c r="U17" i="2"/>
  <c r="R17" i="2"/>
  <c r="O17" i="2"/>
  <c r="N17" i="2"/>
  <c r="L17" i="2"/>
  <c r="I17" i="2"/>
  <c r="H17" i="2"/>
  <c r="F17" i="2"/>
  <c r="C17" i="2"/>
  <c r="AC16" i="2"/>
  <c r="AD16" i="2" s="1"/>
  <c r="AA16" i="2"/>
  <c r="X16" i="2"/>
  <c r="W16" i="2"/>
  <c r="U16" i="2"/>
  <c r="R16" i="2"/>
  <c r="O16" i="2"/>
  <c r="N16" i="2"/>
  <c r="L16" i="2"/>
  <c r="H16" i="2"/>
  <c r="I16" i="2" s="1"/>
  <c r="F16" i="2"/>
  <c r="C16" i="2"/>
  <c r="AC15" i="2"/>
  <c r="AD15" i="2" s="1"/>
  <c r="AA15" i="2"/>
  <c r="X15" i="2"/>
  <c r="W15" i="2"/>
  <c r="U15" i="2"/>
  <c r="R15" i="2"/>
  <c r="O15" i="2"/>
  <c r="N15" i="2"/>
  <c r="L15" i="2"/>
  <c r="I15" i="2"/>
  <c r="H15" i="2"/>
  <c r="F15" i="2"/>
  <c r="C15" i="2"/>
  <c r="AD14" i="2"/>
  <c r="AC14" i="2"/>
  <c r="AA14" i="2"/>
  <c r="W14" i="2"/>
  <c r="X14" i="2" s="1"/>
  <c r="U14" i="2"/>
  <c r="R14" i="2"/>
  <c r="N14" i="2"/>
  <c r="O14" i="2" s="1"/>
  <c r="L14" i="2"/>
  <c r="H14" i="2"/>
  <c r="I14" i="2" s="1"/>
  <c r="F14" i="2"/>
  <c r="C14" i="2"/>
  <c r="AC13" i="2"/>
  <c r="AD13" i="2" s="1"/>
  <c r="AA13" i="2"/>
  <c r="X13" i="2"/>
  <c r="W13" i="2"/>
  <c r="U13" i="2"/>
  <c r="R13" i="2"/>
  <c r="O13" i="2"/>
  <c r="N13" i="2"/>
  <c r="L13" i="2"/>
  <c r="I13" i="2"/>
  <c r="H13" i="2"/>
  <c r="F13" i="2"/>
  <c r="C13" i="2"/>
  <c r="AC12" i="2"/>
  <c r="AD12" i="2" s="1"/>
  <c r="AA12" i="2"/>
  <c r="X12" i="2"/>
  <c r="W12" i="2"/>
  <c r="U12" i="2"/>
  <c r="R12" i="2"/>
  <c r="O12" i="2"/>
  <c r="N12" i="2"/>
  <c r="L12" i="2"/>
  <c r="H12" i="2"/>
  <c r="I12" i="2" s="1"/>
  <c r="F12" i="2"/>
  <c r="C12" i="2"/>
  <c r="AC11" i="2"/>
  <c r="AD11" i="2" s="1"/>
  <c r="AA11" i="2"/>
  <c r="X11" i="2"/>
  <c r="W11" i="2"/>
  <c r="U11" i="2"/>
  <c r="R11" i="2"/>
  <c r="O11" i="2"/>
  <c r="N11" i="2"/>
  <c r="L11" i="2"/>
  <c r="H11" i="2"/>
  <c r="I11" i="2" s="1"/>
  <c r="F11" i="2"/>
  <c r="C11" i="2"/>
  <c r="AD10" i="2"/>
  <c r="AC10" i="2"/>
  <c r="AA10" i="2"/>
  <c r="W10" i="2"/>
  <c r="X10" i="2" s="1"/>
  <c r="U10" i="2"/>
  <c r="R10" i="2"/>
  <c r="N10" i="2"/>
  <c r="O10" i="2" s="1"/>
  <c r="L10" i="2"/>
  <c r="H10" i="2"/>
  <c r="I10" i="2" s="1"/>
  <c r="F10" i="2"/>
  <c r="C10" i="2"/>
  <c r="AC8" i="2"/>
  <c r="AD8" i="2" s="1"/>
  <c r="AA8" i="2"/>
  <c r="X8" i="2"/>
  <c r="W8" i="2"/>
  <c r="U8" i="2"/>
  <c r="R8" i="2"/>
  <c r="O8" i="2"/>
  <c r="N8" i="2"/>
  <c r="L8" i="2"/>
  <c r="I8" i="2"/>
  <c r="H8" i="2"/>
  <c r="F8" i="2"/>
  <c r="C8" i="2"/>
  <c r="AC444" i="1"/>
  <c r="W444" i="1"/>
  <c r="X407" i="1" s="1"/>
  <c r="N444" i="1"/>
  <c r="H444" i="1"/>
  <c r="I423" i="1" s="1"/>
  <c r="Z442" i="1"/>
  <c r="AA442" i="1" s="1"/>
  <c r="T442" i="1"/>
  <c r="U442" i="1" s="1"/>
  <c r="Q442" i="1"/>
  <c r="W442" i="1" s="1"/>
  <c r="X442" i="1" s="1"/>
  <c r="L442" i="1"/>
  <c r="K442" i="1"/>
  <c r="F442" i="1"/>
  <c r="E442" i="1"/>
  <c r="B442" i="1"/>
  <c r="C442" i="1" s="1"/>
  <c r="AD441" i="1"/>
  <c r="Z441" i="1"/>
  <c r="AA441" i="1" s="1"/>
  <c r="T441" i="1"/>
  <c r="U441" i="1" s="1"/>
  <c r="R441" i="1"/>
  <c r="Q441" i="1"/>
  <c r="AC441" i="1" s="1"/>
  <c r="N441" i="1"/>
  <c r="O441" i="1" s="1"/>
  <c r="L441" i="1"/>
  <c r="K441" i="1"/>
  <c r="F441" i="1"/>
  <c r="E441" i="1"/>
  <c r="B441" i="1"/>
  <c r="C441" i="1" s="1"/>
  <c r="AC440" i="1"/>
  <c r="AD440" i="1" s="1"/>
  <c r="AA440" i="1"/>
  <c r="W440" i="1"/>
  <c r="U440" i="1"/>
  <c r="R440" i="1"/>
  <c r="O440" i="1"/>
  <c r="N440" i="1"/>
  <c r="L440" i="1"/>
  <c r="H440" i="1"/>
  <c r="I440" i="1" s="1"/>
  <c r="F440" i="1"/>
  <c r="C440" i="1"/>
  <c r="AC439" i="1"/>
  <c r="AD439" i="1" s="1"/>
  <c r="AA439" i="1"/>
  <c r="X439" i="1"/>
  <c r="W439" i="1"/>
  <c r="U439" i="1"/>
  <c r="R439" i="1"/>
  <c r="O439" i="1"/>
  <c r="N439" i="1"/>
  <c r="L439" i="1"/>
  <c r="H439" i="1"/>
  <c r="I439" i="1" s="1"/>
  <c r="F439" i="1"/>
  <c r="C439" i="1"/>
  <c r="AD438" i="1"/>
  <c r="AC438" i="1"/>
  <c r="AA438" i="1"/>
  <c r="W438" i="1"/>
  <c r="X438" i="1" s="1"/>
  <c r="U438" i="1"/>
  <c r="R438" i="1"/>
  <c r="N438" i="1"/>
  <c r="O438" i="1" s="1"/>
  <c r="L438" i="1"/>
  <c r="H438" i="1"/>
  <c r="F438" i="1"/>
  <c r="C438" i="1"/>
  <c r="AC437" i="1"/>
  <c r="AD437" i="1" s="1"/>
  <c r="AA437" i="1"/>
  <c r="W437" i="1"/>
  <c r="U437" i="1"/>
  <c r="R437" i="1"/>
  <c r="O437" i="1"/>
  <c r="N437" i="1"/>
  <c r="L437" i="1"/>
  <c r="I437" i="1"/>
  <c r="H437" i="1"/>
  <c r="F437" i="1"/>
  <c r="C437" i="1"/>
  <c r="AD436" i="1"/>
  <c r="AC436" i="1"/>
  <c r="AA436" i="1"/>
  <c r="W436" i="1"/>
  <c r="X436" i="1" s="1"/>
  <c r="U436" i="1"/>
  <c r="R436" i="1"/>
  <c r="O436" i="1"/>
  <c r="N436" i="1"/>
  <c r="L436" i="1"/>
  <c r="H436" i="1"/>
  <c r="F436" i="1"/>
  <c r="C436" i="1"/>
  <c r="AC435" i="1"/>
  <c r="AD435" i="1" s="1"/>
  <c r="AA435" i="1"/>
  <c r="X435" i="1"/>
  <c r="W435" i="1"/>
  <c r="U435" i="1"/>
  <c r="R435" i="1"/>
  <c r="O435" i="1"/>
  <c r="N435" i="1"/>
  <c r="L435" i="1"/>
  <c r="H435" i="1"/>
  <c r="I435" i="1" s="1"/>
  <c r="F435" i="1"/>
  <c r="C435" i="1"/>
  <c r="AD434" i="1"/>
  <c r="AC434" i="1"/>
  <c r="AA434" i="1"/>
  <c r="W434" i="1"/>
  <c r="X434" i="1" s="1"/>
  <c r="U434" i="1"/>
  <c r="R434" i="1"/>
  <c r="N434" i="1"/>
  <c r="O434" i="1" s="1"/>
  <c r="L434" i="1"/>
  <c r="H434" i="1"/>
  <c r="I434" i="1" s="1"/>
  <c r="F434" i="1"/>
  <c r="C434" i="1"/>
  <c r="AC433" i="1"/>
  <c r="AD433" i="1" s="1"/>
  <c r="AA433" i="1"/>
  <c r="W433" i="1"/>
  <c r="U433" i="1"/>
  <c r="R433" i="1"/>
  <c r="O433" i="1"/>
  <c r="N433" i="1"/>
  <c r="L433" i="1"/>
  <c r="I433" i="1"/>
  <c r="H433" i="1"/>
  <c r="F433" i="1"/>
  <c r="C433" i="1"/>
  <c r="AC432" i="1"/>
  <c r="AD432" i="1" s="1"/>
  <c r="AA432" i="1"/>
  <c r="W432" i="1"/>
  <c r="X432" i="1" s="1"/>
  <c r="U432" i="1"/>
  <c r="R432" i="1"/>
  <c r="N432" i="1"/>
  <c r="O432" i="1" s="1"/>
  <c r="L432" i="1"/>
  <c r="H432" i="1"/>
  <c r="F432" i="1"/>
  <c r="C432" i="1"/>
  <c r="Z429" i="1"/>
  <c r="AA429" i="1" s="1"/>
  <c r="U429" i="1"/>
  <c r="T429" i="1"/>
  <c r="Q429" i="1"/>
  <c r="R429" i="1" s="1"/>
  <c r="K429" i="1"/>
  <c r="L429" i="1" s="1"/>
  <c r="E429" i="1"/>
  <c r="F429" i="1" s="1"/>
  <c r="C429" i="1"/>
  <c r="B429" i="1"/>
  <c r="AC428" i="1"/>
  <c r="AD428" i="1" s="1"/>
  <c r="AA428" i="1"/>
  <c r="Z428" i="1"/>
  <c r="T428" i="1"/>
  <c r="U428" i="1" s="1"/>
  <c r="Q428" i="1"/>
  <c r="R428" i="1" s="1"/>
  <c r="K428" i="1"/>
  <c r="L428" i="1" s="1"/>
  <c r="I428" i="1"/>
  <c r="H428" i="1"/>
  <c r="E428" i="1"/>
  <c r="F428" i="1" s="1"/>
  <c r="C428" i="1"/>
  <c r="B428" i="1"/>
  <c r="AC427" i="1"/>
  <c r="AD427" i="1" s="1"/>
  <c r="AA427" i="1"/>
  <c r="X427" i="1"/>
  <c r="W427" i="1"/>
  <c r="U427" i="1"/>
  <c r="R427" i="1"/>
  <c r="O427" i="1"/>
  <c r="N427" i="1"/>
  <c r="L427" i="1"/>
  <c r="H427" i="1"/>
  <c r="I427" i="1" s="1"/>
  <c r="F427" i="1"/>
  <c r="C427" i="1"/>
  <c r="AD426" i="1"/>
  <c r="AC426" i="1"/>
  <c r="AA426" i="1"/>
  <c r="X426" i="1"/>
  <c r="W426" i="1"/>
  <c r="U426" i="1"/>
  <c r="R426" i="1"/>
  <c r="O426" i="1"/>
  <c r="N426" i="1"/>
  <c r="L426" i="1"/>
  <c r="H426" i="1"/>
  <c r="I426" i="1" s="1"/>
  <c r="F426" i="1"/>
  <c r="C426" i="1"/>
  <c r="AC425" i="1"/>
  <c r="AD425" i="1" s="1"/>
  <c r="AA425" i="1"/>
  <c r="W425" i="1"/>
  <c r="U425" i="1"/>
  <c r="R425" i="1"/>
  <c r="O425" i="1"/>
  <c r="N425" i="1"/>
  <c r="L425" i="1"/>
  <c r="I425" i="1"/>
  <c r="H425" i="1"/>
  <c r="F425" i="1"/>
  <c r="C425" i="1"/>
  <c r="AC424" i="1"/>
  <c r="AD424" i="1" s="1"/>
  <c r="AA424" i="1"/>
  <c r="W424" i="1"/>
  <c r="X424" i="1" s="1"/>
  <c r="U424" i="1"/>
  <c r="R424" i="1"/>
  <c r="N424" i="1"/>
  <c r="O424" i="1" s="1"/>
  <c r="L424" i="1"/>
  <c r="H424" i="1"/>
  <c r="I424" i="1" s="1"/>
  <c r="F424" i="1"/>
  <c r="C424" i="1"/>
  <c r="AC423" i="1"/>
  <c r="AD423" i="1" s="1"/>
  <c r="AA423" i="1"/>
  <c r="W423" i="1"/>
  <c r="U423" i="1"/>
  <c r="R423" i="1"/>
  <c r="O423" i="1"/>
  <c r="N423" i="1"/>
  <c r="L423" i="1"/>
  <c r="H423" i="1"/>
  <c r="F423" i="1"/>
  <c r="C423" i="1"/>
  <c r="AD422" i="1"/>
  <c r="AC422" i="1"/>
  <c r="AA422" i="1"/>
  <c r="X422" i="1"/>
  <c r="W422" i="1"/>
  <c r="U422" i="1"/>
  <c r="R422" i="1"/>
  <c r="N422" i="1"/>
  <c r="O422" i="1" s="1"/>
  <c r="L422" i="1"/>
  <c r="H422" i="1"/>
  <c r="I422" i="1" s="1"/>
  <c r="F422" i="1"/>
  <c r="C422" i="1"/>
  <c r="AC421" i="1"/>
  <c r="AD421" i="1" s="1"/>
  <c r="AA421" i="1"/>
  <c r="W421" i="1"/>
  <c r="U421" i="1"/>
  <c r="R421" i="1"/>
  <c r="O421" i="1"/>
  <c r="N421" i="1"/>
  <c r="L421" i="1"/>
  <c r="H421" i="1"/>
  <c r="F421" i="1"/>
  <c r="C421" i="1"/>
  <c r="AC420" i="1"/>
  <c r="AD420" i="1" s="1"/>
  <c r="AA420" i="1"/>
  <c r="W420" i="1"/>
  <c r="U420" i="1"/>
  <c r="R420" i="1"/>
  <c r="O420" i="1"/>
  <c r="N420" i="1"/>
  <c r="L420" i="1"/>
  <c r="H420" i="1"/>
  <c r="I420" i="1" s="1"/>
  <c r="F420" i="1"/>
  <c r="C420" i="1"/>
  <c r="AC419" i="1"/>
  <c r="AD419" i="1" s="1"/>
  <c r="AA419" i="1"/>
  <c r="X419" i="1"/>
  <c r="W419" i="1"/>
  <c r="U419" i="1"/>
  <c r="R419" i="1"/>
  <c r="O419" i="1"/>
  <c r="N419" i="1"/>
  <c r="L419" i="1"/>
  <c r="H419" i="1"/>
  <c r="I419" i="1" s="1"/>
  <c r="F419" i="1"/>
  <c r="C419" i="1"/>
  <c r="AD418" i="1"/>
  <c r="AC418" i="1"/>
  <c r="AA418" i="1"/>
  <c r="W418" i="1"/>
  <c r="X418" i="1" s="1"/>
  <c r="U418" i="1"/>
  <c r="R418" i="1"/>
  <c r="N418" i="1"/>
  <c r="O418" i="1" s="1"/>
  <c r="L418" i="1"/>
  <c r="H418" i="1"/>
  <c r="F418" i="1"/>
  <c r="C418" i="1"/>
  <c r="AC417" i="1"/>
  <c r="AD417" i="1" s="1"/>
  <c r="AA417" i="1"/>
  <c r="W417" i="1"/>
  <c r="U417" i="1"/>
  <c r="R417" i="1"/>
  <c r="O417" i="1"/>
  <c r="N417" i="1"/>
  <c r="L417" i="1"/>
  <c r="I417" i="1"/>
  <c r="H417" i="1"/>
  <c r="F417" i="1"/>
  <c r="C417" i="1"/>
  <c r="AD416" i="1"/>
  <c r="AC416" i="1"/>
  <c r="AA416" i="1"/>
  <c r="W416" i="1"/>
  <c r="X416" i="1" s="1"/>
  <c r="U416" i="1"/>
  <c r="R416" i="1"/>
  <c r="O416" i="1"/>
  <c r="N416" i="1"/>
  <c r="L416" i="1"/>
  <c r="H416" i="1"/>
  <c r="F416" i="1"/>
  <c r="C416" i="1"/>
  <c r="AC415" i="1"/>
  <c r="AD415" i="1" s="1"/>
  <c r="AA415" i="1"/>
  <c r="X415" i="1"/>
  <c r="W415" i="1"/>
  <c r="U415" i="1"/>
  <c r="R415" i="1"/>
  <c r="O415" i="1"/>
  <c r="N415" i="1"/>
  <c r="L415" i="1"/>
  <c r="H415" i="1"/>
  <c r="I415" i="1" s="1"/>
  <c r="F415" i="1"/>
  <c r="C415" i="1"/>
  <c r="AD414" i="1"/>
  <c r="AC414" i="1"/>
  <c r="AA414" i="1"/>
  <c r="W414" i="1"/>
  <c r="X414" i="1" s="1"/>
  <c r="U414" i="1"/>
  <c r="R414" i="1"/>
  <c r="N414" i="1"/>
  <c r="O414" i="1" s="1"/>
  <c r="L414" i="1"/>
  <c r="H414" i="1"/>
  <c r="I414" i="1" s="1"/>
  <c r="F414" i="1"/>
  <c r="C414" i="1"/>
  <c r="AC413" i="1"/>
  <c r="AD413" i="1" s="1"/>
  <c r="AA413" i="1"/>
  <c r="W413" i="1"/>
  <c r="U413" i="1"/>
  <c r="R413" i="1"/>
  <c r="O413" i="1"/>
  <c r="N413" i="1"/>
  <c r="L413" i="1"/>
  <c r="I413" i="1"/>
  <c r="H413" i="1"/>
  <c r="F413" i="1"/>
  <c r="C413" i="1"/>
  <c r="AC412" i="1"/>
  <c r="AD412" i="1" s="1"/>
  <c r="AA412" i="1"/>
  <c r="W412" i="1"/>
  <c r="X412" i="1" s="1"/>
  <c r="U412" i="1"/>
  <c r="R412" i="1"/>
  <c r="N412" i="1"/>
  <c r="O412" i="1" s="1"/>
  <c r="L412" i="1"/>
  <c r="H412" i="1"/>
  <c r="F412" i="1"/>
  <c r="C412" i="1"/>
  <c r="AC411" i="1"/>
  <c r="AD411" i="1" s="1"/>
  <c r="AA411" i="1"/>
  <c r="X411" i="1"/>
  <c r="W411" i="1"/>
  <c r="U411" i="1"/>
  <c r="R411" i="1"/>
  <c r="O411" i="1"/>
  <c r="N411" i="1"/>
  <c r="L411" i="1"/>
  <c r="H411" i="1"/>
  <c r="I411" i="1" s="1"/>
  <c r="F411" i="1"/>
  <c r="C411" i="1"/>
  <c r="AD410" i="1"/>
  <c r="AC410" i="1"/>
  <c r="AA410" i="1"/>
  <c r="W410" i="1"/>
  <c r="U410" i="1"/>
  <c r="R410" i="1"/>
  <c r="O410" i="1"/>
  <c r="N410" i="1"/>
  <c r="L410" i="1"/>
  <c r="H410" i="1"/>
  <c r="I410" i="1" s="1"/>
  <c r="F410" i="1"/>
  <c r="C410" i="1"/>
  <c r="AC409" i="1"/>
  <c r="AD409" i="1" s="1"/>
  <c r="AA409" i="1"/>
  <c r="W409" i="1"/>
  <c r="U409" i="1"/>
  <c r="R409" i="1"/>
  <c r="O409" i="1"/>
  <c r="N409" i="1"/>
  <c r="L409" i="1"/>
  <c r="H409" i="1"/>
  <c r="F409" i="1"/>
  <c r="C409" i="1"/>
  <c r="AC408" i="1"/>
  <c r="AD408" i="1" s="1"/>
  <c r="AA408" i="1"/>
  <c r="W408" i="1"/>
  <c r="X408" i="1" s="1"/>
  <c r="U408" i="1"/>
  <c r="R408" i="1"/>
  <c r="N408" i="1"/>
  <c r="O408" i="1" s="1"/>
  <c r="L408" i="1"/>
  <c r="H408" i="1"/>
  <c r="F408" i="1"/>
  <c r="C408" i="1"/>
  <c r="AC407" i="1"/>
  <c r="AD407" i="1" s="1"/>
  <c r="AA407" i="1"/>
  <c r="W407" i="1"/>
  <c r="U407" i="1"/>
  <c r="R407" i="1"/>
  <c r="O407" i="1"/>
  <c r="N407" i="1"/>
  <c r="L407" i="1"/>
  <c r="I407" i="1"/>
  <c r="H407" i="1"/>
  <c r="F407" i="1"/>
  <c r="C407" i="1"/>
  <c r="Z403" i="1"/>
  <c r="AA403" i="1" s="1"/>
  <c r="X403" i="1"/>
  <c r="T403" i="1"/>
  <c r="U403" i="1" s="1"/>
  <c r="Q403" i="1"/>
  <c r="W403" i="1" s="1"/>
  <c r="N403" i="1"/>
  <c r="O403" i="1" s="1"/>
  <c r="L403" i="1"/>
  <c r="K403" i="1"/>
  <c r="H403" i="1"/>
  <c r="I403" i="1" s="1"/>
  <c r="F403" i="1"/>
  <c r="E403" i="1"/>
  <c r="B403" i="1"/>
  <c r="C403" i="1" s="1"/>
  <c r="AD402" i="1"/>
  <c r="AC402" i="1"/>
  <c r="AA402" i="1"/>
  <c r="W402" i="1"/>
  <c r="X402" i="1" s="1"/>
  <c r="U402" i="1"/>
  <c r="R402" i="1"/>
  <c r="N402" i="1"/>
  <c r="O402" i="1" s="1"/>
  <c r="L402" i="1"/>
  <c r="H402" i="1"/>
  <c r="I402" i="1" s="1"/>
  <c r="F402" i="1"/>
  <c r="C402" i="1"/>
  <c r="AC401" i="1"/>
  <c r="AD401" i="1" s="1"/>
  <c r="AA401" i="1"/>
  <c r="W401" i="1"/>
  <c r="U401" i="1"/>
  <c r="R401" i="1"/>
  <c r="O401" i="1"/>
  <c r="N401" i="1"/>
  <c r="L401" i="1"/>
  <c r="I401" i="1"/>
  <c r="H401" i="1"/>
  <c r="F401" i="1"/>
  <c r="C401" i="1"/>
  <c r="AC400" i="1"/>
  <c r="AD400" i="1" s="1"/>
  <c r="AA400" i="1"/>
  <c r="W400" i="1"/>
  <c r="X400" i="1" s="1"/>
  <c r="U400" i="1"/>
  <c r="R400" i="1"/>
  <c r="N400" i="1"/>
  <c r="O400" i="1" s="1"/>
  <c r="L400" i="1"/>
  <c r="H400" i="1"/>
  <c r="F400" i="1"/>
  <c r="C400" i="1"/>
  <c r="AC399" i="1"/>
  <c r="AD399" i="1" s="1"/>
  <c r="AA399" i="1"/>
  <c r="X399" i="1"/>
  <c r="W399" i="1"/>
  <c r="U399" i="1"/>
  <c r="R399" i="1"/>
  <c r="O399" i="1"/>
  <c r="N399" i="1"/>
  <c r="L399" i="1"/>
  <c r="H399" i="1"/>
  <c r="I399" i="1" s="1"/>
  <c r="F399" i="1"/>
  <c r="C399" i="1"/>
  <c r="AD398" i="1"/>
  <c r="AC398" i="1"/>
  <c r="AA398" i="1"/>
  <c r="W398" i="1"/>
  <c r="U398" i="1"/>
  <c r="R398" i="1"/>
  <c r="O398" i="1"/>
  <c r="N398" i="1"/>
  <c r="L398" i="1"/>
  <c r="H398" i="1"/>
  <c r="I398" i="1" s="1"/>
  <c r="F398" i="1"/>
  <c r="C398" i="1"/>
  <c r="AC397" i="1"/>
  <c r="AD397" i="1" s="1"/>
  <c r="AA397" i="1"/>
  <c r="W397" i="1"/>
  <c r="U397" i="1"/>
  <c r="R397" i="1"/>
  <c r="O397" i="1"/>
  <c r="N397" i="1"/>
  <c r="L397" i="1"/>
  <c r="H397" i="1"/>
  <c r="F397" i="1"/>
  <c r="C397" i="1"/>
  <c r="AC396" i="1"/>
  <c r="AD396" i="1" s="1"/>
  <c r="Z396" i="1"/>
  <c r="AA396" i="1" s="1"/>
  <c r="T396" i="1"/>
  <c r="U396" i="1" s="1"/>
  <c r="Q396" i="1"/>
  <c r="W396" i="1" s="1"/>
  <c r="X396" i="1" s="1"/>
  <c r="L396" i="1"/>
  <c r="K396" i="1"/>
  <c r="E396" i="1"/>
  <c r="F396" i="1" s="1"/>
  <c r="B396" i="1"/>
  <c r="C396" i="1" s="1"/>
  <c r="AD395" i="1"/>
  <c r="AC395" i="1"/>
  <c r="AA395" i="1"/>
  <c r="X395" i="1"/>
  <c r="W395" i="1"/>
  <c r="U395" i="1"/>
  <c r="R395" i="1"/>
  <c r="N395" i="1"/>
  <c r="O395" i="1" s="1"/>
  <c r="L395" i="1"/>
  <c r="H395" i="1"/>
  <c r="I395" i="1" s="1"/>
  <c r="F395" i="1"/>
  <c r="C395" i="1"/>
  <c r="AC394" i="1"/>
  <c r="AD394" i="1" s="1"/>
  <c r="AA394" i="1"/>
  <c r="W394" i="1"/>
  <c r="U394" i="1"/>
  <c r="R394" i="1"/>
  <c r="O394" i="1"/>
  <c r="N394" i="1"/>
  <c r="L394" i="1"/>
  <c r="H394" i="1"/>
  <c r="F394" i="1"/>
  <c r="C394" i="1"/>
  <c r="Z393" i="1"/>
  <c r="AA393" i="1" s="1"/>
  <c r="T393" i="1"/>
  <c r="U393" i="1" s="1"/>
  <c r="Q393" i="1"/>
  <c r="W393" i="1" s="1"/>
  <c r="X393" i="1" s="1"/>
  <c r="N393" i="1"/>
  <c r="O393" i="1" s="1"/>
  <c r="L393" i="1"/>
  <c r="K393" i="1"/>
  <c r="H393" i="1"/>
  <c r="I393" i="1" s="1"/>
  <c r="F393" i="1"/>
  <c r="E393" i="1"/>
  <c r="B393" i="1"/>
  <c r="C393" i="1" s="1"/>
  <c r="AD392" i="1"/>
  <c r="AC392" i="1"/>
  <c r="AA392" i="1"/>
  <c r="W392" i="1"/>
  <c r="X392" i="1" s="1"/>
  <c r="U392" i="1"/>
  <c r="R392" i="1"/>
  <c r="N392" i="1"/>
  <c r="O392" i="1" s="1"/>
  <c r="L392" i="1"/>
  <c r="H392" i="1"/>
  <c r="F392" i="1"/>
  <c r="C392" i="1"/>
  <c r="AC391" i="1"/>
  <c r="AD391" i="1" s="1"/>
  <c r="AA391" i="1"/>
  <c r="W391" i="1"/>
  <c r="U391" i="1"/>
  <c r="R391" i="1"/>
  <c r="O391" i="1"/>
  <c r="N391" i="1"/>
  <c r="L391" i="1"/>
  <c r="H391" i="1"/>
  <c r="F391" i="1"/>
  <c r="C391" i="1"/>
  <c r="AD390" i="1"/>
  <c r="AC390" i="1"/>
  <c r="AA390" i="1"/>
  <c r="X390" i="1"/>
  <c r="W390" i="1"/>
  <c r="U390" i="1"/>
  <c r="R390" i="1"/>
  <c r="N390" i="1"/>
  <c r="O390" i="1" s="1"/>
  <c r="L390" i="1"/>
  <c r="H390" i="1"/>
  <c r="I390" i="1" s="1"/>
  <c r="F390" i="1"/>
  <c r="C390" i="1"/>
  <c r="AC389" i="1"/>
  <c r="AD389" i="1" s="1"/>
  <c r="AA389" i="1"/>
  <c r="X389" i="1"/>
  <c r="W389" i="1"/>
  <c r="U389" i="1"/>
  <c r="R389" i="1"/>
  <c r="O389" i="1"/>
  <c r="N389" i="1"/>
  <c r="L389" i="1"/>
  <c r="H389" i="1"/>
  <c r="I389" i="1" s="1"/>
  <c r="F389" i="1"/>
  <c r="C389" i="1"/>
  <c r="AD388" i="1"/>
  <c r="AC388" i="1"/>
  <c r="AA388" i="1"/>
  <c r="W388" i="1"/>
  <c r="X388" i="1" s="1"/>
  <c r="U388" i="1"/>
  <c r="R388" i="1"/>
  <c r="N388" i="1"/>
  <c r="O388" i="1" s="1"/>
  <c r="L388" i="1"/>
  <c r="H388" i="1"/>
  <c r="F388" i="1"/>
  <c r="C388" i="1"/>
  <c r="AC386" i="1"/>
  <c r="AD386" i="1" s="1"/>
  <c r="AA386" i="1"/>
  <c r="W386" i="1"/>
  <c r="U386" i="1"/>
  <c r="R386" i="1"/>
  <c r="O386" i="1"/>
  <c r="N386" i="1"/>
  <c r="L386" i="1"/>
  <c r="I386" i="1"/>
  <c r="H386" i="1"/>
  <c r="F386" i="1"/>
  <c r="C386" i="1"/>
  <c r="AD385" i="1"/>
  <c r="AC385" i="1"/>
  <c r="AA385" i="1"/>
  <c r="W385" i="1"/>
  <c r="X385" i="1" s="1"/>
  <c r="U385" i="1"/>
  <c r="R385" i="1"/>
  <c r="N385" i="1"/>
  <c r="O385" i="1" s="1"/>
  <c r="L385" i="1"/>
  <c r="H385" i="1"/>
  <c r="F385" i="1"/>
  <c r="C385" i="1"/>
  <c r="AC383" i="1"/>
  <c r="AD383" i="1" s="1"/>
  <c r="AA383" i="1"/>
  <c r="X383" i="1"/>
  <c r="W383" i="1"/>
  <c r="U383" i="1"/>
  <c r="R383" i="1"/>
  <c r="O383" i="1"/>
  <c r="N383" i="1"/>
  <c r="L383" i="1"/>
  <c r="H383" i="1"/>
  <c r="I383" i="1" s="1"/>
  <c r="F383" i="1"/>
  <c r="C383" i="1"/>
  <c r="AD382" i="1"/>
  <c r="AC382" i="1"/>
  <c r="AA382" i="1"/>
  <c r="X382" i="1"/>
  <c r="W382" i="1"/>
  <c r="U382" i="1"/>
  <c r="R382" i="1"/>
  <c r="O382" i="1"/>
  <c r="N382" i="1"/>
  <c r="L382" i="1"/>
  <c r="H382" i="1"/>
  <c r="I382" i="1" s="1"/>
  <c r="F382" i="1"/>
  <c r="C382" i="1"/>
  <c r="AC381" i="1"/>
  <c r="AD381" i="1" s="1"/>
  <c r="AA381" i="1"/>
  <c r="W381" i="1"/>
  <c r="U381" i="1"/>
  <c r="R381" i="1"/>
  <c r="O381" i="1"/>
  <c r="N381" i="1"/>
  <c r="L381" i="1"/>
  <c r="I381" i="1"/>
  <c r="H381" i="1"/>
  <c r="F381" i="1"/>
  <c r="C381" i="1"/>
  <c r="AC380" i="1"/>
  <c r="AD380" i="1" s="1"/>
  <c r="AA380" i="1"/>
  <c r="W380" i="1"/>
  <c r="X380" i="1" s="1"/>
  <c r="U380" i="1"/>
  <c r="R380" i="1"/>
  <c r="N380" i="1"/>
  <c r="O380" i="1" s="1"/>
  <c r="L380" i="1"/>
  <c r="H380" i="1"/>
  <c r="I380" i="1" s="1"/>
  <c r="F380" i="1"/>
  <c r="C380" i="1"/>
  <c r="AC379" i="1"/>
  <c r="AD379" i="1" s="1"/>
  <c r="AA379" i="1"/>
  <c r="W379" i="1"/>
  <c r="U379" i="1"/>
  <c r="R379" i="1"/>
  <c r="O379" i="1"/>
  <c r="N379" i="1"/>
  <c r="L379" i="1"/>
  <c r="H379" i="1"/>
  <c r="F379" i="1"/>
  <c r="C379" i="1"/>
  <c r="AD378" i="1"/>
  <c r="AC378" i="1"/>
  <c r="AA378" i="1"/>
  <c r="X378" i="1"/>
  <c r="W378" i="1"/>
  <c r="U378" i="1"/>
  <c r="R378" i="1"/>
  <c r="N378" i="1"/>
  <c r="O378" i="1" s="1"/>
  <c r="L378" i="1"/>
  <c r="H378" i="1"/>
  <c r="I378" i="1" s="1"/>
  <c r="F378" i="1"/>
  <c r="C378" i="1"/>
  <c r="AC377" i="1"/>
  <c r="AD377" i="1" s="1"/>
  <c r="AA377" i="1"/>
  <c r="W377" i="1"/>
  <c r="U377" i="1"/>
  <c r="R377" i="1"/>
  <c r="O377" i="1"/>
  <c r="N377" i="1"/>
  <c r="L377" i="1"/>
  <c r="H377" i="1"/>
  <c r="F377" i="1"/>
  <c r="C377" i="1"/>
  <c r="AC376" i="1"/>
  <c r="AD376" i="1" s="1"/>
  <c r="AA376" i="1"/>
  <c r="W376" i="1"/>
  <c r="U376" i="1"/>
  <c r="R376" i="1"/>
  <c r="O376" i="1"/>
  <c r="N376" i="1"/>
  <c r="L376" i="1"/>
  <c r="H376" i="1"/>
  <c r="I376" i="1" s="1"/>
  <c r="F376" i="1"/>
  <c r="C376" i="1"/>
  <c r="AC375" i="1"/>
  <c r="AD375" i="1" s="1"/>
  <c r="AA375" i="1"/>
  <c r="X375" i="1"/>
  <c r="W375" i="1"/>
  <c r="U375" i="1"/>
  <c r="R375" i="1"/>
  <c r="O375" i="1"/>
  <c r="N375" i="1"/>
  <c r="L375" i="1"/>
  <c r="H375" i="1"/>
  <c r="I375" i="1" s="1"/>
  <c r="F375" i="1"/>
  <c r="C375" i="1"/>
  <c r="AD374" i="1"/>
  <c r="AC374" i="1"/>
  <c r="AA374" i="1"/>
  <c r="W374" i="1"/>
  <c r="X374" i="1" s="1"/>
  <c r="U374" i="1"/>
  <c r="R374" i="1"/>
  <c r="N374" i="1"/>
  <c r="O374" i="1" s="1"/>
  <c r="L374" i="1"/>
  <c r="H374" i="1"/>
  <c r="F374" i="1"/>
  <c r="C374" i="1"/>
  <c r="AC373" i="1"/>
  <c r="AD373" i="1" s="1"/>
  <c r="AA373" i="1"/>
  <c r="W373" i="1"/>
  <c r="U373" i="1"/>
  <c r="R373" i="1"/>
  <c r="O373" i="1"/>
  <c r="N373" i="1"/>
  <c r="L373" i="1"/>
  <c r="I373" i="1"/>
  <c r="H373" i="1"/>
  <c r="F373" i="1"/>
  <c r="C373" i="1"/>
  <c r="AD372" i="1"/>
  <c r="AC372" i="1"/>
  <c r="AA372" i="1"/>
  <c r="W372" i="1"/>
  <c r="X372" i="1" s="1"/>
  <c r="U372" i="1"/>
  <c r="R372" i="1"/>
  <c r="O372" i="1"/>
  <c r="N372" i="1"/>
  <c r="L372" i="1"/>
  <c r="H372" i="1"/>
  <c r="F372" i="1"/>
  <c r="C372" i="1"/>
  <c r="AC371" i="1"/>
  <c r="AD371" i="1" s="1"/>
  <c r="AA371" i="1"/>
  <c r="X371" i="1"/>
  <c r="W371" i="1"/>
  <c r="U371" i="1"/>
  <c r="R371" i="1"/>
  <c r="O371" i="1"/>
  <c r="N371" i="1"/>
  <c r="L371" i="1"/>
  <c r="H371" i="1"/>
  <c r="I371" i="1" s="1"/>
  <c r="F371" i="1"/>
  <c r="C371" i="1"/>
  <c r="AD370" i="1"/>
  <c r="AC370" i="1"/>
  <c r="AA370" i="1"/>
  <c r="W370" i="1"/>
  <c r="X370" i="1" s="1"/>
  <c r="U370" i="1"/>
  <c r="R370" i="1"/>
  <c r="N370" i="1"/>
  <c r="O370" i="1" s="1"/>
  <c r="L370" i="1"/>
  <c r="H370" i="1"/>
  <c r="I370" i="1" s="1"/>
  <c r="F370" i="1"/>
  <c r="C370" i="1"/>
  <c r="AC369" i="1"/>
  <c r="AD369" i="1" s="1"/>
  <c r="AA369" i="1"/>
  <c r="W369" i="1"/>
  <c r="U369" i="1"/>
  <c r="R369" i="1"/>
  <c r="O369" i="1"/>
  <c r="N369" i="1"/>
  <c r="L369" i="1"/>
  <c r="I369" i="1"/>
  <c r="H369" i="1"/>
  <c r="F369" i="1"/>
  <c r="C369" i="1"/>
  <c r="AC368" i="1"/>
  <c r="AD368" i="1" s="1"/>
  <c r="Z368" i="1"/>
  <c r="AA368" i="1" s="1"/>
  <c r="T368" i="1"/>
  <c r="U368" i="1" s="1"/>
  <c r="R368" i="1"/>
  <c r="Q368" i="1"/>
  <c r="N368" i="1"/>
  <c r="O368" i="1" s="1"/>
  <c r="L368" i="1"/>
  <c r="K368" i="1"/>
  <c r="E368" i="1"/>
  <c r="F368" i="1" s="1"/>
  <c r="B368" i="1"/>
  <c r="C368" i="1" s="1"/>
  <c r="AD367" i="1"/>
  <c r="AC367" i="1"/>
  <c r="AA367" i="1"/>
  <c r="X367" i="1"/>
  <c r="W367" i="1"/>
  <c r="U367" i="1"/>
  <c r="R367" i="1"/>
  <c r="O367" i="1"/>
  <c r="N367" i="1"/>
  <c r="L367" i="1"/>
  <c r="H367" i="1"/>
  <c r="I367" i="1" s="1"/>
  <c r="F367" i="1"/>
  <c r="C367" i="1"/>
  <c r="AC366" i="1"/>
  <c r="AD366" i="1" s="1"/>
  <c r="AA366" i="1"/>
  <c r="W366" i="1"/>
  <c r="U366" i="1"/>
  <c r="R366" i="1"/>
  <c r="O366" i="1"/>
  <c r="N366" i="1"/>
  <c r="L366" i="1"/>
  <c r="I366" i="1"/>
  <c r="H366" i="1"/>
  <c r="F366" i="1"/>
  <c r="C366" i="1"/>
  <c r="AC365" i="1"/>
  <c r="AD365" i="1" s="1"/>
  <c r="AA365" i="1"/>
  <c r="W365" i="1"/>
  <c r="X365" i="1" s="1"/>
  <c r="U365" i="1"/>
  <c r="R365" i="1"/>
  <c r="N365" i="1"/>
  <c r="O365" i="1" s="1"/>
  <c r="L365" i="1"/>
  <c r="H365" i="1"/>
  <c r="I365" i="1" s="1"/>
  <c r="F365" i="1"/>
  <c r="C365" i="1"/>
  <c r="AC364" i="1"/>
  <c r="AD364" i="1" s="1"/>
  <c r="AA364" i="1"/>
  <c r="W364" i="1"/>
  <c r="U364" i="1"/>
  <c r="R364" i="1"/>
  <c r="O364" i="1"/>
  <c r="N364" i="1"/>
  <c r="L364" i="1"/>
  <c r="H364" i="1"/>
  <c r="F364" i="1"/>
  <c r="C364" i="1"/>
  <c r="AD363" i="1"/>
  <c r="AC363" i="1"/>
  <c r="AA363" i="1"/>
  <c r="X363" i="1"/>
  <c r="W363" i="1"/>
  <c r="U363" i="1"/>
  <c r="R363" i="1"/>
  <c r="N363" i="1"/>
  <c r="O363" i="1" s="1"/>
  <c r="L363" i="1"/>
  <c r="H363" i="1"/>
  <c r="I363" i="1" s="1"/>
  <c r="F363" i="1"/>
  <c r="C363" i="1"/>
  <c r="AC362" i="1"/>
  <c r="AD362" i="1" s="1"/>
  <c r="AA362" i="1"/>
  <c r="W362" i="1"/>
  <c r="U362" i="1"/>
  <c r="R362" i="1"/>
  <c r="O362" i="1"/>
  <c r="N362" i="1"/>
  <c r="L362" i="1"/>
  <c r="H362" i="1"/>
  <c r="F362" i="1"/>
  <c r="C362" i="1"/>
  <c r="AC361" i="1"/>
  <c r="AD361" i="1" s="1"/>
  <c r="AA361" i="1"/>
  <c r="W361" i="1"/>
  <c r="U361" i="1"/>
  <c r="R361" i="1"/>
  <c r="O361" i="1"/>
  <c r="N361" i="1"/>
  <c r="L361" i="1"/>
  <c r="H361" i="1"/>
  <c r="I361" i="1" s="1"/>
  <c r="F361" i="1"/>
  <c r="C361" i="1"/>
  <c r="AC360" i="1"/>
  <c r="AD360" i="1" s="1"/>
  <c r="AA360" i="1"/>
  <c r="X360" i="1"/>
  <c r="W360" i="1"/>
  <c r="U360" i="1"/>
  <c r="R360" i="1"/>
  <c r="O360" i="1"/>
  <c r="N360" i="1"/>
  <c r="L360" i="1"/>
  <c r="H360" i="1"/>
  <c r="I360" i="1" s="1"/>
  <c r="F360" i="1"/>
  <c r="C360" i="1"/>
  <c r="Z358" i="1"/>
  <c r="AA358" i="1" s="1"/>
  <c r="T358" i="1"/>
  <c r="U358" i="1" s="1"/>
  <c r="R358" i="1"/>
  <c r="Q358" i="1"/>
  <c r="N358" i="1"/>
  <c r="O358" i="1" s="1"/>
  <c r="L358" i="1"/>
  <c r="K358" i="1"/>
  <c r="F358" i="1"/>
  <c r="E358" i="1"/>
  <c r="B358" i="1"/>
  <c r="C358" i="1" s="1"/>
  <c r="AC357" i="1"/>
  <c r="AD357" i="1" s="1"/>
  <c r="AA357" i="1"/>
  <c r="W357" i="1"/>
  <c r="U357" i="1"/>
  <c r="R357" i="1"/>
  <c r="O357" i="1"/>
  <c r="N357" i="1"/>
  <c r="L357" i="1"/>
  <c r="H357" i="1"/>
  <c r="I357" i="1" s="1"/>
  <c r="F357" i="1"/>
  <c r="C357" i="1"/>
  <c r="AC356" i="1"/>
  <c r="AD356" i="1" s="1"/>
  <c r="AA356" i="1"/>
  <c r="X356" i="1"/>
  <c r="W356" i="1"/>
  <c r="U356" i="1"/>
  <c r="R356" i="1"/>
  <c r="O356" i="1"/>
  <c r="N356" i="1"/>
  <c r="L356" i="1"/>
  <c r="H356" i="1"/>
  <c r="I356" i="1" s="1"/>
  <c r="F356" i="1"/>
  <c r="C356" i="1"/>
  <c r="AD355" i="1"/>
  <c r="AC355" i="1"/>
  <c r="AA355" i="1"/>
  <c r="W355" i="1"/>
  <c r="X355" i="1" s="1"/>
  <c r="U355" i="1"/>
  <c r="R355" i="1"/>
  <c r="N355" i="1"/>
  <c r="O355" i="1" s="1"/>
  <c r="L355" i="1"/>
  <c r="H355" i="1"/>
  <c r="F355" i="1"/>
  <c r="C355" i="1"/>
  <c r="AC354" i="1"/>
  <c r="AD354" i="1" s="1"/>
  <c r="AA354" i="1"/>
  <c r="W354" i="1"/>
  <c r="U354" i="1"/>
  <c r="R354" i="1"/>
  <c r="N354" i="1"/>
  <c r="O354" i="1" s="1"/>
  <c r="L354" i="1"/>
  <c r="I354" i="1"/>
  <c r="H354" i="1"/>
  <c r="F354" i="1"/>
  <c r="C354" i="1"/>
  <c r="AD353" i="1"/>
  <c r="AC353" i="1"/>
  <c r="AA353" i="1"/>
  <c r="W353" i="1"/>
  <c r="X353" i="1" s="1"/>
  <c r="U353" i="1"/>
  <c r="R353" i="1"/>
  <c r="O353" i="1"/>
  <c r="N353" i="1"/>
  <c r="L353" i="1"/>
  <c r="H353" i="1"/>
  <c r="I353" i="1" s="1"/>
  <c r="F353" i="1"/>
  <c r="C353" i="1"/>
  <c r="AC352" i="1"/>
  <c r="AD352" i="1" s="1"/>
  <c r="AA352" i="1"/>
  <c r="W352" i="1"/>
  <c r="U352" i="1"/>
  <c r="R352" i="1"/>
  <c r="O352" i="1"/>
  <c r="N352" i="1"/>
  <c r="L352" i="1"/>
  <c r="I352" i="1"/>
  <c r="H352" i="1"/>
  <c r="F352" i="1"/>
  <c r="C352" i="1"/>
  <c r="AD351" i="1"/>
  <c r="AC351" i="1"/>
  <c r="AA351" i="1"/>
  <c r="W351" i="1"/>
  <c r="X351" i="1" s="1"/>
  <c r="U351" i="1"/>
  <c r="R351" i="1"/>
  <c r="N351" i="1"/>
  <c r="O351" i="1" s="1"/>
  <c r="L351" i="1"/>
  <c r="H351" i="1"/>
  <c r="F351" i="1"/>
  <c r="C351" i="1"/>
  <c r="AD350" i="1"/>
  <c r="AC350" i="1"/>
  <c r="AA350" i="1"/>
  <c r="W350" i="1"/>
  <c r="U350" i="1"/>
  <c r="R350" i="1"/>
  <c r="N350" i="1"/>
  <c r="O350" i="1" s="1"/>
  <c r="L350" i="1"/>
  <c r="H350" i="1"/>
  <c r="F350" i="1"/>
  <c r="C350" i="1"/>
  <c r="AC349" i="1"/>
  <c r="AD349" i="1" s="1"/>
  <c r="AA349" i="1"/>
  <c r="W349" i="1"/>
  <c r="U349" i="1"/>
  <c r="R349" i="1"/>
  <c r="O349" i="1"/>
  <c r="N349" i="1"/>
  <c r="L349" i="1"/>
  <c r="I349" i="1"/>
  <c r="H349" i="1"/>
  <c r="F349" i="1"/>
  <c r="C349" i="1"/>
  <c r="AC347" i="1"/>
  <c r="AD347" i="1" s="1"/>
  <c r="AA347" i="1"/>
  <c r="W347" i="1"/>
  <c r="X347" i="1" s="1"/>
  <c r="U347" i="1"/>
  <c r="R347" i="1"/>
  <c r="O347" i="1"/>
  <c r="N347" i="1"/>
  <c r="L347" i="1"/>
  <c r="I347" i="1"/>
  <c r="H347" i="1"/>
  <c r="F347" i="1"/>
  <c r="C347" i="1"/>
  <c r="AC344" i="1"/>
  <c r="AD344" i="1" s="1"/>
  <c r="AA344" i="1"/>
  <c r="Z344" i="1"/>
  <c r="T344" i="1"/>
  <c r="U344" i="1" s="1"/>
  <c r="R344" i="1"/>
  <c r="Q344" i="1"/>
  <c r="N344" i="1"/>
  <c r="O344" i="1" s="1"/>
  <c r="L344" i="1"/>
  <c r="K344" i="1"/>
  <c r="E344" i="1"/>
  <c r="F344" i="1" s="1"/>
  <c r="B344" i="1"/>
  <c r="H344" i="1" s="1"/>
  <c r="I344" i="1" s="1"/>
  <c r="AD343" i="1"/>
  <c r="Z343" i="1"/>
  <c r="AA343" i="1" s="1"/>
  <c r="T343" i="1"/>
  <c r="W343" i="1" s="1"/>
  <c r="X343" i="1" s="1"/>
  <c r="R343" i="1"/>
  <c r="Q343" i="1"/>
  <c r="AC343" i="1" s="1"/>
  <c r="N343" i="1"/>
  <c r="O343" i="1" s="1"/>
  <c r="L343" i="1"/>
  <c r="K343" i="1"/>
  <c r="F343" i="1"/>
  <c r="E343" i="1"/>
  <c r="B343" i="1"/>
  <c r="C343" i="1" s="1"/>
  <c r="Z342" i="1"/>
  <c r="AA342" i="1" s="1"/>
  <c r="T342" i="1"/>
  <c r="U342" i="1" s="1"/>
  <c r="Q342" i="1"/>
  <c r="W342" i="1" s="1"/>
  <c r="X342" i="1" s="1"/>
  <c r="L342" i="1"/>
  <c r="K342" i="1"/>
  <c r="F342" i="1"/>
  <c r="E342" i="1"/>
  <c r="B342" i="1"/>
  <c r="N342" i="1" s="1"/>
  <c r="O342" i="1" s="1"/>
  <c r="AD341" i="1"/>
  <c r="AC341" i="1"/>
  <c r="AA341" i="1"/>
  <c r="W341" i="1"/>
  <c r="X341" i="1" s="1"/>
  <c r="U341" i="1"/>
  <c r="R341" i="1"/>
  <c r="O341" i="1"/>
  <c r="N341" i="1"/>
  <c r="L341" i="1"/>
  <c r="H341" i="1"/>
  <c r="F341" i="1"/>
  <c r="C341" i="1"/>
  <c r="AC340" i="1"/>
  <c r="AD340" i="1" s="1"/>
  <c r="AA340" i="1"/>
  <c r="W340" i="1"/>
  <c r="U340" i="1"/>
  <c r="R340" i="1"/>
  <c r="N340" i="1"/>
  <c r="O340" i="1" s="1"/>
  <c r="L340" i="1"/>
  <c r="I340" i="1"/>
  <c r="H340" i="1"/>
  <c r="F340" i="1"/>
  <c r="C340" i="1"/>
  <c r="AC339" i="1"/>
  <c r="AD339" i="1" s="1"/>
  <c r="AA339" i="1"/>
  <c r="W339" i="1"/>
  <c r="X339" i="1" s="1"/>
  <c r="U339" i="1"/>
  <c r="R339" i="1"/>
  <c r="N339" i="1"/>
  <c r="O339" i="1" s="1"/>
  <c r="L339" i="1"/>
  <c r="I339" i="1"/>
  <c r="H339" i="1"/>
  <c r="F339" i="1"/>
  <c r="C339" i="1"/>
  <c r="AC338" i="1"/>
  <c r="AD338" i="1" s="1"/>
  <c r="AA338" i="1"/>
  <c r="W338" i="1"/>
  <c r="X338" i="1" s="1"/>
  <c r="U338" i="1"/>
  <c r="R338" i="1"/>
  <c r="O338" i="1"/>
  <c r="N338" i="1"/>
  <c r="L338" i="1"/>
  <c r="H338" i="1"/>
  <c r="I338" i="1" s="1"/>
  <c r="F338" i="1"/>
  <c r="C338" i="1"/>
  <c r="AD337" i="1"/>
  <c r="AC337" i="1"/>
  <c r="AA337" i="1"/>
  <c r="W337" i="1"/>
  <c r="U337" i="1"/>
  <c r="R337" i="1"/>
  <c r="O337" i="1"/>
  <c r="N337" i="1"/>
  <c r="L337" i="1"/>
  <c r="H337" i="1"/>
  <c r="I337" i="1" s="1"/>
  <c r="F337" i="1"/>
  <c r="C337" i="1"/>
  <c r="AC335" i="1"/>
  <c r="AD335" i="1" s="1"/>
  <c r="AA335" i="1"/>
  <c r="W335" i="1"/>
  <c r="U335" i="1"/>
  <c r="R335" i="1"/>
  <c r="O335" i="1"/>
  <c r="N335" i="1"/>
  <c r="L335" i="1"/>
  <c r="I335" i="1"/>
  <c r="H335" i="1"/>
  <c r="F335" i="1"/>
  <c r="C335" i="1"/>
  <c r="AD334" i="1"/>
  <c r="AC334" i="1"/>
  <c r="AA334" i="1"/>
  <c r="W334" i="1"/>
  <c r="X334" i="1" s="1"/>
  <c r="U334" i="1"/>
  <c r="R334" i="1"/>
  <c r="N334" i="1"/>
  <c r="O334" i="1" s="1"/>
  <c r="L334" i="1"/>
  <c r="H334" i="1"/>
  <c r="I334" i="1" s="1"/>
  <c r="F334" i="1"/>
  <c r="C334" i="1"/>
  <c r="AC333" i="1"/>
  <c r="AD333" i="1" s="1"/>
  <c r="AA333" i="1"/>
  <c r="X333" i="1"/>
  <c r="W333" i="1"/>
  <c r="U333" i="1"/>
  <c r="R333" i="1"/>
  <c r="O333" i="1"/>
  <c r="N333" i="1"/>
  <c r="L333" i="1"/>
  <c r="H333" i="1"/>
  <c r="I333" i="1" s="1"/>
  <c r="F333" i="1"/>
  <c r="C333" i="1"/>
  <c r="AD332" i="1"/>
  <c r="AC332" i="1"/>
  <c r="AA332" i="1"/>
  <c r="W332" i="1"/>
  <c r="X332" i="1" s="1"/>
  <c r="U332" i="1"/>
  <c r="R332" i="1"/>
  <c r="N332" i="1"/>
  <c r="O332" i="1" s="1"/>
  <c r="L332" i="1"/>
  <c r="H332" i="1"/>
  <c r="I332" i="1" s="1"/>
  <c r="F332" i="1"/>
  <c r="C332" i="1"/>
  <c r="AD331" i="1"/>
  <c r="AC331" i="1"/>
  <c r="AA331" i="1"/>
  <c r="W331" i="1"/>
  <c r="U331" i="1"/>
  <c r="R331" i="1"/>
  <c r="N331" i="1"/>
  <c r="O331" i="1" s="1"/>
  <c r="L331" i="1"/>
  <c r="H331" i="1"/>
  <c r="F331" i="1"/>
  <c r="C331" i="1"/>
  <c r="AD330" i="1"/>
  <c r="AC330" i="1"/>
  <c r="AA330" i="1"/>
  <c r="X330" i="1"/>
  <c r="W330" i="1"/>
  <c r="U330" i="1"/>
  <c r="R330" i="1"/>
  <c r="N330" i="1"/>
  <c r="O330" i="1" s="1"/>
  <c r="L330" i="1"/>
  <c r="H330" i="1"/>
  <c r="I330" i="1" s="1"/>
  <c r="F330" i="1"/>
  <c r="C330" i="1"/>
  <c r="AC329" i="1"/>
  <c r="AD329" i="1" s="1"/>
  <c r="AA329" i="1"/>
  <c r="X329" i="1"/>
  <c r="W329" i="1"/>
  <c r="U329" i="1"/>
  <c r="R329" i="1"/>
  <c r="O329" i="1"/>
  <c r="N329" i="1"/>
  <c r="L329" i="1"/>
  <c r="H329" i="1"/>
  <c r="I329" i="1" s="1"/>
  <c r="F329" i="1"/>
  <c r="C329" i="1"/>
  <c r="AD328" i="1"/>
  <c r="AC328" i="1"/>
  <c r="AA328" i="1"/>
  <c r="W328" i="1"/>
  <c r="X328" i="1" s="1"/>
  <c r="U328" i="1"/>
  <c r="R328" i="1"/>
  <c r="N328" i="1"/>
  <c r="O328" i="1" s="1"/>
  <c r="L328" i="1"/>
  <c r="H328" i="1"/>
  <c r="F328" i="1"/>
  <c r="C328" i="1"/>
  <c r="AA325" i="1"/>
  <c r="Z325" i="1"/>
  <c r="T325" i="1"/>
  <c r="U325" i="1" s="1"/>
  <c r="Q325" i="1"/>
  <c r="W325" i="1" s="1"/>
  <c r="X325" i="1" s="1"/>
  <c r="K325" i="1"/>
  <c r="L325" i="1" s="1"/>
  <c r="E325" i="1"/>
  <c r="H325" i="1" s="1"/>
  <c r="I325" i="1" s="1"/>
  <c r="C325" i="1"/>
  <c r="B325" i="1"/>
  <c r="Z324" i="1"/>
  <c r="AA324" i="1" s="1"/>
  <c r="U324" i="1"/>
  <c r="T324" i="1"/>
  <c r="Q324" i="1"/>
  <c r="R324" i="1" s="1"/>
  <c r="N324" i="1"/>
  <c r="O324" i="1" s="1"/>
  <c r="L324" i="1"/>
  <c r="K324" i="1"/>
  <c r="E324" i="1"/>
  <c r="F324" i="1" s="1"/>
  <c r="B324" i="1"/>
  <c r="H324" i="1" s="1"/>
  <c r="I324" i="1" s="1"/>
  <c r="AC323" i="1"/>
  <c r="AD323" i="1" s="1"/>
  <c r="AA323" i="1"/>
  <c r="W323" i="1"/>
  <c r="U323" i="1"/>
  <c r="R323" i="1"/>
  <c r="N323" i="1"/>
  <c r="O323" i="1" s="1"/>
  <c r="L323" i="1"/>
  <c r="I323" i="1"/>
  <c r="H323" i="1"/>
  <c r="F323" i="1"/>
  <c r="C323" i="1"/>
  <c r="AC322" i="1"/>
  <c r="AD322" i="1" s="1"/>
  <c r="AA322" i="1"/>
  <c r="W322" i="1"/>
  <c r="X322" i="1" s="1"/>
  <c r="U322" i="1"/>
  <c r="R322" i="1"/>
  <c r="N322" i="1"/>
  <c r="O322" i="1" s="1"/>
  <c r="L322" i="1"/>
  <c r="I322" i="1"/>
  <c r="H322" i="1"/>
  <c r="F322" i="1"/>
  <c r="C322" i="1"/>
  <c r="AC321" i="1"/>
  <c r="AD321" i="1" s="1"/>
  <c r="AA321" i="1"/>
  <c r="W321" i="1"/>
  <c r="X321" i="1" s="1"/>
  <c r="U321" i="1"/>
  <c r="R321" i="1"/>
  <c r="O321" i="1"/>
  <c r="N321" i="1"/>
  <c r="L321" i="1"/>
  <c r="H321" i="1"/>
  <c r="I321" i="1" s="1"/>
  <c r="F321" i="1"/>
  <c r="C321" i="1"/>
  <c r="AD320" i="1"/>
  <c r="AC320" i="1"/>
  <c r="AA320" i="1"/>
  <c r="W320" i="1"/>
  <c r="U320" i="1"/>
  <c r="R320" i="1"/>
  <c r="O320" i="1"/>
  <c r="N320" i="1"/>
  <c r="L320" i="1"/>
  <c r="H320" i="1"/>
  <c r="I320" i="1" s="1"/>
  <c r="F320" i="1"/>
  <c r="C320" i="1"/>
  <c r="AC319" i="1"/>
  <c r="AD319" i="1" s="1"/>
  <c r="AA319" i="1"/>
  <c r="W319" i="1"/>
  <c r="U319" i="1"/>
  <c r="R319" i="1"/>
  <c r="O319" i="1"/>
  <c r="N319" i="1"/>
  <c r="L319" i="1"/>
  <c r="I319" i="1"/>
  <c r="H319" i="1"/>
  <c r="F319" i="1"/>
  <c r="C319" i="1"/>
  <c r="AD318" i="1"/>
  <c r="AC318" i="1"/>
  <c r="AA318" i="1"/>
  <c r="W318" i="1"/>
  <c r="X318" i="1" s="1"/>
  <c r="U318" i="1"/>
  <c r="R318" i="1"/>
  <c r="N318" i="1"/>
  <c r="O318" i="1" s="1"/>
  <c r="L318" i="1"/>
  <c r="H318" i="1"/>
  <c r="I318" i="1" s="1"/>
  <c r="F318" i="1"/>
  <c r="C318" i="1"/>
  <c r="AC317" i="1"/>
  <c r="AD317" i="1" s="1"/>
  <c r="AA317" i="1"/>
  <c r="X317" i="1"/>
  <c r="W317" i="1"/>
  <c r="U317" i="1"/>
  <c r="R317" i="1"/>
  <c r="O317" i="1"/>
  <c r="N317" i="1"/>
  <c r="L317" i="1"/>
  <c r="H317" i="1"/>
  <c r="I317" i="1" s="1"/>
  <c r="F317" i="1"/>
  <c r="C317" i="1"/>
  <c r="AD316" i="1"/>
  <c r="AC316" i="1"/>
  <c r="AA316" i="1"/>
  <c r="W316" i="1"/>
  <c r="X316" i="1" s="1"/>
  <c r="U316" i="1"/>
  <c r="R316" i="1"/>
  <c r="N316" i="1"/>
  <c r="O316" i="1" s="1"/>
  <c r="L316" i="1"/>
  <c r="H316" i="1"/>
  <c r="I316" i="1" s="1"/>
  <c r="F316" i="1"/>
  <c r="C316" i="1"/>
  <c r="AD315" i="1"/>
  <c r="AC315" i="1"/>
  <c r="AA315" i="1"/>
  <c r="W315" i="1"/>
  <c r="U315" i="1"/>
  <c r="R315" i="1"/>
  <c r="N315" i="1"/>
  <c r="O315" i="1" s="1"/>
  <c r="L315" i="1"/>
  <c r="H315" i="1"/>
  <c r="F315" i="1"/>
  <c r="C315" i="1"/>
  <c r="AD314" i="1"/>
  <c r="AC314" i="1"/>
  <c r="AA314" i="1"/>
  <c r="X314" i="1"/>
  <c r="W314" i="1"/>
  <c r="U314" i="1"/>
  <c r="R314" i="1"/>
  <c r="N314" i="1"/>
  <c r="O314" i="1" s="1"/>
  <c r="L314" i="1"/>
  <c r="H314" i="1"/>
  <c r="I314" i="1" s="1"/>
  <c r="F314" i="1"/>
  <c r="C314" i="1"/>
  <c r="AC313" i="1"/>
  <c r="AD313" i="1" s="1"/>
  <c r="AA313" i="1"/>
  <c r="X313" i="1"/>
  <c r="W313" i="1"/>
  <c r="U313" i="1"/>
  <c r="R313" i="1"/>
  <c r="O313" i="1"/>
  <c r="N313" i="1"/>
  <c r="L313" i="1"/>
  <c r="H313" i="1"/>
  <c r="I313" i="1" s="1"/>
  <c r="F313" i="1"/>
  <c r="C313" i="1"/>
  <c r="AD312" i="1"/>
  <c r="AC312" i="1"/>
  <c r="AA312" i="1"/>
  <c r="W312" i="1"/>
  <c r="X312" i="1" s="1"/>
  <c r="U312" i="1"/>
  <c r="R312" i="1"/>
  <c r="N312" i="1"/>
  <c r="O312" i="1" s="1"/>
  <c r="L312" i="1"/>
  <c r="H312" i="1"/>
  <c r="F312" i="1"/>
  <c r="C312" i="1"/>
  <c r="AD311" i="1"/>
  <c r="AC311" i="1"/>
  <c r="AA311" i="1"/>
  <c r="W311" i="1"/>
  <c r="U311" i="1"/>
  <c r="R311" i="1"/>
  <c r="N311" i="1"/>
  <c r="O311" i="1" s="1"/>
  <c r="L311" i="1"/>
  <c r="H311" i="1"/>
  <c r="F311" i="1"/>
  <c r="C311" i="1"/>
  <c r="AC310" i="1"/>
  <c r="AD310" i="1" s="1"/>
  <c r="AA310" i="1"/>
  <c r="X310" i="1"/>
  <c r="W310" i="1"/>
  <c r="U310" i="1"/>
  <c r="R310" i="1"/>
  <c r="O310" i="1"/>
  <c r="N310" i="1"/>
  <c r="L310" i="1"/>
  <c r="H310" i="1"/>
  <c r="I310" i="1" s="1"/>
  <c r="F310" i="1"/>
  <c r="C310" i="1"/>
  <c r="AC309" i="1"/>
  <c r="AD309" i="1" s="1"/>
  <c r="AA309" i="1"/>
  <c r="W309" i="1"/>
  <c r="X309" i="1" s="1"/>
  <c r="U309" i="1"/>
  <c r="R309" i="1"/>
  <c r="O309" i="1"/>
  <c r="N309" i="1"/>
  <c r="L309" i="1"/>
  <c r="H309" i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I308" i="1" s="1"/>
  <c r="F308" i="1"/>
  <c r="C308" i="1"/>
  <c r="AC307" i="1"/>
  <c r="AD307" i="1" s="1"/>
  <c r="AA307" i="1"/>
  <c r="W307" i="1"/>
  <c r="U307" i="1"/>
  <c r="R307" i="1"/>
  <c r="O307" i="1"/>
  <c r="N307" i="1"/>
  <c r="L307" i="1"/>
  <c r="I307" i="1"/>
  <c r="H307" i="1"/>
  <c r="F307" i="1"/>
  <c r="C307" i="1"/>
  <c r="AC306" i="1"/>
  <c r="AD306" i="1" s="1"/>
  <c r="AA306" i="1"/>
  <c r="W306" i="1"/>
  <c r="X306" i="1" s="1"/>
  <c r="U306" i="1"/>
  <c r="R306" i="1"/>
  <c r="N306" i="1"/>
  <c r="O306" i="1" s="1"/>
  <c r="L306" i="1"/>
  <c r="H306" i="1"/>
  <c r="F306" i="1"/>
  <c r="C306" i="1"/>
  <c r="AC305" i="1"/>
  <c r="AD305" i="1" s="1"/>
  <c r="AA305" i="1"/>
  <c r="W305" i="1"/>
  <c r="X305" i="1" s="1"/>
  <c r="U305" i="1"/>
  <c r="R305" i="1"/>
  <c r="O305" i="1"/>
  <c r="N305" i="1"/>
  <c r="L305" i="1"/>
  <c r="H305" i="1"/>
  <c r="I305" i="1" s="1"/>
  <c r="F305" i="1"/>
  <c r="C305" i="1"/>
  <c r="AD304" i="1"/>
  <c r="AC304" i="1"/>
  <c r="AA304" i="1"/>
  <c r="X304" i="1"/>
  <c r="W304" i="1"/>
  <c r="U304" i="1"/>
  <c r="R304" i="1"/>
  <c r="O304" i="1"/>
  <c r="N304" i="1"/>
  <c r="L304" i="1"/>
  <c r="H304" i="1"/>
  <c r="I304" i="1" s="1"/>
  <c r="F304" i="1"/>
  <c r="C304" i="1"/>
  <c r="AC303" i="1"/>
  <c r="AD303" i="1" s="1"/>
  <c r="AA303" i="1"/>
  <c r="W303" i="1"/>
  <c r="U303" i="1"/>
  <c r="R303" i="1"/>
  <c r="O303" i="1"/>
  <c r="N303" i="1"/>
  <c r="L303" i="1"/>
  <c r="I303" i="1"/>
  <c r="H303" i="1"/>
  <c r="F303" i="1"/>
  <c r="C303" i="1"/>
  <c r="AC302" i="1"/>
  <c r="AD302" i="1" s="1"/>
  <c r="AA302" i="1"/>
  <c r="W302" i="1"/>
  <c r="X302" i="1" s="1"/>
  <c r="U302" i="1"/>
  <c r="R302" i="1"/>
  <c r="N302" i="1"/>
  <c r="O302" i="1" s="1"/>
  <c r="L302" i="1"/>
  <c r="H302" i="1"/>
  <c r="I302" i="1" s="1"/>
  <c r="F302" i="1"/>
  <c r="C302" i="1"/>
  <c r="AC301" i="1"/>
  <c r="AD301" i="1" s="1"/>
  <c r="AA301" i="1"/>
  <c r="W301" i="1"/>
  <c r="X301" i="1" s="1"/>
  <c r="U301" i="1"/>
  <c r="R301" i="1"/>
  <c r="O301" i="1"/>
  <c r="N301" i="1"/>
  <c r="L301" i="1"/>
  <c r="H301" i="1"/>
  <c r="I301" i="1" s="1"/>
  <c r="F301" i="1"/>
  <c r="C301" i="1"/>
  <c r="AD300" i="1"/>
  <c r="AC300" i="1"/>
  <c r="AA300" i="1"/>
  <c r="W300" i="1"/>
  <c r="X300" i="1" s="1"/>
  <c r="U300" i="1"/>
  <c r="R300" i="1"/>
  <c r="N300" i="1"/>
  <c r="O300" i="1" s="1"/>
  <c r="L300" i="1"/>
  <c r="H300" i="1"/>
  <c r="F300" i="1"/>
  <c r="C300" i="1"/>
  <c r="AC299" i="1"/>
  <c r="AD299" i="1" s="1"/>
  <c r="AA299" i="1"/>
  <c r="W299" i="1"/>
  <c r="U299" i="1"/>
  <c r="R299" i="1"/>
  <c r="N299" i="1"/>
  <c r="O299" i="1" s="1"/>
  <c r="L299" i="1"/>
  <c r="I299" i="1"/>
  <c r="H299" i="1"/>
  <c r="F299" i="1"/>
  <c r="C299" i="1"/>
  <c r="AD298" i="1"/>
  <c r="AC298" i="1"/>
  <c r="AA298" i="1"/>
  <c r="W298" i="1"/>
  <c r="X298" i="1" s="1"/>
  <c r="U298" i="1"/>
  <c r="R298" i="1"/>
  <c r="O298" i="1"/>
  <c r="N298" i="1"/>
  <c r="L298" i="1"/>
  <c r="H298" i="1"/>
  <c r="I298" i="1" s="1"/>
  <c r="F298" i="1"/>
  <c r="C298" i="1"/>
  <c r="AC297" i="1"/>
  <c r="AD297" i="1" s="1"/>
  <c r="AA297" i="1"/>
  <c r="W297" i="1"/>
  <c r="U297" i="1"/>
  <c r="R297" i="1"/>
  <c r="O297" i="1"/>
  <c r="N297" i="1"/>
  <c r="L297" i="1"/>
  <c r="I297" i="1"/>
  <c r="H297" i="1"/>
  <c r="F297" i="1"/>
  <c r="C297" i="1"/>
  <c r="Z295" i="1"/>
  <c r="AA295" i="1" s="1"/>
  <c r="W295" i="1"/>
  <c r="X295" i="1" s="1"/>
  <c r="U295" i="1"/>
  <c r="T295" i="1"/>
  <c r="R295" i="1"/>
  <c r="Q295" i="1"/>
  <c r="N295" i="1"/>
  <c r="O295" i="1" s="1"/>
  <c r="L295" i="1"/>
  <c r="K295" i="1"/>
  <c r="H295" i="1"/>
  <c r="I295" i="1" s="1"/>
  <c r="F295" i="1"/>
  <c r="E295" i="1"/>
  <c r="B295" i="1"/>
  <c r="C295" i="1" s="1"/>
  <c r="AC294" i="1"/>
  <c r="AD294" i="1" s="1"/>
  <c r="AA294" i="1"/>
  <c r="W294" i="1"/>
  <c r="X294" i="1" s="1"/>
  <c r="U294" i="1"/>
  <c r="R294" i="1"/>
  <c r="N294" i="1"/>
  <c r="O294" i="1" s="1"/>
  <c r="L294" i="1"/>
  <c r="H294" i="1"/>
  <c r="I294" i="1" s="1"/>
  <c r="F294" i="1"/>
  <c r="C294" i="1"/>
  <c r="AC293" i="1"/>
  <c r="AD293" i="1" s="1"/>
  <c r="AA293" i="1"/>
  <c r="W293" i="1"/>
  <c r="X293" i="1" s="1"/>
  <c r="U293" i="1"/>
  <c r="R293" i="1"/>
  <c r="O293" i="1"/>
  <c r="N293" i="1"/>
  <c r="L293" i="1"/>
  <c r="H293" i="1"/>
  <c r="I293" i="1" s="1"/>
  <c r="F293" i="1"/>
  <c r="C293" i="1"/>
  <c r="AD292" i="1"/>
  <c r="AC292" i="1"/>
  <c r="AA292" i="1"/>
  <c r="W292" i="1"/>
  <c r="X292" i="1" s="1"/>
  <c r="U292" i="1"/>
  <c r="R292" i="1"/>
  <c r="N292" i="1"/>
  <c r="O292" i="1" s="1"/>
  <c r="L292" i="1"/>
  <c r="H292" i="1"/>
  <c r="F292" i="1"/>
  <c r="C292" i="1"/>
  <c r="AC291" i="1"/>
  <c r="AD291" i="1" s="1"/>
  <c r="AA291" i="1"/>
  <c r="W291" i="1"/>
  <c r="U291" i="1"/>
  <c r="R291" i="1"/>
  <c r="N291" i="1"/>
  <c r="O291" i="1" s="1"/>
  <c r="L291" i="1"/>
  <c r="I291" i="1"/>
  <c r="H291" i="1"/>
  <c r="F291" i="1"/>
  <c r="C291" i="1"/>
  <c r="AD290" i="1"/>
  <c r="AC290" i="1"/>
  <c r="AA290" i="1"/>
  <c r="W290" i="1"/>
  <c r="X290" i="1" s="1"/>
  <c r="U290" i="1"/>
  <c r="R290" i="1"/>
  <c r="O290" i="1"/>
  <c r="N290" i="1"/>
  <c r="L290" i="1"/>
  <c r="H290" i="1"/>
  <c r="I290" i="1" s="1"/>
  <c r="F290" i="1"/>
  <c r="C290" i="1"/>
  <c r="AC289" i="1"/>
  <c r="AD289" i="1" s="1"/>
  <c r="AA289" i="1"/>
  <c r="W289" i="1"/>
  <c r="U289" i="1"/>
  <c r="R289" i="1"/>
  <c r="O289" i="1"/>
  <c r="N289" i="1"/>
  <c r="L289" i="1"/>
  <c r="I289" i="1"/>
  <c r="H289" i="1"/>
  <c r="F289" i="1"/>
  <c r="C289" i="1"/>
  <c r="AD288" i="1"/>
  <c r="AC288" i="1"/>
  <c r="AA288" i="1"/>
  <c r="W288" i="1"/>
  <c r="X288" i="1" s="1"/>
  <c r="U288" i="1"/>
  <c r="R288" i="1"/>
  <c r="N288" i="1"/>
  <c r="O288" i="1" s="1"/>
  <c r="L288" i="1"/>
  <c r="H288" i="1"/>
  <c r="F288" i="1"/>
  <c r="C288" i="1"/>
  <c r="AD287" i="1"/>
  <c r="AC287" i="1"/>
  <c r="AA287" i="1"/>
  <c r="W287" i="1"/>
  <c r="U287" i="1"/>
  <c r="R287" i="1"/>
  <c r="N287" i="1"/>
  <c r="O287" i="1" s="1"/>
  <c r="L287" i="1"/>
  <c r="H287" i="1"/>
  <c r="F287" i="1"/>
  <c r="C287" i="1"/>
  <c r="AC286" i="1"/>
  <c r="AD286" i="1" s="1"/>
  <c r="AA286" i="1"/>
  <c r="W286" i="1"/>
  <c r="U286" i="1"/>
  <c r="R286" i="1"/>
  <c r="O286" i="1"/>
  <c r="N286" i="1"/>
  <c r="L286" i="1"/>
  <c r="I286" i="1"/>
  <c r="H286" i="1"/>
  <c r="F286" i="1"/>
  <c r="C286" i="1"/>
  <c r="AC284" i="1"/>
  <c r="AD284" i="1" s="1"/>
  <c r="AA284" i="1"/>
  <c r="Z284" i="1"/>
  <c r="W284" i="1"/>
  <c r="X284" i="1" s="1"/>
  <c r="U284" i="1"/>
  <c r="T284" i="1"/>
  <c r="Q284" i="1"/>
  <c r="R284" i="1" s="1"/>
  <c r="K284" i="1"/>
  <c r="N284" i="1" s="1"/>
  <c r="O284" i="1" s="1"/>
  <c r="I284" i="1"/>
  <c r="E284" i="1"/>
  <c r="F284" i="1" s="1"/>
  <c r="B284" i="1"/>
  <c r="H284" i="1" s="1"/>
  <c r="AC283" i="1"/>
  <c r="AD283" i="1" s="1"/>
  <c r="AA283" i="1"/>
  <c r="W283" i="1"/>
  <c r="U283" i="1"/>
  <c r="R283" i="1"/>
  <c r="N283" i="1"/>
  <c r="O283" i="1" s="1"/>
  <c r="L283" i="1"/>
  <c r="I283" i="1"/>
  <c r="H283" i="1"/>
  <c r="F283" i="1"/>
  <c r="C283" i="1"/>
  <c r="AD282" i="1"/>
  <c r="AC282" i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C281" i="1"/>
  <c r="AD281" i="1" s="1"/>
  <c r="AA281" i="1"/>
  <c r="W281" i="1"/>
  <c r="U281" i="1"/>
  <c r="R281" i="1"/>
  <c r="O281" i="1"/>
  <c r="N281" i="1"/>
  <c r="L281" i="1"/>
  <c r="I281" i="1"/>
  <c r="H281" i="1"/>
  <c r="F281" i="1"/>
  <c r="C281" i="1"/>
  <c r="AD280" i="1"/>
  <c r="AC280" i="1"/>
  <c r="AA280" i="1"/>
  <c r="W280" i="1"/>
  <c r="X280" i="1" s="1"/>
  <c r="U280" i="1"/>
  <c r="R280" i="1"/>
  <c r="N280" i="1"/>
  <c r="O280" i="1" s="1"/>
  <c r="L280" i="1"/>
  <c r="H280" i="1"/>
  <c r="F280" i="1"/>
  <c r="C280" i="1"/>
  <c r="AD279" i="1"/>
  <c r="AC279" i="1"/>
  <c r="AA279" i="1"/>
  <c r="W279" i="1"/>
  <c r="U279" i="1"/>
  <c r="R279" i="1"/>
  <c r="N279" i="1"/>
  <c r="O279" i="1" s="1"/>
  <c r="L279" i="1"/>
  <c r="H279" i="1"/>
  <c r="F279" i="1"/>
  <c r="C279" i="1"/>
  <c r="AC278" i="1"/>
  <c r="AD278" i="1" s="1"/>
  <c r="AA278" i="1"/>
  <c r="W278" i="1"/>
  <c r="U278" i="1"/>
  <c r="R278" i="1"/>
  <c r="O278" i="1"/>
  <c r="N278" i="1"/>
  <c r="L278" i="1"/>
  <c r="I278" i="1"/>
  <c r="H278" i="1"/>
  <c r="F278" i="1"/>
  <c r="C278" i="1"/>
  <c r="AC277" i="1"/>
  <c r="AD277" i="1" s="1"/>
  <c r="AA277" i="1"/>
  <c r="W277" i="1"/>
  <c r="X277" i="1" s="1"/>
  <c r="U277" i="1"/>
  <c r="R277" i="1"/>
  <c r="O277" i="1"/>
  <c r="N277" i="1"/>
  <c r="L277" i="1"/>
  <c r="I277" i="1"/>
  <c r="H277" i="1"/>
  <c r="F277" i="1"/>
  <c r="C277" i="1"/>
  <c r="AD276" i="1"/>
  <c r="AC276" i="1"/>
  <c r="AA276" i="1"/>
  <c r="W276" i="1"/>
  <c r="X276" i="1" s="1"/>
  <c r="U276" i="1"/>
  <c r="R276" i="1"/>
  <c r="O276" i="1"/>
  <c r="N276" i="1"/>
  <c r="L276" i="1"/>
  <c r="H276" i="1"/>
  <c r="I276" i="1" s="1"/>
  <c r="F276" i="1"/>
  <c r="C276" i="1"/>
  <c r="AC275" i="1"/>
  <c r="AD275" i="1" s="1"/>
  <c r="AA275" i="1"/>
  <c r="W275" i="1"/>
  <c r="U275" i="1"/>
  <c r="R275" i="1"/>
  <c r="N275" i="1"/>
  <c r="O275" i="1" s="1"/>
  <c r="L275" i="1"/>
  <c r="I275" i="1"/>
  <c r="H275" i="1"/>
  <c r="F275" i="1"/>
  <c r="C275" i="1"/>
  <c r="AC273" i="1"/>
  <c r="AD273" i="1" s="1"/>
  <c r="AA273" i="1"/>
  <c r="Z273" i="1"/>
  <c r="T273" i="1"/>
  <c r="U273" i="1" s="1"/>
  <c r="R273" i="1"/>
  <c r="Q273" i="1"/>
  <c r="N273" i="1"/>
  <c r="O273" i="1" s="1"/>
  <c r="L273" i="1"/>
  <c r="K273" i="1"/>
  <c r="H273" i="1"/>
  <c r="I273" i="1" s="1"/>
  <c r="F273" i="1"/>
  <c r="E273" i="1"/>
  <c r="B273" i="1"/>
  <c r="C273" i="1" s="1"/>
  <c r="AD272" i="1"/>
  <c r="AC272" i="1"/>
  <c r="AA272" i="1"/>
  <c r="W272" i="1"/>
  <c r="X272" i="1" s="1"/>
  <c r="U272" i="1"/>
  <c r="R272" i="1"/>
  <c r="N272" i="1"/>
  <c r="O272" i="1" s="1"/>
  <c r="L272" i="1"/>
  <c r="H272" i="1"/>
  <c r="F272" i="1"/>
  <c r="C272" i="1"/>
  <c r="AD271" i="1"/>
  <c r="AC271" i="1"/>
  <c r="AA271" i="1"/>
  <c r="W271" i="1"/>
  <c r="U271" i="1"/>
  <c r="R271" i="1"/>
  <c r="N271" i="1"/>
  <c r="O271" i="1" s="1"/>
  <c r="L271" i="1"/>
  <c r="H271" i="1"/>
  <c r="F271" i="1"/>
  <c r="C271" i="1"/>
  <c r="AC270" i="1"/>
  <c r="AD270" i="1" s="1"/>
  <c r="AA270" i="1"/>
  <c r="W270" i="1"/>
  <c r="U270" i="1"/>
  <c r="R270" i="1"/>
  <c r="O270" i="1"/>
  <c r="N270" i="1"/>
  <c r="L270" i="1"/>
  <c r="I270" i="1"/>
  <c r="H270" i="1"/>
  <c r="F270" i="1"/>
  <c r="C270" i="1"/>
  <c r="AC269" i="1"/>
  <c r="AD269" i="1" s="1"/>
  <c r="AA269" i="1"/>
  <c r="W269" i="1"/>
  <c r="X269" i="1" s="1"/>
  <c r="U269" i="1"/>
  <c r="R269" i="1"/>
  <c r="O269" i="1"/>
  <c r="N269" i="1"/>
  <c r="L269" i="1"/>
  <c r="I269" i="1"/>
  <c r="H269" i="1"/>
  <c r="F269" i="1"/>
  <c r="C269" i="1"/>
  <c r="Z267" i="1"/>
  <c r="AA267" i="1" s="1"/>
  <c r="W267" i="1"/>
  <c r="X267" i="1" s="1"/>
  <c r="U267" i="1"/>
  <c r="T267" i="1"/>
  <c r="R267" i="1"/>
  <c r="Q267" i="1"/>
  <c r="AC267" i="1" s="1"/>
  <c r="AD267" i="1" s="1"/>
  <c r="K267" i="1"/>
  <c r="L267" i="1" s="1"/>
  <c r="F267" i="1"/>
  <c r="E267" i="1"/>
  <c r="B267" i="1"/>
  <c r="C267" i="1" s="1"/>
  <c r="AD266" i="1"/>
  <c r="AC266" i="1"/>
  <c r="AA266" i="1"/>
  <c r="W266" i="1"/>
  <c r="X266" i="1" s="1"/>
  <c r="U266" i="1"/>
  <c r="R266" i="1"/>
  <c r="O266" i="1"/>
  <c r="N266" i="1"/>
  <c r="L266" i="1"/>
  <c r="H266" i="1"/>
  <c r="I266" i="1" s="1"/>
  <c r="F266" i="1"/>
  <c r="C266" i="1"/>
  <c r="AC265" i="1"/>
  <c r="AD265" i="1" s="1"/>
  <c r="AA265" i="1"/>
  <c r="W265" i="1"/>
  <c r="U265" i="1"/>
  <c r="R265" i="1"/>
  <c r="O265" i="1"/>
  <c r="N265" i="1"/>
  <c r="L265" i="1"/>
  <c r="I265" i="1"/>
  <c r="H265" i="1"/>
  <c r="F265" i="1"/>
  <c r="C265" i="1"/>
  <c r="Z263" i="1"/>
  <c r="AA263" i="1" s="1"/>
  <c r="W263" i="1"/>
  <c r="X263" i="1" s="1"/>
  <c r="U263" i="1"/>
  <c r="T263" i="1"/>
  <c r="R263" i="1"/>
  <c r="Q263" i="1"/>
  <c r="N263" i="1"/>
  <c r="O263" i="1" s="1"/>
  <c r="L263" i="1"/>
  <c r="K263" i="1"/>
  <c r="H263" i="1"/>
  <c r="I263" i="1" s="1"/>
  <c r="F263" i="1"/>
  <c r="E263" i="1"/>
  <c r="B263" i="1"/>
  <c r="C263" i="1" s="1"/>
  <c r="Z262" i="1"/>
  <c r="AC262" i="1" s="1"/>
  <c r="AD262" i="1" s="1"/>
  <c r="X262" i="1"/>
  <c r="T262" i="1"/>
  <c r="U262" i="1" s="1"/>
  <c r="Q262" i="1"/>
  <c r="W262" i="1" s="1"/>
  <c r="N262" i="1"/>
  <c r="O262" i="1" s="1"/>
  <c r="L262" i="1"/>
  <c r="K262" i="1"/>
  <c r="H262" i="1"/>
  <c r="I262" i="1" s="1"/>
  <c r="F262" i="1"/>
  <c r="E262" i="1"/>
  <c r="B262" i="1"/>
  <c r="C262" i="1" s="1"/>
  <c r="AD261" i="1"/>
  <c r="AC261" i="1"/>
  <c r="AA261" i="1"/>
  <c r="X261" i="1"/>
  <c r="W261" i="1"/>
  <c r="U261" i="1"/>
  <c r="R261" i="1"/>
  <c r="N261" i="1"/>
  <c r="O261" i="1" s="1"/>
  <c r="L261" i="1"/>
  <c r="H261" i="1"/>
  <c r="I261" i="1" s="1"/>
  <c r="F261" i="1"/>
  <c r="C261" i="1"/>
  <c r="AC260" i="1"/>
  <c r="AD260" i="1" s="1"/>
  <c r="AA260" i="1"/>
  <c r="W260" i="1"/>
  <c r="U260" i="1"/>
  <c r="R260" i="1"/>
  <c r="O260" i="1"/>
  <c r="N260" i="1"/>
  <c r="L260" i="1"/>
  <c r="I260" i="1"/>
  <c r="H260" i="1"/>
  <c r="F260" i="1"/>
  <c r="C260" i="1"/>
  <c r="AC259" i="1"/>
  <c r="AD259" i="1" s="1"/>
  <c r="AA259" i="1"/>
  <c r="W259" i="1"/>
  <c r="X259" i="1" s="1"/>
  <c r="U259" i="1"/>
  <c r="R259" i="1"/>
  <c r="N259" i="1"/>
  <c r="O259" i="1" s="1"/>
  <c r="L259" i="1"/>
  <c r="H259" i="1"/>
  <c r="F259" i="1"/>
  <c r="C259" i="1"/>
  <c r="AC258" i="1"/>
  <c r="AD258" i="1" s="1"/>
  <c r="AA258" i="1"/>
  <c r="W258" i="1"/>
  <c r="X258" i="1" s="1"/>
  <c r="U258" i="1"/>
  <c r="R258" i="1"/>
  <c r="O258" i="1"/>
  <c r="N258" i="1"/>
  <c r="L258" i="1"/>
  <c r="H258" i="1"/>
  <c r="I258" i="1" s="1"/>
  <c r="F258" i="1"/>
  <c r="C258" i="1"/>
  <c r="AD257" i="1"/>
  <c r="AC257" i="1"/>
  <c r="AA257" i="1"/>
  <c r="X257" i="1"/>
  <c r="W257" i="1"/>
  <c r="U257" i="1"/>
  <c r="R257" i="1"/>
  <c r="O257" i="1"/>
  <c r="N257" i="1"/>
  <c r="L257" i="1"/>
  <c r="H257" i="1"/>
  <c r="I257" i="1" s="1"/>
  <c r="F257" i="1"/>
  <c r="C257" i="1"/>
  <c r="AC256" i="1"/>
  <c r="AD256" i="1" s="1"/>
  <c r="AA256" i="1"/>
  <c r="W256" i="1"/>
  <c r="U256" i="1"/>
  <c r="R256" i="1"/>
  <c r="O256" i="1"/>
  <c r="N256" i="1"/>
  <c r="L256" i="1"/>
  <c r="I256" i="1"/>
  <c r="H256" i="1"/>
  <c r="F256" i="1"/>
  <c r="C256" i="1"/>
  <c r="AC255" i="1"/>
  <c r="AD255" i="1" s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C254" i="1"/>
  <c r="AD254" i="1" s="1"/>
  <c r="AA254" i="1"/>
  <c r="W254" i="1"/>
  <c r="X254" i="1" s="1"/>
  <c r="U254" i="1"/>
  <c r="R254" i="1"/>
  <c r="O254" i="1"/>
  <c r="N254" i="1"/>
  <c r="L254" i="1"/>
  <c r="H254" i="1"/>
  <c r="I254" i="1" s="1"/>
  <c r="F254" i="1"/>
  <c r="C254" i="1"/>
  <c r="AD253" i="1"/>
  <c r="AC253" i="1"/>
  <c r="AA253" i="1"/>
  <c r="W253" i="1"/>
  <c r="X253" i="1" s="1"/>
  <c r="U253" i="1"/>
  <c r="R253" i="1"/>
  <c r="N253" i="1"/>
  <c r="O253" i="1" s="1"/>
  <c r="L253" i="1"/>
  <c r="H253" i="1"/>
  <c r="F253" i="1"/>
  <c r="C253" i="1"/>
  <c r="AC252" i="1"/>
  <c r="AD252" i="1" s="1"/>
  <c r="AA252" i="1"/>
  <c r="W252" i="1"/>
  <c r="U252" i="1"/>
  <c r="R252" i="1"/>
  <c r="N252" i="1"/>
  <c r="O252" i="1" s="1"/>
  <c r="L252" i="1"/>
  <c r="I252" i="1"/>
  <c r="H252" i="1"/>
  <c r="F252" i="1"/>
  <c r="C252" i="1"/>
  <c r="AD251" i="1"/>
  <c r="AC251" i="1"/>
  <c r="AA251" i="1"/>
  <c r="W251" i="1"/>
  <c r="X251" i="1" s="1"/>
  <c r="U251" i="1"/>
  <c r="R251" i="1"/>
  <c r="O251" i="1"/>
  <c r="N251" i="1"/>
  <c r="L251" i="1"/>
  <c r="H251" i="1"/>
  <c r="I251" i="1" s="1"/>
  <c r="F251" i="1"/>
  <c r="C251" i="1"/>
  <c r="AC250" i="1"/>
  <c r="AD250" i="1" s="1"/>
  <c r="AA250" i="1"/>
  <c r="W250" i="1"/>
  <c r="U250" i="1"/>
  <c r="R250" i="1"/>
  <c r="O250" i="1"/>
  <c r="N250" i="1"/>
  <c r="L250" i="1"/>
  <c r="I250" i="1"/>
  <c r="H250" i="1"/>
  <c r="F250" i="1"/>
  <c r="C250" i="1"/>
  <c r="AD249" i="1"/>
  <c r="AC249" i="1"/>
  <c r="AA249" i="1"/>
  <c r="W249" i="1"/>
  <c r="X249" i="1" s="1"/>
  <c r="U249" i="1"/>
  <c r="R249" i="1"/>
  <c r="N249" i="1"/>
  <c r="O249" i="1" s="1"/>
  <c r="L249" i="1"/>
  <c r="H249" i="1"/>
  <c r="F249" i="1"/>
  <c r="C249" i="1"/>
  <c r="AD248" i="1"/>
  <c r="AC248" i="1"/>
  <c r="AA248" i="1"/>
  <c r="W248" i="1"/>
  <c r="U248" i="1"/>
  <c r="R248" i="1"/>
  <c r="N248" i="1"/>
  <c r="O248" i="1" s="1"/>
  <c r="L248" i="1"/>
  <c r="H248" i="1"/>
  <c r="F248" i="1"/>
  <c r="C248" i="1"/>
  <c r="AC247" i="1"/>
  <c r="AD247" i="1" s="1"/>
  <c r="AA247" i="1"/>
  <c r="W247" i="1"/>
  <c r="U247" i="1"/>
  <c r="R247" i="1"/>
  <c r="O247" i="1"/>
  <c r="N247" i="1"/>
  <c r="L247" i="1"/>
  <c r="I247" i="1"/>
  <c r="H247" i="1"/>
  <c r="F247" i="1"/>
  <c r="C247" i="1"/>
  <c r="AC246" i="1"/>
  <c r="AD246" i="1" s="1"/>
  <c r="AA246" i="1"/>
  <c r="W246" i="1"/>
  <c r="X246" i="1" s="1"/>
  <c r="U246" i="1"/>
  <c r="R246" i="1"/>
  <c r="O246" i="1"/>
  <c r="N246" i="1"/>
  <c r="L246" i="1"/>
  <c r="I246" i="1"/>
  <c r="H246" i="1"/>
  <c r="F246" i="1"/>
  <c r="C246" i="1"/>
  <c r="AD245" i="1"/>
  <c r="AC245" i="1"/>
  <c r="AA245" i="1"/>
  <c r="W245" i="1"/>
  <c r="X245" i="1" s="1"/>
  <c r="U245" i="1"/>
  <c r="R245" i="1"/>
  <c r="O245" i="1"/>
  <c r="N245" i="1"/>
  <c r="L245" i="1"/>
  <c r="H245" i="1"/>
  <c r="I245" i="1" s="1"/>
  <c r="F245" i="1"/>
  <c r="C245" i="1"/>
  <c r="AC244" i="1"/>
  <c r="AD244" i="1" s="1"/>
  <c r="AA244" i="1"/>
  <c r="W244" i="1"/>
  <c r="U244" i="1"/>
  <c r="R244" i="1"/>
  <c r="N244" i="1"/>
  <c r="O244" i="1" s="1"/>
  <c r="L244" i="1"/>
  <c r="I244" i="1"/>
  <c r="H244" i="1"/>
  <c r="F244" i="1"/>
  <c r="C244" i="1"/>
  <c r="AC243" i="1"/>
  <c r="AD243" i="1" s="1"/>
  <c r="AA243" i="1"/>
  <c r="W243" i="1"/>
  <c r="X243" i="1" s="1"/>
  <c r="U243" i="1"/>
  <c r="R243" i="1"/>
  <c r="N243" i="1"/>
  <c r="O243" i="1" s="1"/>
  <c r="L243" i="1"/>
  <c r="I243" i="1"/>
  <c r="H243" i="1"/>
  <c r="F243" i="1"/>
  <c r="C243" i="1"/>
  <c r="AC242" i="1"/>
  <c r="AD242" i="1" s="1"/>
  <c r="AA242" i="1"/>
  <c r="W242" i="1"/>
  <c r="X242" i="1" s="1"/>
  <c r="U242" i="1"/>
  <c r="R242" i="1"/>
  <c r="O242" i="1"/>
  <c r="N242" i="1"/>
  <c r="L242" i="1"/>
  <c r="H242" i="1"/>
  <c r="I242" i="1" s="1"/>
  <c r="F242" i="1"/>
  <c r="C242" i="1"/>
  <c r="AD241" i="1"/>
  <c r="AC241" i="1"/>
  <c r="AA241" i="1"/>
  <c r="W241" i="1"/>
  <c r="U241" i="1"/>
  <c r="R241" i="1"/>
  <c r="O241" i="1"/>
  <c r="N241" i="1"/>
  <c r="L241" i="1"/>
  <c r="H241" i="1"/>
  <c r="I241" i="1" s="1"/>
  <c r="F241" i="1"/>
  <c r="C241" i="1"/>
  <c r="AC240" i="1"/>
  <c r="AD240" i="1" s="1"/>
  <c r="AA240" i="1"/>
  <c r="W240" i="1"/>
  <c r="U240" i="1"/>
  <c r="R240" i="1"/>
  <c r="O240" i="1"/>
  <c r="N240" i="1"/>
  <c r="L240" i="1"/>
  <c r="I240" i="1"/>
  <c r="H240" i="1"/>
  <c r="F240" i="1"/>
  <c r="C240" i="1"/>
  <c r="AD238" i="1"/>
  <c r="AC238" i="1"/>
  <c r="AA238" i="1"/>
  <c r="W238" i="1"/>
  <c r="X238" i="1" s="1"/>
  <c r="U238" i="1"/>
  <c r="R238" i="1"/>
  <c r="N238" i="1"/>
  <c r="O238" i="1" s="1"/>
  <c r="L238" i="1"/>
  <c r="H238" i="1"/>
  <c r="I238" i="1" s="1"/>
  <c r="F238" i="1"/>
  <c r="C238" i="1"/>
  <c r="Z236" i="1"/>
  <c r="AA236" i="1" s="1"/>
  <c r="U236" i="1"/>
  <c r="T236" i="1"/>
  <c r="Q236" i="1"/>
  <c r="R236" i="1" s="1"/>
  <c r="N236" i="1"/>
  <c r="O236" i="1" s="1"/>
  <c r="L236" i="1"/>
  <c r="K236" i="1"/>
  <c r="E236" i="1"/>
  <c r="F236" i="1" s="1"/>
  <c r="B236" i="1"/>
  <c r="H236" i="1" s="1"/>
  <c r="I236" i="1" s="1"/>
  <c r="AC235" i="1"/>
  <c r="AD235" i="1" s="1"/>
  <c r="AA235" i="1"/>
  <c r="W235" i="1"/>
  <c r="U235" i="1"/>
  <c r="R235" i="1"/>
  <c r="N235" i="1"/>
  <c r="O235" i="1" s="1"/>
  <c r="L235" i="1"/>
  <c r="I235" i="1"/>
  <c r="H235" i="1"/>
  <c r="F235" i="1"/>
  <c r="C235" i="1"/>
  <c r="AC234" i="1"/>
  <c r="AD234" i="1" s="1"/>
  <c r="AA234" i="1"/>
  <c r="W234" i="1"/>
  <c r="X234" i="1" s="1"/>
  <c r="U234" i="1"/>
  <c r="R234" i="1"/>
  <c r="N234" i="1"/>
  <c r="O234" i="1" s="1"/>
  <c r="L234" i="1"/>
  <c r="I234" i="1"/>
  <c r="H234" i="1"/>
  <c r="F234" i="1"/>
  <c r="C234" i="1"/>
  <c r="AC233" i="1"/>
  <c r="AD233" i="1" s="1"/>
  <c r="AA233" i="1"/>
  <c r="W233" i="1"/>
  <c r="X233" i="1" s="1"/>
  <c r="U233" i="1"/>
  <c r="R233" i="1"/>
  <c r="O233" i="1"/>
  <c r="N233" i="1"/>
  <c r="L233" i="1"/>
  <c r="H233" i="1"/>
  <c r="I233" i="1" s="1"/>
  <c r="F233" i="1"/>
  <c r="C233" i="1"/>
  <c r="AD232" i="1"/>
  <c r="AC232" i="1"/>
  <c r="AA232" i="1"/>
  <c r="W232" i="1"/>
  <c r="U232" i="1"/>
  <c r="R232" i="1"/>
  <c r="O232" i="1"/>
  <c r="N232" i="1"/>
  <c r="L232" i="1"/>
  <c r="H232" i="1"/>
  <c r="I232" i="1" s="1"/>
  <c r="F232" i="1"/>
  <c r="C232" i="1"/>
  <c r="AC231" i="1"/>
  <c r="AD231" i="1" s="1"/>
  <c r="AA231" i="1"/>
  <c r="W231" i="1"/>
  <c r="U231" i="1"/>
  <c r="R231" i="1"/>
  <c r="O231" i="1"/>
  <c r="N231" i="1"/>
  <c r="L231" i="1"/>
  <c r="I231" i="1"/>
  <c r="H231" i="1"/>
  <c r="F231" i="1"/>
  <c r="C231" i="1"/>
  <c r="AD230" i="1"/>
  <c r="AC230" i="1"/>
  <c r="AA230" i="1"/>
  <c r="W230" i="1"/>
  <c r="X230" i="1" s="1"/>
  <c r="U230" i="1"/>
  <c r="R230" i="1"/>
  <c r="N230" i="1"/>
  <c r="O230" i="1" s="1"/>
  <c r="L230" i="1"/>
  <c r="H230" i="1"/>
  <c r="I230" i="1" s="1"/>
  <c r="F230" i="1"/>
  <c r="C230" i="1"/>
  <c r="AC229" i="1"/>
  <c r="AD229" i="1" s="1"/>
  <c r="AA229" i="1"/>
  <c r="X229" i="1"/>
  <c r="W229" i="1"/>
  <c r="U229" i="1"/>
  <c r="R229" i="1"/>
  <c r="O229" i="1"/>
  <c r="N229" i="1"/>
  <c r="L229" i="1"/>
  <c r="H229" i="1"/>
  <c r="I229" i="1" s="1"/>
  <c r="F229" i="1"/>
  <c r="C229" i="1"/>
  <c r="Z227" i="1"/>
  <c r="AA227" i="1" s="1"/>
  <c r="T227" i="1"/>
  <c r="U227" i="1" s="1"/>
  <c r="R227" i="1"/>
  <c r="Q227" i="1"/>
  <c r="K227" i="1"/>
  <c r="N227" i="1" s="1"/>
  <c r="O227" i="1" s="1"/>
  <c r="H227" i="1"/>
  <c r="I227" i="1" s="1"/>
  <c r="F227" i="1"/>
  <c r="E227" i="1"/>
  <c r="B227" i="1"/>
  <c r="C227" i="1" s="1"/>
  <c r="AC226" i="1"/>
  <c r="AD226" i="1" s="1"/>
  <c r="AA226" i="1"/>
  <c r="W226" i="1"/>
  <c r="X226" i="1" s="1"/>
  <c r="U226" i="1"/>
  <c r="R226" i="1"/>
  <c r="N226" i="1"/>
  <c r="O226" i="1" s="1"/>
  <c r="L226" i="1"/>
  <c r="I226" i="1"/>
  <c r="H226" i="1"/>
  <c r="F226" i="1"/>
  <c r="C226" i="1"/>
  <c r="AC225" i="1"/>
  <c r="AD225" i="1" s="1"/>
  <c r="AA225" i="1"/>
  <c r="W225" i="1"/>
  <c r="X225" i="1" s="1"/>
  <c r="U225" i="1"/>
  <c r="R225" i="1"/>
  <c r="O225" i="1"/>
  <c r="N225" i="1"/>
  <c r="L225" i="1"/>
  <c r="H225" i="1"/>
  <c r="I225" i="1" s="1"/>
  <c r="F225" i="1"/>
  <c r="C225" i="1"/>
  <c r="AD224" i="1"/>
  <c r="AC224" i="1"/>
  <c r="AA224" i="1"/>
  <c r="W224" i="1"/>
  <c r="U224" i="1"/>
  <c r="R224" i="1"/>
  <c r="O224" i="1"/>
  <c r="N224" i="1"/>
  <c r="L224" i="1"/>
  <c r="H224" i="1"/>
  <c r="I224" i="1" s="1"/>
  <c r="F224" i="1"/>
  <c r="C224" i="1"/>
  <c r="AC223" i="1"/>
  <c r="AD223" i="1" s="1"/>
  <c r="AA223" i="1"/>
  <c r="W223" i="1"/>
  <c r="U223" i="1"/>
  <c r="R223" i="1"/>
  <c r="O223" i="1"/>
  <c r="N223" i="1"/>
  <c r="L223" i="1"/>
  <c r="I223" i="1"/>
  <c r="H223" i="1"/>
  <c r="F223" i="1"/>
  <c r="C223" i="1"/>
  <c r="AD222" i="1"/>
  <c r="AC222" i="1"/>
  <c r="AA222" i="1"/>
  <c r="W222" i="1"/>
  <c r="X222" i="1" s="1"/>
  <c r="U222" i="1"/>
  <c r="R222" i="1"/>
  <c r="N222" i="1"/>
  <c r="O222" i="1" s="1"/>
  <c r="L222" i="1"/>
  <c r="H222" i="1"/>
  <c r="I222" i="1" s="1"/>
  <c r="F222" i="1"/>
  <c r="C222" i="1"/>
  <c r="AC221" i="1"/>
  <c r="AD221" i="1" s="1"/>
  <c r="AA221" i="1"/>
  <c r="X221" i="1"/>
  <c r="W221" i="1"/>
  <c r="U221" i="1"/>
  <c r="R221" i="1"/>
  <c r="O221" i="1"/>
  <c r="N221" i="1"/>
  <c r="L221" i="1"/>
  <c r="H221" i="1"/>
  <c r="I221" i="1" s="1"/>
  <c r="F221" i="1"/>
  <c r="C221" i="1"/>
  <c r="AD220" i="1"/>
  <c r="AC220" i="1"/>
  <c r="AA220" i="1"/>
  <c r="W220" i="1"/>
  <c r="X220" i="1" s="1"/>
  <c r="U220" i="1"/>
  <c r="R220" i="1"/>
  <c r="N220" i="1"/>
  <c r="O220" i="1" s="1"/>
  <c r="L220" i="1"/>
  <c r="H220" i="1"/>
  <c r="I220" i="1" s="1"/>
  <c r="F220" i="1"/>
  <c r="C220" i="1"/>
  <c r="AD219" i="1"/>
  <c r="AC219" i="1"/>
  <c r="AA219" i="1"/>
  <c r="W219" i="1"/>
  <c r="U219" i="1"/>
  <c r="R219" i="1"/>
  <c r="N219" i="1"/>
  <c r="O219" i="1" s="1"/>
  <c r="L219" i="1"/>
  <c r="H219" i="1"/>
  <c r="F219" i="1"/>
  <c r="C219" i="1"/>
  <c r="Z218" i="1"/>
  <c r="AA218" i="1" s="1"/>
  <c r="T218" i="1"/>
  <c r="U218" i="1" s="1"/>
  <c r="Q218" i="1"/>
  <c r="W218" i="1" s="1"/>
  <c r="X218" i="1" s="1"/>
  <c r="L218" i="1"/>
  <c r="K218" i="1"/>
  <c r="E218" i="1"/>
  <c r="F218" i="1" s="1"/>
  <c r="B218" i="1"/>
  <c r="H218" i="1" s="1"/>
  <c r="I218" i="1" s="1"/>
  <c r="AD217" i="1"/>
  <c r="AC217" i="1"/>
  <c r="AA217" i="1"/>
  <c r="W217" i="1"/>
  <c r="U217" i="1"/>
  <c r="R217" i="1"/>
  <c r="O217" i="1"/>
  <c r="N217" i="1"/>
  <c r="L217" i="1"/>
  <c r="H217" i="1"/>
  <c r="I217" i="1" s="1"/>
  <c r="F217" i="1"/>
  <c r="C217" i="1"/>
  <c r="AC216" i="1"/>
  <c r="AD216" i="1" s="1"/>
  <c r="AA216" i="1"/>
  <c r="W216" i="1"/>
  <c r="U216" i="1"/>
  <c r="R216" i="1"/>
  <c r="O216" i="1"/>
  <c r="N216" i="1"/>
  <c r="L216" i="1"/>
  <c r="I216" i="1"/>
  <c r="H216" i="1"/>
  <c r="F216" i="1"/>
  <c r="C216" i="1"/>
  <c r="AD215" i="1"/>
  <c r="AC215" i="1"/>
  <c r="AA215" i="1"/>
  <c r="W215" i="1"/>
  <c r="X215" i="1" s="1"/>
  <c r="U215" i="1"/>
  <c r="R215" i="1"/>
  <c r="N215" i="1"/>
  <c r="O215" i="1" s="1"/>
  <c r="L215" i="1"/>
  <c r="H215" i="1"/>
  <c r="I215" i="1" s="1"/>
  <c r="F215" i="1"/>
  <c r="C215" i="1"/>
  <c r="AC214" i="1"/>
  <c r="AD214" i="1" s="1"/>
  <c r="AA214" i="1"/>
  <c r="X214" i="1"/>
  <c r="W214" i="1"/>
  <c r="U214" i="1"/>
  <c r="R214" i="1"/>
  <c r="O214" i="1"/>
  <c r="N214" i="1"/>
  <c r="L214" i="1"/>
  <c r="H214" i="1"/>
  <c r="I214" i="1" s="1"/>
  <c r="F214" i="1"/>
  <c r="C214" i="1"/>
  <c r="AD213" i="1"/>
  <c r="AC213" i="1"/>
  <c r="AA213" i="1"/>
  <c r="W213" i="1"/>
  <c r="X213" i="1" s="1"/>
  <c r="U213" i="1"/>
  <c r="R213" i="1"/>
  <c r="N213" i="1"/>
  <c r="O213" i="1" s="1"/>
  <c r="L213" i="1"/>
  <c r="H213" i="1"/>
  <c r="I213" i="1" s="1"/>
  <c r="F213" i="1"/>
  <c r="C213" i="1"/>
  <c r="AD211" i="1"/>
  <c r="AC211" i="1"/>
  <c r="AA211" i="1"/>
  <c r="W211" i="1"/>
  <c r="U211" i="1"/>
  <c r="R211" i="1"/>
  <c r="N211" i="1"/>
  <c r="O211" i="1" s="1"/>
  <c r="L211" i="1"/>
  <c r="H211" i="1"/>
  <c r="F211" i="1"/>
  <c r="C211" i="1"/>
  <c r="Z209" i="1"/>
  <c r="AA209" i="1" s="1"/>
  <c r="T209" i="1"/>
  <c r="U209" i="1" s="1"/>
  <c r="Q209" i="1"/>
  <c r="W209" i="1" s="1"/>
  <c r="X209" i="1" s="1"/>
  <c r="L209" i="1"/>
  <c r="K209" i="1"/>
  <c r="E209" i="1"/>
  <c r="F209" i="1" s="1"/>
  <c r="B209" i="1"/>
  <c r="H209" i="1" s="1"/>
  <c r="I209" i="1" s="1"/>
  <c r="AD208" i="1"/>
  <c r="AC208" i="1"/>
  <c r="AA208" i="1"/>
  <c r="W208" i="1"/>
  <c r="U208" i="1"/>
  <c r="R208" i="1"/>
  <c r="O208" i="1"/>
  <c r="N208" i="1"/>
  <c r="L208" i="1"/>
  <c r="H208" i="1"/>
  <c r="I208" i="1" s="1"/>
  <c r="F208" i="1"/>
  <c r="C208" i="1"/>
  <c r="AC207" i="1"/>
  <c r="AD207" i="1" s="1"/>
  <c r="AA207" i="1"/>
  <c r="W207" i="1"/>
  <c r="U207" i="1"/>
  <c r="R207" i="1"/>
  <c r="O207" i="1"/>
  <c r="N207" i="1"/>
  <c r="L207" i="1"/>
  <c r="I207" i="1"/>
  <c r="H207" i="1"/>
  <c r="F207" i="1"/>
  <c r="C207" i="1"/>
  <c r="AD206" i="1"/>
  <c r="AC206" i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C205" i="1"/>
  <c r="AD205" i="1" s="1"/>
  <c r="AA205" i="1"/>
  <c r="X205" i="1"/>
  <c r="W205" i="1"/>
  <c r="U205" i="1"/>
  <c r="R205" i="1"/>
  <c r="O205" i="1"/>
  <c r="N205" i="1"/>
  <c r="L205" i="1"/>
  <c r="H205" i="1"/>
  <c r="I205" i="1" s="1"/>
  <c r="F205" i="1"/>
  <c r="C205" i="1"/>
  <c r="AD204" i="1"/>
  <c r="AC204" i="1"/>
  <c r="AA204" i="1"/>
  <c r="W204" i="1"/>
  <c r="X204" i="1" s="1"/>
  <c r="U204" i="1"/>
  <c r="R204" i="1"/>
  <c r="N204" i="1"/>
  <c r="O204" i="1" s="1"/>
  <c r="L204" i="1"/>
  <c r="H204" i="1"/>
  <c r="I204" i="1" s="1"/>
  <c r="F204" i="1"/>
  <c r="C204" i="1"/>
  <c r="AD203" i="1"/>
  <c r="AC203" i="1"/>
  <c r="AA203" i="1"/>
  <c r="W203" i="1"/>
  <c r="U203" i="1"/>
  <c r="R203" i="1"/>
  <c r="N203" i="1"/>
  <c r="O203" i="1" s="1"/>
  <c r="L203" i="1"/>
  <c r="H203" i="1"/>
  <c r="F203" i="1"/>
  <c r="C203" i="1"/>
  <c r="AD202" i="1"/>
  <c r="AC202" i="1"/>
  <c r="AA202" i="1"/>
  <c r="X202" i="1"/>
  <c r="W202" i="1"/>
  <c r="U202" i="1"/>
  <c r="R202" i="1"/>
  <c r="N202" i="1"/>
  <c r="O202" i="1" s="1"/>
  <c r="L202" i="1"/>
  <c r="H202" i="1"/>
  <c r="I202" i="1" s="1"/>
  <c r="F202" i="1"/>
  <c r="C202" i="1"/>
  <c r="AC201" i="1"/>
  <c r="AD201" i="1" s="1"/>
  <c r="AA201" i="1"/>
  <c r="X201" i="1"/>
  <c r="W201" i="1"/>
  <c r="U201" i="1"/>
  <c r="R201" i="1"/>
  <c r="O201" i="1"/>
  <c r="N201" i="1"/>
  <c r="L201" i="1"/>
  <c r="H201" i="1"/>
  <c r="I201" i="1" s="1"/>
  <c r="F201" i="1"/>
  <c r="C201" i="1"/>
  <c r="AC197" i="1"/>
  <c r="AD197" i="1" s="1"/>
  <c r="AA197" i="1"/>
  <c r="Z197" i="1"/>
  <c r="T197" i="1"/>
  <c r="U197" i="1" s="1"/>
  <c r="Q197" i="1"/>
  <c r="W197" i="1" s="1"/>
  <c r="X197" i="1" s="1"/>
  <c r="N197" i="1"/>
  <c r="O197" i="1" s="1"/>
  <c r="L197" i="1"/>
  <c r="K197" i="1"/>
  <c r="E197" i="1"/>
  <c r="F197" i="1" s="1"/>
  <c r="C197" i="1"/>
  <c r="B197" i="1"/>
  <c r="H197" i="1" s="1"/>
  <c r="I197" i="1" s="1"/>
  <c r="Z196" i="1"/>
  <c r="AA196" i="1" s="1"/>
  <c r="T196" i="1"/>
  <c r="U196" i="1" s="1"/>
  <c r="R196" i="1"/>
  <c r="Q196" i="1"/>
  <c r="N196" i="1"/>
  <c r="O196" i="1" s="1"/>
  <c r="L196" i="1"/>
  <c r="K196" i="1"/>
  <c r="H196" i="1"/>
  <c r="I196" i="1" s="1"/>
  <c r="F196" i="1"/>
  <c r="E196" i="1"/>
  <c r="B196" i="1"/>
  <c r="C196" i="1" s="1"/>
  <c r="AC195" i="1"/>
  <c r="AD195" i="1" s="1"/>
  <c r="AA195" i="1"/>
  <c r="W195" i="1"/>
  <c r="X195" i="1" s="1"/>
  <c r="U195" i="1"/>
  <c r="R195" i="1"/>
  <c r="N195" i="1"/>
  <c r="O195" i="1" s="1"/>
  <c r="L195" i="1"/>
  <c r="H195" i="1"/>
  <c r="F195" i="1"/>
  <c r="C195" i="1"/>
  <c r="AC194" i="1"/>
  <c r="AD194" i="1" s="1"/>
  <c r="AA194" i="1"/>
  <c r="W194" i="1"/>
  <c r="X194" i="1" s="1"/>
  <c r="U194" i="1"/>
  <c r="R194" i="1"/>
  <c r="O194" i="1"/>
  <c r="N194" i="1"/>
  <c r="L194" i="1"/>
  <c r="H194" i="1"/>
  <c r="I194" i="1" s="1"/>
  <c r="F194" i="1"/>
  <c r="C194" i="1"/>
  <c r="Z193" i="1"/>
  <c r="AA193" i="1" s="1"/>
  <c r="T193" i="1"/>
  <c r="W193" i="1" s="1"/>
  <c r="X193" i="1" s="1"/>
  <c r="R193" i="1"/>
  <c r="Q193" i="1"/>
  <c r="K193" i="1"/>
  <c r="L193" i="1" s="1"/>
  <c r="F193" i="1"/>
  <c r="E193" i="1"/>
  <c r="B193" i="1"/>
  <c r="C193" i="1" s="1"/>
  <c r="AC192" i="1"/>
  <c r="AD192" i="1" s="1"/>
  <c r="AA192" i="1"/>
  <c r="X192" i="1"/>
  <c r="W192" i="1"/>
  <c r="U192" i="1"/>
  <c r="R192" i="1"/>
  <c r="O192" i="1"/>
  <c r="N192" i="1"/>
  <c r="L192" i="1"/>
  <c r="H192" i="1"/>
  <c r="I192" i="1" s="1"/>
  <c r="F192" i="1"/>
  <c r="C192" i="1"/>
  <c r="AC191" i="1"/>
  <c r="AD191" i="1" s="1"/>
  <c r="AA191" i="1"/>
  <c r="W191" i="1"/>
  <c r="X191" i="1" s="1"/>
  <c r="U191" i="1"/>
  <c r="R191" i="1"/>
  <c r="O191" i="1"/>
  <c r="N191" i="1"/>
  <c r="L191" i="1"/>
  <c r="H191" i="1"/>
  <c r="F191" i="1"/>
  <c r="C191" i="1"/>
  <c r="AD190" i="1"/>
  <c r="AC190" i="1"/>
  <c r="AA190" i="1"/>
  <c r="X190" i="1"/>
  <c r="W190" i="1"/>
  <c r="U190" i="1"/>
  <c r="R190" i="1"/>
  <c r="N190" i="1"/>
  <c r="O190" i="1" s="1"/>
  <c r="L190" i="1"/>
  <c r="H190" i="1"/>
  <c r="I190" i="1" s="1"/>
  <c r="F190" i="1"/>
  <c r="C190" i="1"/>
  <c r="AC189" i="1"/>
  <c r="AD189" i="1" s="1"/>
  <c r="AA189" i="1"/>
  <c r="W189" i="1"/>
  <c r="U189" i="1"/>
  <c r="R189" i="1"/>
  <c r="O189" i="1"/>
  <c r="N189" i="1"/>
  <c r="L189" i="1"/>
  <c r="I189" i="1"/>
  <c r="H189" i="1"/>
  <c r="F189" i="1"/>
  <c r="C189" i="1"/>
  <c r="AC188" i="1"/>
  <c r="AD188" i="1" s="1"/>
  <c r="AA188" i="1"/>
  <c r="W188" i="1"/>
  <c r="X188" i="1" s="1"/>
  <c r="U188" i="1"/>
  <c r="R188" i="1"/>
  <c r="N188" i="1"/>
  <c r="O188" i="1" s="1"/>
  <c r="L188" i="1"/>
  <c r="H188" i="1"/>
  <c r="F188" i="1"/>
  <c r="C188" i="1"/>
  <c r="AC187" i="1"/>
  <c r="AD187" i="1" s="1"/>
  <c r="AA187" i="1"/>
  <c r="W187" i="1"/>
  <c r="X187" i="1" s="1"/>
  <c r="U187" i="1"/>
  <c r="R187" i="1"/>
  <c r="O187" i="1"/>
  <c r="N187" i="1"/>
  <c r="L187" i="1"/>
  <c r="H187" i="1"/>
  <c r="I187" i="1" s="1"/>
  <c r="F187" i="1"/>
  <c r="C187" i="1"/>
  <c r="AD186" i="1"/>
  <c r="AC186" i="1"/>
  <c r="AA186" i="1"/>
  <c r="X186" i="1"/>
  <c r="W186" i="1"/>
  <c r="U186" i="1"/>
  <c r="R186" i="1"/>
  <c r="O186" i="1"/>
  <c r="N186" i="1"/>
  <c r="L186" i="1"/>
  <c r="H186" i="1"/>
  <c r="I186" i="1" s="1"/>
  <c r="F186" i="1"/>
  <c r="C186" i="1"/>
  <c r="AC184" i="1"/>
  <c r="AD184" i="1" s="1"/>
  <c r="AA184" i="1"/>
  <c r="W184" i="1"/>
  <c r="U184" i="1"/>
  <c r="R184" i="1"/>
  <c r="O184" i="1"/>
  <c r="N184" i="1"/>
  <c r="L184" i="1"/>
  <c r="I184" i="1"/>
  <c r="H184" i="1"/>
  <c r="F184" i="1"/>
  <c r="C184" i="1"/>
  <c r="AC183" i="1"/>
  <c r="AD183" i="1" s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Z182" i="1"/>
  <c r="AA182" i="1" s="1"/>
  <c r="U182" i="1"/>
  <c r="T182" i="1"/>
  <c r="Q182" i="1"/>
  <c r="R182" i="1" s="1"/>
  <c r="K182" i="1"/>
  <c r="N182" i="1" s="1"/>
  <c r="O182" i="1" s="1"/>
  <c r="E182" i="1"/>
  <c r="F182" i="1" s="1"/>
  <c r="C182" i="1"/>
  <c r="B182" i="1"/>
  <c r="AC181" i="1"/>
  <c r="AD181" i="1" s="1"/>
  <c r="AA181" i="1"/>
  <c r="W181" i="1"/>
  <c r="U181" i="1"/>
  <c r="R181" i="1"/>
  <c r="O181" i="1"/>
  <c r="N181" i="1"/>
  <c r="L181" i="1"/>
  <c r="I181" i="1"/>
  <c r="H181" i="1"/>
  <c r="F181" i="1"/>
  <c r="C181" i="1"/>
  <c r="AC180" i="1"/>
  <c r="AD180" i="1" s="1"/>
  <c r="AA180" i="1"/>
  <c r="W180" i="1"/>
  <c r="X180" i="1" s="1"/>
  <c r="U180" i="1"/>
  <c r="R180" i="1"/>
  <c r="N180" i="1"/>
  <c r="O180" i="1" s="1"/>
  <c r="L180" i="1"/>
  <c r="H180" i="1"/>
  <c r="F180" i="1"/>
  <c r="C180" i="1"/>
  <c r="AC179" i="1"/>
  <c r="AD179" i="1" s="1"/>
  <c r="AA179" i="1"/>
  <c r="W179" i="1"/>
  <c r="X179" i="1" s="1"/>
  <c r="U179" i="1"/>
  <c r="R179" i="1"/>
  <c r="O179" i="1"/>
  <c r="N179" i="1"/>
  <c r="L179" i="1"/>
  <c r="H179" i="1"/>
  <c r="I179" i="1" s="1"/>
  <c r="F179" i="1"/>
  <c r="C179" i="1"/>
  <c r="AD178" i="1"/>
  <c r="AC178" i="1"/>
  <c r="AA178" i="1"/>
  <c r="X178" i="1"/>
  <c r="W178" i="1"/>
  <c r="U178" i="1"/>
  <c r="R178" i="1"/>
  <c r="O178" i="1"/>
  <c r="N178" i="1"/>
  <c r="L178" i="1"/>
  <c r="H178" i="1"/>
  <c r="I178" i="1" s="1"/>
  <c r="F178" i="1"/>
  <c r="C178" i="1"/>
  <c r="AC177" i="1"/>
  <c r="AD177" i="1" s="1"/>
  <c r="AA177" i="1"/>
  <c r="W177" i="1"/>
  <c r="U177" i="1"/>
  <c r="R177" i="1"/>
  <c r="O177" i="1"/>
  <c r="N177" i="1"/>
  <c r="L177" i="1"/>
  <c r="I177" i="1"/>
  <c r="H177" i="1"/>
  <c r="F177" i="1"/>
  <c r="C177" i="1"/>
  <c r="AC175" i="1"/>
  <c r="AD175" i="1" s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Z172" i="1"/>
  <c r="Z198" i="1" s="1"/>
  <c r="Q172" i="1"/>
  <c r="B172" i="1"/>
  <c r="AA171" i="1"/>
  <c r="Z171" i="1"/>
  <c r="T171" i="1"/>
  <c r="W171" i="1" s="1"/>
  <c r="X171" i="1" s="1"/>
  <c r="R171" i="1"/>
  <c r="Q171" i="1"/>
  <c r="AC171" i="1" s="1"/>
  <c r="AD171" i="1" s="1"/>
  <c r="K171" i="1"/>
  <c r="L171" i="1" s="1"/>
  <c r="E171" i="1"/>
  <c r="H171" i="1" s="1"/>
  <c r="I171" i="1" s="1"/>
  <c r="C171" i="1"/>
  <c r="B171" i="1"/>
  <c r="Z170" i="1"/>
  <c r="AA170" i="1" s="1"/>
  <c r="U170" i="1"/>
  <c r="T170" i="1"/>
  <c r="Q170" i="1"/>
  <c r="R170" i="1" s="1"/>
  <c r="K170" i="1"/>
  <c r="N170" i="1" s="1"/>
  <c r="O170" i="1" s="1"/>
  <c r="E170" i="1"/>
  <c r="F170" i="1" s="1"/>
  <c r="C170" i="1"/>
  <c r="B170" i="1"/>
  <c r="AC169" i="1"/>
  <c r="AD169" i="1" s="1"/>
  <c r="AA169" i="1"/>
  <c r="W169" i="1"/>
  <c r="U169" i="1"/>
  <c r="R169" i="1"/>
  <c r="O169" i="1"/>
  <c r="N169" i="1"/>
  <c r="L169" i="1"/>
  <c r="I169" i="1"/>
  <c r="H169" i="1"/>
  <c r="F169" i="1"/>
  <c r="C169" i="1"/>
  <c r="AC168" i="1"/>
  <c r="AD168" i="1" s="1"/>
  <c r="AA168" i="1"/>
  <c r="W168" i="1"/>
  <c r="X168" i="1" s="1"/>
  <c r="U168" i="1"/>
  <c r="R168" i="1"/>
  <c r="N168" i="1"/>
  <c r="O168" i="1" s="1"/>
  <c r="L168" i="1"/>
  <c r="H168" i="1"/>
  <c r="F168" i="1"/>
  <c r="C168" i="1"/>
  <c r="AC167" i="1"/>
  <c r="AD167" i="1" s="1"/>
  <c r="AA167" i="1"/>
  <c r="W167" i="1"/>
  <c r="X167" i="1" s="1"/>
  <c r="U167" i="1"/>
  <c r="R167" i="1"/>
  <c r="O167" i="1"/>
  <c r="N167" i="1"/>
  <c r="L167" i="1"/>
  <c r="H167" i="1"/>
  <c r="I167" i="1" s="1"/>
  <c r="F167" i="1"/>
  <c r="C167" i="1"/>
  <c r="Z166" i="1"/>
  <c r="AA166" i="1" s="1"/>
  <c r="T166" i="1"/>
  <c r="W166" i="1" s="1"/>
  <c r="X166" i="1" s="1"/>
  <c r="R166" i="1"/>
  <c r="Q166" i="1"/>
  <c r="K166" i="1"/>
  <c r="L166" i="1" s="1"/>
  <c r="F166" i="1"/>
  <c r="E166" i="1"/>
  <c r="B166" i="1"/>
  <c r="C166" i="1" s="1"/>
  <c r="AC165" i="1"/>
  <c r="AD165" i="1" s="1"/>
  <c r="AA165" i="1"/>
  <c r="X165" i="1"/>
  <c r="W165" i="1"/>
  <c r="U165" i="1"/>
  <c r="R165" i="1"/>
  <c r="O165" i="1"/>
  <c r="N165" i="1"/>
  <c r="L165" i="1"/>
  <c r="H165" i="1"/>
  <c r="I165" i="1" s="1"/>
  <c r="F165" i="1"/>
  <c r="C165" i="1"/>
  <c r="AC164" i="1"/>
  <c r="AD164" i="1" s="1"/>
  <c r="AA164" i="1"/>
  <c r="W164" i="1"/>
  <c r="X164" i="1" s="1"/>
  <c r="U164" i="1"/>
  <c r="R164" i="1"/>
  <c r="O164" i="1"/>
  <c r="N164" i="1"/>
  <c r="L164" i="1"/>
  <c r="H164" i="1"/>
  <c r="F164" i="1"/>
  <c r="C164" i="1"/>
  <c r="AD163" i="1"/>
  <c r="AC163" i="1"/>
  <c r="AA163" i="1"/>
  <c r="X163" i="1"/>
  <c r="W163" i="1"/>
  <c r="U163" i="1"/>
  <c r="R163" i="1"/>
  <c r="N163" i="1"/>
  <c r="O163" i="1" s="1"/>
  <c r="L163" i="1"/>
  <c r="H163" i="1"/>
  <c r="I163" i="1" s="1"/>
  <c r="F163" i="1"/>
  <c r="C163" i="1"/>
  <c r="AC162" i="1"/>
  <c r="AD162" i="1" s="1"/>
  <c r="AA162" i="1"/>
  <c r="W162" i="1"/>
  <c r="U162" i="1"/>
  <c r="R162" i="1"/>
  <c r="O162" i="1"/>
  <c r="N162" i="1"/>
  <c r="L162" i="1"/>
  <c r="I162" i="1"/>
  <c r="H162" i="1"/>
  <c r="F162" i="1"/>
  <c r="C162" i="1"/>
  <c r="AC161" i="1"/>
  <c r="AD161" i="1" s="1"/>
  <c r="AA161" i="1"/>
  <c r="W161" i="1"/>
  <c r="X161" i="1" s="1"/>
  <c r="U161" i="1"/>
  <c r="R161" i="1"/>
  <c r="N161" i="1"/>
  <c r="O161" i="1" s="1"/>
  <c r="L161" i="1"/>
  <c r="H161" i="1"/>
  <c r="F161" i="1"/>
  <c r="C161" i="1"/>
  <c r="AC160" i="1"/>
  <c r="AD160" i="1" s="1"/>
  <c r="AA160" i="1"/>
  <c r="W160" i="1"/>
  <c r="X160" i="1" s="1"/>
  <c r="U160" i="1"/>
  <c r="R160" i="1"/>
  <c r="O160" i="1"/>
  <c r="N160" i="1"/>
  <c r="L160" i="1"/>
  <c r="H160" i="1"/>
  <c r="I160" i="1" s="1"/>
  <c r="F160" i="1"/>
  <c r="C160" i="1"/>
  <c r="Z158" i="1"/>
  <c r="AA158" i="1" s="1"/>
  <c r="T158" i="1"/>
  <c r="W158" i="1" s="1"/>
  <c r="X158" i="1" s="1"/>
  <c r="R158" i="1"/>
  <c r="Q158" i="1"/>
  <c r="K158" i="1"/>
  <c r="L158" i="1" s="1"/>
  <c r="F158" i="1"/>
  <c r="E158" i="1"/>
  <c r="B158" i="1"/>
  <c r="C158" i="1" s="1"/>
  <c r="AC157" i="1"/>
  <c r="AD157" i="1" s="1"/>
  <c r="AA157" i="1"/>
  <c r="X157" i="1"/>
  <c r="W157" i="1"/>
  <c r="U157" i="1"/>
  <c r="R157" i="1"/>
  <c r="O157" i="1"/>
  <c r="N157" i="1"/>
  <c r="L157" i="1"/>
  <c r="H157" i="1"/>
  <c r="I157" i="1" s="1"/>
  <c r="F157" i="1"/>
  <c r="C157" i="1"/>
  <c r="AC156" i="1"/>
  <c r="AD156" i="1" s="1"/>
  <c r="AA156" i="1"/>
  <c r="W156" i="1"/>
  <c r="X156" i="1" s="1"/>
  <c r="U156" i="1"/>
  <c r="R156" i="1"/>
  <c r="O156" i="1"/>
  <c r="N156" i="1"/>
  <c r="L156" i="1"/>
  <c r="H156" i="1"/>
  <c r="F156" i="1"/>
  <c r="C156" i="1"/>
  <c r="AD155" i="1"/>
  <c r="AC155" i="1"/>
  <c r="AA155" i="1"/>
  <c r="X155" i="1"/>
  <c r="W155" i="1"/>
  <c r="U155" i="1"/>
  <c r="R155" i="1"/>
  <c r="N155" i="1"/>
  <c r="O155" i="1" s="1"/>
  <c r="L155" i="1"/>
  <c r="H155" i="1"/>
  <c r="I155" i="1" s="1"/>
  <c r="F155" i="1"/>
  <c r="C155" i="1"/>
  <c r="AC154" i="1"/>
  <c r="AD154" i="1" s="1"/>
  <c r="AA154" i="1"/>
  <c r="W154" i="1"/>
  <c r="U154" i="1"/>
  <c r="R154" i="1"/>
  <c r="O154" i="1"/>
  <c r="N154" i="1"/>
  <c r="L154" i="1"/>
  <c r="I154" i="1"/>
  <c r="H154" i="1"/>
  <c r="F154" i="1"/>
  <c r="C154" i="1"/>
  <c r="AC153" i="1"/>
  <c r="AD153" i="1" s="1"/>
  <c r="AA153" i="1"/>
  <c r="W153" i="1"/>
  <c r="X153" i="1" s="1"/>
  <c r="U153" i="1"/>
  <c r="R153" i="1"/>
  <c r="N153" i="1"/>
  <c r="O153" i="1" s="1"/>
  <c r="L153" i="1"/>
  <c r="H153" i="1"/>
  <c r="F153" i="1"/>
  <c r="C153" i="1"/>
  <c r="AC151" i="1"/>
  <c r="AD151" i="1" s="1"/>
  <c r="AA151" i="1"/>
  <c r="W151" i="1"/>
  <c r="X151" i="1" s="1"/>
  <c r="U151" i="1"/>
  <c r="R151" i="1"/>
  <c r="O151" i="1"/>
  <c r="N151" i="1"/>
  <c r="L151" i="1"/>
  <c r="H151" i="1"/>
  <c r="I151" i="1" s="1"/>
  <c r="F151" i="1"/>
  <c r="C151" i="1"/>
  <c r="Z149" i="1"/>
  <c r="AA149" i="1" s="1"/>
  <c r="T149" i="1"/>
  <c r="W149" i="1" s="1"/>
  <c r="X149" i="1" s="1"/>
  <c r="R149" i="1"/>
  <c r="Q149" i="1"/>
  <c r="K149" i="1"/>
  <c r="L149" i="1" s="1"/>
  <c r="F149" i="1"/>
  <c r="E149" i="1"/>
  <c r="B149" i="1"/>
  <c r="C149" i="1" s="1"/>
  <c r="Z148" i="1"/>
  <c r="AC148" i="1" s="1"/>
  <c r="AD148" i="1" s="1"/>
  <c r="T148" i="1"/>
  <c r="U148" i="1" s="1"/>
  <c r="R148" i="1"/>
  <c r="Q148" i="1"/>
  <c r="N148" i="1"/>
  <c r="O148" i="1" s="1"/>
  <c r="L148" i="1"/>
  <c r="K148" i="1"/>
  <c r="E148" i="1"/>
  <c r="F148" i="1" s="1"/>
  <c r="C148" i="1"/>
  <c r="B148" i="1"/>
  <c r="AD147" i="1"/>
  <c r="AC147" i="1"/>
  <c r="AA147" i="1"/>
  <c r="W147" i="1"/>
  <c r="X147" i="1" s="1"/>
  <c r="U147" i="1"/>
  <c r="R147" i="1"/>
  <c r="N147" i="1"/>
  <c r="O147" i="1" s="1"/>
  <c r="L147" i="1"/>
  <c r="H147" i="1"/>
  <c r="I147" i="1" s="1"/>
  <c r="F147" i="1"/>
  <c r="C147" i="1"/>
  <c r="AD146" i="1"/>
  <c r="AC146" i="1"/>
  <c r="AA146" i="1"/>
  <c r="W146" i="1"/>
  <c r="U146" i="1"/>
  <c r="R146" i="1"/>
  <c r="N146" i="1"/>
  <c r="O146" i="1" s="1"/>
  <c r="L146" i="1"/>
  <c r="H146" i="1"/>
  <c r="F146" i="1"/>
  <c r="C146" i="1"/>
  <c r="AD145" i="1"/>
  <c r="AC145" i="1"/>
  <c r="AA145" i="1"/>
  <c r="X145" i="1"/>
  <c r="W145" i="1"/>
  <c r="U145" i="1"/>
  <c r="R145" i="1"/>
  <c r="N145" i="1"/>
  <c r="O145" i="1" s="1"/>
  <c r="L145" i="1"/>
  <c r="H145" i="1"/>
  <c r="I145" i="1" s="1"/>
  <c r="F145" i="1"/>
  <c r="C145" i="1"/>
  <c r="AC144" i="1"/>
  <c r="AD144" i="1" s="1"/>
  <c r="AA144" i="1"/>
  <c r="X144" i="1"/>
  <c r="W144" i="1"/>
  <c r="U144" i="1"/>
  <c r="R144" i="1"/>
  <c r="O144" i="1"/>
  <c r="N144" i="1"/>
  <c r="L144" i="1"/>
  <c r="H144" i="1"/>
  <c r="I144" i="1" s="1"/>
  <c r="F144" i="1"/>
  <c r="C144" i="1"/>
  <c r="AD143" i="1"/>
  <c r="AC143" i="1"/>
  <c r="AA143" i="1"/>
  <c r="W143" i="1"/>
  <c r="X143" i="1" s="1"/>
  <c r="U143" i="1"/>
  <c r="R143" i="1"/>
  <c r="N143" i="1"/>
  <c r="O143" i="1" s="1"/>
  <c r="L143" i="1"/>
  <c r="H143" i="1"/>
  <c r="F143" i="1"/>
  <c r="C143" i="1"/>
  <c r="AA141" i="1"/>
  <c r="Z141" i="1"/>
  <c r="T141" i="1"/>
  <c r="U141" i="1" s="1"/>
  <c r="Q141" i="1"/>
  <c r="W141" i="1" s="1"/>
  <c r="X141" i="1" s="1"/>
  <c r="K141" i="1"/>
  <c r="L141" i="1" s="1"/>
  <c r="E141" i="1"/>
  <c r="H141" i="1" s="1"/>
  <c r="I141" i="1" s="1"/>
  <c r="C141" i="1"/>
  <c r="B141" i="1"/>
  <c r="AC140" i="1"/>
  <c r="AD140" i="1" s="1"/>
  <c r="AA140" i="1"/>
  <c r="X140" i="1"/>
  <c r="W140" i="1"/>
  <c r="U140" i="1"/>
  <c r="R140" i="1"/>
  <c r="O140" i="1"/>
  <c r="N140" i="1"/>
  <c r="L140" i="1"/>
  <c r="H140" i="1"/>
  <c r="I140" i="1" s="1"/>
  <c r="F140" i="1"/>
  <c r="C140" i="1"/>
  <c r="AD139" i="1"/>
  <c r="AC139" i="1"/>
  <c r="AA139" i="1"/>
  <c r="W139" i="1"/>
  <c r="X139" i="1" s="1"/>
  <c r="U139" i="1"/>
  <c r="R139" i="1"/>
  <c r="N139" i="1"/>
  <c r="O139" i="1" s="1"/>
  <c r="L139" i="1"/>
  <c r="H139" i="1"/>
  <c r="I139" i="1" s="1"/>
  <c r="F139" i="1"/>
  <c r="C139" i="1"/>
  <c r="AD138" i="1"/>
  <c r="AC138" i="1"/>
  <c r="AA138" i="1"/>
  <c r="W138" i="1"/>
  <c r="U138" i="1"/>
  <c r="R138" i="1"/>
  <c r="N138" i="1"/>
  <c r="O138" i="1" s="1"/>
  <c r="L138" i="1"/>
  <c r="H138" i="1"/>
  <c r="F138" i="1"/>
  <c r="C138" i="1"/>
  <c r="AD137" i="1"/>
  <c r="AC137" i="1"/>
  <c r="AA137" i="1"/>
  <c r="X137" i="1"/>
  <c r="W137" i="1"/>
  <c r="U137" i="1"/>
  <c r="R137" i="1"/>
  <c r="N137" i="1"/>
  <c r="O137" i="1" s="1"/>
  <c r="L137" i="1"/>
  <c r="H137" i="1"/>
  <c r="I137" i="1" s="1"/>
  <c r="F137" i="1"/>
  <c r="C137" i="1"/>
  <c r="AC136" i="1"/>
  <c r="AD136" i="1" s="1"/>
  <c r="AA136" i="1"/>
  <c r="X136" i="1"/>
  <c r="W136" i="1"/>
  <c r="U136" i="1"/>
  <c r="R136" i="1"/>
  <c r="O136" i="1"/>
  <c r="N136" i="1"/>
  <c r="L136" i="1"/>
  <c r="H136" i="1"/>
  <c r="I136" i="1" s="1"/>
  <c r="F136" i="1"/>
  <c r="C136" i="1"/>
  <c r="AD135" i="1"/>
  <c r="AC135" i="1"/>
  <c r="AA135" i="1"/>
  <c r="W135" i="1"/>
  <c r="X135" i="1" s="1"/>
  <c r="U135" i="1"/>
  <c r="R135" i="1"/>
  <c r="N135" i="1"/>
  <c r="O135" i="1" s="1"/>
  <c r="L135" i="1"/>
  <c r="H135" i="1"/>
  <c r="F135" i="1"/>
  <c r="C135" i="1"/>
  <c r="AD134" i="1"/>
  <c r="AC134" i="1"/>
  <c r="AA134" i="1"/>
  <c r="W134" i="1"/>
  <c r="U134" i="1"/>
  <c r="R134" i="1"/>
  <c r="N134" i="1"/>
  <c r="O134" i="1" s="1"/>
  <c r="L134" i="1"/>
  <c r="H134" i="1"/>
  <c r="F134" i="1"/>
  <c r="C134" i="1"/>
  <c r="AC133" i="1"/>
  <c r="AD133" i="1" s="1"/>
  <c r="AA133" i="1"/>
  <c r="X133" i="1"/>
  <c r="W133" i="1"/>
  <c r="U133" i="1"/>
  <c r="R133" i="1"/>
  <c r="O133" i="1"/>
  <c r="N133" i="1"/>
  <c r="L133" i="1"/>
  <c r="H133" i="1"/>
  <c r="I133" i="1" s="1"/>
  <c r="F133" i="1"/>
  <c r="C133" i="1"/>
  <c r="AC132" i="1"/>
  <c r="AD132" i="1" s="1"/>
  <c r="AA132" i="1"/>
  <c r="W132" i="1"/>
  <c r="X132" i="1" s="1"/>
  <c r="U132" i="1"/>
  <c r="R132" i="1"/>
  <c r="O132" i="1"/>
  <c r="N132" i="1"/>
  <c r="L132" i="1"/>
  <c r="H132" i="1"/>
  <c r="F132" i="1"/>
  <c r="C132" i="1"/>
  <c r="AD131" i="1"/>
  <c r="AC131" i="1"/>
  <c r="AA131" i="1"/>
  <c r="X131" i="1"/>
  <c r="W131" i="1"/>
  <c r="U131" i="1"/>
  <c r="R131" i="1"/>
  <c r="N131" i="1"/>
  <c r="O131" i="1" s="1"/>
  <c r="L131" i="1"/>
  <c r="H131" i="1"/>
  <c r="I131" i="1" s="1"/>
  <c r="F131" i="1"/>
  <c r="C131" i="1"/>
  <c r="AC130" i="1"/>
  <c r="AD130" i="1" s="1"/>
  <c r="AA130" i="1"/>
  <c r="W130" i="1"/>
  <c r="U130" i="1"/>
  <c r="R130" i="1"/>
  <c r="O130" i="1"/>
  <c r="N130" i="1"/>
  <c r="L130" i="1"/>
  <c r="I130" i="1"/>
  <c r="H130" i="1"/>
  <c r="F130" i="1"/>
  <c r="C130" i="1"/>
  <c r="AC129" i="1"/>
  <c r="AD129" i="1" s="1"/>
  <c r="AA129" i="1"/>
  <c r="W129" i="1"/>
  <c r="X129" i="1" s="1"/>
  <c r="U129" i="1"/>
  <c r="R129" i="1"/>
  <c r="N129" i="1"/>
  <c r="O129" i="1" s="1"/>
  <c r="L129" i="1"/>
  <c r="H129" i="1"/>
  <c r="F129" i="1"/>
  <c r="C129" i="1"/>
  <c r="AC127" i="1"/>
  <c r="AD127" i="1" s="1"/>
  <c r="AA127" i="1"/>
  <c r="W127" i="1"/>
  <c r="X127" i="1" s="1"/>
  <c r="U127" i="1"/>
  <c r="R127" i="1"/>
  <c r="O127" i="1"/>
  <c r="N127" i="1"/>
  <c r="L127" i="1"/>
  <c r="H127" i="1"/>
  <c r="I127" i="1" s="1"/>
  <c r="F127" i="1"/>
  <c r="C127" i="1"/>
  <c r="Z124" i="1"/>
  <c r="AA124" i="1" s="1"/>
  <c r="T124" i="1"/>
  <c r="T172" i="1" s="1"/>
  <c r="T198" i="1" s="1"/>
  <c r="R124" i="1"/>
  <c r="Q124" i="1"/>
  <c r="K124" i="1"/>
  <c r="L124" i="1" s="1"/>
  <c r="F124" i="1"/>
  <c r="E124" i="1"/>
  <c r="B124" i="1"/>
  <c r="C124" i="1" s="1"/>
  <c r="AC123" i="1"/>
  <c r="AD123" i="1" s="1"/>
  <c r="AA123" i="1"/>
  <c r="X123" i="1"/>
  <c r="W123" i="1"/>
  <c r="U123" i="1"/>
  <c r="R123" i="1"/>
  <c r="O123" i="1"/>
  <c r="N123" i="1"/>
  <c r="L123" i="1"/>
  <c r="H123" i="1"/>
  <c r="I123" i="1" s="1"/>
  <c r="F123" i="1"/>
  <c r="C123" i="1"/>
  <c r="AC122" i="1"/>
  <c r="AD122" i="1" s="1"/>
  <c r="AA122" i="1"/>
  <c r="Z122" i="1"/>
  <c r="U122" i="1"/>
  <c r="T122" i="1"/>
  <c r="Q122" i="1"/>
  <c r="R122" i="1" s="1"/>
  <c r="K122" i="1"/>
  <c r="L122" i="1" s="1"/>
  <c r="E122" i="1"/>
  <c r="F122" i="1" s="1"/>
  <c r="B122" i="1"/>
  <c r="H122" i="1" s="1"/>
  <c r="I122" i="1" s="1"/>
  <c r="AD121" i="1"/>
  <c r="AC121" i="1"/>
  <c r="AA121" i="1"/>
  <c r="W121" i="1"/>
  <c r="U121" i="1"/>
  <c r="R121" i="1"/>
  <c r="N121" i="1"/>
  <c r="O121" i="1" s="1"/>
  <c r="L121" i="1"/>
  <c r="H121" i="1"/>
  <c r="F121" i="1"/>
  <c r="C121" i="1"/>
  <c r="AD120" i="1"/>
  <c r="AC120" i="1"/>
  <c r="AA120" i="1"/>
  <c r="X120" i="1"/>
  <c r="W120" i="1"/>
  <c r="U120" i="1"/>
  <c r="R120" i="1"/>
  <c r="N120" i="1"/>
  <c r="O120" i="1" s="1"/>
  <c r="L120" i="1"/>
  <c r="H120" i="1"/>
  <c r="I120" i="1" s="1"/>
  <c r="F120" i="1"/>
  <c r="C120" i="1"/>
  <c r="AC119" i="1"/>
  <c r="AD119" i="1" s="1"/>
  <c r="AA119" i="1"/>
  <c r="X119" i="1"/>
  <c r="W119" i="1"/>
  <c r="U119" i="1"/>
  <c r="R119" i="1"/>
  <c r="O119" i="1"/>
  <c r="N119" i="1"/>
  <c r="L119" i="1"/>
  <c r="H119" i="1"/>
  <c r="I119" i="1" s="1"/>
  <c r="F119" i="1"/>
  <c r="C119" i="1"/>
  <c r="AD118" i="1"/>
  <c r="Z118" i="1"/>
  <c r="AA118" i="1" s="1"/>
  <c r="T118" i="1"/>
  <c r="U118" i="1" s="1"/>
  <c r="R118" i="1"/>
  <c r="Q118" i="1"/>
  <c r="AC118" i="1" s="1"/>
  <c r="N118" i="1"/>
  <c r="O118" i="1" s="1"/>
  <c r="L118" i="1"/>
  <c r="K118" i="1"/>
  <c r="F118" i="1"/>
  <c r="E118" i="1"/>
  <c r="B118" i="1"/>
  <c r="C118" i="1" s="1"/>
  <c r="AD117" i="1"/>
  <c r="AC117" i="1"/>
  <c r="AA117" i="1"/>
  <c r="W117" i="1"/>
  <c r="X117" i="1" s="1"/>
  <c r="U117" i="1"/>
  <c r="R117" i="1"/>
  <c r="N117" i="1"/>
  <c r="O117" i="1" s="1"/>
  <c r="L117" i="1"/>
  <c r="H117" i="1"/>
  <c r="I117" i="1" s="1"/>
  <c r="F117" i="1"/>
  <c r="C117" i="1"/>
  <c r="AC116" i="1"/>
  <c r="AD116" i="1" s="1"/>
  <c r="AA116" i="1"/>
  <c r="X116" i="1"/>
  <c r="W116" i="1"/>
  <c r="U116" i="1"/>
  <c r="R116" i="1"/>
  <c r="O116" i="1"/>
  <c r="N116" i="1"/>
  <c r="L116" i="1"/>
  <c r="H116" i="1"/>
  <c r="I116" i="1" s="1"/>
  <c r="F116" i="1"/>
  <c r="C116" i="1"/>
  <c r="AD115" i="1"/>
  <c r="AC115" i="1"/>
  <c r="AA115" i="1"/>
  <c r="W115" i="1"/>
  <c r="X115" i="1" s="1"/>
  <c r="U115" i="1"/>
  <c r="R115" i="1"/>
  <c r="N115" i="1"/>
  <c r="O115" i="1" s="1"/>
  <c r="L115" i="1"/>
  <c r="H115" i="1"/>
  <c r="I115" i="1" s="1"/>
  <c r="F115" i="1"/>
  <c r="C115" i="1"/>
  <c r="AD114" i="1"/>
  <c r="AC114" i="1"/>
  <c r="AA114" i="1"/>
  <c r="W114" i="1"/>
  <c r="U114" i="1"/>
  <c r="R114" i="1"/>
  <c r="N114" i="1"/>
  <c r="O114" i="1" s="1"/>
  <c r="L114" i="1"/>
  <c r="H114" i="1"/>
  <c r="F114" i="1"/>
  <c r="C114" i="1"/>
  <c r="AD113" i="1"/>
  <c r="AC113" i="1"/>
  <c r="AA113" i="1"/>
  <c r="X113" i="1"/>
  <c r="W113" i="1"/>
  <c r="U113" i="1"/>
  <c r="R113" i="1"/>
  <c r="N113" i="1"/>
  <c r="O113" i="1" s="1"/>
  <c r="L113" i="1"/>
  <c r="H113" i="1"/>
  <c r="I113" i="1" s="1"/>
  <c r="F113" i="1"/>
  <c r="C113" i="1"/>
  <c r="AC112" i="1"/>
  <c r="AD112" i="1" s="1"/>
  <c r="AA112" i="1"/>
  <c r="X112" i="1"/>
  <c r="W112" i="1"/>
  <c r="U112" i="1"/>
  <c r="R112" i="1"/>
  <c r="O112" i="1"/>
  <c r="N112" i="1"/>
  <c r="L112" i="1"/>
  <c r="H112" i="1"/>
  <c r="I112" i="1" s="1"/>
  <c r="F112" i="1"/>
  <c r="C112" i="1"/>
  <c r="AD111" i="1"/>
  <c r="AC111" i="1"/>
  <c r="AA111" i="1"/>
  <c r="W111" i="1"/>
  <c r="X111" i="1" s="1"/>
  <c r="U111" i="1"/>
  <c r="R111" i="1"/>
  <c r="N111" i="1"/>
  <c r="O111" i="1" s="1"/>
  <c r="L111" i="1"/>
  <c r="H111" i="1"/>
  <c r="F111" i="1"/>
  <c r="C111" i="1"/>
  <c r="AD110" i="1"/>
  <c r="AC110" i="1"/>
  <c r="AA110" i="1"/>
  <c r="W110" i="1"/>
  <c r="U110" i="1"/>
  <c r="R110" i="1"/>
  <c r="N110" i="1"/>
  <c r="O110" i="1" s="1"/>
  <c r="L110" i="1"/>
  <c r="H110" i="1"/>
  <c r="F110" i="1"/>
  <c r="C110" i="1"/>
  <c r="AC109" i="1"/>
  <c r="AD109" i="1" s="1"/>
  <c r="AA109" i="1"/>
  <c r="X109" i="1"/>
  <c r="W109" i="1"/>
  <c r="U109" i="1"/>
  <c r="R109" i="1"/>
  <c r="O109" i="1"/>
  <c r="N109" i="1"/>
  <c r="L109" i="1"/>
  <c r="H109" i="1"/>
  <c r="I109" i="1" s="1"/>
  <c r="F109" i="1"/>
  <c r="C109" i="1"/>
  <c r="AC108" i="1"/>
  <c r="AD108" i="1" s="1"/>
  <c r="AA108" i="1"/>
  <c r="W108" i="1"/>
  <c r="X108" i="1" s="1"/>
  <c r="U108" i="1"/>
  <c r="R108" i="1"/>
  <c r="O108" i="1"/>
  <c r="N108" i="1"/>
  <c r="L108" i="1"/>
  <c r="H108" i="1"/>
  <c r="F108" i="1"/>
  <c r="C108" i="1"/>
  <c r="AD107" i="1"/>
  <c r="AC107" i="1"/>
  <c r="AA107" i="1"/>
  <c r="X107" i="1"/>
  <c r="W107" i="1"/>
  <c r="U107" i="1"/>
  <c r="R107" i="1"/>
  <c r="N107" i="1"/>
  <c r="O107" i="1" s="1"/>
  <c r="L107" i="1"/>
  <c r="H107" i="1"/>
  <c r="I107" i="1" s="1"/>
  <c r="F107" i="1"/>
  <c r="C107" i="1"/>
  <c r="AC106" i="1"/>
  <c r="AD106" i="1" s="1"/>
  <c r="AA106" i="1"/>
  <c r="W106" i="1"/>
  <c r="U106" i="1"/>
  <c r="R106" i="1"/>
  <c r="O106" i="1"/>
  <c r="N106" i="1"/>
  <c r="L106" i="1"/>
  <c r="I106" i="1"/>
  <c r="H106" i="1"/>
  <c r="F106" i="1"/>
  <c r="C106" i="1"/>
  <c r="AC105" i="1"/>
  <c r="AD105" i="1" s="1"/>
  <c r="AA105" i="1"/>
  <c r="W105" i="1"/>
  <c r="X105" i="1" s="1"/>
  <c r="U105" i="1"/>
  <c r="R105" i="1"/>
  <c r="N105" i="1"/>
  <c r="O105" i="1" s="1"/>
  <c r="L105" i="1"/>
  <c r="H105" i="1"/>
  <c r="F105" i="1"/>
  <c r="C105" i="1"/>
  <c r="AC104" i="1"/>
  <c r="AD104" i="1" s="1"/>
  <c r="AA104" i="1"/>
  <c r="W104" i="1"/>
  <c r="X104" i="1" s="1"/>
  <c r="U104" i="1"/>
  <c r="R104" i="1"/>
  <c r="O104" i="1"/>
  <c r="N104" i="1"/>
  <c r="L104" i="1"/>
  <c r="H104" i="1"/>
  <c r="I104" i="1" s="1"/>
  <c r="F104" i="1"/>
  <c r="C104" i="1"/>
  <c r="AD103" i="1"/>
  <c r="AC103" i="1"/>
  <c r="AA103" i="1"/>
  <c r="X103" i="1"/>
  <c r="W103" i="1"/>
  <c r="U103" i="1"/>
  <c r="R103" i="1"/>
  <c r="O103" i="1"/>
  <c r="N103" i="1"/>
  <c r="L103" i="1"/>
  <c r="H103" i="1"/>
  <c r="I103" i="1" s="1"/>
  <c r="F103" i="1"/>
  <c r="C103" i="1"/>
  <c r="AC102" i="1"/>
  <c r="AD102" i="1" s="1"/>
  <c r="AA102" i="1"/>
  <c r="W102" i="1"/>
  <c r="U102" i="1"/>
  <c r="R102" i="1"/>
  <c r="O102" i="1"/>
  <c r="N102" i="1"/>
  <c r="L102" i="1"/>
  <c r="I102" i="1"/>
  <c r="H102" i="1"/>
  <c r="F102" i="1"/>
  <c r="C102" i="1"/>
  <c r="AC101" i="1"/>
  <c r="AD101" i="1" s="1"/>
  <c r="AA101" i="1"/>
  <c r="W101" i="1"/>
  <c r="X101" i="1" s="1"/>
  <c r="U101" i="1"/>
  <c r="R101" i="1"/>
  <c r="N101" i="1"/>
  <c r="O101" i="1" s="1"/>
  <c r="L101" i="1"/>
  <c r="H101" i="1"/>
  <c r="I101" i="1" s="1"/>
  <c r="F101" i="1"/>
  <c r="C101" i="1"/>
  <c r="AC100" i="1"/>
  <c r="AD100" i="1" s="1"/>
  <c r="AA100" i="1"/>
  <c r="W100" i="1"/>
  <c r="X100" i="1" s="1"/>
  <c r="U100" i="1"/>
  <c r="R100" i="1"/>
  <c r="O100" i="1"/>
  <c r="N100" i="1"/>
  <c r="L100" i="1"/>
  <c r="H100" i="1"/>
  <c r="I100" i="1" s="1"/>
  <c r="F100" i="1"/>
  <c r="C100" i="1"/>
  <c r="AD99" i="1"/>
  <c r="AC99" i="1"/>
  <c r="AA99" i="1"/>
  <c r="W99" i="1"/>
  <c r="X99" i="1" s="1"/>
  <c r="U99" i="1"/>
  <c r="R99" i="1"/>
  <c r="N99" i="1"/>
  <c r="O99" i="1" s="1"/>
  <c r="L99" i="1"/>
  <c r="H99" i="1"/>
  <c r="F99" i="1"/>
  <c r="C99" i="1"/>
  <c r="AC98" i="1"/>
  <c r="AD98" i="1" s="1"/>
  <c r="AA98" i="1"/>
  <c r="W98" i="1"/>
  <c r="U98" i="1"/>
  <c r="R98" i="1"/>
  <c r="N98" i="1"/>
  <c r="O98" i="1" s="1"/>
  <c r="L98" i="1"/>
  <c r="I98" i="1"/>
  <c r="H98" i="1"/>
  <c r="F98" i="1"/>
  <c r="C98" i="1"/>
  <c r="AD97" i="1"/>
  <c r="AC97" i="1"/>
  <c r="AA97" i="1"/>
  <c r="W97" i="1"/>
  <c r="X97" i="1" s="1"/>
  <c r="U97" i="1"/>
  <c r="R97" i="1"/>
  <c r="O97" i="1"/>
  <c r="N97" i="1"/>
  <c r="L97" i="1"/>
  <c r="H97" i="1"/>
  <c r="I97" i="1" s="1"/>
  <c r="F97" i="1"/>
  <c r="C97" i="1"/>
  <c r="AC96" i="1"/>
  <c r="AD96" i="1" s="1"/>
  <c r="AA96" i="1"/>
  <c r="W96" i="1"/>
  <c r="U96" i="1"/>
  <c r="R96" i="1"/>
  <c r="O96" i="1"/>
  <c r="N96" i="1"/>
  <c r="L96" i="1"/>
  <c r="I96" i="1"/>
  <c r="H96" i="1"/>
  <c r="F96" i="1"/>
  <c r="C96" i="1"/>
  <c r="AD95" i="1"/>
  <c r="AC95" i="1"/>
  <c r="AA95" i="1"/>
  <c r="W95" i="1"/>
  <c r="X95" i="1" s="1"/>
  <c r="U95" i="1"/>
  <c r="R95" i="1"/>
  <c r="N95" i="1"/>
  <c r="O95" i="1" s="1"/>
  <c r="L95" i="1"/>
  <c r="H95" i="1"/>
  <c r="F95" i="1"/>
  <c r="C95" i="1"/>
  <c r="AD94" i="1"/>
  <c r="AC94" i="1"/>
  <c r="AA94" i="1"/>
  <c r="W94" i="1"/>
  <c r="U94" i="1"/>
  <c r="R94" i="1"/>
  <c r="N94" i="1"/>
  <c r="O94" i="1" s="1"/>
  <c r="L94" i="1"/>
  <c r="H94" i="1"/>
  <c r="F94" i="1"/>
  <c r="C94" i="1"/>
  <c r="AC92" i="1"/>
  <c r="AD92" i="1" s="1"/>
  <c r="AA92" i="1"/>
  <c r="W92" i="1"/>
  <c r="U92" i="1"/>
  <c r="R92" i="1"/>
  <c r="O92" i="1"/>
  <c r="N92" i="1"/>
  <c r="L92" i="1"/>
  <c r="I92" i="1"/>
  <c r="H92" i="1"/>
  <c r="F92" i="1"/>
  <c r="C92" i="1"/>
  <c r="AC91" i="1"/>
  <c r="AD91" i="1" s="1"/>
  <c r="AA91" i="1"/>
  <c r="W91" i="1"/>
  <c r="X91" i="1" s="1"/>
  <c r="U91" i="1"/>
  <c r="R91" i="1"/>
  <c r="O91" i="1"/>
  <c r="N91" i="1"/>
  <c r="L91" i="1"/>
  <c r="I91" i="1"/>
  <c r="H91" i="1"/>
  <c r="F91" i="1"/>
  <c r="C91" i="1"/>
  <c r="AD90" i="1"/>
  <c r="AC90" i="1"/>
  <c r="AA90" i="1"/>
  <c r="W90" i="1"/>
  <c r="X90" i="1" s="1"/>
  <c r="U90" i="1"/>
  <c r="R90" i="1"/>
  <c r="O90" i="1"/>
  <c r="N90" i="1"/>
  <c r="L90" i="1"/>
  <c r="H90" i="1"/>
  <c r="I90" i="1" s="1"/>
  <c r="F90" i="1"/>
  <c r="C90" i="1"/>
  <c r="AC89" i="1"/>
  <c r="AD89" i="1" s="1"/>
  <c r="AA89" i="1"/>
  <c r="W89" i="1"/>
  <c r="U89" i="1"/>
  <c r="R89" i="1"/>
  <c r="N89" i="1"/>
  <c r="O89" i="1" s="1"/>
  <c r="L89" i="1"/>
  <c r="I89" i="1"/>
  <c r="H89" i="1"/>
  <c r="F89" i="1"/>
  <c r="C89" i="1"/>
  <c r="AC88" i="1"/>
  <c r="AD88" i="1" s="1"/>
  <c r="AA88" i="1"/>
  <c r="Z88" i="1"/>
  <c r="T88" i="1"/>
  <c r="U88" i="1" s="1"/>
  <c r="R88" i="1"/>
  <c r="Q88" i="1"/>
  <c r="N88" i="1"/>
  <c r="O88" i="1" s="1"/>
  <c r="L88" i="1"/>
  <c r="K88" i="1"/>
  <c r="H88" i="1"/>
  <c r="I88" i="1" s="1"/>
  <c r="F88" i="1"/>
  <c r="E88" i="1"/>
  <c r="B88" i="1"/>
  <c r="C88" i="1" s="1"/>
  <c r="AD87" i="1"/>
  <c r="AC87" i="1"/>
  <c r="AA87" i="1"/>
  <c r="W87" i="1"/>
  <c r="X87" i="1" s="1"/>
  <c r="U87" i="1"/>
  <c r="R87" i="1"/>
  <c r="N87" i="1"/>
  <c r="O87" i="1" s="1"/>
  <c r="L87" i="1"/>
  <c r="H87" i="1"/>
  <c r="F87" i="1"/>
  <c r="C87" i="1"/>
  <c r="AD86" i="1"/>
  <c r="AC86" i="1"/>
  <c r="AA86" i="1"/>
  <c r="W86" i="1"/>
  <c r="U86" i="1"/>
  <c r="R86" i="1"/>
  <c r="N86" i="1"/>
  <c r="O86" i="1" s="1"/>
  <c r="L86" i="1"/>
  <c r="H86" i="1"/>
  <c r="F86" i="1"/>
  <c r="C86" i="1"/>
  <c r="AC85" i="1"/>
  <c r="AD85" i="1" s="1"/>
  <c r="AA85" i="1"/>
  <c r="W85" i="1"/>
  <c r="U85" i="1"/>
  <c r="R85" i="1"/>
  <c r="O85" i="1"/>
  <c r="N85" i="1"/>
  <c r="L85" i="1"/>
  <c r="I85" i="1"/>
  <c r="H85" i="1"/>
  <c r="F85" i="1"/>
  <c r="C85" i="1"/>
  <c r="AC84" i="1"/>
  <c r="AD84" i="1" s="1"/>
  <c r="AA84" i="1"/>
  <c r="W84" i="1"/>
  <c r="X84" i="1" s="1"/>
  <c r="U84" i="1"/>
  <c r="R84" i="1"/>
  <c r="O84" i="1"/>
  <c r="N84" i="1"/>
  <c r="L84" i="1"/>
  <c r="I84" i="1"/>
  <c r="H84" i="1"/>
  <c r="F84" i="1"/>
  <c r="C84" i="1"/>
  <c r="AD83" i="1"/>
  <c r="AC83" i="1"/>
  <c r="AA83" i="1"/>
  <c r="W83" i="1"/>
  <c r="X83" i="1" s="1"/>
  <c r="U83" i="1"/>
  <c r="R83" i="1"/>
  <c r="O83" i="1"/>
  <c r="N83" i="1"/>
  <c r="L83" i="1"/>
  <c r="H83" i="1"/>
  <c r="I83" i="1" s="1"/>
  <c r="F83" i="1"/>
  <c r="C83" i="1"/>
  <c r="AC82" i="1"/>
  <c r="AD82" i="1" s="1"/>
  <c r="AA82" i="1"/>
  <c r="W82" i="1"/>
  <c r="U82" i="1"/>
  <c r="R82" i="1"/>
  <c r="N82" i="1"/>
  <c r="O82" i="1" s="1"/>
  <c r="L82" i="1"/>
  <c r="I82" i="1"/>
  <c r="H82" i="1"/>
  <c r="F82" i="1"/>
  <c r="C82" i="1"/>
  <c r="AC81" i="1"/>
  <c r="AD81" i="1" s="1"/>
  <c r="AA81" i="1"/>
  <c r="W81" i="1"/>
  <c r="X81" i="1" s="1"/>
  <c r="U81" i="1"/>
  <c r="R81" i="1"/>
  <c r="N81" i="1"/>
  <c r="O81" i="1" s="1"/>
  <c r="L81" i="1"/>
  <c r="I81" i="1"/>
  <c r="H81" i="1"/>
  <c r="F81" i="1"/>
  <c r="C81" i="1"/>
  <c r="AC80" i="1"/>
  <c r="AD80" i="1" s="1"/>
  <c r="AA80" i="1"/>
  <c r="W80" i="1"/>
  <c r="X80" i="1" s="1"/>
  <c r="U80" i="1"/>
  <c r="R80" i="1"/>
  <c r="O80" i="1"/>
  <c r="N80" i="1"/>
  <c r="L80" i="1"/>
  <c r="H80" i="1"/>
  <c r="I80" i="1" s="1"/>
  <c r="F80" i="1"/>
  <c r="C80" i="1"/>
  <c r="AD79" i="1"/>
  <c r="AC79" i="1"/>
  <c r="AA79" i="1"/>
  <c r="W79" i="1"/>
  <c r="U79" i="1"/>
  <c r="R79" i="1"/>
  <c r="O79" i="1"/>
  <c r="N79" i="1"/>
  <c r="L79" i="1"/>
  <c r="H79" i="1"/>
  <c r="I79" i="1" s="1"/>
  <c r="F79" i="1"/>
  <c r="C79" i="1"/>
  <c r="AC78" i="1"/>
  <c r="AD78" i="1" s="1"/>
  <c r="AA78" i="1"/>
  <c r="W78" i="1"/>
  <c r="U78" i="1"/>
  <c r="R78" i="1"/>
  <c r="O78" i="1"/>
  <c r="N78" i="1"/>
  <c r="L78" i="1"/>
  <c r="I78" i="1"/>
  <c r="H78" i="1"/>
  <c r="F78" i="1"/>
  <c r="C78" i="1"/>
  <c r="AD77" i="1"/>
  <c r="AC77" i="1"/>
  <c r="AA77" i="1"/>
  <c r="W77" i="1"/>
  <c r="X77" i="1" s="1"/>
  <c r="U77" i="1"/>
  <c r="R77" i="1"/>
  <c r="N77" i="1"/>
  <c r="O77" i="1" s="1"/>
  <c r="L77" i="1"/>
  <c r="H77" i="1"/>
  <c r="I77" i="1" s="1"/>
  <c r="F77" i="1"/>
  <c r="C77" i="1"/>
  <c r="AC76" i="1"/>
  <c r="AD76" i="1" s="1"/>
  <c r="AA76" i="1"/>
  <c r="X76" i="1"/>
  <c r="W76" i="1"/>
  <c r="U76" i="1"/>
  <c r="R76" i="1"/>
  <c r="O76" i="1"/>
  <c r="N76" i="1"/>
  <c r="L76" i="1"/>
  <c r="H76" i="1"/>
  <c r="I76" i="1" s="1"/>
  <c r="F76" i="1"/>
  <c r="C76" i="1"/>
  <c r="AD75" i="1"/>
  <c r="AC75" i="1"/>
  <c r="AA75" i="1"/>
  <c r="W75" i="1"/>
  <c r="X75" i="1" s="1"/>
  <c r="U75" i="1"/>
  <c r="R75" i="1"/>
  <c r="N75" i="1"/>
  <c r="O75" i="1" s="1"/>
  <c r="L75" i="1"/>
  <c r="H75" i="1"/>
  <c r="I75" i="1" s="1"/>
  <c r="F75" i="1"/>
  <c r="C75" i="1"/>
  <c r="AA73" i="1"/>
  <c r="Z73" i="1"/>
  <c r="U73" i="1"/>
  <c r="T73" i="1"/>
  <c r="Q73" i="1"/>
  <c r="AC73" i="1" s="1"/>
  <c r="AD73" i="1" s="1"/>
  <c r="K73" i="1"/>
  <c r="L73" i="1" s="1"/>
  <c r="H73" i="1"/>
  <c r="I73" i="1" s="1"/>
  <c r="F73" i="1"/>
  <c r="E73" i="1"/>
  <c r="C73" i="1"/>
  <c r="B73" i="1"/>
  <c r="N73" i="1" s="1"/>
  <c r="O73" i="1" s="1"/>
  <c r="AC72" i="1"/>
  <c r="AD72" i="1" s="1"/>
  <c r="AA72" i="1"/>
  <c r="W72" i="1"/>
  <c r="X72" i="1" s="1"/>
  <c r="U72" i="1"/>
  <c r="R72" i="1"/>
  <c r="O72" i="1"/>
  <c r="N72" i="1"/>
  <c r="L72" i="1"/>
  <c r="H72" i="1"/>
  <c r="I72" i="1" s="1"/>
  <c r="F72" i="1"/>
  <c r="C72" i="1"/>
  <c r="AD71" i="1"/>
  <c r="AC71" i="1"/>
  <c r="AA71" i="1"/>
  <c r="W71" i="1"/>
  <c r="U71" i="1"/>
  <c r="R71" i="1"/>
  <c r="O71" i="1"/>
  <c r="N71" i="1"/>
  <c r="L71" i="1"/>
  <c r="H71" i="1"/>
  <c r="I71" i="1" s="1"/>
  <c r="F71" i="1"/>
  <c r="C71" i="1"/>
  <c r="AC70" i="1"/>
  <c r="AD70" i="1" s="1"/>
  <c r="AA70" i="1"/>
  <c r="W70" i="1"/>
  <c r="U70" i="1"/>
  <c r="R70" i="1"/>
  <c r="O70" i="1"/>
  <c r="N70" i="1"/>
  <c r="L70" i="1"/>
  <c r="I70" i="1"/>
  <c r="H70" i="1"/>
  <c r="F70" i="1"/>
  <c r="C70" i="1"/>
  <c r="AD69" i="1"/>
  <c r="AC69" i="1"/>
  <c r="AA69" i="1"/>
  <c r="W69" i="1"/>
  <c r="X69" i="1" s="1"/>
  <c r="U69" i="1"/>
  <c r="R69" i="1"/>
  <c r="N69" i="1"/>
  <c r="O69" i="1" s="1"/>
  <c r="L69" i="1"/>
  <c r="H69" i="1"/>
  <c r="I69" i="1" s="1"/>
  <c r="F69" i="1"/>
  <c r="C69" i="1"/>
  <c r="AC68" i="1"/>
  <c r="AD68" i="1" s="1"/>
  <c r="AA68" i="1"/>
  <c r="X68" i="1"/>
  <c r="W68" i="1"/>
  <c r="U68" i="1"/>
  <c r="R68" i="1"/>
  <c r="O68" i="1"/>
  <c r="N68" i="1"/>
  <c r="L68" i="1"/>
  <c r="H68" i="1"/>
  <c r="I68" i="1" s="1"/>
  <c r="F68" i="1"/>
  <c r="C68" i="1"/>
  <c r="AD67" i="1"/>
  <c r="AC67" i="1"/>
  <c r="AA67" i="1"/>
  <c r="W67" i="1"/>
  <c r="X67" i="1" s="1"/>
  <c r="U67" i="1"/>
  <c r="R67" i="1"/>
  <c r="N67" i="1"/>
  <c r="O67" i="1" s="1"/>
  <c r="L67" i="1"/>
  <c r="H67" i="1"/>
  <c r="I67" i="1" s="1"/>
  <c r="F67" i="1"/>
  <c r="C67" i="1"/>
  <c r="AD66" i="1"/>
  <c r="AC66" i="1"/>
  <c r="AA66" i="1"/>
  <c r="W66" i="1"/>
  <c r="U66" i="1"/>
  <c r="R66" i="1"/>
  <c r="N66" i="1"/>
  <c r="O66" i="1" s="1"/>
  <c r="L66" i="1"/>
  <c r="H66" i="1"/>
  <c r="F66" i="1"/>
  <c r="C66" i="1"/>
  <c r="AD65" i="1"/>
  <c r="AC65" i="1"/>
  <c r="AA65" i="1"/>
  <c r="X65" i="1"/>
  <c r="W65" i="1"/>
  <c r="U65" i="1"/>
  <c r="R65" i="1"/>
  <c r="N65" i="1"/>
  <c r="O65" i="1" s="1"/>
  <c r="L65" i="1"/>
  <c r="H65" i="1"/>
  <c r="I65" i="1" s="1"/>
  <c r="F65" i="1"/>
  <c r="C65" i="1"/>
  <c r="AC64" i="1"/>
  <c r="AD64" i="1" s="1"/>
  <c r="AA64" i="1"/>
  <c r="X64" i="1"/>
  <c r="W64" i="1"/>
  <c r="U64" i="1"/>
  <c r="R64" i="1"/>
  <c r="O64" i="1"/>
  <c r="N64" i="1"/>
  <c r="L64" i="1"/>
  <c r="H64" i="1"/>
  <c r="I64" i="1" s="1"/>
  <c r="F64" i="1"/>
  <c r="C64" i="1"/>
  <c r="AD62" i="1"/>
  <c r="Z62" i="1"/>
  <c r="AA62" i="1" s="1"/>
  <c r="T62" i="1"/>
  <c r="W62" i="1" s="1"/>
  <c r="X62" i="1" s="1"/>
  <c r="R62" i="1"/>
  <c r="Q62" i="1"/>
  <c r="AC62" i="1" s="1"/>
  <c r="N62" i="1"/>
  <c r="O62" i="1" s="1"/>
  <c r="L62" i="1"/>
  <c r="K62" i="1"/>
  <c r="F62" i="1"/>
  <c r="E62" i="1"/>
  <c r="B62" i="1"/>
  <c r="C62" i="1" s="1"/>
  <c r="Z61" i="1"/>
  <c r="AA61" i="1" s="1"/>
  <c r="T61" i="1"/>
  <c r="U61" i="1" s="1"/>
  <c r="Q61" i="1"/>
  <c r="W61" i="1" s="1"/>
  <c r="X61" i="1" s="1"/>
  <c r="L61" i="1"/>
  <c r="K61" i="1"/>
  <c r="F61" i="1"/>
  <c r="E61" i="1"/>
  <c r="B61" i="1"/>
  <c r="N61" i="1" s="1"/>
  <c r="O61" i="1" s="1"/>
  <c r="AD60" i="1"/>
  <c r="AC60" i="1"/>
  <c r="AA60" i="1"/>
  <c r="W60" i="1"/>
  <c r="X60" i="1" s="1"/>
  <c r="U60" i="1"/>
  <c r="R60" i="1"/>
  <c r="O60" i="1"/>
  <c r="N60" i="1"/>
  <c r="L60" i="1"/>
  <c r="H60" i="1"/>
  <c r="I60" i="1" s="1"/>
  <c r="F60" i="1"/>
  <c r="C60" i="1"/>
  <c r="AC59" i="1"/>
  <c r="AD59" i="1" s="1"/>
  <c r="AA59" i="1"/>
  <c r="W59" i="1"/>
  <c r="U59" i="1"/>
  <c r="R59" i="1"/>
  <c r="N59" i="1"/>
  <c r="O59" i="1" s="1"/>
  <c r="L59" i="1"/>
  <c r="I59" i="1"/>
  <c r="H59" i="1"/>
  <c r="F59" i="1"/>
  <c r="C59" i="1"/>
  <c r="AC58" i="1"/>
  <c r="AD58" i="1" s="1"/>
  <c r="AA58" i="1"/>
  <c r="W58" i="1"/>
  <c r="X58" i="1" s="1"/>
  <c r="U58" i="1"/>
  <c r="R58" i="1"/>
  <c r="N58" i="1"/>
  <c r="O58" i="1" s="1"/>
  <c r="L58" i="1"/>
  <c r="I58" i="1"/>
  <c r="H58" i="1"/>
  <c r="F58" i="1"/>
  <c r="C58" i="1"/>
  <c r="AC57" i="1"/>
  <c r="AD57" i="1" s="1"/>
  <c r="AA57" i="1"/>
  <c r="W57" i="1"/>
  <c r="X57" i="1" s="1"/>
  <c r="U57" i="1"/>
  <c r="R57" i="1"/>
  <c r="O57" i="1"/>
  <c r="N57" i="1"/>
  <c r="L57" i="1"/>
  <c r="H57" i="1"/>
  <c r="I57" i="1" s="1"/>
  <c r="F57" i="1"/>
  <c r="C57" i="1"/>
  <c r="AD56" i="1"/>
  <c r="AC56" i="1"/>
  <c r="AA56" i="1"/>
  <c r="W56" i="1"/>
  <c r="U56" i="1"/>
  <c r="R56" i="1"/>
  <c r="O56" i="1"/>
  <c r="N56" i="1"/>
  <c r="L56" i="1"/>
  <c r="H56" i="1"/>
  <c r="I56" i="1" s="1"/>
  <c r="F56" i="1"/>
  <c r="C56" i="1"/>
  <c r="AC55" i="1"/>
  <c r="AD55" i="1" s="1"/>
  <c r="AA55" i="1"/>
  <c r="W55" i="1"/>
  <c r="U55" i="1"/>
  <c r="R55" i="1"/>
  <c r="O55" i="1"/>
  <c r="N55" i="1"/>
  <c r="L55" i="1"/>
  <c r="I55" i="1"/>
  <c r="H55" i="1"/>
  <c r="F55" i="1"/>
  <c r="C55" i="1"/>
  <c r="AD54" i="1"/>
  <c r="AC54" i="1"/>
  <c r="AA54" i="1"/>
  <c r="W54" i="1"/>
  <c r="X54" i="1" s="1"/>
  <c r="U54" i="1"/>
  <c r="R54" i="1"/>
  <c r="N54" i="1"/>
  <c r="O54" i="1" s="1"/>
  <c r="L54" i="1"/>
  <c r="H54" i="1"/>
  <c r="I54" i="1" s="1"/>
  <c r="F54" i="1"/>
  <c r="C54" i="1"/>
  <c r="AC53" i="1"/>
  <c r="AD53" i="1" s="1"/>
  <c r="AA53" i="1"/>
  <c r="X53" i="1"/>
  <c r="W53" i="1"/>
  <c r="U53" i="1"/>
  <c r="R53" i="1"/>
  <c r="O53" i="1"/>
  <c r="N53" i="1"/>
  <c r="L53" i="1"/>
  <c r="H53" i="1"/>
  <c r="I53" i="1" s="1"/>
  <c r="F53" i="1"/>
  <c r="C53" i="1"/>
  <c r="AD52" i="1"/>
  <c r="AC52" i="1"/>
  <c r="AA52" i="1"/>
  <c r="W52" i="1"/>
  <c r="X52" i="1" s="1"/>
  <c r="U52" i="1"/>
  <c r="R52" i="1"/>
  <c r="N52" i="1"/>
  <c r="O52" i="1" s="1"/>
  <c r="L52" i="1"/>
  <c r="H52" i="1"/>
  <c r="I52" i="1" s="1"/>
  <c r="F52" i="1"/>
  <c r="C52" i="1"/>
  <c r="AD51" i="1"/>
  <c r="AC51" i="1"/>
  <c r="AA51" i="1"/>
  <c r="W51" i="1"/>
  <c r="U51" i="1"/>
  <c r="R51" i="1"/>
  <c r="N51" i="1"/>
  <c r="O51" i="1" s="1"/>
  <c r="L51" i="1"/>
  <c r="H51" i="1"/>
  <c r="F51" i="1"/>
  <c r="C51" i="1"/>
  <c r="AD50" i="1"/>
  <c r="AC50" i="1"/>
  <c r="AA50" i="1"/>
  <c r="X50" i="1"/>
  <c r="W50" i="1"/>
  <c r="U50" i="1"/>
  <c r="R50" i="1"/>
  <c r="N50" i="1"/>
  <c r="O50" i="1" s="1"/>
  <c r="L50" i="1"/>
  <c r="H50" i="1"/>
  <c r="I50" i="1" s="1"/>
  <c r="F50" i="1"/>
  <c r="C50" i="1"/>
  <c r="AC49" i="1"/>
  <c r="AD49" i="1" s="1"/>
  <c r="AA49" i="1"/>
  <c r="X49" i="1"/>
  <c r="W49" i="1"/>
  <c r="U49" i="1"/>
  <c r="R49" i="1"/>
  <c r="O49" i="1"/>
  <c r="N49" i="1"/>
  <c r="L49" i="1"/>
  <c r="H49" i="1"/>
  <c r="I49" i="1" s="1"/>
  <c r="F49" i="1"/>
  <c r="C49" i="1"/>
  <c r="AD48" i="1"/>
  <c r="AC48" i="1"/>
  <c r="AA48" i="1"/>
  <c r="W48" i="1"/>
  <c r="X48" i="1" s="1"/>
  <c r="U48" i="1"/>
  <c r="R48" i="1"/>
  <c r="N48" i="1"/>
  <c r="O48" i="1" s="1"/>
  <c r="L48" i="1"/>
  <c r="H48" i="1"/>
  <c r="F48" i="1"/>
  <c r="C48" i="1"/>
  <c r="AD47" i="1"/>
  <c r="AC47" i="1"/>
  <c r="AA47" i="1"/>
  <c r="W47" i="1"/>
  <c r="U47" i="1"/>
  <c r="R47" i="1"/>
  <c r="N47" i="1"/>
  <c r="O47" i="1" s="1"/>
  <c r="L47" i="1"/>
  <c r="H47" i="1"/>
  <c r="F47" i="1"/>
  <c r="C47" i="1"/>
  <c r="AC46" i="1"/>
  <c r="AD46" i="1" s="1"/>
  <c r="AA46" i="1"/>
  <c r="X46" i="1"/>
  <c r="W46" i="1"/>
  <c r="U46" i="1"/>
  <c r="R46" i="1"/>
  <c r="O46" i="1"/>
  <c r="N46" i="1"/>
  <c r="L46" i="1"/>
  <c r="H46" i="1"/>
  <c r="I46" i="1" s="1"/>
  <c r="F46" i="1"/>
  <c r="C46" i="1"/>
  <c r="AC44" i="1"/>
  <c r="AD44" i="1" s="1"/>
  <c r="AA44" i="1"/>
  <c r="W44" i="1"/>
  <c r="X44" i="1" s="1"/>
  <c r="U44" i="1"/>
  <c r="R44" i="1"/>
  <c r="O44" i="1"/>
  <c r="N44" i="1"/>
  <c r="L44" i="1"/>
  <c r="H44" i="1"/>
  <c r="F44" i="1"/>
  <c r="C44" i="1"/>
  <c r="AD43" i="1"/>
  <c r="AC43" i="1"/>
  <c r="AA43" i="1"/>
  <c r="X43" i="1"/>
  <c r="W43" i="1"/>
  <c r="U43" i="1"/>
  <c r="R43" i="1"/>
  <c r="N43" i="1"/>
  <c r="O43" i="1" s="1"/>
  <c r="L43" i="1"/>
  <c r="H43" i="1"/>
  <c r="I43" i="1" s="1"/>
  <c r="F43" i="1"/>
  <c r="C43" i="1"/>
  <c r="AC42" i="1"/>
  <c r="AD42" i="1" s="1"/>
  <c r="AA42" i="1"/>
  <c r="W42" i="1"/>
  <c r="U42" i="1"/>
  <c r="R42" i="1"/>
  <c r="O42" i="1"/>
  <c r="N42" i="1"/>
  <c r="L42" i="1"/>
  <c r="I42" i="1"/>
  <c r="H42" i="1"/>
  <c r="F42" i="1"/>
  <c r="C42" i="1"/>
  <c r="AC40" i="1"/>
  <c r="AD40" i="1" s="1"/>
  <c r="AA40" i="1"/>
  <c r="Z40" i="1"/>
  <c r="T40" i="1"/>
  <c r="U40" i="1" s="1"/>
  <c r="R40" i="1"/>
  <c r="Q40" i="1"/>
  <c r="N40" i="1"/>
  <c r="O40" i="1" s="1"/>
  <c r="L40" i="1"/>
  <c r="K40" i="1"/>
  <c r="E40" i="1"/>
  <c r="F40" i="1" s="1"/>
  <c r="B40" i="1"/>
  <c r="H40" i="1" s="1"/>
  <c r="I40" i="1" s="1"/>
  <c r="AD39" i="1"/>
  <c r="AC39" i="1"/>
  <c r="AA39" i="1"/>
  <c r="W39" i="1"/>
  <c r="X39" i="1" s="1"/>
  <c r="U39" i="1"/>
  <c r="R39" i="1"/>
  <c r="N39" i="1"/>
  <c r="O39" i="1" s="1"/>
  <c r="L39" i="1"/>
  <c r="H39" i="1"/>
  <c r="F39" i="1"/>
  <c r="C39" i="1"/>
  <c r="AD38" i="1"/>
  <c r="AC38" i="1"/>
  <c r="AA38" i="1"/>
  <c r="W38" i="1"/>
  <c r="U38" i="1"/>
  <c r="R38" i="1"/>
  <c r="N38" i="1"/>
  <c r="O38" i="1" s="1"/>
  <c r="L38" i="1"/>
  <c r="H38" i="1"/>
  <c r="F38" i="1"/>
  <c r="C38" i="1"/>
  <c r="AC37" i="1"/>
  <c r="AD37" i="1" s="1"/>
  <c r="AA37" i="1"/>
  <c r="X37" i="1"/>
  <c r="W37" i="1"/>
  <c r="U37" i="1"/>
  <c r="R37" i="1"/>
  <c r="O37" i="1"/>
  <c r="N37" i="1"/>
  <c r="L37" i="1"/>
  <c r="H37" i="1"/>
  <c r="I37" i="1" s="1"/>
  <c r="F37" i="1"/>
  <c r="C37" i="1"/>
  <c r="AC36" i="1"/>
  <c r="AD36" i="1" s="1"/>
  <c r="AA36" i="1"/>
  <c r="W36" i="1"/>
  <c r="X36" i="1" s="1"/>
  <c r="U36" i="1"/>
  <c r="R36" i="1"/>
  <c r="O36" i="1"/>
  <c r="N36" i="1"/>
  <c r="L36" i="1"/>
  <c r="H36" i="1"/>
  <c r="F36" i="1"/>
  <c r="C36" i="1"/>
  <c r="AD35" i="1"/>
  <c r="AC35" i="1"/>
  <c r="AA35" i="1"/>
  <c r="X35" i="1"/>
  <c r="W35" i="1"/>
  <c r="U35" i="1"/>
  <c r="R35" i="1"/>
  <c r="N35" i="1"/>
  <c r="O35" i="1" s="1"/>
  <c r="L35" i="1"/>
  <c r="H35" i="1"/>
  <c r="I35" i="1" s="1"/>
  <c r="F35" i="1"/>
  <c r="C35" i="1"/>
  <c r="AC34" i="1"/>
  <c r="AD34" i="1" s="1"/>
  <c r="AA34" i="1"/>
  <c r="W34" i="1"/>
  <c r="U34" i="1"/>
  <c r="R34" i="1"/>
  <c r="O34" i="1"/>
  <c r="N34" i="1"/>
  <c r="L34" i="1"/>
  <c r="I34" i="1"/>
  <c r="H34" i="1"/>
  <c r="F34" i="1"/>
  <c r="C34" i="1"/>
  <c r="AC33" i="1"/>
  <c r="AD33" i="1" s="1"/>
  <c r="AA33" i="1"/>
  <c r="W33" i="1"/>
  <c r="X33" i="1" s="1"/>
  <c r="U33" i="1"/>
  <c r="R33" i="1"/>
  <c r="N33" i="1"/>
  <c r="O33" i="1" s="1"/>
  <c r="L33" i="1"/>
  <c r="H33" i="1"/>
  <c r="F33" i="1"/>
  <c r="C33" i="1"/>
  <c r="AC32" i="1"/>
  <c r="AD32" i="1" s="1"/>
  <c r="AA32" i="1"/>
  <c r="W32" i="1"/>
  <c r="X32" i="1" s="1"/>
  <c r="U32" i="1"/>
  <c r="R32" i="1"/>
  <c r="O32" i="1"/>
  <c r="N32" i="1"/>
  <c r="L32" i="1"/>
  <c r="H32" i="1"/>
  <c r="I32" i="1" s="1"/>
  <c r="F32" i="1"/>
  <c r="C32" i="1"/>
  <c r="AD31" i="1"/>
  <c r="AC31" i="1"/>
  <c r="AA31" i="1"/>
  <c r="X31" i="1"/>
  <c r="W31" i="1"/>
  <c r="U31" i="1"/>
  <c r="R31" i="1"/>
  <c r="O31" i="1"/>
  <c r="N31" i="1"/>
  <c r="L31" i="1"/>
  <c r="H31" i="1"/>
  <c r="I31" i="1" s="1"/>
  <c r="F31" i="1"/>
  <c r="C31" i="1"/>
  <c r="AC29" i="1"/>
  <c r="AD29" i="1" s="1"/>
  <c r="AA29" i="1"/>
  <c r="Z29" i="1"/>
  <c r="T29" i="1"/>
  <c r="U29" i="1" s="1"/>
  <c r="Q29" i="1"/>
  <c r="W29" i="1" s="1"/>
  <c r="X29" i="1" s="1"/>
  <c r="O29" i="1"/>
  <c r="K29" i="1"/>
  <c r="L29" i="1" s="1"/>
  <c r="E29" i="1"/>
  <c r="H29" i="1" s="1"/>
  <c r="I29" i="1" s="1"/>
  <c r="C29" i="1"/>
  <c r="B29" i="1"/>
  <c r="N29" i="1" s="1"/>
  <c r="AC28" i="1"/>
  <c r="AD28" i="1" s="1"/>
  <c r="AA28" i="1"/>
  <c r="W28" i="1"/>
  <c r="X28" i="1" s="1"/>
  <c r="U28" i="1"/>
  <c r="R28" i="1"/>
  <c r="O28" i="1"/>
  <c r="N28" i="1"/>
  <c r="L28" i="1"/>
  <c r="H28" i="1"/>
  <c r="F28" i="1"/>
  <c r="C28" i="1"/>
  <c r="AD27" i="1"/>
  <c r="AC27" i="1"/>
  <c r="AA27" i="1"/>
  <c r="X27" i="1"/>
  <c r="W27" i="1"/>
  <c r="U27" i="1"/>
  <c r="R27" i="1"/>
  <c r="N27" i="1"/>
  <c r="O27" i="1" s="1"/>
  <c r="L27" i="1"/>
  <c r="H27" i="1"/>
  <c r="I27" i="1" s="1"/>
  <c r="F27" i="1"/>
  <c r="C27" i="1"/>
  <c r="AC26" i="1"/>
  <c r="AD26" i="1" s="1"/>
  <c r="AA26" i="1"/>
  <c r="W26" i="1"/>
  <c r="U26" i="1"/>
  <c r="R26" i="1"/>
  <c r="O26" i="1"/>
  <c r="N26" i="1"/>
  <c r="L26" i="1"/>
  <c r="I26" i="1"/>
  <c r="H26" i="1"/>
  <c r="F26" i="1"/>
  <c r="C26" i="1"/>
  <c r="AC25" i="1"/>
  <c r="AD25" i="1" s="1"/>
  <c r="AA25" i="1"/>
  <c r="W25" i="1"/>
  <c r="X25" i="1" s="1"/>
  <c r="U25" i="1"/>
  <c r="R25" i="1"/>
  <c r="N25" i="1"/>
  <c r="O25" i="1" s="1"/>
  <c r="L25" i="1"/>
  <c r="H25" i="1"/>
  <c r="F25" i="1"/>
  <c r="C25" i="1"/>
  <c r="AC24" i="1"/>
  <c r="AD24" i="1" s="1"/>
  <c r="AA24" i="1"/>
  <c r="W24" i="1"/>
  <c r="X24" i="1" s="1"/>
  <c r="U24" i="1"/>
  <c r="R24" i="1"/>
  <c r="O24" i="1"/>
  <c r="N24" i="1"/>
  <c r="L24" i="1"/>
  <c r="H24" i="1"/>
  <c r="I24" i="1" s="1"/>
  <c r="F24" i="1"/>
  <c r="C24" i="1"/>
  <c r="AC23" i="1"/>
  <c r="AD23" i="1" s="1"/>
  <c r="AA23" i="1"/>
  <c r="X23" i="1"/>
  <c r="W23" i="1"/>
  <c r="U23" i="1"/>
  <c r="R23" i="1"/>
  <c r="O23" i="1"/>
  <c r="N23" i="1"/>
  <c r="L23" i="1"/>
  <c r="H23" i="1"/>
  <c r="I23" i="1" s="1"/>
  <c r="F23" i="1"/>
  <c r="C23" i="1"/>
  <c r="AC22" i="1"/>
  <c r="AD22" i="1" s="1"/>
  <c r="AA22" i="1"/>
  <c r="W22" i="1"/>
  <c r="U22" i="1"/>
  <c r="R22" i="1"/>
  <c r="N22" i="1"/>
  <c r="O22" i="1" s="1"/>
  <c r="L22" i="1"/>
  <c r="H22" i="1"/>
  <c r="F22" i="1"/>
  <c r="C22" i="1"/>
  <c r="AD21" i="1"/>
  <c r="AC21" i="1"/>
  <c r="AA21" i="1"/>
  <c r="X21" i="1"/>
  <c r="W21" i="1"/>
  <c r="U21" i="1"/>
  <c r="R21" i="1"/>
  <c r="N21" i="1"/>
  <c r="O21" i="1" s="1"/>
  <c r="L21" i="1"/>
  <c r="H21" i="1"/>
  <c r="I21" i="1" s="1"/>
  <c r="F21" i="1"/>
  <c r="C21" i="1"/>
  <c r="AC19" i="1"/>
  <c r="AD19" i="1" s="1"/>
  <c r="AA19" i="1"/>
  <c r="X19" i="1"/>
  <c r="W19" i="1"/>
  <c r="U19" i="1"/>
  <c r="R19" i="1"/>
  <c r="O19" i="1"/>
  <c r="N19" i="1"/>
  <c r="L19" i="1"/>
  <c r="H19" i="1"/>
  <c r="I19" i="1" s="1"/>
  <c r="F19" i="1"/>
  <c r="C19" i="1"/>
  <c r="Z18" i="1"/>
  <c r="AA18" i="1" s="1"/>
  <c r="T18" i="1"/>
  <c r="W18" i="1" s="1"/>
  <c r="X18" i="1" s="1"/>
  <c r="R18" i="1"/>
  <c r="Q18" i="1"/>
  <c r="AC18" i="1" s="1"/>
  <c r="AD18" i="1" s="1"/>
  <c r="K18" i="1"/>
  <c r="L18" i="1" s="1"/>
  <c r="H18" i="1"/>
  <c r="I18" i="1" s="1"/>
  <c r="F18" i="1"/>
  <c r="E18" i="1"/>
  <c r="B18" i="1"/>
  <c r="N18" i="1" s="1"/>
  <c r="O18" i="1" s="1"/>
  <c r="AC17" i="1"/>
  <c r="AD17" i="1" s="1"/>
  <c r="AA17" i="1"/>
  <c r="W17" i="1"/>
  <c r="X17" i="1" s="1"/>
  <c r="U17" i="1"/>
  <c r="R17" i="1"/>
  <c r="N17" i="1"/>
  <c r="O17" i="1" s="1"/>
  <c r="L17" i="1"/>
  <c r="H17" i="1"/>
  <c r="I17" i="1" s="1"/>
  <c r="F17" i="1"/>
  <c r="C17" i="1"/>
  <c r="AC16" i="1"/>
  <c r="AD16" i="1" s="1"/>
  <c r="AA16" i="1"/>
  <c r="X16" i="1"/>
  <c r="W16" i="1"/>
  <c r="U16" i="1"/>
  <c r="R16" i="1"/>
  <c r="O16" i="1"/>
  <c r="N16" i="1"/>
  <c r="L16" i="1"/>
  <c r="H16" i="1"/>
  <c r="I16" i="1" s="1"/>
  <c r="F16" i="1"/>
  <c r="C16" i="1"/>
  <c r="AD15" i="1"/>
  <c r="AC15" i="1"/>
  <c r="AA15" i="1"/>
  <c r="W15" i="1"/>
  <c r="X15" i="1" s="1"/>
  <c r="U15" i="1"/>
  <c r="R15" i="1"/>
  <c r="N15" i="1"/>
  <c r="O15" i="1" s="1"/>
  <c r="L15" i="1"/>
  <c r="H15" i="1"/>
  <c r="I15" i="1" s="1"/>
  <c r="F15" i="1"/>
  <c r="C15" i="1"/>
  <c r="AC14" i="1"/>
  <c r="AD14" i="1" s="1"/>
  <c r="AA14" i="1"/>
  <c r="W14" i="1"/>
  <c r="U14" i="1"/>
  <c r="R14" i="1"/>
  <c r="O14" i="1"/>
  <c r="N14" i="1"/>
  <c r="L14" i="1"/>
  <c r="I14" i="1"/>
  <c r="H14" i="1"/>
  <c r="F14" i="1"/>
  <c r="C14" i="1"/>
  <c r="AC13" i="1"/>
  <c r="AD13" i="1" s="1"/>
  <c r="AA13" i="1"/>
  <c r="W13" i="1"/>
  <c r="X13" i="1" s="1"/>
  <c r="U13" i="1"/>
  <c r="R13" i="1"/>
  <c r="N13" i="1"/>
  <c r="O13" i="1" s="1"/>
  <c r="L13" i="1"/>
  <c r="H13" i="1"/>
  <c r="I13" i="1" s="1"/>
  <c r="F13" i="1"/>
  <c r="C13" i="1"/>
  <c r="AC12" i="1"/>
  <c r="AD12" i="1" s="1"/>
  <c r="AA12" i="1"/>
  <c r="X12" i="1"/>
  <c r="W12" i="1"/>
  <c r="U12" i="1"/>
  <c r="R12" i="1"/>
  <c r="O12" i="1"/>
  <c r="N12" i="1"/>
  <c r="L12" i="1"/>
  <c r="H12" i="1"/>
  <c r="I12" i="1" s="1"/>
  <c r="F12" i="1"/>
  <c r="C12" i="1"/>
  <c r="AD11" i="1"/>
  <c r="AC11" i="1"/>
  <c r="AA11" i="1"/>
  <c r="W11" i="1"/>
  <c r="X11" i="1" s="1"/>
  <c r="U11" i="1"/>
  <c r="R11" i="1"/>
  <c r="N11" i="1"/>
  <c r="O11" i="1" s="1"/>
  <c r="L11" i="1"/>
  <c r="H11" i="1"/>
  <c r="I11" i="1" s="1"/>
  <c r="F11" i="1"/>
  <c r="C11" i="1"/>
  <c r="AC10" i="1"/>
  <c r="AD10" i="1" s="1"/>
  <c r="AA10" i="1"/>
  <c r="W10" i="1"/>
  <c r="U10" i="1"/>
  <c r="R10" i="1"/>
  <c r="O10" i="1"/>
  <c r="N10" i="1"/>
  <c r="L10" i="1"/>
  <c r="I10" i="1"/>
  <c r="H10" i="1"/>
  <c r="F10" i="1"/>
  <c r="C10" i="1"/>
  <c r="AC8" i="1"/>
  <c r="AD8" i="1" s="1"/>
  <c r="AA8" i="1"/>
  <c r="W8" i="1"/>
  <c r="X8" i="1" s="1"/>
  <c r="U8" i="1"/>
  <c r="R8" i="1"/>
  <c r="N8" i="1"/>
  <c r="O8" i="1" s="1"/>
  <c r="L8" i="1"/>
  <c r="H8" i="1"/>
  <c r="I8" i="1" s="1"/>
  <c r="F8" i="1"/>
  <c r="C8" i="1"/>
  <c r="U198" i="1" l="1"/>
  <c r="T345" i="1"/>
  <c r="AA198" i="1"/>
  <c r="Z345" i="1"/>
  <c r="H172" i="1"/>
  <c r="I172" i="1" s="1"/>
  <c r="H73" i="3"/>
  <c r="I73" i="3" s="1"/>
  <c r="N73" i="3"/>
  <c r="O73" i="3" s="1"/>
  <c r="U172" i="1"/>
  <c r="AC393" i="1"/>
  <c r="AD393" i="1" s="1"/>
  <c r="H40" i="2"/>
  <c r="I40" i="2" s="1"/>
  <c r="W141" i="2"/>
  <c r="X141" i="2" s="1"/>
  <c r="U141" i="2"/>
  <c r="W197" i="2"/>
  <c r="X197" i="2" s="1"/>
  <c r="R197" i="2"/>
  <c r="Q198" i="1"/>
  <c r="R172" i="1"/>
  <c r="H209" i="2"/>
  <c r="I209" i="2" s="1"/>
  <c r="F209" i="2"/>
  <c r="AC62" i="2"/>
  <c r="AD62" i="2" s="1"/>
  <c r="H122" i="2"/>
  <c r="I122" i="2" s="1"/>
  <c r="C122" i="2"/>
  <c r="U18" i="1"/>
  <c r="R29" i="1"/>
  <c r="I38" i="1"/>
  <c r="C40" i="1"/>
  <c r="W40" i="1"/>
  <c r="X40" i="1" s="1"/>
  <c r="I47" i="1"/>
  <c r="R61" i="1"/>
  <c r="I87" i="1"/>
  <c r="I95" i="1"/>
  <c r="I110" i="1"/>
  <c r="C122" i="1"/>
  <c r="H124" i="1"/>
  <c r="I124" i="1" s="1"/>
  <c r="U124" i="1"/>
  <c r="I134" i="1"/>
  <c r="AC141" i="1"/>
  <c r="AD141" i="1" s="1"/>
  <c r="H148" i="1"/>
  <c r="I148" i="1" s="1"/>
  <c r="H149" i="1"/>
  <c r="I149" i="1" s="1"/>
  <c r="U149" i="1"/>
  <c r="H158" i="1"/>
  <c r="I158" i="1" s="1"/>
  <c r="U158" i="1"/>
  <c r="H166" i="1"/>
  <c r="I166" i="1" s="1"/>
  <c r="U166" i="1"/>
  <c r="W170" i="1"/>
  <c r="X170" i="1" s="1"/>
  <c r="F171" i="1"/>
  <c r="U171" i="1"/>
  <c r="E172" i="1"/>
  <c r="W172" i="1"/>
  <c r="X172" i="1" s="1"/>
  <c r="W182" i="1"/>
  <c r="X182" i="1" s="1"/>
  <c r="H193" i="1"/>
  <c r="I193" i="1" s="1"/>
  <c r="U193" i="1"/>
  <c r="AC196" i="1"/>
  <c r="AD196" i="1" s="1"/>
  <c r="N209" i="1"/>
  <c r="O209" i="1" s="1"/>
  <c r="AC209" i="1"/>
  <c r="AD209" i="1" s="1"/>
  <c r="N218" i="1"/>
  <c r="O218" i="1" s="1"/>
  <c r="AC218" i="1"/>
  <c r="AD218" i="1" s="1"/>
  <c r="W227" i="1"/>
  <c r="X227" i="1" s="1"/>
  <c r="AC236" i="1"/>
  <c r="AD236" i="1" s="1"/>
  <c r="I249" i="1"/>
  <c r="AA262" i="1"/>
  <c r="I272" i="1"/>
  <c r="I280" i="1"/>
  <c r="L284" i="1"/>
  <c r="I288" i="1"/>
  <c r="I311" i="1"/>
  <c r="AC324" i="1"/>
  <c r="AD324" i="1" s="1"/>
  <c r="AC325" i="1"/>
  <c r="AD325" i="1" s="1"/>
  <c r="R342" i="1"/>
  <c r="C344" i="1"/>
  <c r="W344" i="1"/>
  <c r="X344" i="1" s="1"/>
  <c r="I351" i="1"/>
  <c r="AC358" i="1"/>
  <c r="AD358" i="1" s="1"/>
  <c r="H368" i="1"/>
  <c r="I368" i="1" s="1"/>
  <c r="I392" i="1"/>
  <c r="N396" i="1"/>
  <c r="O396" i="1" s="1"/>
  <c r="I400" i="1"/>
  <c r="AC403" i="1"/>
  <c r="AD403" i="1" s="1"/>
  <c r="I412" i="1"/>
  <c r="H429" i="1"/>
  <c r="I429" i="1" s="1"/>
  <c r="I432" i="1"/>
  <c r="K172" i="2"/>
  <c r="L124" i="2"/>
  <c r="Z198" i="2"/>
  <c r="AA172" i="2"/>
  <c r="H236" i="2"/>
  <c r="I236" i="2" s="1"/>
  <c r="C236" i="2"/>
  <c r="C73" i="3"/>
  <c r="W124" i="1"/>
  <c r="X124" i="1" s="1"/>
  <c r="N141" i="1"/>
  <c r="O141" i="1" s="1"/>
  <c r="B198" i="1"/>
  <c r="H267" i="1"/>
  <c r="I267" i="1" s="1"/>
  <c r="N325" i="1"/>
  <c r="O325" i="1" s="1"/>
  <c r="W61" i="2"/>
  <c r="X61" i="2" s="1"/>
  <c r="H170" i="2"/>
  <c r="I170" i="2" s="1"/>
  <c r="C170" i="2"/>
  <c r="T172" i="2"/>
  <c r="W171" i="2"/>
  <c r="X171" i="2" s="1"/>
  <c r="U171" i="2"/>
  <c r="W209" i="2"/>
  <c r="X209" i="2" s="1"/>
  <c r="R209" i="2"/>
  <c r="K172" i="1"/>
  <c r="L182" i="1"/>
  <c r="C209" i="1"/>
  <c r="C218" i="1"/>
  <c r="C324" i="1"/>
  <c r="R325" i="1"/>
  <c r="H342" i="1"/>
  <c r="I342" i="1" s="1"/>
  <c r="H343" i="1"/>
  <c r="I343" i="1" s="1"/>
  <c r="U343" i="1"/>
  <c r="R396" i="1"/>
  <c r="N428" i="1"/>
  <c r="O428" i="1" s="1"/>
  <c r="W429" i="1"/>
  <c r="X429" i="1" s="1"/>
  <c r="H442" i="1"/>
  <c r="I442" i="1" s="1"/>
  <c r="H148" i="2"/>
  <c r="I148" i="2" s="1"/>
  <c r="F148" i="2"/>
  <c r="H273" i="2"/>
  <c r="I273" i="2" s="1"/>
  <c r="F273" i="2"/>
  <c r="W295" i="3"/>
  <c r="X295" i="3" s="1"/>
  <c r="AC295" i="3"/>
  <c r="AD295" i="3" s="1"/>
  <c r="R295" i="3"/>
  <c r="F29" i="1"/>
  <c r="H61" i="1"/>
  <c r="I61" i="1" s="1"/>
  <c r="AA148" i="1"/>
  <c r="N122" i="2"/>
  <c r="O122" i="2" s="1"/>
  <c r="AC197" i="2"/>
  <c r="AD197" i="2" s="1"/>
  <c r="H218" i="2"/>
  <c r="I218" i="2" s="1"/>
  <c r="F218" i="2"/>
  <c r="H262" i="2"/>
  <c r="I262" i="2" s="1"/>
  <c r="F262" i="2"/>
  <c r="C40" i="3"/>
  <c r="H40" i="3"/>
  <c r="I40" i="3" s="1"/>
  <c r="N40" i="3"/>
  <c r="O40" i="3" s="1"/>
  <c r="R73" i="3"/>
  <c r="W73" i="3"/>
  <c r="X73" i="3" s="1"/>
  <c r="AC73" i="3"/>
  <c r="AD73" i="3" s="1"/>
  <c r="N88" i="3"/>
  <c r="O88" i="3" s="1"/>
  <c r="C61" i="1"/>
  <c r="R73" i="1"/>
  <c r="R442" i="1"/>
  <c r="N18" i="2"/>
  <c r="O18" i="2" s="1"/>
  <c r="W73" i="1"/>
  <c r="X73" i="1" s="1"/>
  <c r="H118" i="1"/>
  <c r="I118" i="1" s="1"/>
  <c r="W122" i="1"/>
  <c r="X122" i="1" s="1"/>
  <c r="L227" i="1"/>
  <c r="W118" i="1"/>
  <c r="X118" i="1" s="1"/>
  <c r="AA172" i="1"/>
  <c r="R209" i="1"/>
  <c r="R218" i="1"/>
  <c r="AC263" i="1"/>
  <c r="AD263" i="1" s="1"/>
  <c r="I372" i="1"/>
  <c r="I397" i="1"/>
  <c r="I416" i="1"/>
  <c r="I436" i="1"/>
  <c r="W441" i="1"/>
  <c r="X441" i="1" s="1"/>
  <c r="AC442" i="1"/>
  <c r="AD442" i="1" s="1"/>
  <c r="X437" i="1"/>
  <c r="X433" i="1"/>
  <c r="X425" i="1"/>
  <c r="X421" i="1"/>
  <c r="X417" i="1"/>
  <c r="X413" i="1"/>
  <c r="X409" i="1"/>
  <c r="X401" i="1"/>
  <c r="X397" i="1"/>
  <c r="X394" i="1"/>
  <c r="X391" i="1"/>
  <c r="X386" i="1"/>
  <c r="X381" i="1"/>
  <c r="X377" i="1"/>
  <c r="X373" i="1"/>
  <c r="X369" i="1"/>
  <c r="X366" i="1"/>
  <c r="X362" i="1"/>
  <c r="X354" i="1"/>
  <c r="X350" i="1"/>
  <c r="X340" i="1"/>
  <c r="X335" i="1"/>
  <c r="X331" i="1"/>
  <c r="X323" i="1"/>
  <c r="X319" i="1"/>
  <c r="X315" i="1"/>
  <c r="X311" i="1"/>
  <c r="X307" i="1"/>
  <c r="X303" i="1"/>
  <c r="X299" i="1"/>
  <c r="X291" i="1"/>
  <c r="X287" i="1"/>
  <c r="X283" i="1"/>
  <c r="X279" i="1"/>
  <c r="X275" i="1"/>
  <c r="X271" i="1"/>
  <c r="X260" i="1"/>
  <c r="X256" i="1"/>
  <c r="X252" i="1"/>
  <c r="X248" i="1"/>
  <c r="X244" i="1"/>
  <c r="X240" i="1"/>
  <c r="X235" i="1"/>
  <c r="X231" i="1"/>
  <c r="X223" i="1"/>
  <c r="X219" i="1"/>
  <c r="X216" i="1"/>
  <c r="X211" i="1"/>
  <c r="X207" i="1"/>
  <c r="X203" i="1"/>
  <c r="X189" i="1"/>
  <c r="X184" i="1"/>
  <c r="X181" i="1"/>
  <c r="X177" i="1"/>
  <c r="X169" i="1"/>
  <c r="X162" i="1"/>
  <c r="X154" i="1"/>
  <c r="X146" i="1"/>
  <c r="X138" i="1"/>
  <c r="X134" i="1"/>
  <c r="X130" i="1"/>
  <c r="X121" i="1"/>
  <c r="X114" i="1"/>
  <c r="X110" i="1"/>
  <c r="X106" i="1"/>
  <c r="X102" i="1"/>
  <c r="X98" i="1"/>
  <c r="X94" i="1"/>
  <c r="X89" i="1"/>
  <c r="X86" i="1"/>
  <c r="X82" i="1"/>
  <c r="X78" i="1"/>
  <c r="X70" i="1"/>
  <c r="X66" i="1"/>
  <c r="X59" i="1"/>
  <c r="X55" i="1"/>
  <c r="X51" i="1"/>
  <c r="X47" i="1"/>
  <c r="X42" i="1"/>
  <c r="X38" i="1"/>
  <c r="X34" i="1"/>
  <c r="X26" i="1"/>
  <c r="C18" i="1"/>
  <c r="X22" i="1"/>
  <c r="I39" i="1"/>
  <c r="I48" i="1"/>
  <c r="I86" i="1"/>
  <c r="W88" i="1"/>
  <c r="X88" i="1" s="1"/>
  <c r="I94" i="1"/>
  <c r="I111" i="1"/>
  <c r="N124" i="1"/>
  <c r="O124" i="1" s="1"/>
  <c r="I135" i="1"/>
  <c r="F141" i="1"/>
  <c r="I143" i="1"/>
  <c r="N149" i="1"/>
  <c r="O149" i="1" s="1"/>
  <c r="N158" i="1"/>
  <c r="O158" i="1" s="1"/>
  <c r="N166" i="1"/>
  <c r="O166" i="1" s="1"/>
  <c r="AC170" i="1"/>
  <c r="AD170" i="1" s="1"/>
  <c r="N172" i="1"/>
  <c r="O172" i="1" s="1"/>
  <c r="AC172" i="1"/>
  <c r="AD172" i="1" s="1"/>
  <c r="AC182" i="1"/>
  <c r="AD182" i="1" s="1"/>
  <c r="N193" i="1"/>
  <c r="O193" i="1" s="1"/>
  <c r="W196" i="1"/>
  <c r="X196" i="1" s="1"/>
  <c r="AC227" i="1"/>
  <c r="AD227" i="1" s="1"/>
  <c r="W236" i="1"/>
  <c r="X236" i="1" s="1"/>
  <c r="I248" i="1"/>
  <c r="R262" i="1"/>
  <c r="I271" i="1"/>
  <c r="W273" i="1"/>
  <c r="X273" i="1" s="1"/>
  <c r="I279" i="1"/>
  <c r="C284" i="1"/>
  <c r="I287" i="1"/>
  <c r="I312" i="1"/>
  <c r="W324" i="1"/>
  <c r="X324" i="1" s="1"/>
  <c r="F325" i="1"/>
  <c r="I328" i="1"/>
  <c r="I350" i="1"/>
  <c r="I355" i="1"/>
  <c r="H358" i="1"/>
  <c r="I358" i="1" s="1"/>
  <c r="I362" i="1"/>
  <c r="X364" i="1"/>
  <c r="W368" i="1"/>
  <c r="X368" i="1" s="1"/>
  <c r="I374" i="1"/>
  <c r="I377" i="1"/>
  <c r="X379" i="1"/>
  <c r="I385" i="1"/>
  <c r="I394" i="1"/>
  <c r="R403" i="1"/>
  <c r="I418" i="1"/>
  <c r="I421" i="1"/>
  <c r="X423" i="1"/>
  <c r="W428" i="1"/>
  <c r="X428" i="1" s="1"/>
  <c r="I438" i="1"/>
  <c r="H441" i="1"/>
  <c r="I441" i="1" s="1"/>
  <c r="W18" i="2"/>
  <c r="X18" i="2" s="1"/>
  <c r="N40" i="2"/>
  <c r="O40" i="2" s="1"/>
  <c r="W40" i="2"/>
  <c r="X40" i="2" s="1"/>
  <c r="H61" i="2"/>
  <c r="I61" i="2" s="1"/>
  <c r="AC61" i="2"/>
  <c r="AD61" i="2" s="1"/>
  <c r="B198" i="2"/>
  <c r="C172" i="2"/>
  <c r="H197" i="2"/>
  <c r="I197" i="2" s="1"/>
  <c r="F197" i="2"/>
  <c r="N236" i="2"/>
  <c r="O236" i="2" s="1"/>
  <c r="AD433" i="2"/>
  <c r="AD417" i="2"/>
  <c r="AD407" i="2"/>
  <c r="AD399" i="2"/>
  <c r="AD385" i="2"/>
  <c r="AD369" i="2"/>
  <c r="AD366" i="2"/>
  <c r="AD354" i="2"/>
  <c r="AD331" i="2"/>
  <c r="AD305" i="2"/>
  <c r="AD302" i="2"/>
  <c r="AD436" i="2"/>
  <c r="AD420" i="2"/>
  <c r="AD397" i="2"/>
  <c r="AD394" i="2"/>
  <c r="AD391" i="2"/>
  <c r="AD372" i="2"/>
  <c r="AD357" i="2"/>
  <c r="AD334" i="2"/>
  <c r="AD318" i="2"/>
  <c r="AD425" i="2"/>
  <c r="AD408" i="2"/>
  <c r="AD403" i="2"/>
  <c r="AD400" i="2"/>
  <c r="AD377" i="2"/>
  <c r="AD340" i="2"/>
  <c r="AD323" i="2"/>
  <c r="AD413" i="2"/>
  <c r="AD380" i="2"/>
  <c r="AD362" i="2"/>
  <c r="AD350" i="2"/>
  <c r="AD439" i="2"/>
  <c r="AD432" i="2"/>
  <c r="AD423" i="2"/>
  <c r="AD416" i="2"/>
  <c r="AD386" i="2"/>
  <c r="AD375" i="2"/>
  <c r="AD365" i="2"/>
  <c r="AD353" i="2"/>
  <c r="AD338" i="2"/>
  <c r="AD330" i="2"/>
  <c r="AD321" i="2"/>
  <c r="AD313" i="2"/>
  <c r="AD310" i="2"/>
  <c r="AD297" i="2"/>
  <c r="AD291" i="2"/>
  <c r="AD437" i="2"/>
  <c r="AD421" i="2"/>
  <c r="AD390" i="2"/>
  <c r="AD373" i="2"/>
  <c r="AD335" i="2"/>
  <c r="AD319" i="2"/>
  <c r="R236" i="3"/>
  <c r="AC236" i="3"/>
  <c r="AD236" i="3" s="1"/>
  <c r="W236" i="3"/>
  <c r="X236" i="3" s="1"/>
  <c r="W218" i="2"/>
  <c r="X218" i="2" s="1"/>
  <c r="R218" i="2"/>
  <c r="W262" i="2"/>
  <c r="X262" i="2" s="1"/>
  <c r="R262" i="2"/>
  <c r="H284" i="2"/>
  <c r="I284" i="2" s="1"/>
  <c r="C284" i="2"/>
  <c r="C172" i="1"/>
  <c r="C342" i="1"/>
  <c r="H62" i="1"/>
  <c r="I62" i="1" s="1"/>
  <c r="U62" i="1"/>
  <c r="R141" i="1"/>
  <c r="L170" i="1"/>
  <c r="R197" i="1"/>
  <c r="C236" i="1"/>
  <c r="AC295" i="1"/>
  <c r="AD295" i="1" s="1"/>
  <c r="I341" i="1"/>
  <c r="W358" i="1"/>
  <c r="X358" i="1" s="1"/>
  <c r="R393" i="1"/>
  <c r="I409" i="1"/>
  <c r="C18" i="2"/>
  <c r="X10" i="1"/>
  <c r="X14" i="1"/>
  <c r="I22" i="1"/>
  <c r="I25" i="1"/>
  <c r="I28" i="1"/>
  <c r="I33" i="1"/>
  <c r="I36" i="1"/>
  <c r="I44" i="1"/>
  <c r="I51" i="1"/>
  <c r="X56" i="1"/>
  <c r="AC61" i="1"/>
  <c r="AD61" i="1" s="1"/>
  <c r="I66" i="1"/>
  <c r="X71" i="1"/>
  <c r="X79" i="1"/>
  <c r="X85" i="1"/>
  <c r="X92" i="1"/>
  <c r="X96" i="1"/>
  <c r="I99" i="1"/>
  <c r="I105" i="1"/>
  <c r="I108" i="1"/>
  <c r="I114" i="1"/>
  <c r="I121" i="1"/>
  <c r="N122" i="1"/>
  <c r="O122" i="1" s="1"/>
  <c r="AC124" i="1"/>
  <c r="AD124" i="1" s="1"/>
  <c r="I129" i="1"/>
  <c r="I132" i="1"/>
  <c r="I138" i="1"/>
  <c r="I146" i="1"/>
  <c r="W148" i="1"/>
  <c r="X148" i="1" s="1"/>
  <c r="AC149" i="1"/>
  <c r="AD149" i="1" s="1"/>
  <c r="I153" i="1"/>
  <c r="I156" i="1"/>
  <c r="AC158" i="1"/>
  <c r="AD158" i="1" s="1"/>
  <c r="I161" i="1"/>
  <c r="I164" i="1"/>
  <c r="AC166" i="1"/>
  <c r="AD166" i="1" s="1"/>
  <c r="I168" i="1"/>
  <c r="H170" i="1"/>
  <c r="I170" i="1" s="1"/>
  <c r="N171" i="1"/>
  <c r="O171" i="1" s="1"/>
  <c r="I180" i="1"/>
  <c r="H182" i="1"/>
  <c r="I182" i="1" s="1"/>
  <c r="I188" i="1"/>
  <c r="I191" i="1"/>
  <c r="AC193" i="1"/>
  <c r="AD193" i="1" s="1"/>
  <c r="I195" i="1"/>
  <c r="I203" i="1"/>
  <c r="X208" i="1"/>
  <c r="I211" i="1"/>
  <c r="X217" i="1"/>
  <c r="I219" i="1"/>
  <c r="X224" i="1"/>
  <c r="X232" i="1"/>
  <c r="X241" i="1"/>
  <c r="X247" i="1"/>
  <c r="X250" i="1"/>
  <c r="I253" i="1"/>
  <c r="I259" i="1"/>
  <c r="X265" i="1"/>
  <c r="N267" i="1"/>
  <c r="O267" i="1" s="1"/>
  <c r="X270" i="1"/>
  <c r="X278" i="1"/>
  <c r="X281" i="1"/>
  <c r="X286" i="1"/>
  <c r="X289" i="1"/>
  <c r="I292" i="1"/>
  <c r="X297" i="1"/>
  <c r="I300" i="1"/>
  <c r="I306" i="1"/>
  <c r="I309" i="1"/>
  <c r="I315" i="1"/>
  <c r="X320" i="1"/>
  <c r="I331" i="1"/>
  <c r="X337" i="1"/>
  <c r="AC342" i="1"/>
  <c r="AD342" i="1" s="1"/>
  <c r="X349" i="1"/>
  <c r="X352" i="1"/>
  <c r="X357" i="1"/>
  <c r="X361" i="1"/>
  <c r="I364" i="1"/>
  <c r="X376" i="1"/>
  <c r="I379" i="1"/>
  <c r="I388" i="1"/>
  <c r="I391" i="1"/>
  <c r="H396" i="1"/>
  <c r="I396" i="1" s="1"/>
  <c r="X398" i="1"/>
  <c r="I408" i="1"/>
  <c r="X410" i="1"/>
  <c r="X420" i="1"/>
  <c r="N429" i="1"/>
  <c r="O429" i="1" s="1"/>
  <c r="AC429" i="1"/>
  <c r="AD429" i="1" s="1"/>
  <c r="X440" i="1"/>
  <c r="N442" i="1"/>
  <c r="O442" i="1" s="1"/>
  <c r="N29" i="2"/>
  <c r="O29" i="2" s="1"/>
  <c r="H62" i="2"/>
  <c r="I62" i="2" s="1"/>
  <c r="C62" i="2"/>
  <c r="W62" i="2"/>
  <c r="X62" i="2" s="1"/>
  <c r="N73" i="2"/>
  <c r="O73" i="2" s="1"/>
  <c r="W148" i="2"/>
  <c r="X148" i="2" s="1"/>
  <c r="R148" i="2"/>
  <c r="N170" i="2"/>
  <c r="O170" i="2" s="1"/>
  <c r="H182" i="2"/>
  <c r="I182" i="2" s="1"/>
  <c r="C182" i="2"/>
  <c r="AC209" i="2"/>
  <c r="AD209" i="2" s="1"/>
  <c r="W273" i="2"/>
  <c r="X273" i="2" s="1"/>
  <c r="R273" i="2"/>
  <c r="AD288" i="2"/>
  <c r="N342" i="2"/>
  <c r="O342" i="2" s="1"/>
  <c r="H343" i="2"/>
  <c r="I343" i="2" s="1"/>
  <c r="R343" i="2"/>
  <c r="W343" i="2"/>
  <c r="X343" i="2" s="1"/>
  <c r="AD392" i="2"/>
  <c r="AD395" i="2"/>
  <c r="AD398" i="2"/>
  <c r="H441" i="2"/>
  <c r="I441" i="2" s="1"/>
  <c r="R441" i="2"/>
  <c r="W441" i="2"/>
  <c r="X441" i="2" s="1"/>
  <c r="AC18" i="3"/>
  <c r="AD18" i="3" s="1"/>
  <c r="W263" i="3"/>
  <c r="X263" i="3" s="1"/>
  <c r="AC263" i="3"/>
  <c r="AD263" i="3" s="1"/>
  <c r="R263" i="3"/>
  <c r="X436" i="3"/>
  <c r="X424" i="3"/>
  <c r="X416" i="3"/>
  <c r="X408" i="3"/>
  <c r="X400" i="3"/>
  <c r="X386" i="3"/>
  <c r="X369" i="3"/>
  <c r="X361" i="3"/>
  <c r="X357" i="3"/>
  <c r="X342" i="3"/>
  <c r="X331" i="3"/>
  <c r="X318" i="3"/>
  <c r="X302" i="3"/>
  <c r="X291" i="3"/>
  <c r="X278" i="3"/>
  <c r="X257" i="3"/>
  <c r="X249" i="3"/>
  <c r="X233" i="3"/>
  <c r="X229" i="3"/>
  <c r="X225" i="3"/>
  <c r="X221" i="3"/>
  <c r="X214" i="3"/>
  <c r="X205" i="3"/>
  <c r="X201" i="3"/>
  <c r="X194" i="3"/>
  <c r="X191" i="3"/>
  <c r="X187" i="3"/>
  <c r="X179" i="3"/>
  <c r="X167" i="3"/>
  <c r="X164" i="3"/>
  <c r="X160" i="3"/>
  <c r="X156" i="3"/>
  <c r="X151" i="3"/>
  <c r="X144" i="3"/>
  <c r="X140" i="3"/>
  <c r="X136" i="3"/>
  <c r="X132" i="3"/>
  <c r="X127" i="3"/>
  <c r="X119" i="3"/>
  <c r="X116" i="3"/>
  <c r="X112" i="3"/>
  <c r="X108" i="3"/>
  <c r="X104" i="3"/>
  <c r="X100" i="3"/>
  <c r="X96" i="3"/>
  <c r="X91" i="3"/>
  <c r="X84" i="3"/>
  <c r="X80" i="3"/>
  <c r="X76" i="3"/>
  <c r="X72" i="3"/>
  <c r="X68" i="3"/>
  <c r="X64" i="3"/>
  <c r="X57" i="3"/>
  <c r="X53" i="3"/>
  <c r="X49" i="3"/>
  <c r="X44" i="3"/>
  <c r="X36" i="3"/>
  <c r="X32" i="3"/>
  <c r="X28" i="3"/>
  <c r="X24" i="3"/>
  <c r="X19" i="3"/>
  <c r="X16" i="3"/>
  <c r="X12" i="3"/>
  <c r="X433" i="3"/>
  <c r="X366" i="3"/>
  <c r="X323" i="3"/>
  <c r="X307" i="3"/>
  <c r="X260" i="3"/>
  <c r="X252" i="3"/>
  <c r="X244" i="3"/>
  <c r="X420" i="3"/>
  <c r="X381" i="3"/>
  <c r="X314" i="3"/>
  <c r="X298" i="3"/>
  <c r="X294" i="3"/>
  <c r="X271" i="3"/>
  <c r="X206" i="3"/>
  <c r="X202" i="3"/>
  <c r="X195" i="3"/>
  <c r="X192" i="3"/>
  <c r="X188" i="3"/>
  <c r="X183" i="3"/>
  <c r="X180" i="3"/>
  <c r="X175" i="3"/>
  <c r="X168" i="3"/>
  <c r="X165" i="3"/>
  <c r="X161" i="3"/>
  <c r="X157" i="3"/>
  <c r="X412" i="3"/>
  <c r="X390" i="3"/>
  <c r="X372" i="3"/>
  <c r="X362" i="3"/>
  <c r="X319" i="3"/>
  <c r="X303" i="3"/>
  <c r="X279" i="3"/>
  <c r="X148" i="3"/>
  <c r="X432" i="3"/>
  <c r="X397" i="3"/>
  <c r="X377" i="3"/>
  <c r="X340" i="3"/>
  <c r="X310" i="3"/>
  <c r="X287" i="3"/>
  <c r="X282" i="3"/>
  <c r="X169" i="3"/>
  <c r="X162" i="3"/>
  <c r="X154" i="3"/>
  <c r="X146" i="3"/>
  <c r="X138" i="3"/>
  <c r="X134" i="3"/>
  <c r="X130" i="3"/>
  <c r="X121" i="3"/>
  <c r="X114" i="3"/>
  <c r="X440" i="3"/>
  <c r="X427" i="3"/>
  <c r="X425" i="3"/>
  <c r="X415" i="3"/>
  <c r="X399" i="3"/>
  <c r="X394" i="3"/>
  <c r="X385" i="3"/>
  <c r="X368" i="3"/>
  <c r="X354" i="3"/>
  <c r="X330" i="3"/>
  <c r="X315" i="3"/>
  <c r="X299" i="3"/>
  <c r="X290" i="3"/>
  <c r="X272" i="3"/>
  <c r="X256" i="3"/>
  <c r="X248" i="3"/>
  <c r="X238" i="3"/>
  <c r="X419" i="3"/>
  <c r="X391" i="3"/>
  <c r="X373" i="3"/>
  <c r="X335" i="3"/>
  <c r="N118" i="2"/>
  <c r="O118" i="2" s="1"/>
  <c r="AC122" i="2"/>
  <c r="AD122" i="2" s="1"/>
  <c r="N124" i="2"/>
  <c r="O124" i="2" s="1"/>
  <c r="N149" i="2"/>
  <c r="O149" i="2" s="1"/>
  <c r="N158" i="2"/>
  <c r="O158" i="2" s="1"/>
  <c r="N166" i="2"/>
  <c r="O166" i="2" s="1"/>
  <c r="AC170" i="2"/>
  <c r="AD170" i="2" s="1"/>
  <c r="E172" i="2"/>
  <c r="H172" i="2" s="1"/>
  <c r="I172" i="2" s="1"/>
  <c r="Q172" i="2"/>
  <c r="AC182" i="2"/>
  <c r="AD182" i="2" s="1"/>
  <c r="N193" i="2"/>
  <c r="O193" i="2" s="1"/>
  <c r="N196" i="2"/>
  <c r="O196" i="2" s="1"/>
  <c r="N227" i="2"/>
  <c r="O227" i="2" s="1"/>
  <c r="AC236" i="2"/>
  <c r="AD236" i="2" s="1"/>
  <c r="N263" i="2"/>
  <c r="O263" i="2" s="1"/>
  <c r="N267" i="2"/>
  <c r="O267" i="2" s="1"/>
  <c r="AD300" i="2"/>
  <c r="AD316" i="2"/>
  <c r="AD332" i="2"/>
  <c r="AD355" i="2"/>
  <c r="AD367" i="2"/>
  <c r="AD370" i="2"/>
  <c r="N393" i="2"/>
  <c r="O393" i="2" s="1"/>
  <c r="N396" i="2"/>
  <c r="O396" i="2" s="1"/>
  <c r="AD418" i="2"/>
  <c r="AD434" i="2"/>
  <c r="AC62" i="3"/>
  <c r="AD62" i="3" s="1"/>
  <c r="N172" i="3"/>
  <c r="O172" i="3" s="1"/>
  <c r="B198" i="3"/>
  <c r="C118" i="2"/>
  <c r="R122" i="2"/>
  <c r="C124" i="2"/>
  <c r="C149" i="2"/>
  <c r="C158" i="2"/>
  <c r="C166" i="2"/>
  <c r="R170" i="2"/>
  <c r="R182" i="2"/>
  <c r="C193" i="2"/>
  <c r="C196" i="2"/>
  <c r="C227" i="2"/>
  <c r="R236" i="2"/>
  <c r="C263" i="2"/>
  <c r="C267" i="2"/>
  <c r="AA295" i="2"/>
  <c r="U344" i="2"/>
  <c r="AA358" i="2"/>
  <c r="AD382" i="2"/>
  <c r="U442" i="2"/>
  <c r="AA29" i="3"/>
  <c r="AC118" i="2"/>
  <c r="AD118" i="2" s="1"/>
  <c r="AC124" i="2"/>
  <c r="AD124" i="2" s="1"/>
  <c r="N141" i="2"/>
  <c r="O141" i="2" s="1"/>
  <c r="AC149" i="2"/>
  <c r="AD149" i="2" s="1"/>
  <c r="AC158" i="2"/>
  <c r="AD158" i="2" s="1"/>
  <c r="AC166" i="2"/>
  <c r="AD166" i="2" s="1"/>
  <c r="N171" i="2"/>
  <c r="O171" i="2" s="1"/>
  <c r="AC193" i="2"/>
  <c r="AD193" i="2" s="1"/>
  <c r="AC196" i="2"/>
  <c r="AD196" i="2" s="1"/>
  <c r="AC227" i="2"/>
  <c r="AD227" i="2" s="1"/>
  <c r="AC263" i="2"/>
  <c r="AD263" i="2" s="1"/>
  <c r="AC267" i="2"/>
  <c r="AD267" i="2" s="1"/>
  <c r="W284" i="2"/>
  <c r="X284" i="2" s="1"/>
  <c r="AD312" i="2"/>
  <c r="AC325" i="2"/>
  <c r="AD325" i="2" s="1"/>
  <c r="U342" i="2"/>
  <c r="AD402" i="2"/>
  <c r="AD410" i="2"/>
  <c r="R18" i="3"/>
  <c r="C88" i="3"/>
  <c r="H88" i="3"/>
  <c r="I88" i="3" s="1"/>
  <c r="Z345" i="3"/>
  <c r="AA198" i="3"/>
  <c r="C172" i="3"/>
  <c r="C263" i="3"/>
  <c r="N263" i="3"/>
  <c r="O263" i="3" s="1"/>
  <c r="H263" i="3"/>
  <c r="I263" i="3" s="1"/>
  <c r="AD320" i="2"/>
  <c r="W324" i="2"/>
  <c r="X324" i="2" s="1"/>
  <c r="C325" i="2"/>
  <c r="H325" i="2"/>
  <c r="I325" i="2" s="1"/>
  <c r="AD337" i="2"/>
  <c r="AD374" i="2"/>
  <c r="U393" i="2"/>
  <c r="U396" i="2"/>
  <c r="N403" i="2"/>
  <c r="O403" i="2" s="1"/>
  <c r="AD422" i="2"/>
  <c r="AC428" i="2"/>
  <c r="AD428" i="2" s="1"/>
  <c r="W429" i="2"/>
  <c r="X429" i="2" s="1"/>
  <c r="AD438" i="2"/>
  <c r="C61" i="3"/>
  <c r="H61" i="3"/>
  <c r="I61" i="3" s="1"/>
  <c r="R62" i="3"/>
  <c r="L345" i="3"/>
  <c r="K404" i="3"/>
  <c r="L198" i="3"/>
  <c r="X417" i="3"/>
  <c r="AD308" i="2"/>
  <c r="H358" i="2"/>
  <c r="I358" i="2" s="1"/>
  <c r="R358" i="2"/>
  <c r="W358" i="2"/>
  <c r="X358" i="2" s="1"/>
  <c r="AD388" i="2"/>
  <c r="C428" i="2"/>
  <c r="H428" i="2"/>
  <c r="I428" i="2" s="1"/>
  <c r="O438" i="2"/>
  <c r="O434" i="2"/>
  <c r="O426" i="2"/>
  <c r="O422" i="2"/>
  <c r="O418" i="2"/>
  <c r="O414" i="2"/>
  <c r="O410" i="2"/>
  <c r="O402" i="2"/>
  <c r="O398" i="2"/>
  <c r="O395" i="2"/>
  <c r="O392" i="2"/>
  <c r="O388" i="2"/>
  <c r="O382" i="2"/>
  <c r="O378" i="2"/>
  <c r="O374" i="2"/>
  <c r="O370" i="2"/>
  <c r="O367" i="2"/>
  <c r="O363" i="2"/>
  <c r="O355" i="2"/>
  <c r="O351" i="2"/>
  <c r="O341" i="2"/>
  <c r="O337" i="2"/>
  <c r="O332" i="2"/>
  <c r="O328" i="2"/>
  <c r="O320" i="2"/>
  <c r="H29" i="3"/>
  <c r="I29" i="3" s="1"/>
  <c r="R29" i="3"/>
  <c r="W29" i="3"/>
  <c r="X29" i="3" s="1"/>
  <c r="W403" i="3"/>
  <c r="X403" i="3" s="1"/>
  <c r="AC403" i="3"/>
  <c r="AD403" i="3" s="1"/>
  <c r="R403" i="3"/>
  <c r="N124" i="3"/>
  <c r="O124" i="3" s="1"/>
  <c r="W141" i="3"/>
  <c r="X141" i="3" s="1"/>
  <c r="H148" i="3"/>
  <c r="I148" i="3" s="1"/>
  <c r="W171" i="3"/>
  <c r="X171" i="3" s="1"/>
  <c r="E172" i="3"/>
  <c r="Q172" i="3"/>
  <c r="H197" i="3"/>
  <c r="I197" i="3" s="1"/>
  <c r="H209" i="3"/>
  <c r="I209" i="3" s="1"/>
  <c r="H218" i="3"/>
  <c r="I218" i="3" s="1"/>
  <c r="X265" i="3"/>
  <c r="N267" i="3"/>
  <c r="O267" i="3" s="1"/>
  <c r="X293" i="3"/>
  <c r="X297" i="3"/>
  <c r="X313" i="3"/>
  <c r="H325" i="3"/>
  <c r="I325" i="3" s="1"/>
  <c r="X325" i="3"/>
  <c r="X328" i="3"/>
  <c r="N342" i="3"/>
  <c r="O342" i="3" s="1"/>
  <c r="X352" i="3"/>
  <c r="X382" i="3"/>
  <c r="AC393" i="3"/>
  <c r="AD393" i="3" s="1"/>
  <c r="X421" i="3"/>
  <c r="N429" i="3"/>
  <c r="O429" i="3" s="1"/>
  <c r="X277" i="3"/>
  <c r="X308" i="3"/>
  <c r="X338" i="3"/>
  <c r="X367" i="3"/>
  <c r="X375" i="3"/>
  <c r="X401" i="3"/>
  <c r="X434" i="3"/>
  <c r="X438" i="3"/>
  <c r="R29" i="4"/>
  <c r="AC29" i="4"/>
  <c r="AD29" i="4" s="1"/>
  <c r="W29" i="4"/>
  <c r="X29" i="4" s="1"/>
  <c r="C61" i="4"/>
  <c r="N61" i="4"/>
  <c r="O61" i="4" s="1"/>
  <c r="H61" i="4"/>
  <c r="I61" i="4" s="1"/>
  <c r="H148" i="4"/>
  <c r="I148" i="4" s="1"/>
  <c r="F148" i="4"/>
  <c r="AC118" i="3"/>
  <c r="AD118" i="3" s="1"/>
  <c r="AC124" i="3"/>
  <c r="AD124" i="3" s="1"/>
  <c r="N141" i="3"/>
  <c r="O141" i="3" s="1"/>
  <c r="AC149" i="3"/>
  <c r="AD149" i="3" s="1"/>
  <c r="AC158" i="3"/>
  <c r="AD158" i="3" s="1"/>
  <c r="AC166" i="3"/>
  <c r="AD166" i="3" s="1"/>
  <c r="N171" i="3"/>
  <c r="O171" i="3" s="1"/>
  <c r="T172" i="3"/>
  <c r="AC193" i="3"/>
  <c r="AD193" i="3" s="1"/>
  <c r="AC196" i="3"/>
  <c r="AD196" i="3" s="1"/>
  <c r="AC227" i="3"/>
  <c r="AD227" i="3" s="1"/>
  <c r="W262" i="3"/>
  <c r="X262" i="3" s="1"/>
  <c r="R267" i="3"/>
  <c r="X269" i="3"/>
  <c r="X301" i="3"/>
  <c r="X317" i="3"/>
  <c r="X332" i="3"/>
  <c r="AC342" i="3"/>
  <c r="AD342" i="3" s="1"/>
  <c r="R343" i="3"/>
  <c r="C344" i="3"/>
  <c r="X356" i="3"/>
  <c r="R358" i="3"/>
  <c r="X360" i="3"/>
  <c r="L368" i="3"/>
  <c r="X370" i="3"/>
  <c r="X388" i="3"/>
  <c r="C396" i="3"/>
  <c r="F118" i="3"/>
  <c r="R118" i="3"/>
  <c r="U122" i="3"/>
  <c r="F158" i="3"/>
  <c r="R158" i="3"/>
  <c r="F166" i="3"/>
  <c r="R166" i="3"/>
  <c r="U170" i="3"/>
  <c r="C171" i="3"/>
  <c r="U182" i="3"/>
  <c r="F193" i="3"/>
  <c r="R193" i="3"/>
  <c r="F196" i="3"/>
  <c r="R196" i="3"/>
  <c r="F227" i="3"/>
  <c r="X250" i="3"/>
  <c r="X258" i="3"/>
  <c r="L273" i="3"/>
  <c r="X312" i="3"/>
  <c r="U324" i="3"/>
  <c r="C342" i="3"/>
  <c r="X351" i="3"/>
  <c r="X379" i="3"/>
  <c r="X410" i="3"/>
  <c r="C429" i="3"/>
  <c r="AC141" i="3"/>
  <c r="AD141" i="3" s="1"/>
  <c r="N148" i="3"/>
  <c r="O148" i="3" s="1"/>
  <c r="AC171" i="3"/>
  <c r="AD171" i="3" s="1"/>
  <c r="N197" i="3"/>
  <c r="O197" i="3" s="1"/>
  <c r="N209" i="3"/>
  <c r="O209" i="3" s="1"/>
  <c r="N218" i="3"/>
  <c r="O218" i="3" s="1"/>
  <c r="H267" i="3"/>
  <c r="I267" i="3" s="1"/>
  <c r="X289" i="3"/>
  <c r="X305" i="3"/>
  <c r="X321" i="3"/>
  <c r="X337" i="3"/>
  <c r="F343" i="3"/>
  <c r="F358" i="3"/>
  <c r="X364" i="3"/>
  <c r="X374" i="3"/>
  <c r="X392" i="3"/>
  <c r="F403" i="3"/>
  <c r="X418" i="3"/>
  <c r="W428" i="3"/>
  <c r="X428" i="3" s="1"/>
  <c r="AC428" i="3"/>
  <c r="AD428" i="3" s="1"/>
  <c r="X439" i="3"/>
  <c r="L172" i="3"/>
  <c r="X281" i="3"/>
  <c r="X300" i="3"/>
  <c r="X316" i="3"/>
  <c r="AA325" i="3"/>
  <c r="X329" i="3"/>
  <c r="X355" i="3"/>
  <c r="AC368" i="3"/>
  <c r="AD368" i="3" s="1"/>
  <c r="X383" i="3"/>
  <c r="L393" i="3"/>
  <c r="X395" i="3"/>
  <c r="X426" i="3"/>
  <c r="C428" i="3"/>
  <c r="H428" i="3"/>
  <c r="I428" i="3" s="1"/>
  <c r="R428" i="3"/>
  <c r="X429" i="3"/>
  <c r="X437" i="3"/>
  <c r="W61" i="4"/>
  <c r="X61" i="4" s="1"/>
  <c r="AC61" i="4"/>
  <c r="AD61" i="4" s="1"/>
  <c r="R61" i="4"/>
  <c r="R122" i="4"/>
  <c r="AC122" i="4"/>
  <c r="AD122" i="4" s="1"/>
  <c r="W122" i="4"/>
  <c r="X122" i="4" s="1"/>
  <c r="AC273" i="3"/>
  <c r="AD273" i="3" s="1"/>
  <c r="W284" i="3"/>
  <c r="X284" i="3" s="1"/>
  <c r="X309" i="3"/>
  <c r="X341" i="3"/>
  <c r="X347" i="3"/>
  <c r="X378" i="3"/>
  <c r="X398" i="3"/>
  <c r="X402" i="3"/>
  <c r="L403" i="3"/>
  <c r="N403" i="3"/>
  <c r="O403" i="3" s="1"/>
  <c r="T172" i="4"/>
  <c r="W124" i="4"/>
  <c r="X124" i="4" s="1"/>
  <c r="U124" i="4"/>
  <c r="N295" i="3"/>
  <c r="O295" i="3" s="1"/>
  <c r="AC324" i="3"/>
  <c r="AD324" i="3" s="1"/>
  <c r="N343" i="3"/>
  <c r="O343" i="3" s="1"/>
  <c r="N358" i="3"/>
  <c r="O358" i="3" s="1"/>
  <c r="AD402" i="3"/>
  <c r="AD414" i="3"/>
  <c r="AD422" i="3"/>
  <c r="AD441" i="3"/>
  <c r="H40" i="4"/>
  <c r="I40" i="4" s="1"/>
  <c r="H124" i="4"/>
  <c r="I124" i="4" s="1"/>
  <c r="H182" i="4"/>
  <c r="I182" i="4" s="1"/>
  <c r="N182" i="4"/>
  <c r="O182" i="4" s="1"/>
  <c r="C182" i="4"/>
  <c r="I401" i="3"/>
  <c r="AD434" i="3"/>
  <c r="H442" i="3"/>
  <c r="I442" i="3" s="1"/>
  <c r="AC73" i="4"/>
  <c r="AD73" i="4" s="1"/>
  <c r="AC88" i="4"/>
  <c r="AD88" i="4" s="1"/>
  <c r="Z172" i="4"/>
  <c r="AA124" i="4"/>
  <c r="H158" i="4"/>
  <c r="I158" i="4" s="1"/>
  <c r="C158" i="4"/>
  <c r="W166" i="4"/>
  <c r="X166" i="4" s="1"/>
  <c r="U166" i="4"/>
  <c r="AC18" i="4"/>
  <c r="AD18" i="4" s="1"/>
  <c r="N118" i="4"/>
  <c r="O118" i="4" s="1"/>
  <c r="N149" i="4"/>
  <c r="O149" i="4" s="1"/>
  <c r="W196" i="4"/>
  <c r="X196" i="4" s="1"/>
  <c r="U196" i="4"/>
  <c r="N88" i="4"/>
  <c r="O88" i="4" s="1"/>
  <c r="N40" i="4"/>
  <c r="O40" i="4" s="1"/>
  <c r="W197" i="4"/>
  <c r="X197" i="4" s="1"/>
  <c r="AC197" i="4"/>
  <c r="AD197" i="4" s="1"/>
  <c r="R197" i="4"/>
  <c r="W40" i="4"/>
  <c r="X40" i="4" s="1"/>
  <c r="B172" i="4"/>
  <c r="C124" i="4"/>
  <c r="W141" i="4"/>
  <c r="X141" i="4" s="1"/>
  <c r="W148" i="4"/>
  <c r="X148" i="4" s="1"/>
  <c r="W170" i="4"/>
  <c r="X170" i="4" s="1"/>
  <c r="R170" i="4"/>
  <c r="E345" i="4"/>
  <c r="F198" i="4"/>
  <c r="AD407" i="3"/>
  <c r="I409" i="3"/>
  <c r="X414" i="3"/>
  <c r="AD415" i="3"/>
  <c r="I417" i="3"/>
  <c r="X422" i="3"/>
  <c r="I425" i="3"/>
  <c r="R40" i="4"/>
  <c r="H73" i="4"/>
  <c r="I73" i="4" s="1"/>
  <c r="R141" i="4"/>
  <c r="R148" i="4"/>
  <c r="N158" i="4"/>
  <c r="O158" i="4" s="1"/>
  <c r="K172" i="4"/>
  <c r="L171" i="4"/>
  <c r="N227" i="4"/>
  <c r="O227" i="4" s="1"/>
  <c r="H236" i="4"/>
  <c r="I236" i="4" s="1"/>
  <c r="C236" i="4"/>
  <c r="AC324" i="4"/>
  <c r="AD324" i="4" s="1"/>
  <c r="U396" i="4"/>
  <c r="W396" i="4"/>
  <c r="X396" i="4" s="1"/>
  <c r="AC158" i="4"/>
  <c r="AD158" i="4" s="1"/>
  <c r="N171" i="4"/>
  <c r="O171" i="4" s="1"/>
  <c r="N193" i="4"/>
  <c r="O193" i="4" s="1"/>
  <c r="R325" i="4"/>
  <c r="W325" i="4"/>
  <c r="X325" i="4" s="1"/>
  <c r="AC171" i="4"/>
  <c r="AD171" i="4" s="1"/>
  <c r="C193" i="4"/>
  <c r="R209" i="4"/>
  <c r="C227" i="4"/>
  <c r="N263" i="4"/>
  <c r="O263" i="4" s="1"/>
  <c r="R273" i="4"/>
  <c r="L284" i="4"/>
  <c r="H343" i="4"/>
  <c r="I343" i="4" s="1"/>
  <c r="C343" i="4"/>
  <c r="N166" i="4"/>
  <c r="O166" i="4" s="1"/>
  <c r="R171" i="4"/>
  <c r="N295" i="4"/>
  <c r="O295" i="4" s="1"/>
  <c r="U18" i="5"/>
  <c r="W18" i="5"/>
  <c r="X18" i="5" s="1"/>
  <c r="U158" i="4"/>
  <c r="F171" i="4"/>
  <c r="F209" i="4"/>
  <c r="F273" i="4"/>
  <c r="H358" i="4"/>
  <c r="I358" i="4" s="1"/>
  <c r="C358" i="4"/>
  <c r="AC118" i="4"/>
  <c r="AD118" i="4" s="1"/>
  <c r="N122" i="4"/>
  <c r="O122" i="4" s="1"/>
  <c r="AC149" i="4"/>
  <c r="AD149" i="4" s="1"/>
  <c r="AC166" i="4"/>
  <c r="AD166" i="4" s="1"/>
  <c r="N170" i="4"/>
  <c r="O170" i="4" s="1"/>
  <c r="H171" i="4"/>
  <c r="I171" i="4" s="1"/>
  <c r="Q172" i="4"/>
  <c r="C218" i="4"/>
  <c r="H218" i="4"/>
  <c r="I218" i="4" s="1"/>
  <c r="W227" i="4"/>
  <c r="X227" i="4" s="1"/>
  <c r="N236" i="4"/>
  <c r="O236" i="4" s="1"/>
  <c r="U267" i="4"/>
  <c r="AC273" i="4"/>
  <c r="AD273" i="4" s="1"/>
  <c r="AC295" i="4"/>
  <c r="AD295" i="4" s="1"/>
  <c r="H428" i="4"/>
  <c r="I428" i="4" s="1"/>
  <c r="C428" i="4"/>
  <c r="N428" i="4"/>
  <c r="O428" i="4" s="1"/>
  <c r="AC209" i="4"/>
  <c r="AD209" i="4" s="1"/>
  <c r="H267" i="4"/>
  <c r="I267" i="4" s="1"/>
  <c r="H284" i="4"/>
  <c r="I284" i="4" s="1"/>
  <c r="C284" i="4"/>
  <c r="N343" i="4"/>
  <c r="O343" i="4" s="1"/>
  <c r="W262" i="4"/>
  <c r="X262" i="4" s="1"/>
  <c r="H324" i="4"/>
  <c r="I324" i="4" s="1"/>
  <c r="W342" i="4"/>
  <c r="X342" i="4" s="1"/>
  <c r="H344" i="4"/>
  <c r="I344" i="4" s="1"/>
  <c r="AC358" i="4"/>
  <c r="AD358" i="4" s="1"/>
  <c r="C403" i="4"/>
  <c r="H403" i="4"/>
  <c r="I403" i="4" s="1"/>
  <c r="W441" i="4"/>
  <c r="X441" i="4" s="1"/>
  <c r="AC441" i="4"/>
  <c r="AD441" i="4" s="1"/>
  <c r="R441" i="4"/>
  <c r="Z198" i="5"/>
  <c r="AA172" i="5"/>
  <c r="H197" i="5"/>
  <c r="I197" i="5" s="1"/>
  <c r="N197" i="5"/>
  <c r="O197" i="5" s="1"/>
  <c r="C197" i="5"/>
  <c r="N344" i="4"/>
  <c r="O344" i="4" s="1"/>
  <c r="U358" i="4"/>
  <c r="C368" i="4"/>
  <c r="C441" i="4"/>
  <c r="H441" i="4"/>
  <c r="I441" i="4" s="1"/>
  <c r="H29" i="5"/>
  <c r="I29" i="5" s="1"/>
  <c r="C29" i="5"/>
  <c r="AC218" i="4"/>
  <c r="AD218" i="4" s="1"/>
  <c r="AC227" i="4"/>
  <c r="AD227" i="4" s="1"/>
  <c r="AC284" i="4"/>
  <c r="AD284" i="4" s="1"/>
  <c r="U393" i="4"/>
  <c r="N403" i="4"/>
  <c r="O403" i="4" s="1"/>
  <c r="W344" i="4"/>
  <c r="X344" i="4" s="1"/>
  <c r="AC403" i="4"/>
  <c r="AD403" i="4" s="1"/>
  <c r="I427" i="4"/>
  <c r="I414" i="4"/>
  <c r="I411" i="4"/>
  <c r="I391" i="4"/>
  <c r="I379" i="4"/>
  <c r="I375" i="4"/>
  <c r="I399" i="4"/>
  <c r="I383" i="4"/>
  <c r="I415" i="4"/>
  <c r="N442" i="4"/>
  <c r="O442" i="4" s="1"/>
  <c r="N166" i="5"/>
  <c r="O166" i="5" s="1"/>
  <c r="W170" i="5"/>
  <c r="X170" i="5" s="1"/>
  <c r="U170" i="5"/>
  <c r="W182" i="5"/>
  <c r="X182" i="5" s="1"/>
  <c r="U182" i="5"/>
  <c r="E198" i="5"/>
  <c r="N396" i="4"/>
  <c r="O396" i="4" s="1"/>
  <c r="AD400" i="4"/>
  <c r="AC429" i="4"/>
  <c r="AD429" i="4" s="1"/>
  <c r="C442" i="4"/>
  <c r="L40" i="5"/>
  <c r="H61" i="5"/>
  <c r="I61" i="5" s="1"/>
  <c r="W62" i="5"/>
  <c r="X62" i="5" s="1"/>
  <c r="W88" i="5"/>
  <c r="X88" i="5" s="1"/>
  <c r="C122" i="5"/>
  <c r="F124" i="5"/>
  <c r="U124" i="5"/>
  <c r="AC368" i="4"/>
  <c r="AD368" i="4" s="1"/>
  <c r="U403" i="4"/>
  <c r="AD412" i="4"/>
  <c r="AC442" i="4"/>
  <c r="AD442" i="4" s="1"/>
  <c r="N18" i="5"/>
  <c r="O18" i="5" s="1"/>
  <c r="AC61" i="5"/>
  <c r="AD61" i="5" s="1"/>
  <c r="H124" i="5"/>
  <c r="I124" i="5" s="1"/>
  <c r="K172" i="5"/>
  <c r="R368" i="4"/>
  <c r="N393" i="4"/>
  <c r="O393" i="4" s="1"/>
  <c r="AC396" i="4"/>
  <c r="AD396" i="4" s="1"/>
  <c r="AD399" i="4"/>
  <c r="AD434" i="4"/>
  <c r="AC18" i="5"/>
  <c r="AD18" i="5" s="1"/>
  <c r="H40" i="5"/>
  <c r="I40" i="5" s="1"/>
  <c r="R61" i="5"/>
  <c r="F73" i="5"/>
  <c r="H171" i="5"/>
  <c r="I171" i="5" s="1"/>
  <c r="B172" i="5"/>
  <c r="R197" i="5"/>
  <c r="AC197" i="5"/>
  <c r="AD197" i="5" s="1"/>
  <c r="W197" i="5"/>
  <c r="X197" i="5" s="1"/>
  <c r="T198" i="5"/>
  <c r="AC236" i="5"/>
  <c r="AD236" i="5" s="1"/>
  <c r="C284" i="5"/>
  <c r="N284" i="5"/>
  <c r="O284" i="5" s="1"/>
  <c r="H284" i="5"/>
  <c r="I284" i="5" s="1"/>
  <c r="AD408" i="4"/>
  <c r="AD424" i="4"/>
  <c r="AD440" i="4"/>
  <c r="C40" i="5"/>
  <c r="N62" i="5"/>
  <c r="O62" i="5" s="1"/>
  <c r="AC88" i="5"/>
  <c r="AD88" i="5" s="1"/>
  <c r="W122" i="5"/>
  <c r="X122" i="5" s="1"/>
  <c r="C171" i="5"/>
  <c r="AC62" i="5"/>
  <c r="AD62" i="5" s="1"/>
  <c r="H88" i="5"/>
  <c r="I88" i="5" s="1"/>
  <c r="C236" i="5"/>
  <c r="H236" i="5"/>
  <c r="I236" i="5" s="1"/>
  <c r="AD420" i="4"/>
  <c r="C88" i="5"/>
  <c r="N124" i="5"/>
  <c r="O124" i="5" s="1"/>
  <c r="Q172" i="5"/>
  <c r="W124" i="5"/>
  <c r="X124" i="5" s="1"/>
  <c r="R393" i="5"/>
  <c r="W393" i="5"/>
  <c r="X393" i="5" s="1"/>
  <c r="AC393" i="5"/>
  <c r="AD393" i="5" s="1"/>
  <c r="W141" i="5"/>
  <c r="X141" i="5" s="1"/>
  <c r="W158" i="5"/>
  <c r="X158" i="5" s="1"/>
  <c r="W171" i="5"/>
  <c r="X171" i="5" s="1"/>
  <c r="W196" i="5"/>
  <c r="X196" i="5" s="1"/>
  <c r="N262" i="5"/>
  <c r="O262" i="5" s="1"/>
  <c r="W267" i="5"/>
  <c r="X267" i="5" s="1"/>
  <c r="H324" i="5"/>
  <c r="I324" i="5" s="1"/>
  <c r="N342" i="5"/>
  <c r="O342" i="5" s="1"/>
  <c r="R342" i="5"/>
  <c r="W342" i="5"/>
  <c r="X342" i="5" s="1"/>
  <c r="AC262" i="5"/>
  <c r="AD262" i="5" s="1"/>
  <c r="AC263" i="5"/>
  <c r="AD263" i="5" s="1"/>
  <c r="L148" i="5"/>
  <c r="F149" i="5"/>
  <c r="U149" i="5"/>
  <c r="N158" i="5"/>
  <c r="O158" i="5" s="1"/>
  <c r="U166" i="5"/>
  <c r="N170" i="5"/>
  <c r="O170" i="5" s="1"/>
  <c r="U193" i="5"/>
  <c r="AC209" i="5"/>
  <c r="AD209" i="5" s="1"/>
  <c r="H218" i="5"/>
  <c r="I218" i="5" s="1"/>
  <c r="N227" i="5"/>
  <c r="O227" i="5" s="1"/>
  <c r="C262" i="5"/>
  <c r="AC267" i="5"/>
  <c r="AD267" i="5" s="1"/>
  <c r="U295" i="5"/>
  <c r="L325" i="5"/>
  <c r="W358" i="5"/>
  <c r="X358" i="5" s="1"/>
  <c r="AC358" i="5"/>
  <c r="AD358" i="5" s="1"/>
  <c r="H148" i="5"/>
  <c r="I148" i="5" s="1"/>
  <c r="N196" i="5"/>
  <c r="O196" i="5" s="1"/>
  <c r="H209" i="5"/>
  <c r="I209" i="5" s="1"/>
  <c r="N267" i="5"/>
  <c r="O267" i="5" s="1"/>
  <c r="R343" i="5"/>
  <c r="R358" i="5"/>
  <c r="AC324" i="5"/>
  <c r="AD324" i="5" s="1"/>
  <c r="H343" i="5"/>
  <c r="I343" i="5" s="1"/>
  <c r="N343" i="5"/>
  <c r="O343" i="5" s="1"/>
  <c r="H396" i="5"/>
  <c r="I396" i="5" s="1"/>
  <c r="F396" i="5"/>
  <c r="H325" i="5"/>
  <c r="I325" i="5" s="1"/>
  <c r="C325" i="5"/>
  <c r="X391" i="5"/>
  <c r="N396" i="5"/>
  <c r="O396" i="5" s="1"/>
  <c r="X399" i="5"/>
  <c r="X414" i="5"/>
  <c r="X437" i="5"/>
  <c r="H29" i="6"/>
  <c r="I29" i="6" s="1"/>
  <c r="N29" i="6"/>
  <c r="O29" i="6" s="1"/>
  <c r="H62" i="6"/>
  <c r="I62" i="6" s="1"/>
  <c r="C62" i="6"/>
  <c r="N62" i="6"/>
  <c r="O62" i="6" s="1"/>
  <c r="X435" i="5"/>
  <c r="X425" i="5"/>
  <c r="X422" i="5"/>
  <c r="X419" i="5"/>
  <c r="X397" i="5"/>
  <c r="W61" i="6"/>
  <c r="X61" i="6" s="1"/>
  <c r="R61" i="6"/>
  <c r="R40" i="6"/>
  <c r="W40" i="6"/>
  <c r="X40" i="6" s="1"/>
  <c r="AC325" i="5"/>
  <c r="AD325" i="5" s="1"/>
  <c r="X389" i="5"/>
  <c r="X392" i="5"/>
  <c r="X395" i="5"/>
  <c r="H403" i="5"/>
  <c r="I403" i="5" s="1"/>
  <c r="W442" i="5"/>
  <c r="X442" i="5" s="1"/>
  <c r="R442" i="5"/>
  <c r="X328" i="5"/>
  <c r="X339" i="5"/>
  <c r="X352" i="5"/>
  <c r="X357" i="5"/>
  <c r="X366" i="5"/>
  <c r="X372" i="5"/>
  <c r="X375" i="5"/>
  <c r="X377" i="5"/>
  <c r="W396" i="5"/>
  <c r="X396" i="5" s="1"/>
  <c r="X402" i="5"/>
  <c r="X412" i="5"/>
  <c r="AC441" i="5"/>
  <c r="AD441" i="5" s="1"/>
  <c r="X363" i="5"/>
  <c r="X369" i="5"/>
  <c r="X379" i="5"/>
  <c r="X385" i="5"/>
  <c r="X409" i="5"/>
  <c r="X423" i="5"/>
  <c r="AC429" i="5"/>
  <c r="AD429" i="5" s="1"/>
  <c r="AA429" i="5"/>
  <c r="X439" i="5"/>
  <c r="W18" i="6"/>
  <c r="X18" i="6" s="1"/>
  <c r="R18" i="6"/>
  <c r="AC61" i="6"/>
  <c r="AD61" i="6" s="1"/>
  <c r="X349" i="5"/>
  <c r="H358" i="5"/>
  <c r="I358" i="5" s="1"/>
  <c r="X365" i="5"/>
  <c r="X380" i="5"/>
  <c r="C429" i="5"/>
  <c r="X429" i="5"/>
  <c r="F61" i="6"/>
  <c r="AC118" i="6"/>
  <c r="AD118" i="6" s="1"/>
  <c r="B172" i="6"/>
  <c r="H124" i="6"/>
  <c r="I124" i="6" s="1"/>
  <c r="N124" i="6"/>
  <c r="O124" i="6" s="1"/>
  <c r="H118" i="6"/>
  <c r="I118" i="6" s="1"/>
  <c r="N118" i="6"/>
  <c r="O118" i="6" s="1"/>
  <c r="R118" i="6"/>
  <c r="C124" i="6"/>
  <c r="N403" i="5"/>
  <c r="O403" i="5" s="1"/>
  <c r="X416" i="5"/>
  <c r="AD437" i="5"/>
  <c r="AD433" i="5"/>
  <c r="N40" i="6"/>
  <c r="O40" i="6" s="1"/>
  <c r="C118" i="6"/>
  <c r="E172" i="6"/>
  <c r="F124" i="6"/>
  <c r="X400" i="5"/>
  <c r="N428" i="5"/>
  <c r="O428" i="5" s="1"/>
  <c r="X433" i="5"/>
  <c r="N88" i="6"/>
  <c r="O88" i="6" s="1"/>
  <c r="H429" i="5"/>
  <c r="I429" i="5" s="1"/>
  <c r="X440" i="5"/>
  <c r="W122" i="6"/>
  <c r="X122" i="6" s="1"/>
  <c r="R122" i="6"/>
  <c r="W88" i="6"/>
  <c r="X88" i="6" s="1"/>
  <c r="N149" i="6"/>
  <c r="O149" i="6" s="1"/>
  <c r="N158" i="6"/>
  <c r="O158" i="6" s="1"/>
  <c r="AC166" i="6"/>
  <c r="AD166" i="6" s="1"/>
  <c r="AC170" i="6"/>
  <c r="AD170" i="6" s="1"/>
  <c r="N197" i="6"/>
  <c r="O197" i="6" s="1"/>
  <c r="H267" i="6"/>
  <c r="I267" i="6" s="1"/>
  <c r="W273" i="6"/>
  <c r="X273" i="6" s="1"/>
  <c r="AC149" i="6"/>
  <c r="AD149" i="6" s="1"/>
  <c r="Q172" i="6"/>
  <c r="L141" i="6"/>
  <c r="C149" i="6"/>
  <c r="C158" i="6"/>
  <c r="C166" i="6"/>
  <c r="R166" i="6"/>
  <c r="N193" i="6"/>
  <c r="O193" i="6" s="1"/>
  <c r="U209" i="6"/>
  <c r="U148" i="6"/>
  <c r="R149" i="6"/>
  <c r="R158" i="6"/>
  <c r="R170" i="6"/>
  <c r="C171" i="6"/>
  <c r="AC171" i="6"/>
  <c r="AD171" i="6" s="1"/>
  <c r="U198" i="6"/>
  <c r="T345" i="6"/>
  <c r="AC193" i="6"/>
  <c r="AD193" i="6" s="1"/>
  <c r="U197" i="6"/>
  <c r="AA263" i="6"/>
  <c r="AA295" i="6"/>
  <c r="N273" i="6"/>
  <c r="O273" i="6" s="1"/>
  <c r="F122" i="6"/>
  <c r="C141" i="6"/>
  <c r="AC141" i="6"/>
  <c r="AD141" i="6" s="1"/>
  <c r="C193" i="6"/>
  <c r="R193" i="6"/>
  <c r="AA196" i="6"/>
  <c r="AA227" i="6"/>
  <c r="AA267" i="6"/>
  <c r="K198" i="6"/>
  <c r="L172" i="6"/>
  <c r="N218" i="6"/>
  <c r="O218" i="6" s="1"/>
  <c r="N262" i="6"/>
  <c r="O262" i="6" s="1"/>
  <c r="N73" i="6"/>
  <c r="O73" i="6" s="1"/>
  <c r="Z172" i="6"/>
  <c r="N148" i="6"/>
  <c r="O148" i="6" s="1"/>
  <c r="N166" i="6"/>
  <c r="O166" i="6" s="1"/>
  <c r="W182" i="6"/>
  <c r="X182" i="6" s="1"/>
  <c r="H196" i="6"/>
  <c r="I196" i="6" s="1"/>
  <c r="N209" i="6"/>
  <c r="O209" i="6" s="1"/>
  <c r="H227" i="6"/>
  <c r="I227" i="6" s="1"/>
  <c r="C263" i="6"/>
  <c r="R263" i="6"/>
  <c r="AC284" i="6"/>
  <c r="AD284" i="6" s="1"/>
  <c r="C295" i="6"/>
  <c r="R295" i="6"/>
  <c r="W325" i="6"/>
  <c r="X325" i="6" s="1"/>
  <c r="R368" i="6"/>
  <c r="W368" i="6"/>
  <c r="X368" i="6" s="1"/>
  <c r="W442" i="6"/>
  <c r="X442" i="6" s="1"/>
  <c r="R442" i="6"/>
  <c r="AC442" i="6"/>
  <c r="AD442" i="6" s="1"/>
  <c r="AA344" i="6"/>
  <c r="R358" i="6"/>
  <c r="AA396" i="6"/>
  <c r="N441" i="6"/>
  <c r="O441" i="6" s="1"/>
  <c r="AC324" i="6"/>
  <c r="AD324" i="6" s="1"/>
  <c r="AC325" i="6"/>
  <c r="AD325" i="6" s="1"/>
  <c r="C368" i="6"/>
  <c r="H396" i="6"/>
  <c r="I396" i="6" s="1"/>
  <c r="C358" i="6"/>
  <c r="H358" i="6"/>
  <c r="I358" i="6" s="1"/>
  <c r="AA393" i="6"/>
  <c r="N342" i="6"/>
  <c r="O342" i="6" s="1"/>
  <c r="N343" i="6"/>
  <c r="O343" i="6" s="1"/>
  <c r="AC358" i="6"/>
  <c r="AD358" i="6" s="1"/>
  <c r="AC368" i="6"/>
  <c r="AD368" i="6" s="1"/>
  <c r="H393" i="6"/>
  <c r="I393" i="6" s="1"/>
  <c r="W403" i="6"/>
  <c r="X403" i="6" s="1"/>
  <c r="R403" i="6"/>
  <c r="AC403" i="6"/>
  <c r="AD403" i="6" s="1"/>
  <c r="AC343" i="6"/>
  <c r="AD343" i="6" s="1"/>
  <c r="W344" i="6"/>
  <c r="X344" i="6" s="1"/>
  <c r="C29" i="7"/>
  <c r="N29" i="7"/>
  <c r="O29" i="7" s="1"/>
  <c r="U29" i="7"/>
  <c r="W324" i="6"/>
  <c r="X324" i="6" s="1"/>
  <c r="W342" i="6"/>
  <c r="X342" i="6" s="1"/>
  <c r="R344" i="6"/>
  <c r="N368" i="6"/>
  <c r="O368" i="6" s="1"/>
  <c r="C403" i="6"/>
  <c r="W428" i="6"/>
  <c r="X428" i="6" s="1"/>
  <c r="AC429" i="6"/>
  <c r="AD429" i="6" s="1"/>
  <c r="N442" i="6"/>
  <c r="O442" i="6" s="1"/>
  <c r="AC18" i="7"/>
  <c r="AD18" i="7" s="1"/>
  <c r="AC40" i="7"/>
  <c r="AD40" i="7" s="1"/>
  <c r="AC88" i="7"/>
  <c r="AD88" i="7" s="1"/>
  <c r="H118" i="7"/>
  <c r="I118" i="7" s="1"/>
  <c r="C118" i="7"/>
  <c r="N122" i="7"/>
  <c r="O122" i="7" s="1"/>
  <c r="H141" i="7"/>
  <c r="I141" i="7" s="1"/>
  <c r="C141" i="7"/>
  <c r="R40" i="7"/>
  <c r="F61" i="7"/>
  <c r="W122" i="7"/>
  <c r="X122" i="7" s="1"/>
  <c r="R122" i="7"/>
  <c r="Q172" i="7"/>
  <c r="W124" i="7"/>
  <c r="X124" i="7" s="1"/>
  <c r="R124" i="7"/>
  <c r="AC73" i="7"/>
  <c r="AD73" i="7" s="1"/>
  <c r="N88" i="7"/>
  <c r="O88" i="7" s="1"/>
  <c r="C122" i="7"/>
  <c r="H124" i="7"/>
  <c r="I124" i="7" s="1"/>
  <c r="B172" i="7"/>
  <c r="U124" i="7"/>
  <c r="T172" i="7"/>
  <c r="AA141" i="7"/>
  <c r="C124" i="7"/>
  <c r="W149" i="7"/>
  <c r="X149" i="7" s="1"/>
  <c r="O439" i="6"/>
  <c r="O435" i="6"/>
  <c r="O427" i="6"/>
  <c r="O423" i="6"/>
  <c r="O419" i="6"/>
  <c r="O415" i="6"/>
  <c r="O411" i="6"/>
  <c r="O407" i="6"/>
  <c r="O399" i="6"/>
  <c r="O389" i="6"/>
  <c r="F40" i="7"/>
  <c r="N141" i="7"/>
  <c r="O141" i="7" s="1"/>
  <c r="W393" i="6"/>
  <c r="X393" i="6" s="1"/>
  <c r="R393" i="6"/>
  <c r="W396" i="6"/>
  <c r="X396" i="6" s="1"/>
  <c r="R396" i="6"/>
  <c r="H429" i="6"/>
  <c r="I429" i="6" s="1"/>
  <c r="C429" i="6"/>
  <c r="X437" i="6"/>
  <c r="X433" i="6"/>
  <c r="X425" i="6"/>
  <c r="X421" i="6"/>
  <c r="X417" i="6"/>
  <c r="X413" i="6"/>
  <c r="X409" i="6"/>
  <c r="X401" i="6"/>
  <c r="X397" i="6"/>
  <c r="X394" i="6"/>
  <c r="X391" i="6"/>
  <c r="H18" i="7"/>
  <c r="I18" i="7" s="1"/>
  <c r="C18" i="7"/>
  <c r="H62" i="7"/>
  <c r="I62" i="7" s="1"/>
  <c r="C62" i="7"/>
  <c r="AC122" i="7"/>
  <c r="AD122" i="7" s="1"/>
  <c r="AC124" i="7"/>
  <c r="AD124" i="7" s="1"/>
  <c r="N148" i="7"/>
  <c r="O148" i="7" s="1"/>
  <c r="W158" i="7"/>
  <c r="X158" i="7" s="1"/>
  <c r="H171" i="7"/>
  <c r="I171" i="7" s="1"/>
  <c r="W193" i="7"/>
  <c r="X193" i="7" s="1"/>
  <c r="W196" i="7"/>
  <c r="X196" i="7" s="1"/>
  <c r="AC197" i="7"/>
  <c r="AD197" i="7" s="1"/>
  <c r="H236" i="7"/>
  <c r="I236" i="7" s="1"/>
  <c r="C236" i="7"/>
  <c r="N236" i="7"/>
  <c r="O236" i="7" s="1"/>
  <c r="AC148" i="7"/>
  <c r="AD148" i="7" s="1"/>
  <c r="N149" i="7"/>
  <c r="O149" i="7" s="1"/>
  <c r="E404" i="7"/>
  <c r="F345" i="7"/>
  <c r="AA236" i="7"/>
  <c r="AC236" i="7"/>
  <c r="AD236" i="7" s="1"/>
  <c r="AC149" i="7"/>
  <c r="AD149" i="7" s="1"/>
  <c r="R166" i="7"/>
  <c r="AC158" i="7"/>
  <c r="AD158" i="7" s="1"/>
  <c r="N171" i="7"/>
  <c r="O171" i="7" s="1"/>
  <c r="AC193" i="7"/>
  <c r="AD193" i="7" s="1"/>
  <c r="AC196" i="7"/>
  <c r="AD196" i="7" s="1"/>
  <c r="H209" i="7"/>
  <c r="I209" i="7" s="1"/>
  <c r="C209" i="7"/>
  <c r="W209" i="7"/>
  <c r="X209" i="7" s="1"/>
  <c r="W218" i="7"/>
  <c r="X218" i="7" s="1"/>
  <c r="R218" i="7"/>
  <c r="AC218" i="7"/>
  <c r="AD218" i="7" s="1"/>
  <c r="R149" i="7"/>
  <c r="W166" i="7"/>
  <c r="X166" i="7" s="1"/>
  <c r="W171" i="7"/>
  <c r="X171" i="7" s="1"/>
  <c r="R171" i="7"/>
  <c r="Z198" i="7"/>
  <c r="AA172" i="7"/>
  <c r="H197" i="7"/>
  <c r="I197" i="7" s="1"/>
  <c r="C197" i="7"/>
  <c r="W197" i="7"/>
  <c r="X197" i="7" s="1"/>
  <c r="AC170" i="7"/>
  <c r="AD170" i="7" s="1"/>
  <c r="U182" i="7"/>
  <c r="N193" i="7"/>
  <c r="O193" i="7" s="1"/>
  <c r="N196" i="7"/>
  <c r="O196" i="7" s="1"/>
  <c r="AC209" i="7"/>
  <c r="AD209" i="7" s="1"/>
  <c r="H218" i="7"/>
  <c r="I218" i="7" s="1"/>
  <c r="C218" i="7"/>
  <c r="W141" i="7"/>
  <c r="X141" i="7" s="1"/>
  <c r="K172" i="7"/>
  <c r="N209" i="7"/>
  <c r="O209" i="7" s="1"/>
  <c r="C227" i="7"/>
  <c r="H227" i="7"/>
  <c r="I227" i="7" s="1"/>
  <c r="R284" i="7"/>
  <c r="W284" i="7"/>
  <c r="X284" i="7" s="1"/>
  <c r="AC295" i="7"/>
  <c r="AD295" i="7" s="1"/>
  <c r="W262" i="7"/>
  <c r="X262" i="7" s="1"/>
  <c r="R262" i="7"/>
  <c r="H284" i="7"/>
  <c r="I284" i="7" s="1"/>
  <c r="C284" i="7"/>
  <c r="C295" i="7"/>
  <c r="H295" i="7"/>
  <c r="I295" i="7" s="1"/>
  <c r="C267" i="7"/>
  <c r="H267" i="7"/>
  <c r="I267" i="7" s="1"/>
  <c r="H273" i="7"/>
  <c r="I273" i="7" s="1"/>
  <c r="N325" i="7"/>
  <c r="O325" i="7" s="1"/>
  <c r="L325" i="7"/>
  <c r="AC227" i="7"/>
  <c r="AD227" i="7" s="1"/>
  <c r="AC262" i="7"/>
  <c r="AD262" i="7" s="1"/>
  <c r="R236" i="7"/>
  <c r="W236" i="7"/>
  <c r="X236" i="7" s="1"/>
  <c r="C263" i="7"/>
  <c r="H263" i="7"/>
  <c r="I263" i="7" s="1"/>
  <c r="W273" i="7"/>
  <c r="X273" i="7" s="1"/>
  <c r="R273" i="7"/>
  <c r="N284" i="7"/>
  <c r="O284" i="7" s="1"/>
  <c r="N295" i="7"/>
  <c r="O295" i="7" s="1"/>
  <c r="R343" i="7"/>
  <c r="C344" i="7"/>
  <c r="AC358" i="7"/>
  <c r="AD358" i="7" s="1"/>
  <c r="W368" i="7"/>
  <c r="X368" i="7" s="1"/>
  <c r="AC324" i="7"/>
  <c r="AD324" i="7" s="1"/>
  <c r="H344" i="7"/>
  <c r="I344" i="7" s="1"/>
  <c r="U344" i="7"/>
  <c r="N358" i="7"/>
  <c r="O358" i="7" s="1"/>
  <c r="R324" i="7"/>
  <c r="H325" i="7"/>
  <c r="I325" i="7" s="1"/>
  <c r="W358" i="7"/>
  <c r="X358" i="7" s="1"/>
  <c r="L368" i="7"/>
  <c r="F324" i="7"/>
  <c r="AC343" i="7"/>
  <c r="AD343" i="7" s="1"/>
  <c r="O380" i="7"/>
  <c r="O385" i="7"/>
  <c r="O390" i="7"/>
  <c r="O400" i="7"/>
  <c r="O408" i="7"/>
  <c r="O412" i="7"/>
  <c r="O416" i="7"/>
  <c r="O420" i="7"/>
  <c r="O424" i="7"/>
  <c r="W428" i="7"/>
  <c r="X428" i="7" s="1"/>
  <c r="AC429" i="7"/>
  <c r="AD429" i="7" s="1"/>
  <c r="O432" i="7"/>
  <c r="O436" i="7"/>
  <c r="O440" i="7"/>
  <c r="N441" i="7"/>
  <c r="O441" i="7" s="1"/>
  <c r="H442" i="7"/>
  <c r="I442" i="7" s="1"/>
  <c r="U393" i="7"/>
  <c r="U396" i="7"/>
  <c r="U403" i="7"/>
  <c r="F429" i="7"/>
  <c r="C441" i="7"/>
  <c r="O379" i="7"/>
  <c r="O383" i="7"/>
  <c r="O389" i="7"/>
  <c r="O399" i="7"/>
  <c r="O407" i="7"/>
  <c r="O411" i="7"/>
  <c r="O415" i="7"/>
  <c r="O419" i="7"/>
  <c r="O423" i="7"/>
  <c r="O427" i="7"/>
  <c r="N428" i="7"/>
  <c r="O428" i="7" s="1"/>
  <c r="AC441" i="7"/>
  <c r="AD441" i="7" s="1"/>
  <c r="W442" i="7"/>
  <c r="X442" i="7" s="1"/>
  <c r="R441" i="7"/>
  <c r="O382" i="7"/>
  <c r="O388" i="7"/>
  <c r="O392" i="7"/>
  <c r="O395" i="7"/>
  <c r="O398" i="7"/>
  <c r="O402" i="7"/>
  <c r="O414" i="7"/>
  <c r="N324" i="7"/>
  <c r="O324" i="7" s="1"/>
  <c r="AC342" i="7"/>
  <c r="AD342" i="7" s="1"/>
  <c r="AC344" i="7"/>
  <c r="AD344" i="7" s="1"/>
  <c r="AC368" i="7"/>
  <c r="AD368" i="7" s="1"/>
  <c r="AC393" i="7"/>
  <c r="AD393" i="7" s="1"/>
  <c r="AC396" i="7"/>
  <c r="AD396" i="7" s="1"/>
  <c r="AC403" i="7"/>
  <c r="AD403" i="7" s="1"/>
  <c r="AC442" i="7"/>
  <c r="AD442" i="7" s="1"/>
  <c r="Z345" i="7" l="1"/>
  <c r="AA198" i="7"/>
  <c r="AC172" i="7"/>
  <c r="AD172" i="7" s="1"/>
  <c r="Q198" i="7"/>
  <c r="W172" i="7"/>
  <c r="X172" i="7" s="1"/>
  <c r="R172" i="7"/>
  <c r="W172" i="6"/>
  <c r="X172" i="6" s="1"/>
  <c r="AC172" i="6"/>
  <c r="AD172" i="6" s="1"/>
  <c r="R172" i="6"/>
  <c r="Q198" i="6"/>
  <c r="N172" i="6"/>
  <c r="O172" i="6" s="1"/>
  <c r="H172" i="6"/>
  <c r="I172" i="6" s="1"/>
  <c r="C172" i="6"/>
  <c r="B198" i="6"/>
  <c r="AC172" i="5"/>
  <c r="AD172" i="5" s="1"/>
  <c r="Q198" i="5"/>
  <c r="R172" i="5"/>
  <c r="W172" i="5"/>
  <c r="X172" i="5" s="1"/>
  <c r="B198" i="5"/>
  <c r="H172" i="5"/>
  <c r="I172" i="5" s="1"/>
  <c r="C172" i="5"/>
  <c r="N172" i="5"/>
  <c r="O172" i="5" s="1"/>
  <c r="Z345" i="5"/>
  <c r="AA198" i="5"/>
  <c r="E198" i="3"/>
  <c r="F172" i="3"/>
  <c r="C198" i="2"/>
  <c r="N198" i="2"/>
  <c r="O198" i="2" s="1"/>
  <c r="B345" i="2"/>
  <c r="T198" i="2"/>
  <c r="U172" i="2"/>
  <c r="K198" i="4"/>
  <c r="L172" i="4"/>
  <c r="E198" i="1"/>
  <c r="H198" i="1" s="1"/>
  <c r="I198" i="1" s="1"/>
  <c r="F172" i="1"/>
  <c r="Q345" i="1"/>
  <c r="AC198" i="1"/>
  <c r="AD198" i="1" s="1"/>
  <c r="W198" i="1"/>
  <c r="X198" i="1" s="1"/>
  <c r="R198" i="1"/>
  <c r="B198" i="7"/>
  <c r="C172" i="7"/>
  <c r="H172" i="7"/>
  <c r="I172" i="7" s="1"/>
  <c r="N172" i="7"/>
  <c r="O172" i="7" s="1"/>
  <c r="T404" i="6"/>
  <c r="U345" i="6"/>
  <c r="Q198" i="4"/>
  <c r="R172" i="4"/>
  <c r="AC172" i="4"/>
  <c r="AD172" i="4" s="1"/>
  <c r="W172" i="4"/>
  <c r="X172" i="4" s="1"/>
  <c r="T198" i="4"/>
  <c r="U172" i="4"/>
  <c r="W172" i="2"/>
  <c r="X172" i="2" s="1"/>
  <c r="Q198" i="2"/>
  <c r="R172" i="2"/>
  <c r="AC172" i="2"/>
  <c r="AD172" i="2" s="1"/>
  <c r="K198" i="1"/>
  <c r="L172" i="1"/>
  <c r="T345" i="5"/>
  <c r="U198" i="5"/>
  <c r="Z404" i="3"/>
  <c r="AA345" i="3"/>
  <c r="E198" i="2"/>
  <c r="F172" i="2"/>
  <c r="AA345" i="1"/>
  <c r="Z404" i="1"/>
  <c r="K345" i="6"/>
  <c r="L198" i="6"/>
  <c r="H172" i="4"/>
  <c r="I172" i="4" s="1"/>
  <c r="C172" i="4"/>
  <c r="N172" i="4"/>
  <c r="O172" i="4" s="1"/>
  <c r="B198" i="4"/>
  <c r="K443" i="3"/>
  <c r="L443" i="3" s="1"/>
  <c r="L404" i="3"/>
  <c r="AA198" i="2"/>
  <c r="Z345" i="2"/>
  <c r="F172" i="6"/>
  <c r="E198" i="6"/>
  <c r="K198" i="5"/>
  <c r="L172" i="5"/>
  <c r="F404" i="7"/>
  <c r="E443" i="7"/>
  <c r="F443" i="7" s="1"/>
  <c r="AA172" i="6"/>
  <c r="Z198" i="6"/>
  <c r="E345" i="5"/>
  <c r="F198" i="5"/>
  <c r="AA172" i="4"/>
  <c r="Z198" i="4"/>
  <c r="T198" i="3"/>
  <c r="U172" i="3"/>
  <c r="B345" i="3"/>
  <c r="H198" i="3"/>
  <c r="I198" i="3" s="1"/>
  <c r="C198" i="3"/>
  <c r="N198" i="3"/>
  <c r="O198" i="3" s="1"/>
  <c r="C198" i="1"/>
  <c r="B345" i="1"/>
  <c r="N198" i="1"/>
  <c r="O198" i="1" s="1"/>
  <c r="T404" i="1"/>
  <c r="U345" i="1"/>
  <c r="L172" i="7"/>
  <c r="K198" i="7"/>
  <c r="T198" i="7"/>
  <c r="U172" i="7"/>
  <c r="E404" i="4"/>
  <c r="F345" i="4"/>
  <c r="W172" i="3"/>
  <c r="X172" i="3" s="1"/>
  <c r="Q198" i="3"/>
  <c r="R172" i="3"/>
  <c r="AC172" i="3"/>
  <c r="AD172" i="3" s="1"/>
  <c r="H172" i="3"/>
  <c r="I172" i="3" s="1"/>
  <c r="K198" i="2"/>
  <c r="L172" i="2"/>
  <c r="N172" i="2"/>
  <c r="O172" i="2" s="1"/>
  <c r="AA345" i="2" l="1"/>
  <c r="Z404" i="2"/>
  <c r="K345" i="2"/>
  <c r="L198" i="2"/>
  <c r="Z345" i="4"/>
  <c r="AA198" i="4"/>
  <c r="N198" i="4"/>
  <c r="O198" i="4" s="1"/>
  <c r="B345" i="4"/>
  <c r="H198" i="4"/>
  <c r="I198" i="4" s="1"/>
  <c r="C198" i="4"/>
  <c r="Q345" i="5"/>
  <c r="AC198" i="5"/>
  <c r="AD198" i="5" s="1"/>
  <c r="W198" i="5"/>
  <c r="X198" i="5" s="1"/>
  <c r="R198" i="5"/>
  <c r="L198" i="5"/>
  <c r="K345" i="5"/>
  <c r="F198" i="2"/>
  <c r="E345" i="2"/>
  <c r="Q345" i="4"/>
  <c r="AC198" i="4"/>
  <c r="AD198" i="4" s="1"/>
  <c r="R198" i="4"/>
  <c r="W198" i="4"/>
  <c r="X198" i="4" s="1"/>
  <c r="T345" i="2"/>
  <c r="U198" i="2"/>
  <c r="Z404" i="5"/>
  <c r="AA345" i="5"/>
  <c r="H345" i="2"/>
  <c r="I345" i="2" s="1"/>
  <c r="B404" i="2"/>
  <c r="N345" i="2"/>
  <c r="O345" i="2" s="1"/>
  <c r="C345" i="2"/>
  <c r="B345" i="6"/>
  <c r="H198" i="6"/>
  <c r="I198" i="6" s="1"/>
  <c r="N198" i="6"/>
  <c r="O198" i="6" s="1"/>
  <c r="C198" i="6"/>
  <c r="Z443" i="3"/>
  <c r="AA443" i="3" s="1"/>
  <c r="AA404" i="3"/>
  <c r="U404" i="6"/>
  <c r="T443" i="6"/>
  <c r="U443" i="6" s="1"/>
  <c r="Q404" i="1"/>
  <c r="AC345" i="1"/>
  <c r="AD345" i="1" s="1"/>
  <c r="R345" i="1"/>
  <c r="W345" i="1"/>
  <c r="X345" i="1" s="1"/>
  <c r="Q345" i="7"/>
  <c r="R198" i="7"/>
  <c r="AC198" i="7"/>
  <c r="AD198" i="7" s="1"/>
  <c r="W198" i="7"/>
  <c r="X198" i="7" s="1"/>
  <c r="K345" i="7"/>
  <c r="L198" i="7"/>
  <c r="E345" i="6"/>
  <c r="F198" i="6"/>
  <c r="U404" i="1"/>
  <c r="T443" i="1"/>
  <c r="U443" i="1" s="1"/>
  <c r="B404" i="3"/>
  <c r="C345" i="3"/>
  <c r="N345" i="3"/>
  <c r="O345" i="3" s="1"/>
  <c r="H345" i="3"/>
  <c r="I345" i="3" s="1"/>
  <c r="K404" i="6"/>
  <c r="L345" i="6"/>
  <c r="T404" i="5"/>
  <c r="U345" i="5"/>
  <c r="T345" i="4"/>
  <c r="U198" i="4"/>
  <c r="E345" i="1"/>
  <c r="F198" i="1"/>
  <c r="H198" i="2"/>
  <c r="I198" i="2" s="1"/>
  <c r="N198" i="5"/>
  <c r="O198" i="5" s="1"/>
  <c r="B345" i="5"/>
  <c r="H198" i="5"/>
  <c r="I198" i="5" s="1"/>
  <c r="C198" i="5"/>
  <c r="F345" i="5"/>
  <c r="E404" i="5"/>
  <c r="T345" i="7"/>
  <c r="U198" i="7"/>
  <c r="R198" i="2"/>
  <c r="AC198" i="2"/>
  <c r="AD198" i="2" s="1"/>
  <c r="W198" i="2"/>
  <c r="X198" i="2" s="1"/>
  <c r="Q345" i="2"/>
  <c r="Q345" i="3"/>
  <c r="W198" i="3"/>
  <c r="X198" i="3" s="1"/>
  <c r="R198" i="3"/>
  <c r="AC198" i="3"/>
  <c r="AD198" i="3" s="1"/>
  <c r="Z345" i="6"/>
  <c r="AA198" i="6"/>
  <c r="AA404" i="1"/>
  <c r="Z443" i="1"/>
  <c r="AA443" i="1" s="1"/>
  <c r="Q345" i="6"/>
  <c r="W198" i="6"/>
  <c r="X198" i="6" s="1"/>
  <c r="AC198" i="6"/>
  <c r="AD198" i="6" s="1"/>
  <c r="R198" i="6"/>
  <c r="F404" i="4"/>
  <c r="E443" i="4"/>
  <c r="F443" i="4" s="1"/>
  <c r="C345" i="1"/>
  <c r="B404" i="1"/>
  <c r="H345" i="1"/>
  <c r="I345" i="1" s="1"/>
  <c r="N345" i="1"/>
  <c r="O345" i="1" s="1"/>
  <c r="U198" i="3"/>
  <c r="T345" i="3"/>
  <c r="K345" i="1"/>
  <c r="L198" i="1"/>
  <c r="B345" i="7"/>
  <c r="N198" i="7"/>
  <c r="O198" i="7" s="1"/>
  <c r="C198" i="7"/>
  <c r="H198" i="7"/>
  <c r="I198" i="7" s="1"/>
  <c r="K345" i="4"/>
  <c r="L198" i="4"/>
  <c r="F198" i="3"/>
  <c r="E345" i="3"/>
  <c r="Z404" i="7"/>
  <c r="AA345" i="7"/>
  <c r="K404" i="4" l="1"/>
  <c r="L345" i="4"/>
  <c r="T404" i="7"/>
  <c r="U345" i="7"/>
  <c r="K404" i="5"/>
  <c r="L345" i="5"/>
  <c r="N345" i="4"/>
  <c r="O345" i="4" s="1"/>
  <c r="B404" i="4"/>
  <c r="H345" i="4"/>
  <c r="I345" i="4" s="1"/>
  <c r="C345" i="4"/>
  <c r="E404" i="1"/>
  <c r="F345" i="1"/>
  <c r="L345" i="7"/>
  <c r="K404" i="7"/>
  <c r="Q443" i="1"/>
  <c r="AC404" i="1"/>
  <c r="AD404" i="1" s="1"/>
  <c r="W404" i="1"/>
  <c r="X404" i="1" s="1"/>
  <c r="R404" i="1"/>
  <c r="B404" i="6"/>
  <c r="C345" i="6"/>
  <c r="H345" i="6"/>
  <c r="I345" i="6" s="1"/>
  <c r="N345" i="6"/>
  <c r="O345" i="6" s="1"/>
  <c r="T404" i="2"/>
  <c r="U345" i="2"/>
  <c r="C404" i="1"/>
  <c r="B443" i="1"/>
  <c r="H404" i="1"/>
  <c r="I404" i="1" s="1"/>
  <c r="R345" i="2"/>
  <c r="W345" i="2"/>
  <c r="X345" i="2" s="1"/>
  <c r="Q404" i="2"/>
  <c r="AC345" i="2"/>
  <c r="AD345" i="2" s="1"/>
  <c r="T404" i="4"/>
  <c r="U345" i="4"/>
  <c r="B443" i="3"/>
  <c r="N404" i="3"/>
  <c r="O404" i="3" s="1"/>
  <c r="C404" i="3"/>
  <c r="H404" i="3"/>
  <c r="I404" i="3" s="1"/>
  <c r="Z404" i="4"/>
  <c r="AA345" i="4"/>
  <c r="C404" i="2"/>
  <c r="N404" i="2"/>
  <c r="O404" i="2" s="1"/>
  <c r="B443" i="2"/>
  <c r="Q404" i="6"/>
  <c r="R345" i="6"/>
  <c r="AC345" i="6"/>
  <c r="AD345" i="6" s="1"/>
  <c r="W345" i="6"/>
  <c r="X345" i="6" s="1"/>
  <c r="AC345" i="4"/>
  <c r="AD345" i="4" s="1"/>
  <c r="Q404" i="4"/>
  <c r="W345" i="4"/>
  <c r="X345" i="4" s="1"/>
  <c r="R345" i="4"/>
  <c r="Q404" i="5"/>
  <c r="W345" i="5"/>
  <c r="X345" i="5" s="1"/>
  <c r="AC345" i="5"/>
  <c r="AD345" i="5" s="1"/>
  <c r="R345" i="5"/>
  <c r="K404" i="2"/>
  <c r="L345" i="2"/>
  <c r="E443" i="5"/>
  <c r="F443" i="5" s="1"/>
  <c r="F404" i="5"/>
  <c r="W345" i="3"/>
  <c r="X345" i="3" s="1"/>
  <c r="AC345" i="3"/>
  <c r="AD345" i="3" s="1"/>
  <c r="Q404" i="3"/>
  <c r="R345" i="3"/>
  <c r="B404" i="7"/>
  <c r="N345" i="7"/>
  <c r="O345" i="7" s="1"/>
  <c r="H345" i="7"/>
  <c r="I345" i="7" s="1"/>
  <c r="C345" i="7"/>
  <c r="F345" i="2"/>
  <c r="E404" i="2"/>
  <c r="Z443" i="2"/>
  <c r="AA443" i="2" s="1"/>
  <c r="AA404" i="2"/>
  <c r="AA404" i="7"/>
  <c r="Z443" i="7"/>
  <c r="AA443" i="7" s="1"/>
  <c r="E404" i="3"/>
  <c r="F345" i="3"/>
  <c r="H345" i="5"/>
  <c r="I345" i="5" s="1"/>
  <c r="B404" i="5"/>
  <c r="C345" i="5"/>
  <c r="N345" i="5"/>
  <c r="O345" i="5" s="1"/>
  <c r="T443" i="5"/>
  <c r="U443" i="5" s="1"/>
  <c r="U404" i="5"/>
  <c r="W345" i="7"/>
  <c r="X345" i="7" s="1"/>
  <c r="Q404" i="7"/>
  <c r="AC345" i="7"/>
  <c r="AD345" i="7" s="1"/>
  <c r="R345" i="7"/>
  <c r="K404" i="1"/>
  <c r="L345" i="1"/>
  <c r="AA345" i="6"/>
  <c r="Z404" i="6"/>
  <c r="T404" i="3"/>
  <c r="U345" i="3"/>
  <c r="L404" i="6"/>
  <c r="K443" i="6"/>
  <c r="L443" i="6" s="1"/>
  <c r="E404" i="6"/>
  <c r="F345" i="6"/>
  <c r="Z443" i="5"/>
  <c r="AA443" i="5" s="1"/>
  <c r="AA404" i="5"/>
  <c r="H404" i="4" l="1"/>
  <c r="I404" i="4" s="1"/>
  <c r="B443" i="4"/>
  <c r="C404" i="4"/>
  <c r="N404" i="4"/>
  <c r="O404" i="4" s="1"/>
  <c r="Z443" i="4"/>
  <c r="AA443" i="4" s="1"/>
  <c r="AA404" i="4"/>
  <c r="R404" i="2"/>
  <c r="W404" i="2"/>
  <c r="X404" i="2" s="1"/>
  <c r="AC404" i="2"/>
  <c r="AD404" i="2" s="1"/>
  <c r="Q443" i="2"/>
  <c r="T443" i="2"/>
  <c r="U443" i="2" s="1"/>
  <c r="U404" i="2"/>
  <c r="AC443" i="1"/>
  <c r="AD443" i="1" s="1"/>
  <c r="W443" i="1"/>
  <c r="X443" i="1" s="1"/>
  <c r="R443" i="1"/>
  <c r="H404" i="5"/>
  <c r="I404" i="5" s="1"/>
  <c r="B443" i="5"/>
  <c r="N404" i="5"/>
  <c r="O404" i="5" s="1"/>
  <c r="C404" i="5"/>
  <c r="F404" i="2"/>
  <c r="E443" i="2"/>
  <c r="F443" i="2" s="1"/>
  <c r="L404" i="7"/>
  <c r="K443" i="7"/>
  <c r="L443" i="7" s="1"/>
  <c r="K443" i="1"/>
  <c r="L443" i="1" s="1"/>
  <c r="L404" i="1"/>
  <c r="L404" i="5"/>
  <c r="K443" i="5"/>
  <c r="L443" i="5" s="1"/>
  <c r="Q443" i="5"/>
  <c r="AC404" i="5"/>
  <c r="AD404" i="5" s="1"/>
  <c r="W404" i="5"/>
  <c r="X404" i="5" s="1"/>
  <c r="R404" i="5"/>
  <c r="Q443" i="6"/>
  <c r="AC404" i="6"/>
  <c r="AD404" i="6" s="1"/>
  <c r="R404" i="6"/>
  <c r="W404" i="6"/>
  <c r="X404" i="6" s="1"/>
  <c r="H443" i="2"/>
  <c r="I443" i="2" s="1"/>
  <c r="C443" i="2"/>
  <c r="N404" i="1"/>
  <c r="O404" i="1" s="1"/>
  <c r="W404" i="7"/>
  <c r="X404" i="7" s="1"/>
  <c r="R404" i="7"/>
  <c r="Q443" i="7"/>
  <c r="AC404" i="7"/>
  <c r="AD404" i="7" s="1"/>
  <c r="U404" i="3"/>
  <c r="T443" i="3"/>
  <c r="U443" i="3" s="1"/>
  <c r="F404" i="3"/>
  <c r="E443" i="3"/>
  <c r="F443" i="3" s="1"/>
  <c r="T443" i="7"/>
  <c r="U443" i="7" s="1"/>
  <c r="U404" i="7"/>
  <c r="E443" i="6"/>
  <c r="F443" i="6" s="1"/>
  <c r="F404" i="6"/>
  <c r="R404" i="3"/>
  <c r="Q443" i="3"/>
  <c r="AC404" i="3"/>
  <c r="AD404" i="3" s="1"/>
  <c r="W404" i="3"/>
  <c r="X404" i="3" s="1"/>
  <c r="C404" i="6"/>
  <c r="B443" i="6"/>
  <c r="N404" i="6"/>
  <c r="O404" i="6" s="1"/>
  <c r="H404" i="6"/>
  <c r="I404" i="6" s="1"/>
  <c r="E443" i="1"/>
  <c r="F443" i="1" s="1"/>
  <c r="F404" i="1"/>
  <c r="AA404" i="6"/>
  <c r="Z443" i="6"/>
  <c r="AA443" i="6" s="1"/>
  <c r="W404" i="4"/>
  <c r="X404" i="4" s="1"/>
  <c r="Q443" i="4"/>
  <c r="R404" i="4"/>
  <c r="AC404" i="4"/>
  <c r="AD404" i="4" s="1"/>
  <c r="C443" i="1"/>
  <c r="N443" i="1"/>
  <c r="O443" i="1" s="1"/>
  <c r="H443" i="1"/>
  <c r="I443" i="1" s="1"/>
  <c r="N443" i="3"/>
  <c r="O443" i="3" s="1"/>
  <c r="C443" i="3"/>
  <c r="H404" i="7"/>
  <c r="I404" i="7" s="1"/>
  <c r="C404" i="7"/>
  <c r="B443" i="7"/>
  <c r="N404" i="7"/>
  <c r="O404" i="7" s="1"/>
  <c r="K443" i="2"/>
  <c r="L443" i="2" s="1"/>
  <c r="L404" i="2"/>
  <c r="H404" i="2"/>
  <c r="I404" i="2" s="1"/>
  <c r="T443" i="4"/>
  <c r="U443" i="4" s="1"/>
  <c r="U404" i="4"/>
  <c r="K443" i="4"/>
  <c r="L443" i="4" s="1"/>
  <c r="L404" i="4"/>
  <c r="R443" i="3" l="1"/>
  <c r="AC443" i="3"/>
  <c r="AD443" i="3" s="1"/>
  <c r="W443" i="3"/>
  <c r="X443" i="3" s="1"/>
  <c r="N443" i="2"/>
  <c r="O443" i="2" s="1"/>
  <c r="H443" i="3"/>
  <c r="I443" i="3" s="1"/>
  <c r="AC443" i="6"/>
  <c r="AD443" i="6" s="1"/>
  <c r="R443" i="6"/>
  <c r="W443" i="6"/>
  <c r="X443" i="6" s="1"/>
  <c r="AC443" i="5"/>
  <c r="AD443" i="5" s="1"/>
  <c r="W443" i="5"/>
  <c r="X443" i="5" s="1"/>
  <c r="R443" i="5"/>
  <c r="H443" i="7"/>
  <c r="I443" i="7" s="1"/>
  <c r="C443" i="7"/>
  <c r="N443" i="7"/>
  <c r="O443" i="7" s="1"/>
  <c r="W443" i="7"/>
  <c r="X443" i="7" s="1"/>
  <c r="R443" i="7"/>
  <c r="AC443" i="7"/>
  <c r="AD443" i="7" s="1"/>
  <c r="R443" i="2"/>
  <c r="W443" i="2"/>
  <c r="X443" i="2" s="1"/>
  <c r="AC443" i="2"/>
  <c r="AD443" i="2" s="1"/>
  <c r="C443" i="4"/>
  <c r="N443" i="4"/>
  <c r="O443" i="4" s="1"/>
  <c r="H443" i="4"/>
  <c r="I443" i="4" s="1"/>
  <c r="W443" i="4"/>
  <c r="X443" i="4" s="1"/>
  <c r="AC443" i="4"/>
  <c r="AD443" i="4" s="1"/>
  <c r="R443" i="4"/>
  <c r="C443" i="6"/>
  <c r="N443" i="6"/>
  <c r="O443" i="6" s="1"/>
  <c r="H443" i="6"/>
  <c r="I443" i="6" s="1"/>
  <c r="H443" i="5"/>
  <c r="I443" i="5" s="1"/>
  <c r="C443" i="5"/>
  <c r="N443" i="5"/>
  <c r="O443" i="5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<sst xmlns="http://schemas.openxmlformats.org/spreadsheetml/2006/main" count="3934" uniqueCount="417">
  <si>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</si>
  <si>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08/24/2025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</si>
  <si>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</si>
  <si>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</si>
  <si>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</si>
  <si>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</si>
  <si>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</si>
  <si>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</si>
  <si>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</si>
  <si>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</si>
  <si>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</si>
  <si>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</si>
  <si>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</si>
  <si>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</si>
  <si>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</si>
  <si>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</si>
  <si>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</si>
  <si>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</si>
  <si>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</si>
  <si>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</si>
  <si>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</si>
  <si>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</si>
  <si>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</si>
  <si>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</si>
  <si>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</si>
  <si>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</si>
  <si>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</si>
  <si>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</si>
  <si>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</si>
  <si>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</si>
  <si>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</si>
  <si>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</si>
  <si>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</si>
  <si>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</si>
  <si>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</si>
  <si>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</si>
  <si>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</si>
  <si>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</si>
  <si>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</si>
  <si>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</si>
  <si>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</si>
  <si>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</si>
  <si>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</si>
  <si>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</si>
  <si>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</si>
  <si>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</si>
  <si>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</si>
  <si>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</si>
  <si>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</si>
  <si>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</si>
  <si>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</si>
  <si>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</si>
  <si>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</si>
  <si>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</si>
  <si>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</si>
  <si>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</si>
  <si>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</si>
  <si>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</si>
  <si>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</si>
  <si>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</si>
  <si>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</si>
  <si>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</si>
  <si>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</si>
  <si>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</si>
  <si>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</si>
  <si>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</si>
  <si>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</si>
  <si>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</si>
  <si>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</si>
  <si>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</si>
  <si>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</si>
  <si>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</si>
  <si>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</si>
  <si>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</si>
  <si>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</si>
  <si>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</si>
  <si>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</si>
  <si>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</si>
  <si>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</si>
  <si>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</si>
  <si>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</si>
  <si>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</si>
  <si>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</si>
  <si>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</si>
  <si>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</si>
  <si>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</si>
  <si>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</si>
  <si>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</si>
  <si>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</si>
  <si>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</si>
  <si>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</si>
  <si>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</si>
  <si>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</si>
  <si>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</si>
  <si>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</si>
  <si>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</si>
  <si>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</si>
  <si>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</si>
  <si>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</si>
  <si>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</si>
  <si>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</si>
  <si>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</si>
  <si>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</si>
  <si>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</si>
  <si>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</si>
  <si>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</si>
  <si>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</si>
  <si>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</si>
  <si>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</si>
  <si>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</si>
  <si>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</si>
  <si>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</si>
  <si>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</si>
  <si>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</si>
  <si>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</si>
  <si>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</si>
  <si>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</si>
  <si>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</si>
  <si>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</si>
  <si>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</si>
  <si>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</si>
  <si>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</si>
  <si>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</si>
  <si>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</si>
  <si>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</si>
  <si>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</si>
  <si>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</si>
  <si>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</si>
  <si>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</si>
  <si>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</si>
  <si>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</si>
  <si>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</si>
  <si>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</si>
  <si>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</si>
  <si>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</si>
  <si>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</si>
  <si>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</si>
  <si>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</si>
  <si>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</si>
  <si>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</si>
  <si>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</si>
  <si>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</si>
  <si>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</si>
  <si>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</si>
  <si>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</si>
  <si>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</si>
  <si>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</si>
  <si>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</si>
  <si>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</si>
  <si>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</si>
  <si>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</si>
  <si>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</si>
  <si>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</si>
  <si>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</si>
  <si>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</si>
  <si>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</si>
  <si>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</si>
  <si>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</si>
  <si>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</si>
  <si>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</si>
  <si>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</si>
  <si>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</si>
  <si>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</si>
  <si>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</si>
  <si>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</si>
  <si>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</si>
  <si>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</si>
  <si>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</si>
  <si>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</si>
  <si>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</si>
  <si>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</si>
  <si>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</si>
  <si>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</si>
  <si>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</si>
  <si>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</si>
  <si>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</si>
  <si>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</si>
  <si>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</si>
  <si>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</si>
  <si>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</si>
  <si>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</si>
  <si>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</si>
  <si>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</si>
  <si>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</si>
  <si>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</si>
  <si>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</si>
  <si>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</si>
  <si>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</si>
  <si>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</si>
  <si>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</si>
  <si>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</si>
  <si>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</si>
  <si>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</si>
  <si>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</si>
  <si>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</si>
  <si>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</si>
  <si>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</si>
  <si>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</si>
  <si>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</si>
  <si>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</si>
  <si>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</si>
  <si>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</si>
  <si>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</si>
  <si>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</si>
  <si>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</si>
  <si>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</si>
  <si>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</si>
  <si>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</si>
  <si>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</si>
  <si>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</si>
  <si>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</si>
  <si>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</si>
  <si>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</si>
  <si>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</si>
  <si>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</si>
  <si>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</si>
  <si>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</si>
  <si>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</si>
  <si>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</si>
  <si>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</si>
  <si>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</si>
  <si>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</si>
  <si>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</si>
  <si>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</si>
  <si>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</si>
  <si>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</si>
  <si>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</si>
  <si>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</si>
  <si>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</si>
  <si>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</si>
  <si>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</si>
  <si>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</si>
  <si>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</si>
  <si>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</si>
  <si>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</si>
  <si>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</si>
  <si>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</si>
  <si>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</si>
  <si>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</si>
  <si>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</si>
  <si>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</si>
  <si>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</si>
  <si>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</si>
  <si>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</si>
  <si>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</si>
  <si>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</si>
  <si>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</si>
  <si>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</si>
  <si>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</si>
  <si>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</si>
  <si>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</si>
  <si>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</si>
  <si>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</si>
  <si>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</si>
  <si>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</si>
  <si>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</si>
  <si>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</si>
  <si>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</si>
  <si>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</si>
  <si>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</si>
  <si>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</si>
  <si>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</si>
  <si>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</si>
  <si>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</si>
  <si>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</si>
  <si>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</si>
  <si>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</si>
  <si>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</si>
  <si>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</si>
  <si>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</si>
  <si>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</si>
  <si>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</si>
  <si>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</si>
  <si>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</si>
  <si>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</si>
  <si>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</si>
  <si>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</si>
  <si>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</si>
  <si>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</si>
  <si>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</si>
  <si>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</si>
  <si>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</si>
  <si>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</si>
  <si>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</si>
  <si>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</si>
  <si>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</si>
  <si>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</si>
  <si>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</si>
  <si>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</si>
  <si>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</si>
  <si>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</si>
  <si>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</si>
  <si>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</si>
  <si>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</si>
  <si>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</si>
  <si>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</si>
  <si>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</si>
  <si>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</si>
  <si>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</si>
  <si>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</si>
  <si>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</si>
  <si>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</si>
  <si>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</si>
  <si>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</si>
  <si>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</si>
  <si>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</si>
  <si>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</si>
  <si>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</si>
  <si>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</si>
  <si>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</si>
  <si>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</si>
  <si>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</si>
  <si>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</si>
  <si>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</si>
  <si>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</si>
  <si>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</si>
  <si>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</si>
  <si>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</si>
  <si>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</si>
  <si>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</si>
  <si>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</si>
  <si>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</si>
  <si>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</si>
  <si>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</si>
  <si>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</si>
  <si>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</si>
  <si>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</si>
  <si>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</si>
  <si>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</si>
  <si>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</si>
  <si>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</si>
  <si>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</si>
  <si>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</si>
  <si>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</si>
  <si>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</si>
  <si>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</si>
  <si>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</si>
  <si>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</si>
  <si>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</si>
  <si>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</si>
  <si>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</si>
  <si>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</si>
  <si>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</si>
  <si>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</si>
  <si>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</si>
  <si>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</si>
  <si>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</si>
  <si>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</si>
  <si>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</si>
  <si>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</si>
  <si>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</si>
  <si>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</si>
  <si>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</si>
  <si>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</si>
  <si>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</si>
  <si>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</si>
  <si>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</si>
  <si>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</si>
  <si>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</si>
  <si>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</si>
  <si>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</si>
  <si>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</si>
  <si>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</si>
  <si>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</si>
  <si>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</si>
  <si>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</si>
  <si>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</si>
  <si>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</si>
  <si>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</si>
  <si>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</si>
  <si>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</si>
  <si>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</si>
  <si>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</si>
  <si>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</si>
  <si>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</si>
  <si>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</si>
  <si>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</si>
  <si>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</si>
  <si>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</si>
  <si>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</si>
  <si>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</si>
  <si>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</si>
  <si>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</si>
  <si>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</si>
  <si>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</si>
  <si>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</si>
  <si>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</si>
  <si>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</si>
  <si>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</si>
  <si>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</si>
  <si>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</si>
  <si>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</si>
  <si>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</si>
  <si>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</si>
  <si>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</si>
  <si>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</si>
  <si>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</si>
  <si>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</si>
  <si>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</si>
  <si>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</si>
  <si>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</si>
  <si>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</si>
  <si>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</si>
  <si>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</si>
  <si>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</si>
  <si>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</si>
  <si>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</si>
  <si>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</si>
  <si>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</si>
  <si>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</si>
  <si>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06:56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</si>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</sst>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269870.21999999997</v>
      </c>
      <c r="F10" s="8">
        <f>IFERROR(E10/E444, "NA")</f>
        <v>0.46347034225866646</v>
      </c>
      <c r="G10" s="9"/>
      <c r="H10" s="10">
        <f t="shared" ref="H10:H19" si="0">IFERROR(B10-E10, "NA")</f>
        <v>-269870.21999999997</v>
      </c>
      <c r="I10" s="8">
        <f>IFERROR(H10/H444, "NA")</f>
        <v>4.0237410518167138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2198360.52</v>
      </c>
      <c r="U10" s="8">
        <f>IFERROR(T10/T444, "NA")</f>
        <v>0.46158210001013822</v>
      </c>
      <c r="V10" s="9"/>
      <c r="W10" s="10">
        <f t="shared" ref="W10:W19" si="2">IFERROR(Q10-T10, "NA")</f>
        <v>-2198360.52</v>
      </c>
      <c r="X10" s="8">
        <f>IFERROR(W10/W444, "NA")</f>
        <v>15.505808646251721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247993.57</v>
      </c>
      <c r="C11" s="8">
        <f>IFERROR(B11/B444, "NA")</f>
        <v>0.48134272092432617</v>
      </c>
      <c r="D11" s="9"/>
      <c r="E11" s="7">
        <v>0</v>
      </c>
      <c r="F11" s="8">
        <f>IFERROR(E11/E444, "NA")</f>
        <v>0</v>
      </c>
      <c r="G11" s="9"/>
      <c r="H11" s="10">
        <f t="shared" si="0"/>
        <v>247993.57</v>
      </c>
      <c r="I11" s="8">
        <f>IFERROR(H11/H444, "NA")</f>
        <v>-3.697562140037467</v>
      </c>
      <c r="J11" s="9"/>
      <c r="K11" s="7">
        <v>232999.51</v>
      </c>
      <c r="L11" s="8">
        <f>IFERROR(K11/K444, "NA")</f>
        <v>0.4483892841586658</v>
      </c>
      <c r="M11" s="9"/>
      <c r="N11" s="10">
        <f t="shared" si="1"/>
        <v>14994.059999999998</v>
      </c>
      <c r="O11" s="8">
        <f>IFERROR(N11/N444, "NA")</f>
        <v>-3.3887868083288799</v>
      </c>
      <c r="P11" s="9"/>
      <c r="Q11" s="7">
        <v>1935654.32</v>
      </c>
      <c r="R11" s="8">
        <f>IFERROR(Q11/Q444, "NA")</f>
        <v>0.41889232115638769</v>
      </c>
      <c r="S11" s="9"/>
      <c r="T11" s="7">
        <v>0</v>
      </c>
      <c r="U11" s="8">
        <f>IFERROR(T11/T444, "NA")</f>
        <v>0</v>
      </c>
      <c r="V11" s="9"/>
      <c r="W11" s="10">
        <f t="shared" si="2"/>
        <v>1935654.32</v>
      </c>
      <c r="X11" s="8">
        <f>IFERROR(W11/W444, "NA")</f>
        <v>-13.652849575014429</v>
      </c>
      <c r="Y11" s="9"/>
      <c r="Z11" s="7">
        <v>1909509.8599999999</v>
      </c>
      <c r="AA11" s="8">
        <f>IFERROR(Z11/Z444, "NA")</f>
        <v>0.455617197880609</v>
      </c>
      <c r="AB11" s="9"/>
      <c r="AC11" s="10">
        <f t="shared" si="3"/>
        <v>26144.460000000196</v>
      </c>
      <c r="AD11" s="8">
        <f>IFERROR(AC11/AC444, "NA")</f>
        <v>6.0822617947949714E-2</v>
      </c>
    </row>
    <row r="12" spans="1:30" ht="16.5" customHeight="1" x14ac:dyDescent="0.45">
      <c r="A12" s="12" t="s">
        <v>14</v>
      </c>
      <c r="B12" s="7">
        <v>25282.800000000003</v>
      </c>
      <c r="C12" s="8">
        <f>IFERROR(B12/B444, "NA")</f>
        <v>4.9072610005918921E-2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25282.800000000003</v>
      </c>
      <c r="I12" s="8">
        <f>IFERROR(H12/H444, "NA")</f>
        <v>-0.37696430626866362</v>
      </c>
      <c r="J12" s="9"/>
      <c r="K12" s="7">
        <v>24622.300000000003</v>
      </c>
      <c r="L12" s="8">
        <f>IFERROR(K12/K444, "NA")</f>
        <v>4.7383685361998905E-2</v>
      </c>
      <c r="M12" s="9"/>
      <c r="N12" s="10">
        <f t="shared" si="1"/>
        <v>660.5</v>
      </c>
      <c r="O12" s="8">
        <f>IFERROR(N12/N444, "NA")</f>
        <v>-0.14927869348937015</v>
      </c>
      <c r="P12" s="9"/>
      <c r="Q12" s="7">
        <v>206600.89</v>
      </c>
      <c r="R12" s="8">
        <f>IFERROR(Q12/Q444, "NA")</f>
        <v>4.4710217868382369E-2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206600.89</v>
      </c>
      <c r="X12" s="8">
        <f>IFERROR(W12/W444, "NA")</f>
        <v>-1.4572286198468034</v>
      </c>
      <c r="Y12" s="9"/>
      <c r="Z12" s="7">
        <v>193985.3</v>
      </c>
      <c r="AA12" s="8">
        <f>IFERROR(Z12/Z444, "NA")</f>
        <v>4.6285720051756789E-2</v>
      </c>
      <c r="AB12" s="9"/>
      <c r="AC12" s="10">
        <f t="shared" si="3"/>
        <v>12615.590000000026</v>
      </c>
      <c r="AD12" s="8">
        <f>IFERROR(AC12/AC444, "NA")</f>
        <v>2.9348979124371694E-2</v>
      </c>
    </row>
    <row r="13" spans="1:30" ht="16.5" customHeight="1" x14ac:dyDescent="0.45">
      <c r="A13" s="12" t="s">
        <v>15</v>
      </c>
      <c r="B13" s="7">
        <v>1029.5</v>
      </c>
      <c r="C13" s="8">
        <f>IFERROR(B13/B444, "NA")</f>
        <v>1.9982063695909284E-3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1029.5</v>
      </c>
      <c r="I13" s="8">
        <f>IFERROR(H13/H444, "NA")</f>
        <v>-1.5349753718084594E-2</v>
      </c>
      <c r="J13" s="9"/>
      <c r="K13" s="7">
        <v>886</v>
      </c>
      <c r="L13" s="8">
        <f>IFERROR(K13/K444, "NA")</f>
        <v>1.7050375160212905E-3</v>
      </c>
      <c r="M13" s="9"/>
      <c r="N13" s="10">
        <f t="shared" si="1"/>
        <v>143.5</v>
      </c>
      <c r="O13" s="8">
        <f>IFERROR(N13/N444, "NA")</f>
        <v>-3.2432236965517967E-2</v>
      </c>
      <c r="P13" s="9"/>
      <c r="Q13" s="7">
        <v>9576</v>
      </c>
      <c r="R13" s="8">
        <f>IFERROR(Q13/Q444, "NA")</f>
        <v>2.0723291477961667E-3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9576</v>
      </c>
      <c r="X13" s="8">
        <f>IFERROR(W13/W444, "NA")</f>
        <v>-6.754289037018664E-2</v>
      </c>
      <c r="Y13" s="9"/>
      <c r="Z13" s="7">
        <v>8592.26</v>
      </c>
      <c r="AA13" s="8">
        <f>IFERROR(Z13/Z444, "NA")</f>
        <v>2.0501498875013101E-3</v>
      </c>
      <c r="AB13" s="9"/>
      <c r="AC13" s="10">
        <f t="shared" si="3"/>
        <v>983.73999999999978</v>
      </c>
      <c r="AD13" s="8">
        <f>IFERROR(AC13/AC444, "NA")</f>
        <v>2.2885782372294395E-3</v>
      </c>
    </row>
    <row r="14" spans="1:30" ht="16.5" customHeight="1" x14ac:dyDescent="0.45">
      <c r="A14" s="12" t="s">
        <v>16</v>
      </c>
      <c r="B14" s="7">
        <v>525</v>
      </c>
      <c r="C14" s="8">
        <f>IFERROR(B14/B444, "NA")</f>
        <v>1.0189979058137324E-3</v>
      </c>
      <c r="D14" s="9"/>
      <c r="E14" s="7">
        <v>0</v>
      </c>
      <c r="F14" s="8">
        <f>IFERROR(E14/E444, "NA")</f>
        <v>0</v>
      </c>
      <c r="G14" s="9"/>
      <c r="H14" s="10">
        <f t="shared" si="0"/>
        <v>525</v>
      </c>
      <c r="I14" s="8">
        <f>IFERROR(H14/H444, "NA")</f>
        <v>-7.8277034502131238E-3</v>
      </c>
      <c r="J14" s="9"/>
      <c r="K14" s="7">
        <v>3000</v>
      </c>
      <c r="L14" s="8">
        <f>IFERROR(K14/K444, "NA")</f>
        <v>5.7732647269343922E-3</v>
      </c>
      <c r="M14" s="9"/>
      <c r="N14" s="10">
        <f t="shared" si="1"/>
        <v>-2475</v>
      </c>
      <c r="O14" s="8">
        <f>IFERROR(N14/N444, "NA")</f>
        <v>0.5593713344226966</v>
      </c>
      <c r="P14" s="9"/>
      <c r="Q14" s="7">
        <v>12720</v>
      </c>
      <c r="R14" s="8">
        <f>IFERROR(Q14/Q444, "NA")</f>
        <v>2.7527179156189682E-3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12720</v>
      </c>
      <c r="X14" s="8">
        <f>IFERROR(W14/W444, "NA")</f>
        <v>-8.9718626306262941E-2</v>
      </c>
      <c r="Y14" s="9"/>
      <c r="Z14" s="7">
        <v>24156.989999999998</v>
      </c>
      <c r="AA14" s="8">
        <f>IFERROR(Z14/Z444, "NA")</f>
        <v>5.7639608590603943E-3</v>
      </c>
      <c r="AB14" s="9"/>
      <c r="AC14" s="10">
        <f t="shared" si="3"/>
        <v>-11436.989999999998</v>
      </c>
      <c r="AD14" s="8">
        <f>IFERROR(AC14/AC444, "NA")</f>
        <v>-2.6607077493454295E-2</v>
      </c>
    </row>
    <row r="15" spans="1:30" ht="16.5" customHeight="1" x14ac:dyDescent="0.45">
      <c r="A15" s="12" t="s">
        <v>17</v>
      </c>
      <c r="B15" s="7">
        <v>178</v>
      </c>
      <c r="C15" s="8">
        <f>IFERROR(B15/B444, "NA")</f>
        <v>3.454888137806559E-4</v>
      </c>
      <c r="D15" s="9"/>
      <c r="E15" s="7">
        <v>0</v>
      </c>
      <c r="F15" s="8">
        <f>IFERROR(E15/E444, "NA")</f>
        <v>0</v>
      </c>
      <c r="G15" s="9"/>
      <c r="H15" s="10">
        <f t="shared" si="0"/>
        <v>178</v>
      </c>
      <c r="I15" s="8">
        <f>IFERROR(H15/H444, "NA")</f>
        <v>-2.6539642174055926E-3</v>
      </c>
      <c r="J15" s="9"/>
      <c r="K15" s="7">
        <v>337</v>
      </c>
      <c r="L15" s="8">
        <f>IFERROR(K15/K444, "NA")</f>
        <v>6.4853007099229681E-4</v>
      </c>
      <c r="M15" s="9"/>
      <c r="N15" s="10">
        <f t="shared" si="1"/>
        <v>-159</v>
      </c>
      <c r="O15" s="8">
        <f>IFERROR(N15/N444, "NA")</f>
        <v>3.5935370575033848E-2</v>
      </c>
      <c r="P15" s="9"/>
      <c r="Q15" s="7">
        <v>1989</v>
      </c>
      <c r="R15" s="8">
        <f>IFERROR(Q15/Q444, "NA")</f>
        <v>4.3043678727721133E-4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1989</v>
      </c>
      <c r="X15" s="8">
        <f>IFERROR(W15/W444, "NA")</f>
        <v>-1.4029115387040644E-2</v>
      </c>
      <c r="Y15" s="9"/>
      <c r="Z15" s="7">
        <v>2834</v>
      </c>
      <c r="AA15" s="8">
        <f>IFERROR(Z15/Z444, "NA")</f>
        <v>6.7620448882816763E-4</v>
      </c>
      <c r="AB15" s="9"/>
      <c r="AC15" s="10">
        <f t="shared" si="3"/>
        <v>-845</v>
      </c>
      <c r="AD15" s="8">
        <f>IFERROR(AC15/AC444, "NA")</f>
        <v>-1.9658127253734492E-3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3.0500000000000003</v>
      </c>
      <c r="R16" s="8">
        <f>IFERROR(Q16/Q444, "NA")</f>
        <v>6.6004635555329044E-7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-2.1512720930353931E-5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7.0955370560816809E-6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275008.87</v>
      </c>
      <c r="C18" s="15">
        <f>IFERROR(B18/B444, "NA")</f>
        <v>0.53377802401943042</v>
      </c>
      <c r="D18" s="2"/>
      <c r="E18" s="14">
        <f>IFERROR(E10+E11+E12+E13+E14+E15+E16+E17, "NA")</f>
        <v>269870.21999999997</v>
      </c>
      <c r="F18" s="15">
        <f>IFERROR(E18/E444, "NA")</f>
        <v>0.46347034225866646</v>
      </c>
      <c r="G18" s="2"/>
      <c r="H18" s="14">
        <f t="shared" si="0"/>
        <v>5138.6500000000233</v>
      </c>
      <c r="I18" s="15">
        <f>IFERROR(H18/H444, "NA")</f>
        <v>-7.6616815875119718E-2</v>
      </c>
      <c r="J18" s="2"/>
      <c r="K18" s="14">
        <f>IFERROR(K10+K11+K12+K13+K14+K15+K16+K17, "NA")</f>
        <v>261844.81</v>
      </c>
      <c r="L18" s="15">
        <f>IFERROR(K18/K444, "NA")</f>
        <v>0.50389980183461258</v>
      </c>
      <c r="M18" s="2"/>
      <c r="N18" s="14">
        <f t="shared" si="1"/>
        <v>13164.059999999998</v>
      </c>
      <c r="O18" s="15">
        <f>IFERROR(N18/N444, "NA")</f>
        <v>-2.9751910337860377</v>
      </c>
      <c r="P18" s="2"/>
      <c r="Q18" s="14">
        <f>IFERROR(Q10+Q11+Q12+Q13+Q14+Q15+Q16+Q17, "NA")</f>
        <v>2166543.2599999998</v>
      </c>
      <c r="R18" s="15">
        <f>IFERROR(Q18/Q444, "NA")</f>
        <v>0.46885868292181793</v>
      </c>
      <c r="S18" s="2"/>
      <c r="T18" s="14">
        <f>IFERROR(T10+T11+T12+T13+T14+T15+T16+T17, "NA")</f>
        <v>2198360.52</v>
      </c>
      <c r="U18" s="15">
        <f>IFERROR(T18/T444, "NA")</f>
        <v>0.46158210001013822</v>
      </c>
      <c r="V18" s="2"/>
      <c r="W18" s="14">
        <f t="shared" si="2"/>
        <v>-31817.260000000242</v>
      </c>
      <c r="X18" s="15">
        <f>IFERROR(W18/W444, "NA")</f>
        <v>0.22441830660607151</v>
      </c>
      <c r="Y18" s="2"/>
      <c r="Z18" s="14">
        <f>IFERROR(Z10+Z11+Z12+Z13+Z14+Z15+Z16+Z17, "NA")</f>
        <v>2139078.4099999997</v>
      </c>
      <c r="AA18" s="15">
        <f>IFERROR(Z18/Z444, "NA")</f>
        <v>0.51039323316775564</v>
      </c>
      <c r="AB18" s="2"/>
      <c r="AC18" s="14">
        <f t="shared" si="3"/>
        <v>27464.850000000093</v>
      </c>
      <c r="AD18" s="15">
        <f>IFERROR(AC18/AC444, "NA")</f>
        <v>6.3894380627778885E-2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48284.12</v>
      </c>
      <c r="F21" s="8">
        <f>IFERROR(E21/E444, "NA")</f>
        <v>8.2922293619720339E-2</v>
      </c>
      <c r="G21" s="9"/>
      <c r="H21" s="10">
        <f t="shared" ref="H21:H29" si="4">IFERROR(B21-E21, "NA")</f>
        <v>-48284.12</v>
      </c>
      <c r="I21" s="8">
        <f>IFERROR(H21/H444, "NA")</f>
        <v>0.7199119480276277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394980.04000000004</v>
      </c>
      <c r="U21" s="8">
        <f>IFERROR(T21/T444, "NA")</f>
        <v>8.2932583016587472E-2</v>
      </c>
      <c r="V21" s="9"/>
      <c r="W21" s="10">
        <f t="shared" ref="W21:W29" si="6">IFERROR(Q21-T21, "NA")</f>
        <v>-394980.04000000004</v>
      </c>
      <c r="X21" s="8">
        <f>IFERROR(W21/W444, "NA")</f>
        <v>2.7859329093705028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37098.25</v>
      </c>
      <c r="C22" s="8">
        <f>IFERROR(B22/B444, "NA")</f>
        <v>7.2005788684484373E-2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37098.25</v>
      </c>
      <c r="I22" s="8">
        <f>IFERROR(H22/H444, "NA")</f>
        <v>-0.55313161813689338</v>
      </c>
      <c r="J22" s="9"/>
      <c r="K22" s="7">
        <v>36485.880000000005</v>
      </c>
      <c r="L22" s="8">
        <f>IFERROR(K22/K444, "NA")</f>
        <v>7.021421467838701E-2</v>
      </c>
      <c r="M22" s="9"/>
      <c r="N22" s="10">
        <f t="shared" si="5"/>
        <v>612.36999999999534</v>
      </c>
      <c r="O22" s="8">
        <f>IFERROR(N22/N444, "NA")</f>
        <v>-0.13840089861027238</v>
      </c>
      <c r="P22" s="9"/>
      <c r="Q22" s="7">
        <v>312573.32</v>
      </c>
      <c r="R22" s="8">
        <f>IFERROR(Q22/Q444, "NA")</f>
        <v>6.7643567445636849E-2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312573.32</v>
      </c>
      <c r="X22" s="8">
        <f>IFERROR(W22/W444, "NA")</f>
        <v>-2.2046893781751531</v>
      </c>
      <c r="Y22" s="9"/>
      <c r="Z22" s="7">
        <v>288294.2</v>
      </c>
      <c r="AA22" s="8">
        <f>IFERROR(Z22/Z444, "NA")</f>
        <v>6.8788225879719667E-2</v>
      </c>
      <c r="AB22" s="9"/>
      <c r="AC22" s="10">
        <f t="shared" si="7"/>
        <v>24279.119999999995</v>
      </c>
      <c r="AD22" s="8">
        <f>IFERROR(AC22/AC444, "NA")</f>
        <v>5.6483080540673379E-2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2373.98</v>
      </c>
      <c r="C24" s="8">
        <f>IFERROR(B24/B444, "NA")</f>
        <v>4.6077726637022559E-3</v>
      </c>
      <c r="D24" s="9"/>
      <c r="E24" s="7">
        <v>0</v>
      </c>
      <c r="F24" s="8">
        <f>IFERROR(E24/E444, "NA")</f>
        <v>0</v>
      </c>
      <c r="G24" s="9"/>
      <c r="H24" s="10">
        <f t="shared" si="4"/>
        <v>2373.98</v>
      </c>
      <c r="I24" s="8">
        <f>IFERROR(H24/H444, "NA")</f>
        <v>-3.5395831308070384E-2</v>
      </c>
      <c r="J24" s="9"/>
      <c r="K24" s="7">
        <v>2560.39</v>
      </c>
      <c r="L24" s="8">
        <f>IFERROR(K24/K444, "NA")</f>
        <v>4.9272697580651833E-3</v>
      </c>
      <c r="M24" s="9"/>
      <c r="N24" s="10">
        <f t="shared" si="5"/>
        <v>-186.40999999999985</v>
      </c>
      <c r="O24" s="8">
        <f>IFERROR(N24/N444, "NA")</f>
        <v>4.2130266848377694E-2</v>
      </c>
      <c r="P24" s="9"/>
      <c r="Q24" s="7">
        <v>41538.020000000004</v>
      </c>
      <c r="R24" s="8">
        <f>IFERROR(Q24/Q444, "NA")</f>
        <v>8.989186464885144E-3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41538.020000000004</v>
      </c>
      <c r="X24" s="8">
        <f>IFERROR(W24/W444, "NA")</f>
        <v>-0.29298224008506896</v>
      </c>
      <c r="Y24" s="9"/>
      <c r="Z24" s="7">
        <v>16217.869999999999</v>
      </c>
      <c r="AA24" s="8">
        <f>IFERROR(Z24/Z444, "NA")</f>
        <v>3.86965296162021E-3</v>
      </c>
      <c r="AB24" s="9"/>
      <c r="AC24" s="10">
        <f t="shared" si="7"/>
        <v>25320.150000000005</v>
      </c>
      <c r="AD24" s="8">
        <f>IFERROR(AC24/AC444, "NA")</f>
        <v>5.8904938554277572E-2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635.20000000000005</v>
      </c>
      <c r="C26" s="8">
        <f>IFERROR(B26/B444, "NA")</f>
        <v>1.232890418615015E-3</v>
      </c>
      <c r="D26" s="9"/>
      <c r="E26" s="7">
        <v>0</v>
      </c>
      <c r="F26" s="8">
        <f>IFERROR(E26/E444, "NA")</f>
        <v>0</v>
      </c>
      <c r="G26" s="9"/>
      <c r="H26" s="10">
        <f t="shared" si="4"/>
        <v>635.20000000000005</v>
      </c>
      <c r="I26" s="8">
        <f>IFERROR(H26/H444, "NA")</f>
        <v>-9.4707756791911936E-3</v>
      </c>
      <c r="J26" s="9"/>
      <c r="K26" s="7">
        <v>2307.7800000000002</v>
      </c>
      <c r="L26" s="8">
        <f>IFERROR(K26/K444, "NA")</f>
        <v>4.4411416238415513E-3</v>
      </c>
      <c r="M26" s="9"/>
      <c r="N26" s="10">
        <f t="shared" si="5"/>
        <v>-1672.5800000000002</v>
      </c>
      <c r="O26" s="8">
        <f>IFERROR(N26/N444, "NA")</f>
        <v>0.3780174975873592</v>
      </c>
      <c r="P26" s="9"/>
      <c r="Q26" s="7">
        <v>17896.89</v>
      </c>
      <c r="R26" s="8">
        <f>IFERROR(Q26/Q444, "NA")</f>
        <v>3.8730416459797135E-3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17896.89</v>
      </c>
      <c r="X26" s="8">
        <f>IFERROR(W26/W444, "NA")</f>
        <v>-0.12623304921024325</v>
      </c>
      <c r="Y26" s="9"/>
      <c r="Z26" s="7">
        <v>6574.92</v>
      </c>
      <c r="AA26" s="8">
        <f>IFERROR(Z26/Z444, "NA")</f>
        <v>1.5688039582519746E-3</v>
      </c>
      <c r="AB26" s="9"/>
      <c r="AC26" s="10">
        <f t="shared" si="7"/>
        <v>11321.97</v>
      </c>
      <c r="AD26" s="8">
        <f>IFERROR(AC26/AC444, "NA")</f>
        <v>2.6339494322244292E-2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286.99</v>
      </c>
      <c r="L27" s="8">
        <f>IFERROR(K27/K444, "NA")</f>
        <v>5.5228974799430047E-4</v>
      </c>
      <c r="M27" s="9"/>
      <c r="N27" s="10">
        <f t="shared" si="5"/>
        <v>-286.99</v>
      </c>
      <c r="O27" s="8">
        <f>IFERROR(N27/N444, "NA")</f>
        <v>6.4862213844836245E-2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4507.42</v>
      </c>
      <c r="AA27" s="8">
        <f>IFERROR(Z27/Z444, "NA")</f>
        <v>1.0754896390380592E-3</v>
      </c>
      <c r="AB27" s="9"/>
      <c r="AC27" s="10">
        <f t="shared" si="7"/>
        <v>-4507.42</v>
      </c>
      <c r="AD27" s="8">
        <f>IFERROR(AC27/AC444, "NA")</f>
        <v>-1.0486087094204488E-2</v>
      </c>
    </row>
    <row r="28" spans="1:30" ht="16.5" customHeight="1" x14ac:dyDescent="0.45">
      <c r="A28" s="12" t="s">
        <v>29</v>
      </c>
      <c r="B28" s="7">
        <v>4516.46</v>
      </c>
      <c r="C28" s="8">
        <f>IFERROR(B28/B444, "NA")</f>
        <v>8.7662157746504557E-3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4516.46</v>
      </c>
      <c r="I28" s="8">
        <f>IFERROR(H28/H444, "NA")</f>
        <v>-6.7340018142380137E-2</v>
      </c>
      <c r="J28" s="9"/>
      <c r="K28" s="7">
        <v>4181.5599999999995</v>
      </c>
      <c r="L28" s="8">
        <f>IFERROR(K28/K444, "NA")</f>
        <v>8.0470842838532581E-3</v>
      </c>
      <c r="M28" s="9"/>
      <c r="N28" s="10">
        <f t="shared" si="5"/>
        <v>334.90000000000055</v>
      </c>
      <c r="O28" s="8">
        <f>IFERROR(N28/N444, "NA")</f>
        <v>-7.5690286827539963E-2</v>
      </c>
      <c r="P28" s="9"/>
      <c r="Q28" s="7">
        <v>34513.06</v>
      </c>
      <c r="R28" s="8">
        <f>IFERROR(Q28/Q444, "NA")</f>
        <v>7.4689244170465709E-3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34513.06</v>
      </c>
      <c r="X28" s="8">
        <f>IFERROR(W28/W444, "NA")</f>
        <v>-0.24343273056805279</v>
      </c>
      <c r="Y28" s="9"/>
      <c r="Z28" s="7">
        <v>33169.870000000003</v>
      </c>
      <c r="AA28" s="8">
        <f>IFERROR(Z28/Z444, "NA")</f>
        <v>7.9144724727758554E-3</v>
      </c>
      <c r="AB28" s="9"/>
      <c r="AC28" s="10">
        <f t="shared" si="7"/>
        <v>1343.1899999999951</v>
      </c>
      <c r="AD28" s="8">
        <f>IFERROR(AC28/AC444, "NA")</f>
        <v>3.1248047273305956E-3</v>
      </c>
    </row>
    <row r="29" spans="1:30" ht="16.5" customHeight="1" x14ac:dyDescent="0.45">
      <c r="A29" s="13" t="s">
        <v>30</v>
      </c>
      <c r="B29" s="14">
        <f>IFERROR(B21+B22+B23+B24+B25+B26+B27+B28, "NA")</f>
        <v>44623.89</v>
      </c>
      <c r="C29" s="15">
        <f>IFERROR(B29/B444, "NA")</f>
        <v>8.6612667541452096E-2</v>
      </c>
      <c r="D29" s="2"/>
      <c r="E29" s="14">
        <f>IFERROR(E21+E22+E23+E24+E25+E26+E27+E28, "NA")</f>
        <v>48284.12</v>
      </c>
      <c r="F29" s="15">
        <f>IFERROR(E29/E444, "NA")</f>
        <v>8.2922293619720339E-2</v>
      </c>
      <c r="G29" s="2"/>
      <c r="H29" s="14">
        <f t="shared" si="4"/>
        <v>-3660.2300000000032</v>
      </c>
      <c r="I29" s="15">
        <f>IFERROR(H29/H444, "NA")</f>
        <v>5.4573704761092592E-2</v>
      </c>
      <c r="J29" s="2"/>
      <c r="K29" s="14">
        <f>IFERROR(K21+K22+K23+K24+K25+K26+K27+K28, "NA")</f>
        <v>45822.6</v>
      </c>
      <c r="L29" s="15">
        <f>IFERROR(K29/K444, "NA")</f>
        <v>8.8182000092141291E-2</v>
      </c>
      <c r="M29" s="2"/>
      <c r="N29" s="14">
        <f t="shared" si="5"/>
        <v>-1198.7099999999991</v>
      </c>
      <c r="O29" s="15">
        <f>IFERROR(N29/N444, "NA")</f>
        <v>0.27091879284275966</v>
      </c>
      <c r="P29" s="2"/>
      <c r="Q29" s="14">
        <f>IFERROR(Q21+Q22+Q23+Q24+Q25+Q26+Q27+Q28, "NA")</f>
        <v>406521.29000000004</v>
      </c>
      <c r="R29" s="15">
        <f>IFERROR(Q29/Q444, "NA")</f>
        <v>8.797471997354829E-2</v>
      </c>
      <c r="S29" s="2"/>
      <c r="T29" s="14">
        <f>IFERROR(T21+T22+T23+T24+T25+T26+T27+T28, "NA")</f>
        <v>394980.04000000004</v>
      </c>
      <c r="U29" s="15">
        <f>IFERROR(T29/T444, "NA")</f>
        <v>8.2932583016587472E-2</v>
      </c>
      <c r="V29" s="2"/>
      <c r="W29" s="14">
        <f t="shared" si="6"/>
        <v>11541.25</v>
      </c>
      <c r="X29" s="15">
        <f>IFERROR(W29/W444, "NA")</f>
        <v>-8.1404488668015501E-2</v>
      </c>
      <c r="Y29" s="2"/>
      <c r="Z29" s="14">
        <f>IFERROR(Z21+Z22+Z23+Z24+Z25+Z26+Z27+Z28, "NA")</f>
        <v>348764.27999999997</v>
      </c>
      <c r="AA29" s="15">
        <f>IFERROR(Z29/Z444, "NA")</f>
        <v>8.3216644911405763E-2</v>
      </c>
      <c r="AB29" s="2"/>
      <c r="AC29" s="14">
        <f t="shared" si="7"/>
        <v>57757.010000000068</v>
      </c>
      <c r="AD29" s="15">
        <f>IFERROR(AC29/AC444, "NA")</f>
        <v>0.13436623105032153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125817.55</v>
      </c>
      <c r="F31" s="8">
        <f>IFERROR(E31/E444, "NA")</f>
        <v>0.21607683486027798</v>
      </c>
      <c r="G31" s="9"/>
      <c r="H31" s="10">
        <f t="shared" ref="H31:H40" si="8">IFERROR(B31-E31, "NA")</f>
        <v>-125817.55</v>
      </c>
      <c r="I31" s="8">
        <f>IFERROR(H31/H444, "NA")</f>
        <v>1.8759285147283091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1034004.12</v>
      </c>
      <c r="U31" s="8">
        <f>IFERROR(T31/T444, "NA")</f>
        <v>0.21710624294177869</v>
      </c>
      <c r="V31" s="9"/>
      <c r="W31" s="10">
        <f t="shared" ref="W31:W40" si="10">IFERROR(Q31-T31, "NA")</f>
        <v>-1034004.12</v>
      </c>
      <c r="X31" s="8">
        <f>IFERROR(W31/W444, "NA")</f>
        <v>7.2931941227528512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33782.04</v>
      </c>
      <c r="C33" s="8">
        <f>IFERROR(B33/B444, "NA")</f>
        <v>6.5569196217363318E-2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33782.04</v>
      </c>
      <c r="I33" s="8">
        <f>IFERROR(H33/H444, "NA")</f>
        <v>-0.50368722107283392</v>
      </c>
      <c r="J33" s="9"/>
      <c r="K33" s="7">
        <v>40347.01</v>
      </c>
      <c r="L33" s="8">
        <f>IFERROR(K33/K444, "NA")</f>
        <v>7.7644656556756411E-2</v>
      </c>
      <c r="M33" s="9"/>
      <c r="N33" s="10">
        <f t="shared" si="9"/>
        <v>-6564.9700000000012</v>
      </c>
      <c r="O33" s="8">
        <f>IFERROR(N33/N444, "NA")</f>
        <v>1.4837398098363521</v>
      </c>
      <c r="P33" s="9"/>
      <c r="Q33" s="7">
        <v>418141.78</v>
      </c>
      <c r="R33" s="8">
        <f>IFERROR(Q33/Q444, "NA")</f>
        <v>9.048949442411991E-2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418141.78</v>
      </c>
      <c r="X33" s="8">
        <f>IFERROR(W33/W444, "NA")</f>
        <v>-2.9493007942496554</v>
      </c>
      <c r="Y33" s="9"/>
      <c r="Z33" s="7">
        <v>286212.65000000002</v>
      </c>
      <c r="AA33" s="8">
        <f>IFERROR(Z33/Z444, "NA")</f>
        <v>6.8291559170573501E-2</v>
      </c>
      <c r="AB33" s="9"/>
      <c r="AC33" s="10">
        <f t="shared" si="11"/>
        <v>131929.13</v>
      </c>
      <c r="AD33" s="8">
        <f>IFERROR(AC33/AC444, "NA")</f>
        <v>0.30692066580053023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4942.9400000000005</v>
      </c>
      <c r="C35" s="8">
        <f>IFERROR(B35/B444, "NA")</f>
        <v>9.5939914448817734E-3</v>
      </c>
      <c r="D35" s="9"/>
      <c r="E35" s="7">
        <v>0</v>
      </c>
      <c r="F35" s="8">
        <f>IFERROR(E35/E444, "NA")</f>
        <v>0</v>
      </c>
      <c r="G35" s="9"/>
      <c r="H35" s="10">
        <f t="shared" si="8"/>
        <v>4942.9400000000005</v>
      </c>
      <c r="I35" s="8">
        <f>IFERROR(H35/H444, "NA")</f>
        <v>-7.3698797127993265E-2</v>
      </c>
      <c r="J35" s="9"/>
      <c r="K35" s="7">
        <v>6193.7400000000007</v>
      </c>
      <c r="L35" s="8">
        <f>IFERROR(K35/K444, "NA")</f>
        <v>1.191936688993421E-2</v>
      </c>
      <c r="M35" s="9"/>
      <c r="N35" s="10">
        <f t="shared" si="9"/>
        <v>-1250.8000000000002</v>
      </c>
      <c r="O35" s="8">
        <f>IFERROR(N35/N444, "NA")</f>
        <v>0.28269158185693294</v>
      </c>
      <c r="P35" s="9"/>
      <c r="Q35" s="7">
        <v>51429.53</v>
      </c>
      <c r="R35" s="8">
        <f>IFERROR(Q35/Q444, "NA")</f>
        <v>1.1129794703055283E-2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51429.53</v>
      </c>
      <c r="X35" s="8">
        <f>IFERROR(W35/W444, "NA")</f>
        <v>-0.36275053326861156</v>
      </c>
      <c r="Y35" s="9"/>
      <c r="Z35" s="7">
        <v>7773.3000000000011</v>
      </c>
      <c r="AA35" s="8">
        <f>IFERROR(Z35/Z444, "NA")</f>
        <v>1.8547425381115019E-3</v>
      </c>
      <c r="AB35" s="9"/>
      <c r="AC35" s="10">
        <f t="shared" si="11"/>
        <v>43656.229999999996</v>
      </c>
      <c r="AD35" s="8">
        <f>IFERROR(AC35/AC444, "NA")</f>
        <v>0.10156209760453269</v>
      </c>
    </row>
    <row r="36" spans="1:30" ht="16.5" customHeight="1" x14ac:dyDescent="0.45">
      <c r="A36" s="12" t="s">
        <v>36</v>
      </c>
      <c r="B36" s="7">
        <v>27557.55</v>
      </c>
      <c r="C36" s="8">
        <f>IFERROR(B36/B444, "NA")</f>
        <v>5.3487782360680414E-2</v>
      </c>
      <c r="D36" s="9"/>
      <c r="E36" s="7">
        <v>0</v>
      </c>
      <c r="F36" s="8">
        <f>IFERROR(E36/E444, "NA")</f>
        <v>0</v>
      </c>
      <c r="G36" s="9"/>
      <c r="H36" s="10">
        <f t="shared" si="8"/>
        <v>27557.55</v>
      </c>
      <c r="I36" s="8">
        <f>IFERROR(H36/H444, "NA")</f>
        <v>-0.41088062707508699</v>
      </c>
      <c r="J36" s="9"/>
      <c r="K36" s="7">
        <v>70974.31</v>
      </c>
      <c r="L36" s="8">
        <f>IFERROR(K36/K444, "NA")</f>
        <v>0.13658449348050231</v>
      </c>
      <c r="M36" s="9"/>
      <c r="N36" s="10">
        <f t="shared" si="9"/>
        <v>-43416.759999999995</v>
      </c>
      <c r="O36" s="8">
        <f>IFERROR(N36/N444, "NA")</f>
        <v>9.8125620111151335</v>
      </c>
      <c r="P36" s="9"/>
      <c r="Q36" s="7">
        <v>468608.37</v>
      </c>
      <c r="R36" s="8">
        <f>IFERROR(Q36/Q444, "NA")</f>
        <v>0.10141090059025175</v>
      </c>
      <c r="S36" s="9"/>
      <c r="T36" s="7">
        <v>0</v>
      </c>
      <c r="U36" s="8">
        <f>IFERROR(T36/T444, "NA")</f>
        <v>0</v>
      </c>
      <c r="V36" s="9"/>
      <c r="W36" s="10">
        <f t="shared" si="10"/>
        <v>468608.37</v>
      </c>
      <c r="X36" s="8">
        <f>IFERROR(W36/W444, "NA")</f>
        <v>-3.3052593735862423</v>
      </c>
      <c r="Y36" s="9"/>
      <c r="Z36" s="7">
        <v>383508.41</v>
      </c>
      <c r="AA36" s="8">
        <f>IFERROR(Z36/Z444, "NA")</f>
        <v>9.1506742535410496E-2</v>
      </c>
      <c r="AB36" s="9"/>
      <c r="AC36" s="10">
        <f t="shared" si="11"/>
        <v>85099.960000000021</v>
      </c>
      <c r="AD36" s="8">
        <f>IFERROR(AC36/AC444, "NA")</f>
        <v>0.19797702283641602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5584.8</v>
      </c>
      <c r="C39" s="8">
        <f>IFERROR(B39/B444, "NA")</f>
        <v>1.0839808579787681E-2</v>
      </c>
      <c r="D39" s="9"/>
      <c r="E39" s="7">
        <v>0</v>
      </c>
      <c r="F39" s="8">
        <f>IFERROR(E39/E444, "NA")</f>
        <v>0</v>
      </c>
      <c r="G39" s="9"/>
      <c r="H39" s="10">
        <f t="shared" si="8"/>
        <v>5584.8</v>
      </c>
      <c r="I39" s="8">
        <f>IFERROR(H39/H444, "NA")</f>
        <v>-8.3268872816667158E-2</v>
      </c>
      <c r="J39" s="9"/>
      <c r="K39" s="7">
        <v>4628.82</v>
      </c>
      <c r="L39" s="8">
        <f>IFERROR(K39/K444, "NA")</f>
        <v>8.9078010777761518E-3</v>
      </c>
      <c r="M39" s="9"/>
      <c r="N39" s="10">
        <f t="shared" si="9"/>
        <v>955.98000000000047</v>
      </c>
      <c r="O39" s="8">
        <f>IFERROR(N39/N444, "NA")</f>
        <v>-0.21605972051774133</v>
      </c>
      <c r="P39" s="9"/>
      <c r="Q39" s="7">
        <v>45175.9</v>
      </c>
      <c r="R39" s="8">
        <f>IFERROR(Q39/Q444, "NA")</f>
        <v>9.7764551324065214E-3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45175.9</v>
      </c>
      <c r="X39" s="8">
        <f>IFERROR(W39/W444, "NA")</f>
        <v>-0.31864148507461515</v>
      </c>
      <c r="Y39" s="9"/>
      <c r="Z39" s="7">
        <v>47560.53</v>
      </c>
      <c r="AA39" s="8">
        <f>IFERROR(Z39/Z444, "NA")</f>
        <v>1.134814533417316E-2</v>
      </c>
      <c r="AB39" s="9"/>
      <c r="AC39" s="10">
        <f t="shared" si="11"/>
        <v>-2384.6299999999974</v>
      </c>
      <c r="AD39" s="8">
        <f>IFERROR(AC39/AC444, "NA")</f>
        <v>-5.5476165672275531E-3</v>
      </c>
    </row>
    <row r="40" spans="1:30" ht="16.5" customHeight="1" x14ac:dyDescent="0.45">
      <c r="A40" s="13" t="s">
        <v>40</v>
      </c>
      <c r="B40" s="14">
        <f>IFERROR(B31+B32+B33+B34+B35+B36+B37+B38+B39, "NA")</f>
        <v>71867.33</v>
      </c>
      <c r="C40" s="15">
        <f>IFERROR(B40/B444, "NA")</f>
        <v>0.13949077860271319</v>
      </c>
      <c r="D40" s="2"/>
      <c r="E40" s="14">
        <f>IFERROR(E31+E32+E33+E34+E35+E36+E37+E38+E39, "NA")</f>
        <v>125817.55</v>
      </c>
      <c r="F40" s="15">
        <f>IFERROR(E40/E444, "NA")</f>
        <v>0.21607683486027798</v>
      </c>
      <c r="G40" s="2"/>
      <c r="H40" s="14">
        <f t="shared" si="8"/>
        <v>-53950.22</v>
      </c>
      <c r="I40" s="15">
        <f>IFERROR(H40/H444, "NA")</f>
        <v>0.80439299663572783</v>
      </c>
      <c r="J40" s="2"/>
      <c r="K40" s="14">
        <f>IFERROR(K31+K32+K33+K34+K35+K36+K37+K38+K39, "NA")</f>
        <v>122143.88</v>
      </c>
      <c r="L40" s="15">
        <f>IFERROR(K40/K444, "NA")</f>
        <v>0.23505631800496909</v>
      </c>
      <c r="M40" s="2"/>
      <c r="N40" s="14">
        <f t="shared" si="9"/>
        <v>-50276.55</v>
      </c>
      <c r="O40" s="15">
        <f>IFERROR(N40/N444, "NA")</f>
        <v>11.362933682290679</v>
      </c>
      <c r="P40" s="2"/>
      <c r="Q40" s="14">
        <f>IFERROR(Q31+Q32+Q33+Q34+Q35+Q36+Q37+Q38+Q39, "NA")</f>
        <v>983355.58000000007</v>
      </c>
      <c r="R40" s="15">
        <f>IFERROR(Q40/Q444, "NA")</f>
        <v>0.21280664484983347</v>
      </c>
      <c r="S40" s="2"/>
      <c r="T40" s="14">
        <f>IFERROR(T31+T32+T33+T34+T35+T36+T37+T38+T39, "NA")</f>
        <v>1034004.12</v>
      </c>
      <c r="U40" s="15">
        <f>IFERROR(T40/T444, "NA")</f>
        <v>0.21710624294177869</v>
      </c>
      <c r="V40" s="2"/>
      <c r="W40" s="14">
        <f t="shared" si="10"/>
        <v>-50648.539999999921</v>
      </c>
      <c r="X40" s="15">
        <f>IFERROR(W40/W444, "NA")</f>
        <v>0.35724193657372671</v>
      </c>
      <c r="Y40" s="2"/>
      <c r="Z40" s="14">
        <f>IFERROR(Z31+Z32+Z33+Z34+Z35+Z36+Z37+Z38+Z39, "NA")</f>
        <v>725054.89</v>
      </c>
      <c r="AA40" s="15">
        <f>IFERROR(Z40/Z444, "NA")</f>
        <v>0.17300118957826865</v>
      </c>
      <c r="AB40" s="2"/>
      <c r="AC40" s="14">
        <f t="shared" si="11"/>
        <v>258300.69000000006</v>
      </c>
      <c r="AD40" s="15">
        <f>IFERROR(AC40/AC444, "NA")</f>
        <v>0.60091216967425154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22832.26</v>
      </c>
      <c r="C43" s="8">
        <f>IFERROR(B43/B444, "NA")</f>
        <v>4.4316238333323134E-2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22832.26</v>
      </c>
      <c r="I43" s="8">
        <f>IFERROR(H43/H444, "NA")</f>
        <v>-0.34042697214888212</v>
      </c>
      <c r="J43" s="9"/>
      <c r="K43" s="7">
        <v>3350.27</v>
      </c>
      <c r="L43" s="8">
        <f>IFERROR(K43/K444, "NA")</f>
        <v>6.4473318722354962E-3</v>
      </c>
      <c r="M43" s="9"/>
      <c r="N43" s="10">
        <f>IFERROR(B43-K43, "NA")</f>
        <v>19481.989999999998</v>
      </c>
      <c r="O43" s="8">
        <f>IFERROR(N43/N444, "NA")</f>
        <v>-4.4030976741453056</v>
      </c>
      <c r="P43" s="9"/>
      <c r="Q43" s="7">
        <v>237689.34999999998</v>
      </c>
      <c r="R43" s="8">
        <f>IFERROR(Q43/Q444, "NA")</f>
        <v>5.1438029252895229E-2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237689.34999999998</v>
      </c>
      <c r="X43" s="8">
        <f>IFERROR(W43/W444, "NA")</f>
        <v>-1.6765064441531869</v>
      </c>
      <c r="Y43" s="9"/>
      <c r="Z43" s="7">
        <v>29617.72</v>
      </c>
      <c r="AA43" s="8">
        <f>IFERROR(Z43/Z444, "NA")</f>
        <v>7.066914330577205E-3</v>
      </c>
      <c r="AB43" s="9"/>
      <c r="AC43" s="10">
        <f>IFERROR(Q43-Z43, "NA")</f>
        <v>208071.62999999998</v>
      </c>
      <c r="AD43" s="8">
        <f>IFERROR(AC43/AC444, "NA")</f>
        <v>0.48405900360141524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149768.81</v>
      </c>
      <c r="F46" s="8">
        <f>IFERROR(E46/E444, "NA")</f>
        <v>0.25721030512508269</v>
      </c>
      <c r="G46" s="9"/>
      <c r="H46" s="10">
        <f t="shared" ref="H46:H62" si="12">IFERROR(B46-E46, "NA")</f>
        <v>-149768.81</v>
      </c>
      <c r="I46" s="8">
        <f>IFERROR(H46/H444, "NA")</f>
        <v>2.2330396776596455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1228964.44</v>
      </c>
      <c r="U46" s="8">
        <f>IFERROR(T46/T444, "NA")</f>
        <v>0.25804138215372585</v>
      </c>
      <c r="V46" s="9"/>
      <c r="W46" s="10">
        <f t="shared" ref="W46:W62" si="14">IFERROR(Q46-T46, "NA")</f>
        <v>-1228964.44</v>
      </c>
      <c r="X46" s="8">
        <f>IFERROR(W46/W444, "NA")</f>
        <v>8.6683177150979329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156.09</v>
      </c>
      <c r="C47" s="8">
        <f>IFERROR(B47/B444, "NA")</f>
        <v>3.0296263451136282E-4</v>
      </c>
      <c r="D47" s="9"/>
      <c r="E47" s="7">
        <v>0</v>
      </c>
      <c r="F47" s="8">
        <f>IFERROR(E47/E444, "NA")</f>
        <v>0</v>
      </c>
      <c r="G47" s="9"/>
      <c r="H47" s="10">
        <f t="shared" si="12"/>
        <v>156.09</v>
      </c>
      <c r="I47" s="8">
        <f>IFERROR(H47/H444, "NA")</f>
        <v>-2.3272880600833652E-3</v>
      </c>
      <c r="J47" s="9"/>
      <c r="K47" s="7">
        <v>655.25</v>
      </c>
      <c r="L47" s="8">
        <f>IFERROR(K47/K444, "NA")</f>
        <v>1.2609772374412537E-3</v>
      </c>
      <c r="M47" s="9"/>
      <c r="N47" s="10">
        <f t="shared" si="13"/>
        <v>-499.15999999999997</v>
      </c>
      <c r="O47" s="8">
        <f>IFERROR(N47/N444, "NA")</f>
        <v>0.11281446274360939</v>
      </c>
      <c r="P47" s="9"/>
      <c r="Q47" s="7">
        <v>6511.84</v>
      </c>
      <c r="R47" s="8">
        <f>IFERROR(Q47/Q444, "NA")</f>
        <v>1.4092184458839798E-3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6511.84</v>
      </c>
      <c r="X47" s="8">
        <f>IFERROR(W47/W444, "NA")</f>
        <v>-4.5930293987906864E-2</v>
      </c>
      <c r="Y47" s="9"/>
      <c r="Z47" s="7">
        <v>4473.6000000000004</v>
      </c>
      <c r="AA47" s="8">
        <f>IFERROR(Z47/Z444, "NA")</f>
        <v>1.0674200427740618E-3</v>
      </c>
      <c r="AB47" s="9"/>
      <c r="AC47" s="10">
        <f t="shared" si="15"/>
        <v>2038.2399999999998</v>
      </c>
      <c r="AD47" s="8">
        <f>IFERROR(AC47/AC444, "NA")</f>
        <v>4.7417729341599742E-3</v>
      </c>
    </row>
    <row r="48" spans="1:30" ht="16.5" customHeight="1" x14ac:dyDescent="0.45">
      <c r="A48" s="17" t="s">
        <v>46</v>
      </c>
      <c r="B48" s="7">
        <v>62696.180000000008</v>
      </c>
      <c r="C48" s="8">
        <f>IFERROR(B48/B444, "NA")</f>
        <v>0.12169004975718251</v>
      </c>
      <c r="D48" s="9"/>
      <c r="E48" s="7">
        <v>0</v>
      </c>
      <c r="F48" s="8">
        <f>IFERROR(E48/E444, "NA")</f>
        <v>0</v>
      </c>
      <c r="G48" s="9"/>
      <c r="H48" s="10">
        <f t="shared" si="12"/>
        <v>62696.180000000008</v>
      </c>
      <c r="I48" s="8">
        <f>IFERROR(H48/H444, "NA")</f>
        <v>-0.93479448476415838</v>
      </c>
      <c r="J48" s="9"/>
      <c r="K48" s="7">
        <v>93799</v>
      </c>
      <c r="L48" s="8">
        <f>IFERROR(K48/K444, "NA")</f>
        <v>0.18050881937390637</v>
      </c>
      <c r="M48" s="9"/>
      <c r="N48" s="10">
        <f t="shared" si="13"/>
        <v>-31102.819999999992</v>
      </c>
      <c r="O48" s="8">
        <f>IFERROR(N48/N444, "NA")</f>
        <v>7.0295054253369429</v>
      </c>
      <c r="P48" s="9"/>
      <c r="Q48" s="7">
        <v>609815.98</v>
      </c>
      <c r="R48" s="8">
        <f>IFERROR(Q48/Q444, "NA")</f>
        <v>0.13196944759251089</v>
      </c>
      <c r="S48" s="9"/>
      <c r="T48" s="7">
        <v>0</v>
      </c>
      <c r="U48" s="8">
        <f>IFERROR(T48/T444, "NA")</f>
        <v>0</v>
      </c>
      <c r="V48" s="9"/>
      <c r="W48" s="10">
        <f t="shared" si="14"/>
        <v>609815.98</v>
      </c>
      <c r="X48" s="8">
        <f>IFERROR(W48/W444, "NA")</f>
        <v>-4.3012462283968178</v>
      </c>
      <c r="Y48" s="9"/>
      <c r="Z48" s="7">
        <v>836662.47</v>
      </c>
      <c r="AA48" s="8">
        <f>IFERROR(Z48/Z444, "NA")</f>
        <v>0.19963123424419976</v>
      </c>
      <c r="AB48" s="9"/>
      <c r="AC48" s="10">
        <f t="shared" si="15"/>
        <v>-226846.49</v>
      </c>
      <c r="AD48" s="8">
        <f>IFERROR(AC48/AC444, "NA")</f>
        <v>-0.52773694289739748</v>
      </c>
    </row>
    <row r="49" spans="1:30" ht="16.5" customHeight="1" x14ac:dyDescent="0.45">
      <c r="A49" s="17" t="s">
        <v>47</v>
      </c>
      <c r="B49" s="7">
        <v>2700</v>
      </c>
      <c r="C49" s="8">
        <f>IFERROR(B49/B444, "NA")</f>
        <v>5.2405606584706235E-3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2700</v>
      </c>
      <c r="I49" s="8">
        <f>IFERROR(H49/H444, "NA")</f>
        <v>-4.0256760601096071E-2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2700</v>
      </c>
      <c r="O49" s="8">
        <f>IFERROR(N49/N444, "NA")</f>
        <v>-0.61022327391566911</v>
      </c>
      <c r="P49" s="9"/>
      <c r="Q49" s="7">
        <v>41840.6</v>
      </c>
      <c r="R49" s="8">
        <f>IFERROR(Q49/Q444, "NA")</f>
        <v>9.0546673915288516E-3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41840.6</v>
      </c>
      <c r="X49" s="8">
        <f>IFERROR(W49/W444, "NA")</f>
        <v>-0.29511644306838247</v>
      </c>
      <c r="Y49" s="9"/>
      <c r="Z49" s="7">
        <v>2090.27</v>
      </c>
      <c r="AA49" s="8">
        <f>IFERROR(Z49/Z444, "NA")</f>
        <v>4.9874733834257381E-4</v>
      </c>
      <c r="AB49" s="9"/>
      <c r="AC49" s="10">
        <f t="shared" si="15"/>
        <v>39750.33</v>
      </c>
      <c r="AD49" s="8">
        <f>IFERROR(AC49/AC444, "NA")</f>
        <v>9.2475390002123056E-2</v>
      </c>
    </row>
    <row r="50" spans="1:30" ht="16.5" customHeight="1" x14ac:dyDescent="0.45">
      <c r="A50" s="17" t="s">
        <v>48</v>
      </c>
      <c r="B50" s="7">
        <v>4241</v>
      </c>
      <c r="C50" s="8">
        <f>IFERROR(B50/B444, "NA")</f>
        <v>8.2315621305829312E-3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4241</v>
      </c>
      <c r="I50" s="8">
        <f>IFERROR(H50/H444, "NA")</f>
        <v>-6.3232933966388308E-2</v>
      </c>
      <c r="J50" s="9"/>
      <c r="K50" s="7">
        <v>2581.8000000000002</v>
      </c>
      <c r="L50" s="8">
        <f>IFERROR(K50/K444, "NA")</f>
        <v>4.9684716239997385E-3</v>
      </c>
      <c r="M50" s="9"/>
      <c r="N50" s="10">
        <f t="shared" si="13"/>
        <v>1659.1999999999998</v>
      </c>
      <c r="O50" s="8">
        <f>IFERROR(N50/N444, "NA")</f>
        <v>-0.37499350225217704</v>
      </c>
      <c r="P50" s="9"/>
      <c r="Q50" s="7">
        <v>15729.07</v>
      </c>
      <c r="R50" s="8">
        <f>IFERROR(Q50/Q444, "NA")</f>
        <v>3.4039066654893745E-3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15729.07</v>
      </c>
      <c r="X50" s="8">
        <f>IFERROR(W50/W444, "NA")</f>
        <v>-0.11094265357508265</v>
      </c>
      <c r="Y50" s="9"/>
      <c r="Z50" s="7">
        <v>23465.09</v>
      </c>
      <c r="AA50" s="8">
        <f>IFERROR(Z50/Z444, "NA")</f>
        <v>5.5988705676630023E-3</v>
      </c>
      <c r="AB50" s="9"/>
      <c r="AC50" s="10">
        <f t="shared" si="15"/>
        <v>-7736.02</v>
      </c>
      <c r="AD50" s="8">
        <f>IFERROR(AC50/AC444, "NA")</f>
        <v>-1.7997120189045573E-2</v>
      </c>
    </row>
    <row r="51" spans="1:30" ht="16.5" customHeight="1" x14ac:dyDescent="0.45">
      <c r="A51" s="17" t="s">
        <v>49</v>
      </c>
      <c r="B51" s="7">
        <v>2560.27</v>
      </c>
      <c r="C51" s="8">
        <f>IFERROR(B51/B444, "NA")</f>
        <v>4.9693519396528081E-3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2560.27</v>
      </c>
      <c r="I51" s="8">
        <f>IFERROR(H51/H444, "NA")</f>
        <v>-3.8173398690432681E-2</v>
      </c>
      <c r="J51" s="9"/>
      <c r="K51" s="7">
        <v>5252.35</v>
      </c>
      <c r="L51" s="8">
        <f>IFERROR(K51/K444, "NA")</f>
        <v>1.0107735662837953E-2</v>
      </c>
      <c r="M51" s="9"/>
      <c r="N51" s="10">
        <f t="shared" si="13"/>
        <v>-2692.0800000000004</v>
      </c>
      <c r="O51" s="8">
        <f>IFERROR(N51/N444, "NA")</f>
        <v>0.60843328564551658</v>
      </c>
      <c r="P51" s="9"/>
      <c r="Q51" s="7">
        <v>24490.19</v>
      </c>
      <c r="R51" s="8">
        <f>IFERROR(Q51/Q444, "NA")</f>
        <v>5.2998887397729946E-3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24490.19</v>
      </c>
      <c r="X51" s="8">
        <f>IFERROR(W51/W444, "NA")</f>
        <v>-0.17273790918076867</v>
      </c>
      <c r="Y51" s="9"/>
      <c r="Z51" s="7">
        <v>56643.82</v>
      </c>
      <c r="AA51" s="8">
        <f>IFERROR(Z51/Z444, "NA")</f>
        <v>1.3515457074232443E-2</v>
      </c>
      <c r="AB51" s="9"/>
      <c r="AC51" s="10">
        <f t="shared" si="15"/>
        <v>-32153.63</v>
      </c>
      <c r="AD51" s="8">
        <f>IFERROR(AC51/AC444, "NA")</f>
        <v>-7.4802384640176911E-2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10000</v>
      </c>
      <c r="R53" s="8">
        <f>IFERROR(Q53/Q444, "NA")</f>
        <v>2.1640864116501323E-3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10000</v>
      </c>
      <c r="X53" s="8">
        <f>IFERROR(W53/W444, "NA")</f>
        <v>-7.0533511247062072E-2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10000</v>
      </c>
      <c r="AD53" s="8">
        <f>IFERROR(AC53/AC444, "NA")</f>
        <v>2.326405592157928E-2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77.75</v>
      </c>
      <c r="R54" s="8">
        <f>IFERROR(Q54/Q444, "NA")</f>
        <v>1.6825771850579777E-5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-5.4839804994590762E-4</v>
      </c>
      <c r="Y54" s="9"/>
      <c r="Z54" s="7">
        <v>1377.7</v>
      </c>
      <c r="AA54" s="8">
        <f>IFERROR(Z54/Z444, "NA")</f>
        <v>3.2872509677437072E-4</v>
      </c>
      <c r="AB54" s="9"/>
      <c r="AC54" s="10">
        <f t="shared" si="15"/>
        <v>-1299.95</v>
      </c>
      <c r="AD54" s="8">
        <f>IFERROR(AC54/AC444, "NA")</f>
        <v>-3.0242109495256984E-3</v>
      </c>
    </row>
    <row r="55" spans="1:30" ht="16.5" customHeight="1" x14ac:dyDescent="0.45">
      <c r="A55" s="17" t="s">
        <v>53</v>
      </c>
      <c r="B55" s="7">
        <v>313.92</v>
      </c>
      <c r="C55" s="8">
        <f>IFERROR(B55/B444, "NA")</f>
        <v>6.093025192248512E-4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313.92</v>
      </c>
      <c r="I55" s="8">
        <f>IFERROR(H55/H444, "NA")</f>
        <v>-4.6805193658874368E-3</v>
      </c>
      <c r="J55" s="9"/>
      <c r="K55" s="7">
        <v>279.76</v>
      </c>
      <c r="L55" s="8">
        <f>IFERROR(K55/K444, "NA")</f>
        <v>5.3837618000238856E-4</v>
      </c>
      <c r="M55" s="9"/>
      <c r="N55" s="10">
        <f t="shared" si="13"/>
        <v>34.160000000000025</v>
      </c>
      <c r="O55" s="8">
        <f>IFERROR(N55/N444, "NA")</f>
        <v>-7.7204544581330635E-3</v>
      </c>
      <c r="P55" s="9"/>
      <c r="Q55" s="7">
        <v>2990.33</v>
      </c>
      <c r="R55" s="8">
        <f>IFERROR(Q55/Q444, "NA")</f>
        <v>6.4713325193497401E-4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2990.33</v>
      </c>
      <c r="X55" s="8">
        <f>IFERROR(W55/W444, "NA")</f>
        <v>-2.1091847468742712E-2</v>
      </c>
      <c r="Y55" s="9"/>
      <c r="Z55" s="7">
        <v>6261.83</v>
      </c>
      <c r="AA55" s="8">
        <f>IFERROR(Z55/Z444, "NA")</f>
        <v>1.4940993487222601E-3</v>
      </c>
      <c r="AB55" s="9"/>
      <c r="AC55" s="10">
        <f t="shared" si="15"/>
        <v>-3271.5</v>
      </c>
      <c r="AD55" s="8">
        <f>IFERROR(AC55/AC444, "NA")</f>
        <v>-7.610835894744661E-3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186.5</v>
      </c>
      <c r="L56" s="8">
        <f>IFERROR(K56/K444, "NA")</f>
        <v>3.5890462385775474E-4</v>
      </c>
      <c r="M56" s="9"/>
      <c r="N56" s="10">
        <f t="shared" si="13"/>
        <v>-186.5</v>
      </c>
      <c r="O56" s="8">
        <f>IFERROR(N56/N444, "NA")</f>
        <v>4.215060762417492E-2</v>
      </c>
      <c r="P56" s="9"/>
      <c r="Q56" s="7">
        <v>155.60000000000002</v>
      </c>
      <c r="R56" s="8">
        <f>IFERROR(Q56/Q444, "NA")</f>
        <v>3.3673184565276061E-5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-1.0975014350042859E-3</v>
      </c>
      <c r="Y56" s="9"/>
      <c r="Z56" s="7">
        <v>3087.91</v>
      </c>
      <c r="AA56" s="8">
        <f>IFERROR(Z56/Z444, "NA")</f>
        <v>7.3678849791721499E-4</v>
      </c>
      <c r="AB56" s="9"/>
      <c r="AC56" s="10">
        <f t="shared" si="15"/>
        <v>-2932.31</v>
      </c>
      <c r="AD56" s="8">
        <f>IFERROR(AC56/AC444, "NA")</f>
        <v>-6.8217423819406132E-3</v>
      </c>
    </row>
    <row r="57" spans="1:30" ht="16.5" customHeight="1" x14ac:dyDescent="0.45">
      <c r="A57" s="17" t="s">
        <v>55</v>
      </c>
      <c r="B57" s="7">
        <v>1940.28</v>
      </c>
      <c r="C57" s="8">
        <f>IFERROR(B57/B444, "NA")</f>
        <v>3.7659833460805116E-3</v>
      </c>
      <c r="D57" s="9"/>
      <c r="E57" s="7">
        <v>0</v>
      </c>
      <c r="F57" s="8">
        <f>IFERROR(E57/E444, "NA")</f>
        <v>0</v>
      </c>
      <c r="G57" s="9"/>
      <c r="H57" s="10">
        <f t="shared" si="12"/>
        <v>1940.28</v>
      </c>
      <c r="I57" s="8">
        <f>IFERROR(H57/H444, "NA")</f>
        <v>-2.8929402762627659E-2</v>
      </c>
      <c r="J57" s="9"/>
      <c r="K57" s="7">
        <v>0</v>
      </c>
      <c r="L57" s="8">
        <f>IFERROR(K57/K444, "NA")</f>
        <v>0</v>
      </c>
      <c r="M57" s="9"/>
      <c r="N57" s="10">
        <f t="shared" si="13"/>
        <v>1940.28</v>
      </c>
      <c r="O57" s="8">
        <f>IFERROR(N57/N444, "NA")</f>
        <v>-0.43852000515299794</v>
      </c>
      <c r="P57" s="9"/>
      <c r="Q57" s="7">
        <v>7448.54</v>
      </c>
      <c r="R57" s="8">
        <f>IFERROR(Q57/Q444, "NA")</f>
        <v>1.6119284200632475E-3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7448.54</v>
      </c>
      <c r="X57" s="8">
        <f>IFERROR(W57/W444, "NA")</f>
        <v>-5.2537167986419164E-2</v>
      </c>
      <c r="Y57" s="9"/>
      <c r="Z57" s="7">
        <v>14356.41</v>
      </c>
      <c r="AA57" s="8">
        <f>IFERROR(Z57/Z444, "NA")</f>
        <v>3.4255006652990807E-3</v>
      </c>
      <c r="AB57" s="9"/>
      <c r="AC57" s="10">
        <f t="shared" si="15"/>
        <v>-6907.87</v>
      </c>
      <c r="AD57" s="8">
        <f>IFERROR(AC57/AC444, "NA")</f>
        <v>-1.6070507397899985E-2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466.25</v>
      </c>
      <c r="L58" s="8">
        <f>IFERROR(K58/K444, "NA")</f>
        <v>8.9726155964438682E-4</v>
      </c>
      <c r="M58" s="9"/>
      <c r="N58" s="10">
        <f t="shared" si="13"/>
        <v>-466.25</v>
      </c>
      <c r="O58" s="8">
        <f>IFERROR(N58/N444, "NA")</f>
        <v>0.1053765190604373</v>
      </c>
      <c r="P58" s="9"/>
      <c r="Q58" s="7">
        <v>1564.22</v>
      </c>
      <c r="R58" s="8">
        <f>IFERROR(Q58/Q444, "NA")</f>
        <v>3.38510724683137E-4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-1.1032992896287943E-2</v>
      </c>
      <c r="Y58" s="9"/>
      <c r="Z58" s="7">
        <v>4350.45</v>
      </c>
      <c r="AA58" s="8">
        <f>IFERROR(Z58/Z444, "NA")</f>
        <v>1.0380359274603042E-3</v>
      </c>
      <c r="AB58" s="9"/>
      <c r="AC58" s="10">
        <f t="shared" si="15"/>
        <v>-2786.2299999999996</v>
      </c>
      <c r="AD58" s="8">
        <f>IFERROR(AC58/AC444, "NA")</f>
        <v>-6.4819010530381823E-3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4787.2299999999996</v>
      </c>
      <c r="AA59" s="8">
        <f>IFERROR(Z59/Z444, "NA")</f>
        <v>1.1422534986072225E-3</v>
      </c>
      <c r="AB59" s="9"/>
      <c r="AC59" s="10">
        <f t="shared" si="15"/>
        <v>-4787.2299999999996</v>
      </c>
      <c r="AD59" s="8">
        <f>IFERROR(AC59/AC444, "NA")</f>
        <v>-1.1137038642946196E-2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202.58</v>
      </c>
      <c r="L60" s="8">
        <f>IFERROR(K60/K444, "NA")</f>
        <v>3.8984932279412308E-4</v>
      </c>
      <c r="M60" s="9"/>
      <c r="N60" s="10">
        <f t="shared" si="13"/>
        <v>-202.58</v>
      </c>
      <c r="O60" s="8">
        <f>IFERROR(N60/N444, "NA")</f>
        <v>4.5784826233272687E-2</v>
      </c>
      <c r="P60" s="9"/>
      <c r="Q60" s="7">
        <v>12.85</v>
      </c>
      <c r="R60" s="8">
        <f>IFERROR(Q60/Q444, "NA")</f>
        <v>2.7808510389704198E-6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-9.0635561952474749E-5</v>
      </c>
      <c r="Y60" s="9"/>
      <c r="Z60" s="7">
        <v>319.54000000000002</v>
      </c>
      <c r="AA60" s="8">
        <f>IFERROR(Z60/Z444, "NA")</f>
        <v>7.6243607043102575E-5</v>
      </c>
      <c r="AB60" s="9"/>
      <c r="AC60" s="10">
        <f t="shared" si="15"/>
        <v>-306.69</v>
      </c>
      <c r="AD60" s="8">
        <f>IFERROR(AC60/AC444, "NA")</f>
        <v>-7.134853310589149E-4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74607.740000000005</v>
      </c>
      <c r="C61" s="15">
        <f>IFERROR(B61/B444, "NA")</f>
        <v>0.1448097729857056</v>
      </c>
      <c r="D61" s="2"/>
      <c r="E61" s="14">
        <f>IFERROR(E46+E47+E48+E49+E50+E51+E52+E53+E54+E55+E56+E57+E58+E59+E60, "NA")</f>
        <v>149768.81</v>
      </c>
      <c r="F61" s="15">
        <f>IFERROR(E61/E444, "NA")</f>
        <v>0.25721030512508269</v>
      </c>
      <c r="G61" s="2"/>
      <c r="H61" s="14">
        <f t="shared" si="12"/>
        <v>-75161.069999999992</v>
      </c>
      <c r="I61" s="15">
        <f>IFERROR(H61/H444, "NA")</f>
        <v>1.1206448894489716</v>
      </c>
      <c r="J61" s="2"/>
      <c r="K61" s="14">
        <f>IFERROR(K46+K47+K48+K49+K50+K51+K52+K53+K54+K55+K56+K57+K58+K59+K60, "NA")</f>
        <v>103423.49</v>
      </c>
      <c r="L61" s="15">
        <f>IFERROR(K61/K444, "NA")</f>
        <v>0.19903039558448396</v>
      </c>
      <c r="M61" s="2"/>
      <c r="N61" s="14">
        <f t="shared" si="13"/>
        <v>-28815.75</v>
      </c>
      <c r="O61" s="15">
        <f>IFERROR(N61/N444, "NA")</f>
        <v>6.5126078908649783</v>
      </c>
      <c r="P61" s="2"/>
      <c r="Q61" s="14">
        <f>IFERROR(Q46+Q47+Q48+Q49+Q50+Q51+Q52+Q53+Q54+Q55+Q56+Q57+Q58+Q59+Q60, "NA")</f>
        <v>720636.96999999974</v>
      </c>
      <c r="R61" s="15">
        <f>IFERROR(Q61/Q444, "NA")</f>
        <v>0.15595206745097234</v>
      </c>
      <c r="S61" s="2"/>
      <c r="T61" s="14">
        <f>IFERROR(T46+T47+T48+T49+T50+T51+T52+T53+T54+T55+T56+T57+T58+T59+T60, "NA")</f>
        <v>1228964.44</v>
      </c>
      <c r="U61" s="15">
        <f>IFERROR(T61/T444, "NA")</f>
        <v>0.25804138215372585</v>
      </c>
      <c r="V61" s="2"/>
      <c r="W61" s="14">
        <f t="shared" si="14"/>
        <v>-508327.4700000002</v>
      </c>
      <c r="X61" s="15">
        <f>IFERROR(W61/W444, "NA")</f>
        <v>3.5854121322435621</v>
      </c>
      <c r="Y61" s="2"/>
      <c r="Z61" s="14">
        <f>IFERROR(Z46+Z47+Z48+Z49+Z50+Z51+Z52+Z53+Z54+Z55+Z56+Z57+Z58+Z59+Z60, "NA")</f>
        <v>957876.31999999983</v>
      </c>
      <c r="AA61" s="15">
        <f>IFERROR(Z61/Z444, "NA")</f>
        <v>0.22855337590903538</v>
      </c>
      <c r="AB61" s="2"/>
      <c r="AC61" s="14">
        <f t="shared" si="15"/>
        <v>-237239.35000000009</v>
      </c>
      <c r="AD61" s="15">
        <f>IFERROR(AC61/AC444, "NA")</f>
        <v>-0.55191495051991213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97440</v>
      </c>
      <c r="C62" s="15">
        <f>IFERROR(B62/B444, "NA")</f>
        <v>0.18912601131902873</v>
      </c>
      <c r="D62" s="2"/>
      <c r="E62" s="14">
        <f>IFERROR(E42+E43+E44+E46+E47+E48+E49+E50+E51+E52+E53+E54+E55+E56+E57+E58+E59+E60, "NA")</f>
        <v>149768.81</v>
      </c>
      <c r="F62" s="15">
        <f>IFERROR(E62/E444, "NA")</f>
        <v>0.25721030512508269</v>
      </c>
      <c r="G62" s="2"/>
      <c r="H62" s="14">
        <f t="shared" si="12"/>
        <v>-52328.81</v>
      </c>
      <c r="I62" s="15">
        <f>IFERROR(H62/H444, "NA")</f>
        <v>0.7802179173000896</v>
      </c>
      <c r="J62" s="2"/>
      <c r="K62" s="14">
        <f>IFERROR(K42+K43+K44+K46+K47+K48+K49+K50+K51+K52+K53+K54+K55+K56+K57+K58+K59+K60, "NA")</f>
        <v>106773.76000000001</v>
      </c>
      <c r="L62" s="15">
        <f>IFERROR(K62/K444, "NA")</f>
        <v>0.20547772745671947</v>
      </c>
      <c r="M62" s="2"/>
      <c r="N62" s="14">
        <f t="shared" si="13"/>
        <v>-9333.7600000000093</v>
      </c>
      <c r="O62" s="15">
        <f>IFERROR(N62/N444, "NA")</f>
        <v>2.1095102167196744</v>
      </c>
      <c r="P62" s="2"/>
      <c r="Q62" s="14">
        <f>IFERROR(Q42+Q43+Q44+Q46+Q47+Q48+Q49+Q50+Q51+Q52+Q53+Q54+Q55+Q56+Q57+Q58+Q59+Q60, "NA")</f>
        <v>958326.31999999972</v>
      </c>
      <c r="R62" s="15">
        <f>IFERROR(Q62/Q444, "NA")</f>
        <v>0.20739009670386757</v>
      </c>
      <c r="S62" s="2"/>
      <c r="T62" s="14">
        <f>IFERROR(T42+T43+T44+T46+T47+T48+T49+T50+T51+T52+T53+T54+T55+T56+T57+T58+T59+T60, "NA")</f>
        <v>1228964.44</v>
      </c>
      <c r="U62" s="15">
        <f>IFERROR(T62/T444, "NA")</f>
        <v>0.25804138215372585</v>
      </c>
      <c r="V62" s="2"/>
      <c r="W62" s="14">
        <f t="shared" si="14"/>
        <v>-270638.12000000023</v>
      </c>
      <c r="X62" s="15">
        <f>IFERROR(W62/W444, "NA")</f>
        <v>1.908905688090375</v>
      </c>
      <c r="Y62" s="2"/>
      <c r="Z62" s="14">
        <f>IFERROR(Z42+Z43+Z44+Z46+Z47+Z48+Z49+Z50+Z51+Z52+Z53+Z54+Z55+Z56+Z57+Z58+Z59+Z60, "NA")</f>
        <v>987494.0399999998</v>
      </c>
      <c r="AA62" s="15">
        <f>IFERROR(Z62/Z444, "NA")</f>
        <v>0.23562029023961259</v>
      </c>
      <c r="AB62" s="2"/>
      <c r="AC62" s="14">
        <f t="shared" si="15"/>
        <v>-29167.720000000088</v>
      </c>
      <c r="AD62" s="15">
        <f>IFERROR(AC62/AC444, "NA")</f>
        <v>-6.7855946918496848E-2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23528.720000000001</v>
      </c>
      <c r="C65" s="8">
        <f>IFERROR(B65/B444, "NA")</f>
        <v>4.5668031250433679E-2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23528.720000000001</v>
      </c>
      <c r="I65" s="8">
        <f>IFERROR(H65/H444, "NA")</f>
        <v>-0.35081112899637817</v>
      </c>
      <c r="J65" s="9"/>
      <c r="K65" s="7">
        <v>410.25</v>
      </c>
      <c r="L65" s="8">
        <f>IFERROR(K65/K444, "NA")</f>
        <v>7.8949395140827817E-4</v>
      </c>
      <c r="M65" s="9"/>
      <c r="N65" s="10">
        <f t="shared" si="17"/>
        <v>23118.47</v>
      </c>
      <c r="O65" s="8">
        <f>IFERROR(N65/N444, "NA")</f>
        <v>-5.2249735004893259</v>
      </c>
      <c r="P65" s="9"/>
      <c r="Q65" s="7">
        <v>82069.670000000013</v>
      </c>
      <c r="R65" s="8">
        <f>IFERROR(Q65/Q444, "NA")</f>
        <v>1.7760585765561054E-2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82069.670000000013</v>
      </c>
      <c r="X65" s="8">
        <f>IFERROR(W65/W444, "NA")</f>
        <v>-0.57886619919876736</v>
      </c>
      <c r="Y65" s="9"/>
      <c r="Z65" s="7">
        <v>4630.38</v>
      </c>
      <c r="AA65" s="8">
        <f>IFERROR(Z65/Z444, "NA")</f>
        <v>1.1048284195413448E-3</v>
      </c>
      <c r="AB65" s="9"/>
      <c r="AC65" s="10">
        <f t="shared" si="19"/>
        <v>77439.290000000008</v>
      </c>
      <c r="AD65" s="8">
        <f>IFERROR(AC65/AC444, "NA")</f>
        <v>0.18015519730873952</v>
      </c>
    </row>
    <row r="66" spans="1:30" ht="16.5" customHeight="1" x14ac:dyDescent="0.45">
      <c r="A66" s="12" t="s">
        <v>63</v>
      </c>
      <c r="B66" s="7">
        <v>11697.960000000001</v>
      </c>
      <c r="C66" s="8">
        <f>IFERROR(B66/B444, "NA")</f>
        <v>2.2705136651986303E-2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11697.960000000001</v>
      </c>
      <c r="I66" s="8">
        <f>IFERROR(H66/H444, "NA")</f>
        <v>-0.17441554638562881</v>
      </c>
      <c r="J66" s="9"/>
      <c r="K66" s="7">
        <v>10177.16</v>
      </c>
      <c r="L66" s="8">
        <f>IFERROR(K66/K444, "NA")</f>
        <v>1.9585146282789206E-2</v>
      </c>
      <c r="M66" s="9"/>
      <c r="N66" s="10">
        <f t="shared" si="17"/>
        <v>1520.8000000000011</v>
      </c>
      <c r="O66" s="8">
        <f>IFERROR(N66/N444, "NA")</f>
        <v>-0.34371390924850009</v>
      </c>
      <c r="P66" s="9"/>
      <c r="Q66" s="7">
        <v>148306.95000000001</v>
      </c>
      <c r="R66" s="8">
        <f>IFERROR(Q66/Q444, "NA")</f>
        <v>3.2094905524827563E-2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148306.95000000001</v>
      </c>
      <c r="X66" s="8">
        <f>IFERROR(W66/W444, "NA")</f>
        <v>-1.0460609925842472</v>
      </c>
      <c r="Y66" s="9"/>
      <c r="Z66" s="7">
        <v>105316.22</v>
      </c>
      <c r="AA66" s="8">
        <f>IFERROR(Z66/Z444, "NA")</f>
        <v>2.5128899333244477E-2</v>
      </c>
      <c r="AB66" s="9"/>
      <c r="AC66" s="10">
        <f t="shared" si="19"/>
        <v>42990.73000000001</v>
      </c>
      <c r="AD66" s="8">
        <f>IFERROR(AC66/AC444, "NA")</f>
        <v>0.10001387468295161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2.1387124984735347E-3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-6.9706505827690265E-2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2.2991284865898763E-2</v>
      </c>
    </row>
    <row r="68" spans="1:30" ht="16.5" customHeight="1" x14ac:dyDescent="0.45">
      <c r="A68" s="12" t="s">
        <v>65</v>
      </c>
      <c r="B68" s="7">
        <v>11200.2</v>
      </c>
      <c r="C68" s="8">
        <f>IFERROR(B68/B444, "NA")</f>
        <v>2.1739010180371363E-2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11200.2</v>
      </c>
      <c r="I68" s="8">
        <f>IFERROR(H68/H444, "NA")</f>
        <v>-0.16699398892014675</v>
      </c>
      <c r="J68" s="9"/>
      <c r="K68" s="7">
        <v>0</v>
      </c>
      <c r="L68" s="8">
        <f>IFERROR(K68/K444, "NA")</f>
        <v>0</v>
      </c>
      <c r="M68" s="9"/>
      <c r="N68" s="10">
        <f t="shared" si="17"/>
        <v>11200.2</v>
      </c>
      <c r="O68" s="8">
        <f>IFERROR(N68/N444, "NA")</f>
        <v>-2.5313417453741769</v>
      </c>
      <c r="P68" s="9"/>
      <c r="Q68" s="7">
        <v>31729.62</v>
      </c>
      <c r="R68" s="8">
        <f>IFERROR(Q68/Q444, "NA")</f>
        <v>6.8665639488822271E-3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31729.62</v>
      </c>
      <c r="X68" s="8">
        <f>IFERROR(W68/W444, "NA")</f>
        <v>-0.22380015091350053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31729.62</v>
      </c>
      <c r="AD68" s="8">
        <f>IFERROR(AC68/AC444, "NA")</f>
        <v>7.3815965405046036E-2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46426.880000000005</v>
      </c>
      <c r="C73" s="15">
        <f>IFERROR(B73/B444, "NA")</f>
        <v>9.0112178082791344E-2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46426.880000000005</v>
      </c>
      <c r="I73" s="15">
        <f>IFERROR(H73/H444, "NA")</f>
        <v>-0.69222066430215379</v>
      </c>
      <c r="J73" s="2"/>
      <c r="K73" s="14">
        <f>IFERROR(K64+K65+K66+K67+K68+K69+K70+K71+K72, "NA")</f>
        <v>10587.41</v>
      </c>
      <c r="L73" s="15">
        <f>IFERROR(K73/K444, "NA")</f>
        <v>2.0374640234197487E-2</v>
      </c>
      <c r="M73" s="2"/>
      <c r="N73" s="14">
        <f t="shared" si="17"/>
        <v>35839.47</v>
      </c>
      <c r="O73" s="15">
        <f>IFERROR(N73/N444, "NA")</f>
        <v>-8.1000291551120025</v>
      </c>
      <c r="P73" s="2"/>
      <c r="Q73" s="14">
        <f>IFERROR(Q64+Q65+Q66+Q67+Q68+Q69+Q70+Q71+Q72, "NA")</f>
        <v>271988.99000000005</v>
      </c>
      <c r="R73" s="15">
        <f>IFERROR(Q73/Q444, "NA")</f>
        <v>5.8860767737744381E-2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271988.99000000005</v>
      </c>
      <c r="X73" s="15">
        <f>IFERROR(W73/W444, "NA")</f>
        <v>-1.9184338485242056</v>
      </c>
      <c r="Y73" s="2"/>
      <c r="Z73" s="14">
        <f>IFERROR(Z64+Z65+Z66+Z67+Z68+Z69+Z70+Z71+Z72, "NA")</f>
        <v>109946.6</v>
      </c>
      <c r="AA73" s="15">
        <f>IFERROR(Z73/Z444, "NA")</f>
        <v>2.6233727752785825E-2</v>
      </c>
      <c r="AB73" s="2"/>
      <c r="AC73" s="14">
        <f t="shared" si="19"/>
        <v>162042.39000000004</v>
      </c>
      <c r="AD73" s="15">
        <f>IFERROR(AC73/AC444, "NA")</f>
        <v>0.376976322262636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10302.879999999999</v>
      </c>
      <c r="F75" s="8">
        <f>IFERROR(E75/E444, "NA")</f>
        <v>1.7693983870654455E-2</v>
      </c>
      <c r="G75" s="9"/>
      <c r="H75" s="10">
        <f t="shared" ref="H75:H92" si="20">IFERROR(B75-E75, "NA")</f>
        <v>-10302.879999999999</v>
      </c>
      <c r="I75" s="8">
        <f>IFERROR(H75/H444, "NA")</f>
        <v>0.15361502728215579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84501.96</v>
      </c>
      <c r="U75" s="8">
        <f>IFERROR(T75/T444, "NA")</f>
        <v>1.7742582163808463E-2</v>
      </c>
      <c r="V75" s="9"/>
      <c r="W75" s="10">
        <f t="shared" ref="W75:W92" si="22">IFERROR(Q75-T75, "NA")</f>
        <v>-84501.96</v>
      </c>
      <c r="X75" s="8">
        <f>IFERROR(W75/W444, "NA")</f>
        <v>0.5960219946058789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2419.84</v>
      </c>
      <c r="C77" s="8">
        <f>IFERROR(B77/B444, "NA")</f>
        <v>4.6967845569605756E-3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2419.84</v>
      </c>
      <c r="I77" s="8">
        <f>IFERROR(H77/H444, "NA")</f>
        <v>-3.6079599841835674E-2</v>
      </c>
      <c r="J77" s="9"/>
      <c r="K77" s="7">
        <v>403.65</v>
      </c>
      <c r="L77" s="8">
        <f>IFERROR(K77/K444, "NA")</f>
        <v>7.7679276900902248E-4</v>
      </c>
      <c r="M77" s="9"/>
      <c r="N77" s="10">
        <f t="shared" si="21"/>
        <v>2016.19</v>
      </c>
      <c r="O77" s="8">
        <f>IFERROR(N77/N444, "NA")</f>
        <v>-0.45567631949482701</v>
      </c>
      <c r="P77" s="9"/>
      <c r="Q77" s="7">
        <v>20491.050000000003</v>
      </c>
      <c r="R77" s="8">
        <f>IFERROR(Q77/Q444, "NA")</f>
        <v>4.4344402865443451E-3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20491.050000000003</v>
      </c>
      <c r="X77" s="8">
        <f>IFERROR(W77/W444, "NA")</f>
        <v>-0.14453057056391114</v>
      </c>
      <c r="Y77" s="9"/>
      <c r="Z77" s="7">
        <v>3713.58</v>
      </c>
      <c r="AA77" s="8">
        <f>IFERROR(Z77/Z444, "NA")</f>
        <v>8.8607602880116682E-4</v>
      </c>
      <c r="AB77" s="9"/>
      <c r="AC77" s="10">
        <f t="shared" si="23"/>
        <v>16777.47</v>
      </c>
      <c r="AD77" s="8">
        <f>IFERROR(AC77/AC444, "NA")</f>
        <v>3.9031200030261871E-2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4.8523709800653918E-5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-3.7274778334348214E-4</v>
      </c>
      <c r="J78" s="9"/>
      <c r="K78" s="7">
        <v>25</v>
      </c>
      <c r="L78" s="8">
        <f>IFERROR(K78/K444, "NA")</f>
        <v>4.8110539391119936E-5</v>
      </c>
      <c r="M78" s="9"/>
      <c r="N78" s="10">
        <f t="shared" si="21"/>
        <v>0</v>
      </c>
      <c r="O78" s="8">
        <f>IFERROR(N78/N444, "NA")</f>
        <v>0</v>
      </c>
      <c r="P78" s="9"/>
      <c r="Q78" s="7">
        <v>400</v>
      </c>
      <c r="R78" s="8">
        <f>IFERROR(Q78/Q444, "NA")</f>
        <v>8.6563456466005285E-5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400</v>
      </c>
      <c r="X78" s="8">
        <f>IFERROR(W78/W444, "NA")</f>
        <v>-2.8213404498824827E-3</v>
      </c>
      <c r="Y78" s="9"/>
      <c r="Z78" s="7">
        <v>300</v>
      </c>
      <c r="AA78" s="8">
        <f>IFERROR(Z78/Z444, "NA")</f>
        <v>7.1581279692466593E-5</v>
      </c>
      <c r="AB78" s="9"/>
      <c r="AC78" s="10">
        <f t="shared" si="23"/>
        <v>100</v>
      </c>
      <c r="AD78" s="8">
        <f>IFERROR(AC78/AC444, "NA")</f>
        <v>2.3264055921579278E-4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14.080000000000002</v>
      </c>
      <c r="R79" s="8">
        <f>IFERROR(Q79/Q444, "NA")</f>
        <v>3.0470336676033865E-6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14.080000000000002</v>
      </c>
      <c r="X79" s="8">
        <f>IFERROR(W79/W444, "NA")</f>
        <v>-9.9311183835863401E-5</v>
      </c>
      <c r="Y79" s="9"/>
      <c r="Z79" s="7">
        <v>272.09000000000003</v>
      </c>
      <c r="AA79" s="8">
        <f>IFERROR(Z79/Z444, "NA")</f>
        <v>6.4921834638410791E-5</v>
      </c>
      <c r="AB79" s="9"/>
      <c r="AC79" s="10">
        <f t="shared" si="23"/>
        <v>-258.01000000000005</v>
      </c>
      <c r="AD79" s="8">
        <f>IFERROR(AC79/AC444, "NA")</f>
        <v>-6.0023590683266708E-4</v>
      </c>
    </row>
    <row r="80" spans="1:30" ht="16.5" customHeight="1" x14ac:dyDescent="0.45">
      <c r="A80" s="12" t="s">
        <v>76</v>
      </c>
      <c r="B80" s="7">
        <v>6188.1</v>
      </c>
      <c r="C80" s="8">
        <f>IFERROR(B80/B444, "NA")</f>
        <v>1.2010782744697062E-2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6188.1</v>
      </c>
      <c r="I80" s="8">
        <f>IFERROR(H80/H444, "NA")</f>
        <v>-9.2264022324312078E-2</v>
      </c>
      <c r="J80" s="9"/>
      <c r="K80" s="7">
        <v>8620.69</v>
      </c>
      <c r="L80" s="8">
        <f>IFERROR(K80/K444, "NA")</f>
        <v>1.6589841832945349E-2</v>
      </c>
      <c r="M80" s="9"/>
      <c r="N80" s="10">
        <f t="shared" si="21"/>
        <v>-2432.59</v>
      </c>
      <c r="O80" s="8">
        <f>IFERROR(N80/N444, "NA")</f>
        <v>0.54978630884982127</v>
      </c>
      <c r="P80" s="9"/>
      <c r="Q80" s="7">
        <v>56028.59</v>
      </c>
      <c r="R80" s="8">
        <f>IFERROR(Q80/Q444, "NA")</f>
        <v>1.2125071028291648E-2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56028.59</v>
      </c>
      <c r="X80" s="8">
        <f>IFERROR(W80/W444, "NA")</f>
        <v>-0.39518931829220288</v>
      </c>
      <c r="Y80" s="9"/>
      <c r="Z80" s="7">
        <v>69888.89</v>
      </c>
      <c r="AA80" s="8">
        <f>IFERROR(Z80/Z444, "NA")</f>
        <v>1.6675787274953436E-2</v>
      </c>
      <c r="AB80" s="9"/>
      <c r="AC80" s="10">
        <f t="shared" si="23"/>
        <v>-13860.300000000003</v>
      </c>
      <c r="AD80" s="8">
        <f>IFERROR(AC80/AC444, "NA")</f>
        <v>-3.2244679428986532E-2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4.8110539391119936E-5</v>
      </c>
      <c r="M82" s="9"/>
      <c r="N82" s="10">
        <f t="shared" si="21"/>
        <v>-25</v>
      </c>
      <c r="O82" s="8">
        <f>IFERROR(N82/N444, "NA")</f>
        <v>5.6502154992191583E-3</v>
      </c>
      <c r="P82" s="9"/>
      <c r="Q82" s="7">
        <v>50</v>
      </c>
      <c r="R82" s="8">
        <f>IFERROR(Q82/Q444, "NA")</f>
        <v>1.0820432058250661E-5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50</v>
      </c>
      <c r="X82" s="8">
        <f>IFERROR(W82/W444, "NA")</f>
        <v>-3.5266755623531034E-4</v>
      </c>
      <c r="Y82" s="9"/>
      <c r="Z82" s="7">
        <v>125</v>
      </c>
      <c r="AA82" s="8">
        <f>IFERROR(Z82/Z444, "NA")</f>
        <v>2.982553320519441E-5</v>
      </c>
      <c r="AB82" s="9"/>
      <c r="AC82" s="10">
        <f t="shared" si="23"/>
        <v>-75</v>
      </c>
      <c r="AD82" s="8">
        <f>IFERROR(AC82/AC444, "NA")</f>
        <v>-1.7448041941184458E-4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5.7732647269343926E-5</v>
      </c>
      <c r="M85" s="9"/>
      <c r="N85" s="10">
        <f t="shared" si="21"/>
        <v>-30</v>
      </c>
      <c r="O85" s="8">
        <f>IFERROR(N85/N444, "NA")</f>
        <v>6.7802585990629893E-3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265.98</v>
      </c>
      <c r="AA85" s="8">
        <f>IFERROR(Z85/Z444, "NA")</f>
        <v>6.3463962575340885E-5</v>
      </c>
      <c r="AB85" s="9"/>
      <c r="AC85" s="10">
        <f t="shared" si="23"/>
        <v>-265.98</v>
      </c>
      <c r="AD85" s="8">
        <f>IFERROR(AC85/AC444, "NA")</f>
        <v>-6.1877735940216573E-4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4.8523709800653918E-5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-3.7274778334348214E-4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-5.6502154992191583E-3</v>
      </c>
      <c r="P86" s="9"/>
      <c r="Q86" s="7">
        <v>125</v>
      </c>
      <c r="R86" s="8">
        <f>IFERROR(Q86/Q444, "NA")</f>
        <v>2.7051080145626652E-5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125</v>
      </c>
      <c r="X86" s="8">
        <f>IFERROR(W86/W444, "NA")</f>
        <v>-8.8166889058827582E-4</v>
      </c>
      <c r="Y86" s="9"/>
      <c r="Z86" s="7">
        <v>820</v>
      </c>
      <c r="AA86" s="8">
        <f>IFERROR(Z86/Z444, "NA")</f>
        <v>1.9565549782607535E-4</v>
      </c>
      <c r="AB86" s="9"/>
      <c r="AC86" s="10">
        <f t="shared" si="23"/>
        <v>-695</v>
      </c>
      <c r="AD86" s="8">
        <f>IFERROR(AC86/AC444, "NA")</f>
        <v>-1.6168518865497599E-3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2.1387233189055927E-4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-6.9706858495246493E-3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2.2991401186178368E-3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8657.94</v>
      </c>
      <c r="C88" s="15">
        <f>IFERROR(B88/B444, "NA")</f>
        <v>1.6804614721258944E-2</v>
      </c>
      <c r="D88" s="2"/>
      <c r="E88" s="14">
        <f>IFERROR(E75+E76+E77+E78+E79+E80+E81+E82+E83+E84+E85+E86+E87, "NA")</f>
        <v>10302.879999999999</v>
      </c>
      <c r="F88" s="15">
        <f>IFERROR(E88/E444, "NA")</f>
        <v>1.7693983870654455E-2</v>
      </c>
      <c r="G88" s="2"/>
      <c r="H88" s="14">
        <f t="shared" si="20"/>
        <v>-1644.9399999999987</v>
      </c>
      <c r="I88" s="15">
        <f>IFERROR(H88/H444, "NA")</f>
        <v>2.452590954932108E-2</v>
      </c>
      <c r="J88" s="2"/>
      <c r="K88" s="14">
        <f>IFERROR(K75+K76+K77+K78+K79+K80+K81+K82+K83+K84+K85+K86+K87, "NA")</f>
        <v>9104.34</v>
      </c>
      <c r="L88" s="15">
        <f>IFERROR(K88/K444, "NA")</f>
        <v>1.7520588328005956E-2</v>
      </c>
      <c r="M88" s="2"/>
      <c r="N88" s="14">
        <f t="shared" si="21"/>
        <v>-446.39999999999964</v>
      </c>
      <c r="O88" s="15">
        <f>IFERROR(N88/N444, "NA")</f>
        <v>0.10089024795405721</v>
      </c>
      <c r="P88" s="2"/>
      <c r="Q88" s="14">
        <f>IFERROR(Q75+Q76+Q77+Q78+Q79+Q80+Q81+Q82+Q83+Q84+Q85+Q86+Q87, "NA")</f>
        <v>78097</v>
      </c>
      <c r="R88" s="15">
        <f>IFERROR(Q88/Q444, "NA")</f>
        <v>1.690086564906404E-2</v>
      </c>
      <c r="S88" s="2"/>
      <c r="T88" s="14">
        <f>IFERROR(T75+T76+T77+T78+T79+T80+T81+T82+T83+T84+T85+T86+T87, "NA")</f>
        <v>84501.96</v>
      </c>
      <c r="U88" s="15">
        <f>IFERROR(T88/T444, "NA")</f>
        <v>1.7742582163808463E-2</v>
      </c>
      <c r="V88" s="2"/>
      <c r="W88" s="14">
        <f t="shared" si="22"/>
        <v>-6404.9600000000064</v>
      </c>
      <c r="X88" s="15">
        <f>IFERROR(W88/W444, "NA")</f>
        <v>4.5176431819698312E-2</v>
      </c>
      <c r="Y88" s="2"/>
      <c r="Z88" s="14">
        <f>IFERROR(Z75+Z76+Z77+Z78+Z79+Z80+Z81+Z82+Z83+Z84+Z85+Z86+Z87, "NA")</f>
        <v>75385.539999999994</v>
      </c>
      <c r="AA88" s="15">
        <f>IFERROR(Z88/Z444, "NA")</f>
        <v>1.7987311411692089E-2</v>
      </c>
      <c r="AB88" s="2"/>
      <c r="AC88" s="14">
        <f t="shared" si="23"/>
        <v>2711.4600000000064</v>
      </c>
      <c r="AD88" s="15">
        <f>IFERROR(AC88/AC444, "NA")</f>
        <v>6.3079557069125498E-3</v>
      </c>
    </row>
    <row r="89" spans="1:30" ht="16.5" customHeight="1" x14ac:dyDescent="0.45">
      <c r="A89" s="6" t="s">
        <v>85</v>
      </c>
      <c r="B89" s="7">
        <v>-112.72</v>
      </c>
      <c r="C89" s="8">
        <f>IFERROR(B89/B444, "NA")</f>
        <v>-2.1878370274918839E-4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-112.72</v>
      </c>
      <c r="I89" s="8">
        <f>IFERROR(H89/H444, "NA")</f>
        <v>1.6806452055390922E-3</v>
      </c>
      <c r="J89" s="9"/>
      <c r="K89" s="7">
        <v>-53.330000000000013</v>
      </c>
      <c r="L89" s="8">
        <f>IFERROR(K89/K444, "NA")</f>
        <v>-1.0262940262913707E-4</v>
      </c>
      <c r="M89" s="9"/>
      <c r="N89" s="10">
        <f t="shared" si="21"/>
        <v>-59.389999999999986</v>
      </c>
      <c r="O89" s="8">
        <f>IFERROR(N89/N444, "NA")</f>
        <v>1.3422651939945029E-2</v>
      </c>
      <c r="P89" s="9"/>
      <c r="Q89" s="7">
        <v>-429.19000000000005</v>
      </c>
      <c r="R89" s="8">
        <f>IFERROR(Q89/Q444, "NA")</f>
        <v>-9.2880424701612032E-5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-429.19000000000005</v>
      </c>
      <c r="X89" s="8">
        <f>IFERROR(W89/W444, "NA")</f>
        <v>3.0272277692126571E-3</v>
      </c>
      <c r="Y89" s="9"/>
      <c r="Z89" s="7">
        <v>-2360.9900000000002</v>
      </c>
      <c r="AA89" s="8">
        <f>IFERROR(Z89/Z444, "NA")</f>
        <v>-5.6334228513705566E-4</v>
      </c>
      <c r="AB89" s="9"/>
      <c r="AC89" s="10">
        <f t="shared" si="23"/>
        <v>1931.8000000000002</v>
      </c>
      <c r="AD89" s="8">
        <f>IFERROR(AC89/AC444, "NA")</f>
        <v>4.4941503229306854E-3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-21762.05</v>
      </c>
      <c r="F94" s="8">
        <f>IFERROR(E94/E444, "NA")</f>
        <v>-3.7373759734402011E-2</v>
      </c>
      <c r="G94" s="9"/>
      <c r="H94" s="10">
        <f t="shared" ref="H94:H124" si="24">IFERROR(B94-E94, "NA")</f>
        <v>21762.05</v>
      </c>
      <c r="I94" s="8">
        <f>IFERROR(H94/H444, "NA")</f>
        <v>-0.32447023594040098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-178146.93000000002</v>
      </c>
      <c r="U94" s="8">
        <f>IFERROR(T94/T444, "NA")</f>
        <v>-3.7404890286038751E-2</v>
      </c>
      <c r="V94" s="9"/>
      <c r="W94" s="10">
        <f t="shared" ref="W94:W124" si="26">IFERROR(Q94-T94, "NA")</f>
        <v>178146.93000000002</v>
      </c>
      <c r="X94" s="8">
        <f>IFERROR(W94/W444, "NA")</f>
        <v>-1.256532849078458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-7931.1299999999992</v>
      </c>
      <c r="C96" s="8">
        <f>IFERROR(B96/B444, "NA")</f>
        <v>-1.5393914020450412E-2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-7931.1299999999992</v>
      </c>
      <c r="I96" s="8">
        <f>IFERROR(H96/H444, "NA")</f>
        <v>0.11825244507635964</v>
      </c>
      <c r="J96" s="9"/>
      <c r="K96" s="7">
        <v>-1826.1499999999999</v>
      </c>
      <c r="L96" s="8">
        <f>IFERROR(K96/K444, "NA")</f>
        <v>-3.5142824603637468E-3</v>
      </c>
      <c r="M96" s="9"/>
      <c r="N96" s="10">
        <f t="shared" si="25"/>
        <v>-6104.98</v>
      </c>
      <c r="O96" s="8">
        <f>IFERROR(N96/N444, "NA")</f>
        <v>1.3797781047369189</v>
      </c>
      <c r="P96" s="9"/>
      <c r="Q96" s="7">
        <v>-62802.28</v>
      </c>
      <c r="R96" s="8">
        <f>IFERROR(Q96/Q444, "NA")</f>
        <v>-1.3590956076864686E-2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-62802.28</v>
      </c>
      <c r="X96" s="8">
        <f>IFERROR(W96/W444, "NA")</f>
        <v>0.44296653227211408</v>
      </c>
      <c r="Y96" s="9"/>
      <c r="Z96" s="7">
        <v>-19980.45</v>
      </c>
      <c r="AA96" s="8">
        <f>IFERROR(Z96/Z444, "NA")</f>
        <v>-4.7674205994378133E-3</v>
      </c>
      <c r="AB96" s="9"/>
      <c r="AC96" s="10">
        <f t="shared" si="27"/>
        <v>-42821.83</v>
      </c>
      <c r="AD96" s="8">
        <f>IFERROR(AC96/AC444, "NA")</f>
        <v>-9.9620944778436124E-2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-10933.99</v>
      </c>
      <c r="C98" s="8">
        <f>IFERROR(B98/B444, "NA")</f>
        <v>-2.1222310308930077E-2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-10933.99</v>
      </c>
      <c r="I98" s="8">
        <f>IFERROR(H98/H444, "NA")</f>
        <v>0.16302482142399199</v>
      </c>
      <c r="J98" s="9"/>
      <c r="K98" s="7">
        <v>-16552.509999999998</v>
      </c>
      <c r="L98" s="8">
        <f>IFERROR(K98/K444, "NA")</f>
        <v>-3.1854007375076265E-2</v>
      </c>
      <c r="M98" s="9"/>
      <c r="N98" s="10">
        <f t="shared" si="25"/>
        <v>5618.5199999999986</v>
      </c>
      <c r="O98" s="8">
        <f>IFERROR(N98/N444, "NA")</f>
        <v>-1.2698339514669126</v>
      </c>
      <c r="P98" s="9"/>
      <c r="Q98" s="7">
        <v>-92163.290000000008</v>
      </c>
      <c r="R98" s="8">
        <f>IFERROR(Q98/Q444, "NA")</f>
        <v>-1.9944932354197052E-2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-92163.290000000008</v>
      </c>
      <c r="X98" s="8">
        <f>IFERROR(W98/W444, "NA")</f>
        <v>0.65006004517812432</v>
      </c>
      <c r="Y98" s="9"/>
      <c r="Z98" s="7">
        <v>-84654.84</v>
      </c>
      <c r="AA98" s="8">
        <f>IFERROR(Z98/Z444, "NA")</f>
        <v>-2.019900593120336E-2</v>
      </c>
      <c r="AB98" s="9"/>
      <c r="AC98" s="10">
        <f t="shared" si="27"/>
        <v>-7508.4500000000116</v>
      </c>
      <c r="AD98" s="8">
        <f>IFERROR(AC98/AC444, "NA")</f>
        <v>-1.746770006843822E-2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-1997.65</v>
      </c>
      <c r="C100" s="8">
        <f>IFERROR(B100/B444, "NA")</f>
        <v>-3.8773355553310524E-3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-1997.65</v>
      </c>
      <c r="I100" s="8">
        <f>IFERROR(H100/H444, "NA")</f>
        <v>2.9784784375844284E-2</v>
      </c>
      <c r="J100" s="9"/>
      <c r="K100" s="7">
        <v>-11002.529999999999</v>
      </c>
      <c r="L100" s="8">
        <f>IFERROR(K100/K444, "NA")</f>
        <v>-2.1173506118679151E-2</v>
      </c>
      <c r="M100" s="9"/>
      <c r="N100" s="10">
        <f t="shared" si="25"/>
        <v>9004.8799999999992</v>
      </c>
      <c r="O100" s="8">
        <f>IFERROR(N100/N444, "NA")</f>
        <v>-2.0351805017843443</v>
      </c>
      <c r="P100" s="9"/>
      <c r="Q100" s="7">
        <v>-16427.52</v>
      </c>
      <c r="R100" s="8">
        <f>IFERROR(Q100/Q444, "NA")</f>
        <v>-3.5550572809110782E-3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-16427.52</v>
      </c>
      <c r="X100" s="8">
        <f>IFERROR(W100/W444, "NA")</f>
        <v>0.11586906666813371</v>
      </c>
      <c r="Y100" s="9"/>
      <c r="Z100" s="7">
        <v>-19938.88</v>
      </c>
      <c r="AA100" s="8">
        <f>IFERROR(Z100/Z444, "NA")</f>
        <v>-4.7575018201150938E-3</v>
      </c>
      <c r="AB100" s="9"/>
      <c r="AC100" s="10">
        <f t="shared" si="27"/>
        <v>3511.3600000000006</v>
      </c>
      <c r="AD100" s="8">
        <f>IFERROR(AC100/AC444, "NA")</f>
        <v>8.1688475400796632E-3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-4605.68</v>
      </c>
      <c r="C102" s="8">
        <f>IFERROR(B102/B444, "NA")</f>
        <v>-8.9393871901870311E-3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-4605.68</v>
      </c>
      <c r="I102" s="8">
        <f>IFERROR(H102/H444, "NA")</f>
        <v>6.8670280431576358E-2</v>
      </c>
      <c r="J102" s="9"/>
      <c r="K102" s="7">
        <v>-2614.98</v>
      </c>
      <c r="L102" s="8">
        <f>IFERROR(K102/K444, "NA")</f>
        <v>-5.0323239318796325E-3</v>
      </c>
      <c r="M102" s="9"/>
      <c r="N102" s="10">
        <f t="shared" si="25"/>
        <v>-1990.7000000000003</v>
      </c>
      <c r="O102" s="8">
        <f>IFERROR(N102/N444, "NA")</f>
        <v>0.44991535977182318</v>
      </c>
      <c r="P102" s="9"/>
      <c r="Q102" s="7">
        <v>-40776.129999999997</v>
      </c>
      <c r="R102" s="8">
        <f>IFERROR(Q102/Q444, "NA")</f>
        <v>-8.8243068852679307E-3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-40776.129999999997</v>
      </c>
      <c r="X102" s="8">
        <f>IFERROR(W102/W444, "NA")</f>
        <v>0.28760836239666648</v>
      </c>
      <c r="Y102" s="9"/>
      <c r="Z102" s="7">
        <v>-15251.470000000001</v>
      </c>
      <c r="AA102" s="8">
        <f>IFERROR(Z102/Z444, "NA")</f>
        <v>-3.6390657993042117E-3</v>
      </c>
      <c r="AB102" s="9"/>
      <c r="AC102" s="10">
        <f t="shared" si="27"/>
        <v>-25524.659999999996</v>
      </c>
      <c r="AD102" s="8">
        <f>IFERROR(AC102/AC444, "NA")</f>
        <v>-5.9380711761929765E-2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-3231.69</v>
      </c>
      <c r="C104" s="8">
        <f>IFERROR(B104/B444, "NA")</f>
        <v>-6.2725435090270109E-3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-3231.69</v>
      </c>
      <c r="I104" s="8">
        <f>IFERROR(H104/H444, "NA")</f>
        <v>4.8184211358131911E-2</v>
      </c>
      <c r="J104" s="9"/>
      <c r="K104" s="7">
        <v>-3314.71</v>
      </c>
      <c r="L104" s="8">
        <f>IFERROR(K104/K444, "NA")</f>
        <v>-6.3788994410055666E-3</v>
      </c>
      <c r="M104" s="9"/>
      <c r="N104" s="10">
        <f t="shared" si="25"/>
        <v>83.019999999999982</v>
      </c>
      <c r="O104" s="8">
        <f>IFERROR(N104/N444, "NA")</f>
        <v>-1.8763235629806977E-2</v>
      </c>
      <c r="P104" s="9"/>
      <c r="Q104" s="7">
        <v>-27112.73</v>
      </c>
      <c r="R104" s="8">
        <f>IFERROR(Q104/Q444, "NA")</f>
        <v>-5.8674290575738888E-3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-27112.73</v>
      </c>
      <c r="X104" s="8">
        <f>IFERROR(W104/W444, "NA")</f>
        <v>0.19123560463935571</v>
      </c>
      <c r="Y104" s="9"/>
      <c r="Z104" s="7">
        <v>-26245.78</v>
      </c>
      <c r="AA104" s="8">
        <f>IFERROR(Z104/Z444, "NA")</f>
        <v>-6.2623550630898188E-3</v>
      </c>
      <c r="AB104" s="9"/>
      <c r="AC104" s="10">
        <f t="shared" si="27"/>
        <v>-866.95000000000073</v>
      </c>
      <c r="AD104" s="8">
        <f>IFERROR(AC104/AC444, "NA")</f>
        <v>-2.0168773281213173E-3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-1254.8700000000001</v>
      </c>
      <c r="L106" s="8">
        <f>IFERROR(K106/K444, "NA")</f>
        <v>-2.4148989026293874E-3</v>
      </c>
      <c r="M106" s="9"/>
      <c r="N106" s="10">
        <f t="shared" si="25"/>
        <v>1254.8700000000001</v>
      </c>
      <c r="O106" s="8">
        <f>IFERROR(N106/N444, "NA")</f>
        <v>-0.2836114369402058</v>
      </c>
      <c r="P106" s="9"/>
      <c r="Q106" s="7">
        <v>-4233.7300000000005</v>
      </c>
      <c r="R106" s="8">
        <f>IFERROR(Q106/Q444, "NA")</f>
        <v>-9.1621575635955155E-4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-4233.7300000000005</v>
      </c>
      <c r="X106" s="8">
        <f>IFERROR(W106/W444, "NA")</f>
        <v>2.986198425720241E-2</v>
      </c>
      <c r="Y106" s="9"/>
      <c r="Z106" s="7">
        <v>-25942.11</v>
      </c>
      <c r="AA106" s="8">
        <f>IFERROR(Z106/Z444, "NA")</f>
        <v>-6.1898981057424479E-3</v>
      </c>
      <c r="AB106" s="9"/>
      <c r="AC106" s="10">
        <f t="shared" si="27"/>
        <v>21708.38</v>
      </c>
      <c r="AD106" s="8">
        <f>IFERROR(AC106/AC444, "NA")</f>
        <v>5.0502496628689324E-2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-21.06</v>
      </c>
      <c r="L108" s="8">
        <f>IFERROR(K108/K444, "NA")</f>
        <v>-4.0528318383079431E-5</v>
      </c>
      <c r="M108" s="9"/>
      <c r="N108" s="10">
        <f t="shared" si="25"/>
        <v>21.06</v>
      </c>
      <c r="O108" s="8">
        <f>IFERROR(N108/N444, "NA")</f>
        <v>-4.7597415365422183E-3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-297.77999999999997</v>
      </c>
      <c r="AA108" s="8">
        <f>IFERROR(Z108/Z444, "NA")</f>
        <v>-7.1051578222742332E-5</v>
      </c>
      <c r="AB108" s="9"/>
      <c r="AC108" s="10">
        <f t="shared" si="27"/>
        <v>297.77999999999997</v>
      </c>
      <c r="AD108" s="8">
        <f>IFERROR(AC108/AC444, "NA")</f>
        <v>6.9275705723278774E-4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-2.7558792681599638E-6</v>
      </c>
      <c r="AB111" s="9"/>
      <c r="AC111" s="10">
        <f t="shared" si="27"/>
        <v>11.55</v>
      </c>
      <c r="AD111" s="8">
        <f>IFERROR(AC111/AC444, "NA")</f>
        <v>2.686998458942407E-5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-28700.14</v>
      </c>
      <c r="C118" s="15">
        <f>IFERROR(B118/B444, "NA")</f>
        <v>-5.5705490583925585E-2</v>
      </c>
      <c r="D118" s="2"/>
      <c r="E118" s="14">
        <f>IFERROR(E94+E95+E96+E97+E98+E99+E100+E101+E102+E103+E104+E105+E106+E107+E108+E109+E110+E111+E112+E113+E114+E115+E116+E117, "NA")</f>
        <v>-21762.05</v>
      </c>
      <c r="F118" s="15">
        <f>IFERROR(E118/E444, "NA")</f>
        <v>-3.7373759734402011E-2</v>
      </c>
      <c r="G118" s="2"/>
      <c r="H118" s="14">
        <f t="shared" si="24"/>
        <v>-6938.09</v>
      </c>
      <c r="I118" s="15">
        <f>IFERROR(H118/H444, "NA")</f>
        <v>0.1034463067255032</v>
      </c>
      <c r="J118" s="2"/>
      <c r="K118" s="14">
        <f>IFERROR(K94+K95+K96+K97+K98+K99+K100+K101+K102+K103+K104+K105+K106+K107+K108+K109+K110+K111+K112+K113+K114+K115+K116+K117, "NA")</f>
        <v>-36586.81</v>
      </c>
      <c r="L118" s="15">
        <f>IFERROR(K118/K444, "NA")</f>
        <v>-7.0408446548016826E-2</v>
      </c>
      <c r="M118" s="2"/>
      <c r="N118" s="14">
        <f t="shared" si="25"/>
        <v>7886.6699999999983</v>
      </c>
      <c r="O118" s="15">
        <f>IFERROR(N118/N444, "NA")</f>
        <v>-1.78245540284907</v>
      </c>
      <c r="P118" s="2"/>
      <c r="Q118" s="14">
        <f>IFERROR(Q94+Q95+Q96+Q97+Q98+Q99+Q100+Q101+Q102+Q103+Q104+Q105+Q106+Q107+Q108+Q109+Q110+Q111+Q112+Q113+Q114+Q115+Q116+Q117, "NA")</f>
        <v>-243515.68000000002</v>
      </c>
      <c r="R118" s="15">
        <f>IFERROR(Q118/Q444, "NA")</f>
        <v>-5.2698897411174193E-2</v>
      </c>
      <c r="S118" s="2"/>
      <c r="T118" s="14">
        <f>IFERROR(T94+T95+T96+T97+T98+T99+T100+T101+T102+T103+T104+T105+T106+T107+T108+T109+T110+T111+T112+T113+T114+T115+T116+T117, "NA")</f>
        <v>-178146.93000000002</v>
      </c>
      <c r="U118" s="15">
        <f>IFERROR(T118/T444, "NA")</f>
        <v>-3.7404890286038751E-2</v>
      </c>
      <c r="V118" s="2"/>
      <c r="W118" s="14">
        <f t="shared" si="26"/>
        <v>-65368.75</v>
      </c>
      <c r="X118" s="15">
        <f>IFERROR(W118/W444, "NA")</f>
        <v>0.46106874633313882</v>
      </c>
      <c r="Y118" s="2"/>
      <c r="Z118" s="14">
        <f>IFERROR(Z94+Z95+Z96+Z97+Z98+Z99+Z100+Z101+Z102+Z103+Z104+Z105+Z106+Z107+Z108+Z109+Z110+Z111+Z112+Z113+Z114+Z115+Z116+Z117, "NA")</f>
        <v>-192322.86000000002</v>
      </c>
      <c r="AA118" s="15">
        <f>IFERROR(Z118/Z444, "NA")</f>
        <v>-4.588905477638365E-2</v>
      </c>
      <c r="AB118" s="2"/>
      <c r="AC118" s="14">
        <f t="shared" si="27"/>
        <v>-51192.820000000007</v>
      </c>
      <c r="AD118" s="15">
        <f>IFERROR(AC118/AC444, "NA")</f>
        <v>-0.11909526272633424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515212.05000000005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582281.52999999991</v>
      </c>
      <c r="F122" s="15">
        <f>IFERROR(E122/E444, "NA")</f>
        <v>0.99999999999999978</v>
      </c>
      <c r="G122" s="2"/>
      <c r="H122" s="14">
        <f t="shared" si="24"/>
        <v>-67069.479999999865</v>
      </c>
      <c r="I122" s="15">
        <f>IFERROR(H122/H444, "NA")</f>
        <v>0.99999999999999822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519636.66000000003</v>
      </c>
      <c r="L122" s="15">
        <f>IFERROR(K122/K444, "NA")</f>
        <v>1</v>
      </c>
      <c r="M122" s="2"/>
      <c r="N122" s="14">
        <f t="shared" si="25"/>
        <v>-4424.609999999986</v>
      </c>
      <c r="O122" s="15">
        <f>IFERROR(N122/N444, "NA")</f>
        <v>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4620887.5699999984</v>
      </c>
      <c r="R122" s="15">
        <f>IFERROR(Q122/Q444, "NA")</f>
        <v>0.99999999999999956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4762664.1500000004</v>
      </c>
      <c r="U122" s="15">
        <f>IFERROR(T122/T444, "NA")</f>
        <v>1</v>
      </c>
      <c r="V122" s="2"/>
      <c r="W122" s="14">
        <f t="shared" si="26"/>
        <v>-141776.58000000194</v>
      </c>
      <c r="X122" s="15">
        <f>IFERROR(W122/W444, "NA")</f>
        <v>1.0000000000000131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4191039.9100000011</v>
      </c>
      <c r="AA122" s="15">
        <f>IFERROR(Z122/Z444, "NA")</f>
        <v>1.0000000000000002</v>
      </c>
      <c r="AB122" s="2"/>
      <c r="AC122" s="14">
        <f t="shared" si="27"/>
        <v>429847.65999999736</v>
      </c>
      <c r="AD122" s="15">
        <f>IFERROR(AC122/AC444, "NA")</f>
        <v>0.99999999999999345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515212.05000000005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582281.52999999991</v>
      </c>
      <c r="F124" s="15">
        <f>IFERROR(E124/E444, "NA")</f>
        <v>0.99999999999999978</v>
      </c>
      <c r="G124" s="2"/>
      <c r="H124" s="14">
        <f t="shared" si="24"/>
        <v>-67069.479999999865</v>
      </c>
      <c r="I124" s="15">
        <f>IFERROR(H124/H444, "NA")</f>
        <v>0.99999999999999822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519636.66000000003</v>
      </c>
      <c r="L124" s="15">
        <f>IFERROR(K124/K444, "NA")</f>
        <v>1</v>
      </c>
      <c r="M124" s="2"/>
      <c r="N124" s="14">
        <f t="shared" si="25"/>
        <v>-4424.609999999986</v>
      </c>
      <c r="O124" s="15">
        <f>IFERROR(N124/N444, "NA")</f>
        <v>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4620887.5699999984</v>
      </c>
      <c r="R124" s="15">
        <f>IFERROR(Q124/Q444, "NA")</f>
        <v>0.99999999999999956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4762664.1500000004</v>
      </c>
      <c r="U124" s="15">
        <f>IFERROR(T124/T444, "NA")</f>
        <v>1</v>
      </c>
      <c r="V124" s="2"/>
      <c r="W124" s="14">
        <f t="shared" si="26"/>
        <v>-141776.58000000194</v>
      </c>
      <c r="X124" s="15">
        <f>IFERROR(W124/W444, "NA")</f>
        <v>1.0000000000000131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4191039.9100000011</v>
      </c>
      <c r="AA124" s="15">
        <f>IFERROR(Z124/Z444, "NA")</f>
        <v>1.0000000000000002</v>
      </c>
      <c r="AB124" s="2"/>
      <c r="AC124" s="14">
        <f t="shared" si="27"/>
        <v>429847.65999999736</v>
      </c>
      <c r="AD124" s="15">
        <f>IFERROR(AC124/AC444, "NA")</f>
        <v>0.99999999999999345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130736.59</v>
      </c>
      <c r="F129" s="8">
        <f>IFERROR(E129/E444, "NA")</f>
        <v>0.22452470714638673</v>
      </c>
      <c r="G129" s="9"/>
      <c r="H129" s="10">
        <f t="shared" ref="H129:H141" si="28">IFERROR(-(B129-E129), "NA")</f>
        <v>130736.59</v>
      </c>
      <c r="I129" s="8">
        <f>IFERROR(H129/H444, "NA")</f>
        <v>-1.9492709649754261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1100851.5699999998</v>
      </c>
      <c r="U129" s="8">
        <f>IFERROR(T129/T444, "NA")</f>
        <v>0.23114196914346768</v>
      </c>
      <c r="V129" s="9"/>
      <c r="W129" s="10">
        <f t="shared" ref="W129:W141" si="30">IFERROR(-(Q129-T129), "NA")</f>
        <v>1100851.5699999998</v>
      </c>
      <c r="X129" s="8">
        <f>IFERROR(W129/W444, "NA")</f>
        <v>-7.7646926593940924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22283.01</v>
      </c>
      <c r="C130" s="8">
        <f>IFERROR(B130/B444, "NA")</f>
        <v>4.3250172429002767E-2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-22283.01</v>
      </c>
      <c r="I130" s="8">
        <f>IFERROR(H130/H444, "NA")</f>
        <v>0.3322377033488258</v>
      </c>
      <c r="J130" s="9"/>
      <c r="K130" s="7">
        <v>32681.85</v>
      </c>
      <c r="L130" s="8">
        <f>IFERROR(K130/K444, "NA")</f>
        <v>6.2893657271986925E-2</v>
      </c>
      <c r="M130" s="9"/>
      <c r="N130" s="10">
        <f t="shared" si="29"/>
        <v>10398.84</v>
      </c>
      <c r="O130" s="8">
        <f>IFERROR(N130/N444, "NA")</f>
        <v>-2.3502274776760061</v>
      </c>
      <c r="P130" s="9"/>
      <c r="Q130" s="7">
        <v>247731.08000000002</v>
      </c>
      <c r="R130" s="8">
        <f>IFERROR(Q130/Q444, "NA")</f>
        <v>5.3611146397141186E-2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-247731.08000000002</v>
      </c>
      <c r="X130" s="8">
        <f>IFERROR(W130/W444, "NA")</f>
        <v>1.7473342917426833</v>
      </c>
      <c r="Y130" s="9"/>
      <c r="Z130" s="7">
        <v>269959.74</v>
      </c>
      <c r="AA130" s="8">
        <f>IFERROR(Z130/Z444, "NA")</f>
        <v>6.4413545515485199E-2</v>
      </c>
      <c r="AB130" s="9"/>
      <c r="AC130" s="10">
        <f t="shared" si="31"/>
        <v>22228.659999999974</v>
      </c>
      <c r="AD130" s="8">
        <f>IFERROR(AC130/AC444, "NA")</f>
        <v>5.1712878930177189E-2</v>
      </c>
    </row>
    <row r="131" spans="1:30" ht="16.5" customHeight="1" x14ac:dyDescent="0.45">
      <c r="A131" s="12" t="s">
        <v>123</v>
      </c>
      <c r="B131" s="7">
        <v>14013.3</v>
      </c>
      <c r="C131" s="8">
        <f>IFERROR(B131/B444, "NA")</f>
        <v>2.7199092101980141E-2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-14013.3</v>
      </c>
      <c r="I131" s="8">
        <f>IFERROR(H131/H444, "NA")</f>
        <v>0.20893706049308872</v>
      </c>
      <c r="J131" s="9"/>
      <c r="K131" s="7">
        <v>16063.51</v>
      </c>
      <c r="L131" s="8">
        <f>IFERROR(K131/K444, "NA")</f>
        <v>3.0912965224585962E-2</v>
      </c>
      <c r="M131" s="9"/>
      <c r="N131" s="10">
        <f t="shared" si="29"/>
        <v>2050.2100000000009</v>
      </c>
      <c r="O131" s="8">
        <f>IFERROR(N131/N444, "NA")</f>
        <v>-0.46336513274616464</v>
      </c>
      <c r="P131" s="9"/>
      <c r="Q131" s="7">
        <v>138492.77000000002</v>
      </c>
      <c r="R131" s="8">
        <f>IFERROR(Q131/Q444, "NA")</f>
        <v>2.9971032166878714E-2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-138492.77000000002</v>
      </c>
      <c r="X131" s="8">
        <f>IFERROR(W131/W444, "NA")</f>
        <v>0.97683813504317807</v>
      </c>
      <c r="Y131" s="9"/>
      <c r="Z131" s="7">
        <v>133372.47</v>
      </c>
      <c r="AA131" s="8">
        <f>IFERROR(Z131/Z444, "NA")</f>
        <v>3.1823240261150361E-2</v>
      </c>
      <c r="AB131" s="9"/>
      <c r="AC131" s="10">
        <f t="shared" si="31"/>
        <v>-5120.3000000000175</v>
      </c>
      <c r="AD131" s="8">
        <f>IFERROR(AC131/AC444, "NA")</f>
        <v>-1.191189455352628E-2</v>
      </c>
    </row>
    <row r="132" spans="1:30" ht="16.5" customHeight="1" x14ac:dyDescent="0.45">
      <c r="A132" s="12" t="s">
        <v>124</v>
      </c>
      <c r="B132" s="7">
        <v>28516.170000000002</v>
      </c>
      <c r="C132" s="8">
        <f>IFERROR(B132/B444, "NA")</f>
        <v>5.5348414308244533E-2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-28516.170000000002</v>
      </c>
      <c r="I132" s="8">
        <f>IFERROR(H132/H444, "NA")</f>
        <v>0.4251735662778362</v>
      </c>
      <c r="J132" s="9"/>
      <c r="K132" s="7">
        <v>18690.32</v>
      </c>
      <c r="L132" s="8">
        <f>IFERROR(K132/K444, "NA")</f>
        <v>3.596805506370547E-2</v>
      </c>
      <c r="M132" s="9"/>
      <c r="N132" s="10">
        <f t="shared" si="29"/>
        <v>-9825.8500000000022</v>
      </c>
      <c r="O132" s="8">
        <f>IFERROR(N132/N444, "NA")</f>
        <v>2.2207267985201029</v>
      </c>
      <c r="P132" s="9"/>
      <c r="Q132" s="7">
        <v>212455.45</v>
      </c>
      <c r="R132" s="8">
        <f>IFERROR(Q132/Q444, "NA")</f>
        <v>4.597719524260141E-2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-212455.45</v>
      </c>
      <c r="X132" s="8">
        <f>IFERROR(W132/W444, "NA")</f>
        <v>1.4985228872074634</v>
      </c>
      <c r="Y132" s="9"/>
      <c r="Z132" s="7">
        <v>148924.38</v>
      </c>
      <c r="AA132" s="8">
        <f>IFERROR(Z132/Z444, "NA")</f>
        <v>3.5533992326023923E-2</v>
      </c>
      <c r="AB132" s="9"/>
      <c r="AC132" s="10">
        <f t="shared" si="31"/>
        <v>-63531.070000000007</v>
      </c>
      <c r="AD132" s="8">
        <f>IFERROR(AC132/AC444, "NA")</f>
        <v>-0.14779903652377679</v>
      </c>
    </row>
    <row r="133" spans="1:30" ht="16.5" customHeight="1" x14ac:dyDescent="0.45">
      <c r="A133" s="12" t="s">
        <v>125</v>
      </c>
      <c r="B133" s="7">
        <v>12688.02</v>
      </c>
      <c r="C133" s="8">
        <f>IFERROR(B133/B444, "NA")</f>
        <v>2.4626792016995719E-2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-12688.02</v>
      </c>
      <c r="I133" s="8">
        <f>IFERROR(H133/H444, "NA")</f>
        <v>0.18917725320071072</v>
      </c>
      <c r="J133" s="9"/>
      <c r="K133" s="7">
        <v>11414.46</v>
      </c>
      <c r="L133" s="8">
        <f>IFERROR(K133/K444, "NA")</f>
        <v>2.1966233098334512E-2</v>
      </c>
      <c r="M133" s="9"/>
      <c r="N133" s="10">
        <f t="shared" si="29"/>
        <v>-1273.5600000000013</v>
      </c>
      <c r="O133" s="8">
        <f>IFERROR(N133/N444, "NA")</f>
        <v>0.28783553804742235</v>
      </c>
      <c r="P133" s="9"/>
      <c r="Q133" s="7">
        <v>110773.40999999999</v>
      </c>
      <c r="R133" s="8">
        <f>IFERROR(Q133/Q444, "NA")</f>
        <v>2.3972323135314885E-2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-110773.40999999999</v>
      </c>
      <c r="X133" s="8">
        <f>IFERROR(W133/W444, "NA")</f>
        <v>0.78132375601104165</v>
      </c>
      <c r="Y133" s="9"/>
      <c r="Z133" s="7">
        <v>87316.68</v>
      </c>
      <c r="AA133" s="8">
        <f>IFERROR(Z133/Z444, "NA")</f>
        <v>2.0834132309658675E-2</v>
      </c>
      <c r="AB133" s="9"/>
      <c r="AC133" s="10">
        <f t="shared" si="31"/>
        <v>-23456.729999999996</v>
      </c>
      <c r="AD133" s="8">
        <f>IFERROR(AC133/AC444, "NA")</f>
        <v>-5.4569867845738619E-2</v>
      </c>
    </row>
    <row r="134" spans="1:30" ht="16.5" customHeight="1" x14ac:dyDescent="0.45">
      <c r="A134" s="12" t="s">
        <v>126</v>
      </c>
      <c r="B134" s="7">
        <v>4430.92</v>
      </c>
      <c r="C134" s="8">
        <f>IFERROR(B134/B444, "NA")</f>
        <v>8.6001870491965397E-3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-4430.92</v>
      </c>
      <c r="I134" s="8">
        <f>IFERROR(H134/H444, "NA")</f>
        <v>6.6064624326892071E-2</v>
      </c>
      <c r="J134" s="9"/>
      <c r="K134" s="7">
        <v>6337.27</v>
      </c>
      <c r="L134" s="8">
        <f>IFERROR(K134/K444, "NA")</f>
        <v>1.2195579118686507E-2</v>
      </c>
      <c r="M134" s="9"/>
      <c r="N134" s="10">
        <f t="shared" si="29"/>
        <v>1906.3500000000004</v>
      </c>
      <c r="O134" s="8">
        <f>IFERROR(N134/N444, "NA")</f>
        <v>-0.43085153267745774</v>
      </c>
      <c r="P134" s="9"/>
      <c r="Q134" s="7">
        <v>40225.32</v>
      </c>
      <c r="R134" s="8">
        <f>IFERROR(Q134/Q444, "NA")</f>
        <v>8.7051068416278306E-3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-40225.32</v>
      </c>
      <c r="X134" s="8">
        <f>IFERROR(W134/W444, "NA")</f>
        <v>0.28372330606366708</v>
      </c>
      <c r="Y134" s="9"/>
      <c r="Z134" s="7">
        <v>45102.850000000006</v>
      </c>
      <c r="AA134" s="8">
        <f>IFERROR(Z134/Z444, "NA")</f>
        <v>1.0761732402591224E-2</v>
      </c>
      <c r="AB134" s="9"/>
      <c r="AC134" s="10">
        <f t="shared" si="31"/>
        <v>4877.5300000000061</v>
      </c>
      <c r="AD134" s="8">
        <f>IFERROR(AC134/AC444, "NA")</f>
        <v>1.1347113067918073E-2</v>
      </c>
    </row>
    <row r="135" spans="1:30" ht="16.5" customHeight="1" x14ac:dyDescent="0.45">
      <c r="A135" s="12" t="s">
        <v>127</v>
      </c>
      <c r="B135" s="7">
        <v>4533.99</v>
      </c>
      <c r="C135" s="8">
        <f>IFERROR(B135/B444, "NA")</f>
        <v>8.8002405999626741E-3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-4533.99</v>
      </c>
      <c r="I135" s="8">
        <f>IFERROR(H135/H444, "NA")</f>
        <v>6.7601388888060582E-2</v>
      </c>
      <c r="J135" s="9"/>
      <c r="K135" s="7">
        <v>4160.3899999999994</v>
      </c>
      <c r="L135" s="8">
        <f>IFERROR(K135/K444, "NA")</f>
        <v>8.0063442790968588E-3</v>
      </c>
      <c r="M135" s="9"/>
      <c r="N135" s="10">
        <f t="shared" si="29"/>
        <v>-373.60000000000036</v>
      </c>
      <c r="O135" s="8">
        <f>IFERROR(N135/N444, "NA")</f>
        <v>8.4436820420331182E-2</v>
      </c>
      <c r="P135" s="9"/>
      <c r="Q135" s="7">
        <v>38348.369999999995</v>
      </c>
      <c r="R135" s="8">
        <f>IFERROR(Q135/Q444, "NA")</f>
        <v>8.2989186425931564E-3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-38348.369999999995</v>
      </c>
      <c r="X135" s="8">
        <f>IFERROR(W135/W444, "NA")</f>
        <v>0.27048451867014972</v>
      </c>
      <c r="Y135" s="9"/>
      <c r="Z135" s="7">
        <v>36890.520000000004</v>
      </c>
      <c r="AA135" s="8">
        <f>IFERROR(Z135/Z444, "NA")</f>
        <v>8.8022354337351089E-3</v>
      </c>
      <c r="AB135" s="9"/>
      <c r="AC135" s="10">
        <f t="shared" si="31"/>
        <v>-1457.8499999999913</v>
      </c>
      <c r="AD135" s="8">
        <f>IFERROR(AC135/AC444, "NA")</f>
        <v>-3.3915503925274148E-3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3741.03</v>
      </c>
      <c r="L136" s="8">
        <f>IFERROR(K136/K444, "NA")</f>
        <v>7.1993188471344569E-3</v>
      </c>
      <c r="M136" s="9"/>
      <c r="N136" s="10">
        <f t="shared" si="29"/>
        <v>3741.03</v>
      </c>
      <c r="O136" s="8">
        <f>IFERROR(N136/N444, "NA")</f>
        <v>-0.84550502756175394</v>
      </c>
      <c r="P136" s="9"/>
      <c r="Q136" s="7">
        <v>25042.32</v>
      </c>
      <c r="R136" s="8">
        <f>IFERROR(Q136/Q444, "NA")</f>
        <v>5.4193744428194341E-3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-25042.32</v>
      </c>
      <c r="X136" s="8">
        <f>IFERROR(W136/W444, "NA")</f>
        <v>0.17663227593725273</v>
      </c>
      <c r="Y136" s="9"/>
      <c r="Z136" s="7">
        <v>36851.300000000003</v>
      </c>
      <c r="AA136" s="8">
        <f>IFERROR(Z136/Z444, "NA")</f>
        <v>8.7928773744366476E-3</v>
      </c>
      <c r="AB136" s="9"/>
      <c r="AC136" s="10">
        <f t="shared" si="31"/>
        <v>11808.980000000003</v>
      </c>
      <c r="AD136" s="8">
        <f>IFERROR(AC136/AC444, "NA")</f>
        <v>2.7472477109681134E-2</v>
      </c>
    </row>
    <row r="137" spans="1:30" ht="16.5" customHeight="1" x14ac:dyDescent="0.45">
      <c r="A137" s="12" t="s">
        <v>129</v>
      </c>
      <c r="B137" s="7">
        <v>2992.82</v>
      </c>
      <c r="C137" s="8">
        <f>IFERROR(B137/B444, "NA")</f>
        <v>5.8089091666237228E-3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-2992.82</v>
      </c>
      <c r="I137" s="8">
        <f>IFERROR(H137/H444, "NA")</f>
        <v>4.4622680837841606E-2</v>
      </c>
      <c r="J137" s="9"/>
      <c r="K137" s="7">
        <v>2871.9700000000003</v>
      </c>
      <c r="L137" s="8">
        <f>IFERROR(K137/K444, "NA")</f>
        <v>5.52688103260459E-3</v>
      </c>
      <c r="M137" s="9"/>
      <c r="N137" s="10">
        <f t="shared" si="29"/>
        <v>-120.84999999999991</v>
      </c>
      <c r="O137" s="8">
        <f>IFERROR(N137/N444, "NA")</f>
        <v>2.7313141723225388E-2</v>
      </c>
      <c r="P137" s="9"/>
      <c r="Q137" s="7">
        <v>25146.870000000003</v>
      </c>
      <c r="R137" s="8">
        <f>IFERROR(Q137/Q444, "NA")</f>
        <v>5.4419999662532366E-3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-25146.870000000003</v>
      </c>
      <c r="X137" s="8">
        <f>IFERROR(W137/W444, "NA")</f>
        <v>0.17736970379734079</v>
      </c>
      <c r="Y137" s="9"/>
      <c r="Z137" s="7">
        <v>22143.42</v>
      </c>
      <c r="AA137" s="8">
        <f>IFERROR(Z137/Z444, "NA")</f>
        <v>5.2835144678925281E-3</v>
      </c>
      <c r="AB137" s="9"/>
      <c r="AC137" s="10">
        <f t="shared" si="31"/>
        <v>-3003.4500000000044</v>
      </c>
      <c r="AD137" s="8">
        <f>IFERROR(AC137/AC444, "NA")</f>
        <v>-6.9872428757667389E-3</v>
      </c>
    </row>
    <row r="138" spans="1:30" ht="16.5" customHeight="1" x14ac:dyDescent="0.45">
      <c r="A138" s="12" t="s">
        <v>130</v>
      </c>
      <c r="B138" s="7">
        <v>30796.78</v>
      </c>
      <c r="C138" s="8">
        <f>IFERROR(B138/B444, "NA")</f>
        <v>5.9774960620583302E-2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-30796.78</v>
      </c>
      <c r="I138" s="8">
        <f>IFERROR(H138/H444, "NA")</f>
        <v>0.45917725916467533</v>
      </c>
      <c r="J138" s="9"/>
      <c r="K138" s="7">
        <v>25328.34</v>
      </c>
      <c r="L138" s="8">
        <f>IFERROR(K138/K444, "NA")</f>
        <v>4.8742403971267154E-2</v>
      </c>
      <c r="M138" s="9"/>
      <c r="N138" s="10">
        <f t="shared" si="29"/>
        <v>-5468.4399999999987</v>
      </c>
      <c r="O138" s="8">
        <f>IFERROR(N138/N444, "NA")</f>
        <v>1.2359145777820002</v>
      </c>
      <c r="P138" s="9"/>
      <c r="Q138" s="7">
        <v>268283.96999999997</v>
      </c>
      <c r="R138" s="8">
        <f>IFERROR(Q138/Q444, "NA")</f>
        <v>5.8058969394055165E-2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-268283.96999999997</v>
      </c>
      <c r="X138" s="8">
        <f>IFERROR(W138/W444, "NA")</f>
        <v>1.892301041540146</v>
      </c>
      <c r="Y138" s="9"/>
      <c r="Z138" s="7">
        <v>204849.28</v>
      </c>
      <c r="AA138" s="8">
        <f>IFERROR(Z138/Z444, "NA")</f>
        <v>4.8877912021601341E-2</v>
      </c>
      <c r="AB138" s="9"/>
      <c r="AC138" s="10">
        <f t="shared" si="31"/>
        <v>-63434.689999999973</v>
      </c>
      <c r="AD138" s="8">
        <f>IFERROR(AC138/AC444, "NA")</f>
        <v>-0.14757481755280452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4.95</v>
      </c>
      <c r="C140" s="8">
        <f>IFERROR(B140/B444, "NA")</f>
        <v>9.6076945405294774E-6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-4.95</v>
      </c>
      <c r="I140" s="8">
        <f>IFERROR(H140/H444, "NA")</f>
        <v>7.3804061102009466E-5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-4.95</v>
      </c>
      <c r="O140" s="8">
        <f>IFERROR(N140/N444, "NA")</f>
        <v>1.1187426688453934E-3</v>
      </c>
      <c r="P140" s="9"/>
      <c r="Q140" s="7">
        <v>87.4</v>
      </c>
      <c r="R140" s="8">
        <f>IFERROR(Q140/Q444, "NA")</f>
        <v>1.8914115237822156E-5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-87.4</v>
      </c>
      <c r="X140" s="8">
        <f>IFERROR(W140/W444, "NA")</f>
        <v>6.1646288829932247E-4</v>
      </c>
      <c r="Y140" s="9"/>
      <c r="Z140" s="7">
        <v>257.69</v>
      </c>
      <c r="AA140" s="8">
        <f>IFERROR(Z140/Z444, "NA")</f>
        <v>6.1485933213172386E-5</v>
      </c>
      <c r="AB140" s="9"/>
      <c r="AC140" s="10">
        <f t="shared" si="31"/>
        <v>170.29</v>
      </c>
      <c r="AD140" s="8">
        <f>IFERROR(AC140/AC444, "NA")</f>
        <v>3.9616360828857353E-4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120259.96</v>
      </c>
      <c r="C141" s="15">
        <f>IFERROR(B141/B444, "NA")</f>
        <v>0.23341837598712994</v>
      </c>
      <c r="D141" s="2"/>
      <c r="E141" s="14">
        <f>IFERROR(E129+E130+E131+E132+E133+E134+E135+E136+E137+E138+E139+E140, "NA")</f>
        <v>130736.59</v>
      </c>
      <c r="F141" s="15">
        <f>IFERROR(E141/E444, "NA")</f>
        <v>0.22452470714638673</v>
      </c>
      <c r="G141" s="2"/>
      <c r="H141" s="14">
        <f t="shared" si="28"/>
        <v>10476.62999999999</v>
      </c>
      <c r="I141" s="15">
        <f>IFERROR(H141/H444, "NA")</f>
        <v>-0.15620562437639285</v>
      </c>
      <c r="J141" s="2"/>
      <c r="K141" s="14">
        <f>IFERROR(K129+K130+K131+K132+K133+K134+K135+K136+K137+K138+K139+K140, "NA")</f>
        <v>121289.13999999998</v>
      </c>
      <c r="L141" s="15">
        <f>IFERROR(K141/K444, "NA")</f>
        <v>0.2334114379074024</v>
      </c>
      <c r="M141" s="2"/>
      <c r="N141" s="14">
        <f t="shared" si="29"/>
        <v>1029.1799999999785</v>
      </c>
      <c r="O141" s="15">
        <f>IFERROR(N141/N444, "NA")</f>
        <v>-0.23260355149945006</v>
      </c>
      <c r="P141" s="2"/>
      <c r="Q141" s="14">
        <f>IFERROR(Q129+Q130+Q131+Q132+Q133+Q134+Q135+Q136+Q137+Q138+Q139+Q140, "NA")</f>
        <v>1106586.96</v>
      </c>
      <c r="R141" s="15">
        <f>IFERROR(Q141/Q444, "NA")</f>
        <v>0.23947498034452283</v>
      </c>
      <c r="S141" s="2"/>
      <c r="T141" s="14">
        <f>IFERROR(T129+T130+T131+T132+T133+T134+T135+T136+T137+T138+T139+T140, "NA")</f>
        <v>1100851.5699999998</v>
      </c>
      <c r="U141" s="15">
        <f>IFERROR(T141/T444, "NA")</f>
        <v>0.23114196914346768</v>
      </c>
      <c r="V141" s="2"/>
      <c r="W141" s="14">
        <f t="shared" si="30"/>
        <v>-5735.3900000001304</v>
      </c>
      <c r="X141" s="15">
        <f>IFERROR(W141/W444, "NA")</f>
        <v>4.045371950712965E-2</v>
      </c>
      <c r="Y141" s="2"/>
      <c r="Z141" s="14">
        <f>IFERROR(Z129+Z130+Z131+Z132+Z133+Z134+Z135+Z136+Z137+Z138+Z139+Z140, "NA")</f>
        <v>985668.33000000007</v>
      </c>
      <c r="AA141" s="15">
        <f>IFERROR(Z141/Z444, "NA")</f>
        <v>0.23518466804578819</v>
      </c>
      <c r="AB141" s="2"/>
      <c r="AC141" s="14">
        <f t="shared" si="31"/>
        <v>-120918.62999999989</v>
      </c>
      <c r="AD141" s="15">
        <f>IFERROR(AC141/AC444, "NA")</f>
        <v>-0.28130577702807513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6488.25</v>
      </c>
      <c r="C144" s="8">
        <f>IFERROR(B144/B444, "NA")</f>
        <v>1.2593358404563711E-2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-6488.25</v>
      </c>
      <c r="I144" s="8">
        <f>IFERROR(H144/H444, "NA")</f>
        <v>9.673923221113391E-2</v>
      </c>
      <c r="J144" s="9"/>
      <c r="K144" s="7">
        <v>5637.9</v>
      </c>
      <c r="L144" s="8">
        <f>IFERROR(K144/K444, "NA")</f>
        <v>1.0849696401327803E-2</v>
      </c>
      <c r="M144" s="9"/>
      <c r="N144" s="10">
        <f t="shared" si="33"/>
        <v>-850.35000000000036</v>
      </c>
      <c r="O144" s="8">
        <f>IFERROR(N144/N444, "NA")</f>
        <v>0.19218642999044053</v>
      </c>
      <c r="P144" s="9"/>
      <c r="Q144" s="7">
        <v>59313.319999999992</v>
      </c>
      <c r="R144" s="8">
        <f>IFERROR(Q144/Q444, "NA")</f>
        <v>1.2835914984185601E-2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-59313.319999999992</v>
      </c>
      <c r="X144" s="8">
        <f>IFERROR(W144/W444, "NA")</f>
        <v>0.41835767233205906</v>
      </c>
      <c r="Y144" s="9"/>
      <c r="Z144" s="7">
        <v>44220.95</v>
      </c>
      <c r="AA144" s="8">
        <f>IFERROR(Z144/Z444, "NA")</f>
        <v>1.0551307300721933E-2</v>
      </c>
      <c r="AB144" s="9"/>
      <c r="AC144" s="10">
        <f t="shared" si="35"/>
        <v>-15092.369999999995</v>
      </c>
      <c r="AD144" s="8">
        <f>IFERROR(AC144/AC444, "NA")</f>
        <v>-3.5110973966916537E-2</v>
      </c>
    </row>
    <row r="145" spans="1:30" ht="16.5" customHeight="1" x14ac:dyDescent="0.45">
      <c r="A145" s="12" t="s">
        <v>136</v>
      </c>
      <c r="B145" s="7">
        <v>476.28</v>
      </c>
      <c r="C145" s="8">
        <f>IFERROR(B145/B444, "NA")</f>
        <v>9.2443490015421789E-4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-476.28</v>
      </c>
      <c r="I145" s="8">
        <f>IFERROR(H145/H444, "NA")</f>
        <v>7.1012925700333464E-3</v>
      </c>
      <c r="J145" s="9"/>
      <c r="K145" s="7">
        <v>429.45</v>
      </c>
      <c r="L145" s="8">
        <f>IFERROR(K145/K444, "NA")</f>
        <v>8.2644284566065829E-4</v>
      </c>
      <c r="M145" s="9"/>
      <c r="N145" s="10">
        <f t="shared" si="33"/>
        <v>-46.829999999999984</v>
      </c>
      <c r="O145" s="8">
        <f>IFERROR(N145/N444, "NA")</f>
        <v>1.0583983673137324E-2</v>
      </c>
      <c r="P145" s="9"/>
      <c r="Q145" s="7">
        <v>3359.57</v>
      </c>
      <c r="R145" s="8">
        <f>IFERROR(Q145/Q444, "NA")</f>
        <v>7.2703997859874356E-4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-3359.57</v>
      </c>
      <c r="X145" s="8">
        <f>IFERROR(W145/W444, "NA")</f>
        <v>2.369622683802923E-2</v>
      </c>
      <c r="Y145" s="9"/>
      <c r="Z145" s="7">
        <v>3568.1800000000003</v>
      </c>
      <c r="AA145" s="8">
        <f>IFERROR(Z145/Z444, "NA")</f>
        <v>8.5138296857688485E-4</v>
      </c>
      <c r="AB145" s="9"/>
      <c r="AC145" s="10">
        <f t="shared" si="35"/>
        <v>208.61000000000013</v>
      </c>
      <c r="AD145" s="8">
        <f>IFERROR(AC145/AC444, "NA")</f>
        <v>4.8531147058006563E-4</v>
      </c>
    </row>
    <row r="146" spans="1:30" ht="16.5" customHeight="1" x14ac:dyDescent="0.45">
      <c r="A146" s="12" t="s">
        <v>137</v>
      </c>
      <c r="B146" s="7">
        <v>386.36999999999995</v>
      </c>
      <c r="C146" s="8">
        <f>IFERROR(B146/B444, "NA")</f>
        <v>7.4992423022714606E-4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-386.36999999999995</v>
      </c>
      <c r="I146" s="8">
        <f>IFERROR(H146/H444, "NA")</f>
        <v>5.7607424420168469E-3</v>
      </c>
      <c r="J146" s="9"/>
      <c r="K146" s="7">
        <v>2749.6</v>
      </c>
      <c r="L146" s="8">
        <f>IFERROR(K146/K444, "NA")</f>
        <v>5.2913895643929348E-3</v>
      </c>
      <c r="M146" s="9"/>
      <c r="N146" s="10">
        <f t="shared" si="33"/>
        <v>2363.23</v>
      </c>
      <c r="O146" s="8">
        <f>IFERROR(N146/N444, "NA")</f>
        <v>-0.53411035096878767</v>
      </c>
      <c r="P146" s="9"/>
      <c r="Q146" s="7">
        <v>4179.72</v>
      </c>
      <c r="R146" s="8">
        <f>IFERROR(Q146/Q444, "NA")</f>
        <v>9.045275256502291E-4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-4179.72</v>
      </c>
      <c r="X146" s="8">
        <f>IFERROR(W146/W444, "NA")</f>
        <v>2.9481032762957028E-2</v>
      </c>
      <c r="Y146" s="9"/>
      <c r="Z146" s="7">
        <v>14618.27</v>
      </c>
      <c r="AA146" s="8">
        <f>IFERROR(Z146/Z444, "NA")</f>
        <v>3.4879815782999785E-3</v>
      </c>
      <c r="AB146" s="9"/>
      <c r="AC146" s="10">
        <f t="shared" si="35"/>
        <v>10438.549999999999</v>
      </c>
      <c r="AD146" s="8">
        <f>IFERROR(AC146/AC444, "NA")</f>
        <v>2.4284301094020137E-2</v>
      </c>
    </row>
    <row r="147" spans="1:30" ht="16.5" customHeight="1" x14ac:dyDescent="0.45">
      <c r="A147" s="12" t="s">
        <v>138</v>
      </c>
      <c r="B147" s="7">
        <v>98.58</v>
      </c>
      <c r="C147" s="8">
        <f>IFERROR(B147/B444, "NA")</f>
        <v>1.9133869248593854E-4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-98.58</v>
      </c>
      <c r="I147" s="8">
        <f>IFERROR(H147/H444, "NA")</f>
        <v>1.4698190592800186E-3</v>
      </c>
      <c r="J147" s="9"/>
      <c r="K147" s="7">
        <v>99.1</v>
      </c>
      <c r="L147" s="8">
        <f>IFERROR(K147/K444, "NA")</f>
        <v>1.9071017814639943E-4</v>
      </c>
      <c r="M147" s="9"/>
      <c r="N147" s="10">
        <f t="shared" si="33"/>
        <v>0.51999999999999602</v>
      </c>
      <c r="O147" s="8">
        <f>IFERROR(N147/N444, "NA")</f>
        <v>-1.1752448238375759E-4</v>
      </c>
      <c r="P147" s="9"/>
      <c r="Q147" s="7">
        <v>787.33</v>
      </c>
      <c r="R147" s="8">
        <f>IFERROR(Q147/Q444, "NA")</f>
        <v>1.7038501544844987E-4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-787.33</v>
      </c>
      <c r="X147" s="8">
        <f>IFERROR(W147/W444, "NA")</f>
        <v>5.553314941014938E-3</v>
      </c>
      <c r="Y147" s="9"/>
      <c r="Z147" s="7">
        <v>700.08999999999992</v>
      </c>
      <c r="AA147" s="8">
        <f>IFERROR(Z147/Z444, "NA")</f>
        <v>1.6704446033299642E-4</v>
      </c>
      <c r="AB147" s="9"/>
      <c r="AC147" s="10">
        <f t="shared" si="35"/>
        <v>-87.240000000000123</v>
      </c>
      <c r="AD147" s="8">
        <f>IFERROR(AC147/AC444, "NA")</f>
        <v>-2.0295562385985792E-4</v>
      </c>
    </row>
    <row r="148" spans="1:30" ht="16.5" customHeight="1" x14ac:dyDescent="0.45">
      <c r="A148" s="13" t="s">
        <v>139</v>
      </c>
      <c r="B148" s="14">
        <f>IFERROR(B143+B144+B145+B146+B147, "NA")</f>
        <v>7449.48</v>
      </c>
      <c r="C148" s="15">
        <f>IFERROR(B148/B444, "NA")</f>
        <v>1.4459056227431015E-2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-7449.48</v>
      </c>
      <c r="I148" s="15">
        <f>IFERROR(H148/H444, "NA")</f>
        <v>0.11107108628246412</v>
      </c>
      <c r="J148" s="2"/>
      <c r="K148" s="14">
        <f>IFERROR(K143+K144+K145+K146+K147, "NA")</f>
        <v>8916.0499999999993</v>
      </c>
      <c r="L148" s="15">
        <f>IFERROR(K148/K444, "NA")</f>
        <v>1.7158238989527796E-2</v>
      </c>
      <c r="M148" s="2"/>
      <c r="N148" s="14">
        <f t="shared" si="33"/>
        <v>1466.5699999999997</v>
      </c>
      <c r="O148" s="15">
        <f>IFERROR(N148/N444, "NA")</f>
        <v>-0.33145746178759355</v>
      </c>
      <c r="P148" s="2"/>
      <c r="Q148" s="14">
        <f>IFERROR(Q143+Q144+Q145+Q146+Q147, "NA")</f>
        <v>67639.939999999988</v>
      </c>
      <c r="R148" s="15">
        <f>IFERROR(Q148/Q444, "NA")</f>
        <v>1.4637867503883023E-2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-67639.939999999988</v>
      </c>
      <c r="X148" s="15">
        <f>IFERROR(W148/W444, "NA")</f>
        <v>0.47708824687406026</v>
      </c>
      <c r="Y148" s="2"/>
      <c r="Z148" s="14">
        <f>IFERROR(Z143+Z144+Z145+Z146+Z147, "NA")</f>
        <v>63107.489999999991</v>
      </c>
      <c r="AA148" s="15">
        <f>IFERROR(Z148/Z444, "NA")</f>
        <v>1.5057716307931792E-2</v>
      </c>
      <c r="AB148" s="2"/>
      <c r="AC148" s="14">
        <f t="shared" si="35"/>
        <v>-4532.4499999999971</v>
      </c>
      <c r="AD148" s="15">
        <f>IFERROR(AC148/AC444, "NA")</f>
        <v>-1.0544317026176194E-2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127709.44</v>
      </c>
      <c r="C149" s="15">
        <f>IFERROR(B149/B444, "NA")</f>
        <v>0.24787743221456096</v>
      </c>
      <c r="D149" s="2"/>
      <c r="E149" s="14">
        <f>IFERROR(E127+E129+E130+E131+E132+E133+E134+E135+E136+E137+E138+E139+E140+E143+E144+E145+E146+E147, "NA")</f>
        <v>130736.59</v>
      </c>
      <c r="F149" s="15">
        <f>IFERROR(E149/E444, "NA")</f>
        <v>0.22452470714638673</v>
      </c>
      <c r="G149" s="2"/>
      <c r="H149" s="14">
        <f t="shared" si="32"/>
        <v>3027.1499999999942</v>
      </c>
      <c r="I149" s="15">
        <f>IFERROR(H149/H444, "NA")</f>
        <v>-4.513453809392879E-2</v>
      </c>
      <c r="J149" s="2"/>
      <c r="K149" s="14">
        <f>IFERROR(K127+K129+K130+K131+K132+K133+K134+K135+K136+K137+K138+K139+K140+K143+K144+K145+K146+K147, "NA")</f>
        <v>130205.18999999999</v>
      </c>
      <c r="L149" s="15">
        <f>IFERROR(K149/K444, "NA")</f>
        <v>0.25056967689693022</v>
      </c>
      <c r="M149" s="2"/>
      <c r="N149" s="14">
        <f t="shared" si="33"/>
        <v>2495.7499999999854</v>
      </c>
      <c r="O149" s="15">
        <f>IFERROR(N149/N444, "NA")</f>
        <v>-0.56406101328704528</v>
      </c>
      <c r="P149" s="2"/>
      <c r="Q149" s="14">
        <f>IFERROR(Q127+Q129+Q130+Q131+Q132+Q133+Q134+Q135+Q136+Q137+Q138+Q139+Q140+Q143+Q144+Q145+Q146+Q147, "NA")</f>
        <v>1174226.9000000001</v>
      </c>
      <c r="R149" s="15">
        <f>IFERROR(Q149/Q444, "NA")</f>
        <v>0.25411284784840588</v>
      </c>
      <c r="S149" s="2"/>
      <c r="T149" s="14">
        <f>IFERROR(T127+T129+T130+T131+T132+T133+T134+T135+T136+T137+T138+T139+T140+T143+T144+T145+T146+T147, "NA")</f>
        <v>1100851.5699999998</v>
      </c>
      <c r="U149" s="15">
        <f>IFERROR(T149/T444, "NA")</f>
        <v>0.23114196914346768</v>
      </c>
      <c r="V149" s="2"/>
      <c r="W149" s="14">
        <f t="shared" si="34"/>
        <v>-73375.330000000307</v>
      </c>
      <c r="X149" s="15">
        <f>IFERROR(W149/W444, "NA")</f>
        <v>0.51754196638119121</v>
      </c>
      <c r="Y149" s="2"/>
      <c r="Z149" s="14">
        <f>IFERROR(Z127+Z129+Z130+Z131+Z132+Z133+Z134+Z135+Z136+Z137+Z138+Z139+Z140+Z143+Z144+Z145+Z146+Z147, "NA")</f>
        <v>1048775.82</v>
      </c>
      <c r="AA149" s="15">
        <f>IFERROR(Z149/Z444, "NA")</f>
        <v>0.25024238435371998</v>
      </c>
      <c r="AB149" s="2"/>
      <c r="AC149" s="14">
        <f t="shared" si="35"/>
        <v>-125451.08000000007</v>
      </c>
      <c r="AD149" s="15">
        <f>IFERROR(AC149/AC444, "NA")</f>
        <v>-0.29185009405425177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9585.41</v>
      </c>
      <c r="F153" s="8">
        <f>IFERROR(E153/E444, "NA")</f>
        <v>1.6461813583542654E-2</v>
      </c>
      <c r="G153" s="9"/>
      <c r="H153" s="10">
        <f t="shared" ref="H153:H158" si="36">IFERROR(-(B153-E153), "NA")</f>
        <v>9585.41</v>
      </c>
      <c r="I153" s="8">
        <f>IFERROR(H153/H444, "NA")</f>
        <v>-0.14291761319753787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83464.780000000013</v>
      </c>
      <c r="U153" s="8">
        <f>IFERROR(T153/T444, "NA")</f>
        <v>1.7524809092406821E-2</v>
      </c>
      <c r="V153" s="9"/>
      <c r="W153" s="10">
        <f t="shared" ref="W153:W158" si="38">IFERROR(-(Q153-T153), "NA")</f>
        <v>83464.780000000013</v>
      </c>
      <c r="X153" s="8">
        <f>IFERROR(W153/W444, "NA")</f>
        <v>-0.5887063998863562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16958.38</v>
      </c>
      <c r="C154" s="8">
        <f>IFERROR(B154/B444, "NA")</f>
        <v>3.2915340392368542E-2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-16958.38</v>
      </c>
      <c r="I154" s="8">
        <f>IFERROR(H154/H444, "NA")</f>
        <v>0.25284794216385764</v>
      </c>
      <c r="J154" s="9"/>
      <c r="K154" s="7">
        <v>16678.75</v>
      </c>
      <c r="L154" s="8">
        <f>IFERROR(K154/K444, "NA")</f>
        <v>3.2096946354785667E-2</v>
      </c>
      <c r="M154" s="9"/>
      <c r="N154" s="10">
        <f t="shared" si="37"/>
        <v>-279.63000000000102</v>
      </c>
      <c r="O154" s="8">
        <f>IFERROR(N154/N444, "NA")</f>
        <v>6.319879040186635E-2</v>
      </c>
      <c r="P154" s="9"/>
      <c r="Q154" s="7">
        <v>149710.53</v>
      </c>
      <c r="R154" s="8">
        <f>IFERROR(Q154/Q444, "NA")</f>
        <v>3.2398652365393944E-2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-149710.53</v>
      </c>
      <c r="X154" s="8">
        <f>IFERROR(W154/W444, "NA")</f>
        <v>1.0559609351558623</v>
      </c>
      <c r="Y154" s="9"/>
      <c r="Z154" s="7">
        <v>138821.19</v>
      </c>
      <c r="AA154" s="8">
        <f>IFERROR(Z154/Z444, "NA")</f>
        <v>3.3123328095436819E-2</v>
      </c>
      <c r="AB154" s="9"/>
      <c r="AC154" s="10">
        <f t="shared" si="39"/>
        <v>-10889.339999999997</v>
      </c>
      <c r="AD154" s="8">
        <f>IFERROR(AC154/AC444, "NA")</f>
        <v>-2.5333021470909003E-2</v>
      </c>
    </row>
    <row r="155" spans="1:30" ht="16.5" customHeight="1" x14ac:dyDescent="0.45">
      <c r="A155" s="12" t="s">
        <v>144</v>
      </c>
      <c r="B155" s="7">
        <v>5875.2300000000005</v>
      </c>
      <c r="C155" s="8">
        <f>IFERROR(B155/B444, "NA")</f>
        <v>1.1403518221283838E-2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-5875.2300000000005</v>
      </c>
      <c r="I155" s="8">
        <f>IFERROR(H155/H444, "NA")</f>
        <v>8.7599158365325058E-2</v>
      </c>
      <c r="J155" s="9"/>
      <c r="K155" s="7">
        <v>6005.35</v>
      </c>
      <c r="L155" s="8">
        <f>IFERROR(K155/K444, "NA")</f>
        <v>1.1556825109298485E-2</v>
      </c>
      <c r="M155" s="9"/>
      <c r="N155" s="10">
        <f t="shared" si="37"/>
        <v>130.11999999999989</v>
      </c>
      <c r="O155" s="8">
        <f>IFERROR(N155/N444, "NA")</f>
        <v>-2.9408241630335848E-2</v>
      </c>
      <c r="P155" s="9"/>
      <c r="Q155" s="7">
        <v>49441.659999999996</v>
      </c>
      <c r="R155" s="8">
        <f>IFERROR(Q155/Q444, "NA")</f>
        <v>1.0699602457542586E-2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-49441.659999999996</v>
      </c>
      <c r="X155" s="8">
        <f>IFERROR(W155/W444, "NA")</f>
        <v>0.34872938816834181</v>
      </c>
      <c r="Y155" s="9"/>
      <c r="Z155" s="7">
        <v>51982.32</v>
      </c>
      <c r="AA155" s="8">
        <f>IFERROR(Z155/Z444, "NA")</f>
        <v>1.2403203289944332E-2</v>
      </c>
      <c r="AB155" s="9"/>
      <c r="AC155" s="10">
        <f t="shared" si="39"/>
        <v>2540.6600000000035</v>
      </c>
      <c r="AD155" s="8">
        <f>IFERROR(AC155/AC444, "NA")</f>
        <v>5.9106056317719691E-3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401.78999999999996</v>
      </c>
      <c r="AA156" s="8">
        <f>IFERROR(Z156/Z444, "NA")</f>
        <v>9.5868807892120496E-5</v>
      </c>
      <c r="AB156" s="9"/>
      <c r="AC156" s="10">
        <f t="shared" si="39"/>
        <v>401.78999999999996</v>
      </c>
      <c r="AD156" s="8">
        <f>IFERROR(AC156/AC444, "NA")</f>
        <v>9.3472650287313374E-4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22833.61</v>
      </c>
      <c r="C158" s="15">
        <f>IFERROR(B158/B444, "NA")</f>
        <v>4.4318858613652375E-2</v>
      </c>
      <c r="D158" s="2"/>
      <c r="E158" s="14">
        <f>IFERROR(E153+E154+E155+E156+E157, "NA")</f>
        <v>9585.41</v>
      </c>
      <c r="F158" s="15">
        <f>IFERROR(E158/E444, "NA")</f>
        <v>1.6461813583542654E-2</v>
      </c>
      <c r="G158" s="2"/>
      <c r="H158" s="14">
        <f t="shared" si="36"/>
        <v>-13248.2</v>
      </c>
      <c r="I158" s="15">
        <f>IFERROR(H158/H444, "NA")</f>
        <v>0.1975294873316448</v>
      </c>
      <c r="J158" s="2"/>
      <c r="K158" s="14">
        <f>IFERROR(K153+K154+K155+K156+K157, "NA")</f>
        <v>22684.1</v>
      </c>
      <c r="L158" s="15">
        <f>IFERROR(K158/K444, "NA")</f>
        <v>4.3653771464084147E-2</v>
      </c>
      <c r="M158" s="2"/>
      <c r="N158" s="14">
        <f t="shared" si="37"/>
        <v>-149.51000000000204</v>
      </c>
      <c r="O158" s="15">
        <f>IFERROR(N158/N444, "NA")</f>
        <v>3.3790548771530711E-2</v>
      </c>
      <c r="P158" s="2"/>
      <c r="Q158" s="14">
        <f>IFERROR(Q153+Q154+Q155+Q156+Q157, "NA")</f>
        <v>199152.19</v>
      </c>
      <c r="R158" s="15">
        <f>IFERROR(Q158/Q444, "NA")</f>
        <v>4.3098254822936534E-2</v>
      </c>
      <c r="S158" s="2"/>
      <c r="T158" s="14">
        <f>IFERROR(T153+T154+T155+T156+T157, "NA")</f>
        <v>83464.780000000013</v>
      </c>
      <c r="U158" s="15">
        <f>IFERROR(T158/T444, "NA")</f>
        <v>1.7524809092406821E-2</v>
      </c>
      <c r="V158" s="2"/>
      <c r="W158" s="14">
        <f t="shared" si="38"/>
        <v>-115687.40999999999</v>
      </c>
      <c r="X158" s="15">
        <f>IFERROR(W158/W444, "NA")</f>
        <v>0.81598392343784798</v>
      </c>
      <c r="Y158" s="2"/>
      <c r="Z158" s="14">
        <f>IFERROR(Z153+Z154+Z155+Z156+Z157, "NA")</f>
        <v>191205.30000000002</v>
      </c>
      <c r="AA158" s="15">
        <f>IFERROR(Z158/Z444, "NA")</f>
        <v>4.5622400193273273E-2</v>
      </c>
      <c r="AB158" s="2"/>
      <c r="AC158" s="14">
        <f t="shared" si="39"/>
        <v>-7946.8899999999849</v>
      </c>
      <c r="AD158" s="15">
        <f>IFERROR(AC158/AC444, "NA")</f>
        <v>-1.8487689336263879E-2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1052.47</v>
      </c>
      <c r="C161" s="8">
        <f>IFERROR(B161/B444, "NA")</f>
        <v>2.0427899541557693E-3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-1052.47</v>
      </c>
      <c r="I161" s="8">
        <f>IFERROR(H161/H444, "NA")</f>
        <v>1.5692234381420585E-2</v>
      </c>
      <c r="J161" s="9"/>
      <c r="K161" s="7">
        <v>1397.4299999999998</v>
      </c>
      <c r="L161" s="8">
        <f>IFERROR(K161/K444, "NA")</f>
        <v>2.6892444424533092E-3</v>
      </c>
      <c r="M161" s="9"/>
      <c r="N161" s="10">
        <f t="shared" si="41"/>
        <v>344.95999999999981</v>
      </c>
      <c r="O161" s="8">
        <f>IFERROR(N161/N444, "NA")</f>
        <v>-7.7963933544425587E-2</v>
      </c>
      <c r="P161" s="9"/>
      <c r="Q161" s="7">
        <v>11439.42</v>
      </c>
      <c r="R161" s="8">
        <f>IFERROR(Q161/Q444, "NA")</f>
        <v>2.4755893379158757E-3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-11439.42</v>
      </c>
      <c r="X161" s="8">
        <f>IFERROR(W161/W444, "NA")</f>
        <v>8.0686245922986677E-2</v>
      </c>
      <c r="Y161" s="9"/>
      <c r="Z161" s="7">
        <v>13294.21</v>
      </c>
      <c r="AA161" s="8">
        <f>IFERROR(Z161/Z444, "NA")</f>
        <v>3.1720552143346204E-3</v>
      </c>
      <c r="AB161" s="9"/>
      <c r="AC161" s="10">
        <f t="shared" si="43"/>
        <v>1854.7899999999991</v>
      </c>
      <c r="AD161" s="8">
        <f>IFERROR(AC161/AC444, "NA")</f>
        <v>4.3149938282786007E-3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6.4900360254503044E-7</v>
      </c>
      <c r="AB162" s="9"/>
      <c r="AC162" s="10">
        <f t="shared" si="43"/>
        <v>2.72</v>
      </c>
      <c r="AD162" s="8">
        <f>IFERROR(AC162/AC444, "NA")</f>
        <v>6.3278232106695642E-6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1052.47</v>
      </c>
      <c r="C166" s="15">
        <f>IFERROR(B166/B444, "NA")</f>
        <v>2.0427899541557693E-3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-1052.47</v>
      </c>
      <c r="I166" s="15">
        <f>IFERROR(H166/H444, "NA")</f>
        <v>1.5692234381420585E-2</v>
      </c>
      <c r="J166" s="2"/>
      <c r="K166" s="14">
        <f>IFERROR(K160+K161+K162+K163+K164+K165, "NA")</f>
        <v>1397.4299999999998</v>
      </c>
      <c r="L166" s="15">
        <f>IFERROR(K166/K444, "NA")</f>
        <v>2.6892444424533092E-3</v>
      </c>
      <c r="M166" s="2"/>
      <c r="N166" s="14">
        <f t="shared" si="41"/>
        <v>344.95999999999981</v>
      </c>
      <c r="O166" s="15">
        <f>IFERROR(N166/N444, "NA")</f>
        <v>-7.7963933544425587E-2</v>
      </c>
      <c r="P166" s="2"/>
      <c r="Q166" s="14">
        <f>IFERROR(Q160+Q161+Q162+Q163+Q164+Q165, "NA")</f>
        <v>11439.42</v>
      </c>
      <c r="R166" s="15">
        <f>IFERROR(Q166/Q444, "NA")</f>
        <v>2.4755893379158757E-3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-11439.42</v>
      </c>
      <c r="X166" s="15">
        <f>IFERROR(W166/W444, "NA")</f>
        <v>8.0686245922986677E-2</v>
      </c>
      <c r="Y166" s="2"/>
      <c r="Z166" s="14">
        <f>IFERROR(Z160+Z161+Z162+Z163+Z164+Z165, "NA")</f>
        <v>13296.929999999998</v>
      </c>
      <c r="AA166" s="15">
        <f>IFERROR(Z166/Z444, "NA")</f>
        <v>3.1727042179371654E-3</v>
      </c>
      <c r="AB166" s="2"/>
      <c r="AC166" s="14">
        <f t="shared" si="43"/>
        <v>1857.5099999999984</v>
      </c>
      <c r="AD166" s="15">
        <f>IFERROR(AC166/AC444, "NA")</f>
        <v>4.3213216514892691E-3</v>
      </c>
    </row>
    <row r="167" spans="1:30" ht="16.5" customHeight="1" x14ac:dyDescent="0.45">
      <c r="A167" s="6" t="s">
        <v>155</v>
      </c>
      <c r="B167" s="7">
        <v>779.45</v>
      </c>
      <c r="C167" s="8">
        <f>IFERROR(B167/B444, "NA")</f>
        <v>1.512872224164788E-3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-779.45</v>
      </c>
      <c r="I167" s="8">
        <f>IFERROR(H167/H444, "NA")</f>
        <v>1.1621530389083087E-2</v>
      </c>
      <c r="J167" s="9"/>
      <c r="K167" s="7">
        <v>728.29000000000008</v>
      </c>
      <c r="L167" s="8">
        <f>IFERROR(K167/K444, "NA")</f>
        <v>1.4015369893263497E-3</v>
      </c>
      <c r="M167" s="9"/>
      <c r="N167" s="10">
        <f t="shared" si="41"/>
        <v>-51.159999999999968</v>
      </c>
      <c r="O167" s="8">
        <f>IFERROR(N167/N444, "NA")</f>
        <v>1.1562600997602078E-2</v>
      </c>
      <c r="P167" s="9"/>
      <c r="Q167" s="7">
        <v>6421.1100000000006</v>
      </c>
      <c r="R167" s="8">
        <f>IFERROR(Q167/Q444, "NA")</f>
        <v>1.3895836898710782E-3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-6421.1100000000006</v>
      </c>
      <c r="X167" s="8">
        <f>IFERROR(W167/W444, "NA")</f>
        <v>4.5290343440362271E-2</v>
      </c>
      <c r="Y167" s="9"/>
      <c r="Z167" s="7">
        <v>7133.1500000000005</v>
      </c>
      <c r="AA167" s="8">
        <f>IFERROR(Z167/Z444, "NA")</f>
        <v>1.7020000174610603E-3</v>
      </c>
      <c r="AB167" s="9"/>
      <c r="AC167" s="10">
        <f t="shared" si="43"/>
        <v>712.04</v>
      </c>
      <c r="AD167" s="8">
        <f>IFERROR(AC167/AC444, "NA")</f>
        <v>1.6564938378401308E-3</v>
      </c>
    </row>
    <row r="168" spans="1:30" ht="16.5" customHeight="1" x14ac:dyDescent="0.45">
      <c r="A168" s="6" t="s">
        <v>156</v>
      </c>
      <c r="B168" s="7">
        <v>173.79</v>
      </c>
      <c r="C168" s="8">
        <f>IFERROR(B168/B444, "NA")</f>
        <v>3.3731742105022578E-4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-173.79</v>
      </c>
      <c r="I168" s="8">
        <f>IFERROR(H168/H444, "NA")</f>
        <v>2.5911934906905501E-3</v>
      </c>
      <c r="J168" s="9"/>
      <c r="K168" s="7">
        <v>237.6</v>
      </c>
      <c r="L168" s="8">
        <f>IFERROR(K168/K444, "NA")</f>
        <v>4.5724256637320388E-4</v>
      </c>
      <c r="M168" s="9"/>
      <c r="N168" s="10">
        <f t="shared" si="41"/>
        <v>63.81</v>
      </c>
      <c r="O168" s="8">
        <f>IFERROR(N168/N444, "NA")</f>
        <v>-1.442161004020698E-2</v>
      </c>
      <c r="P168" s="9"/>
      <c r="Q168" s="7">
        <v>1576.51</v>
      </c>
      <c r="R168" s="8">
        <f>IFERROR(Q168/Q444, "NA")</f>
        <v>3.4117038688305501E-4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-1576.51</v>
      </c>
      <c r="X168" s="8">
        <f>IFERROR(W168/W444, "NA")</f>
        <v>1.1119678581610582E-2</v>
      </c>
      <c r="Y168" s="9"/>
      <c r="Z168" s="7">
        <v>1863.79</v>
      </c>
      <c r="AA168" s="8">
        <f>IFERROR(Z168/Z444, "NA")</f>
        <v>4.4470824426007434E-4</v>
      </c>
      <c r="AB168" s="9"/>
      <c r="AC168" s="10">
        <f t="shared" si="43"/>
        <v>287.27999999999997</v>
      </c>
      <c r="AD168" s="8">
        <f>IFERROR(AC168/AC444, "NA")</f>
        <v>6.6832979851512951E-4</v>
      </c>
    </row>
    <row r="169" spans="1:30" ht="16.5" customHeight="1" x14ac:dyDescent="0.45">
      <c r="A169" s="6" t="s">
        <v>157</v>
      </c>
      <c r="B169" s="7">
        <v>-6860.67</v>
      </c>
      <c r="C169" s="8">
        <f>IFERROR(B169/B444, "NA")</f>
        <v>-1.3316206404722093E-2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6860.67</v>
      </c>
      <c r="I169" s="8">
        <f>IFERROR(H169/H444, "NA")</f>
        <v>-0.1022919813900451</v>
      </c>
      <c r="J169" s="9"/>
      <c r="K169" s="7">
        <v>-22251.29</v>
      </c>
      <c r="L169" s="8">
        <f>IFERROR(K169/K444, "NA")</f>
        <v>-4.2820862561929331E-2</v>
      </c>
      <c r="M169" s="9"/>
      <c r="N169" s="10">
        <f t="shared" si="41"/>
        <v>-15390.62</v>
      </c>
      <c r="O169" s="8">
        <f>IFERROR(N169/N444, "NA")</f>
        <v>3.4784127866636947</v>
      </c>
      <c r="P169" s="9"/>
      <c r="Q169" s="7">
        <v>-77450.8</v>
      </c>
      <c r="R169" s="8">
        <f>IFERROR(Q169/Q444, "NA")</f>
        <v>-1.6761022385143206E-2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77450.8</v>
      </c>
      <c r="X169" s="8">
        <f>IFERROR(W169/W444, "NA")</f>
        <v>-0.54628768728939547</v>
      </c>
      <c r="Y169" s="9"/>
      <c r="Z169" s="7">
        <v>-102114.03</v>
      </c>
      <c r="AA169" s="8">
        <f>IFERROR(Z169/Z444, "NA")</f>
        <v>-2.4364843139849747E-2</v>
      </c>
      <c r="AB169" s="9"/>
      <c r="AC169" s="10">
        <f t="shared" si="43"/>
        <v>-24663.229999999996</v>
      </c>
      <c r="AD169" s="8">
        <f>IFERROR(AC169/AC444, "NA")</f>
        <v>-5.737667619267716E-2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17978.650000000001</v>
      </c>
      <c r="C170" s="15">
        <f>IFERROR(B170/B444, "NA")</f>
        <v>3.4895631808301068E-2</v>
      </c>
      <c r="D170" s="2"/>
      <c r="E170" s="14">
        <f>IFERROR(E151+E153+E154+E155+E156+E157+E160+E161+E162+E163+E164+E165+E167+E168+E169, "NA")</f>
        <v>9585.41</v>
      </c>
      <c r="F170" s="15">
        <f>IFERROR(E170/E444, "NA")</f>
        <v>1.6461813583542654E-2</v>
      </c>
      <c r="G170" s="2"/>
      <c r="H170" s="14">
        <f t="shared" si="40"/>
        <v>-8393.2400000000016</v>
      </c>
      <c r="I170" s="15">
        <f>IFERROR(H170/H444, "NA")</f>
        <v>0.12514246420279393</v>
      </c>
      <c r="J170" s="2"/>
      <c r="K170" s="14">
        <f>IFERROR(K151+K153+K154+K155+K156+K157+K160+K161+K162+K163+K164+K165+K167+K168+K169, "NA")</f>
        <v>2796.1299999999974</v>
      </c>
      <c r="L170" s="15">
        <f>IFERROR(K170/K444, "NA")</f>
        <v>5.3809329003076823E-3</v>
      </c>
      <c r="M170" s="2"/>
      <c r="N170" s="14">
        <f t="shared" si="41"/>
        <v>-15182.520000000004</v>
      </c>
      <c r="O170" s="15">
        <f>IFERROR(N170/N444, "NA")</f>
        <v>3.4313803928481952</v>
      </c>
      <c r="P170" s="2"/>
      <c r="Q170" s="14">
        <f>IFERROR(Q151+Q153+Q154+Q155+Q156+Q157+Q160+Q161+Q162+Q163+Q164+Q165+Q167+Q168+Q169, "NA")</f>
        <v>141138.43000000005</v>
      </c>
      <c r="R170" s="15">
        <f>IFERROR(Q170/Q444, "NA")</f>
        <v>3.054357585246335E-2</v>
      </c>
      <c r="S170" s="2"/>
      <c r="T170" s="14">
        <f>IFERROR(T151+T153+T154+T155+T156+T157+T160+T161+T162+T163+T164+T165+T167+T168+T169, "NA")</f>
        <v>83464.780000000013</v>
      </c>
      <c r="U170" s="15">
        <f>IFERROR(T170/T444, "NA")</f>
        <v>1.7524809092406821E-2</v>
      </c>
      <c r="V170" s="2"/>
      <c r="W170" s="14">
        <f t="shared" si="42"/>
        <v>-57673.650000000038</v>
      </c>
      <c r="X170" s="15">
        <f>IFERROR(W170/W444, "NA")</f>
        <v>0.40679250409341239</v>
      </c>
      <c r="Y170" s="2"/>
      <c r="Z170" s="14">
        <f>IFERROR(Z151+Z153+Z154+Z155+Z156+Z157+Z160+Z161+Z162+Z163+Z164+Z165+Z167+Z168+Z169, "NA")</f>
        <v>111385.14000000001</v>
      </c>
      <c r="AA170" s="15">
        <f>IFERROR(Z170/Z444, "NA")</f>
        <v>2.6576969533081828E-2</v>
      </c>
      <c r="AB170" s="2"/>
      <c r="AC170" s="14">
        <f t="shared" si="43"/>
        <v>-29753.290000000037</v>
      </c>
      <c r="AD170" s="15">
        <f>IFERROR(AC170/AC444, "NA")</f>
        <v>-6.921822024109664E-2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145688.09000000003</v>
      </c>
      <c r="C171" s="15">
        <f>IFERROR(B171/B444, "NA")</f>
        <v>0.28277306402286206</v>
      </c>
      <c r="D171" s="2"/>
      <c r="E171" s="14">
        <f>IFERROR(E127+E129+E130+E131+E132+E133+E134+E135+E136+E137+E138+E139+E140+E143+E144+E145+E146+E147+E151+E153+E154+E155+E156+E157+E160+E161+E162+E163+E164+E165+E167+E168+E169, "NA")</f>
        <v>140322</v>
      </c>
      <c r="F171" s="15">
        <f>IFERROR(E171/E444, "NA")</f>
        <v>0.24098652072992938</v>
      </c>
      <c r="G171" s="2"/>
      <c r="H171" s="14">
        <f t="shared" si="40"/>
        <v>-5366.0900000000256</v>
      </c>
      <c r="I171" s="15">
        <f>IFERROR(H171/H444, "NA")</f>
        <v>8.0007926108865424E-2</v>
      </c>
      <c r="J171" s="2"/>
      <c r="K171" s="14">
        <f>IFERROR(K127+K129+K130+K131+K132+K133+K134+K135+K136+K137+K138+K139+K140+K143+K144+K145+K146+K147+K151+K153+K154+K155+K156+K157+K160+K161+K162+K163+K164+K165+K167+K168+K169, "NA")</f>
        <v>133001.32</v>
      </c>
      <c r="L171" s="15">
        <f>IFERROR(K171/K444, "NA")</f>
        <v>0.25595060979723794</v>
      </c>
      <c r="M171" s="2"/>
      <c r="N171" s="14">
        <f t="shared" si="41"/>
        <v>-12686.770000000019</v>
      </c>
      <c r="O171" s="15">
        <f>IFERROR(N171/N444, "NA")</f>
        <v>2.8673193795611498</v>
      </c>
      <c r="P171" s="2"/>
      <c r="Q171" s="14">
        <f>IFERROR(Q127+Q129+Q130+Q131+Q132+Q133+Q134+Q135+Q136+Q137+Q138+Q139+Q140+Q143+Q144+Q145+Q146+Q147+Q151+Q153+Q154+Q155+Q156+Q157+Q160+Q161+Q162+Q163+Q164+Q165+Q167+Q168+Q169, "NA")</f>
        <v>1315365.33</v>
      </c>
      <c r="R171" s="15">
        <f>IFERROR(Q171/Q444, "NA")</f>
        <v>0.28465642370086924</v>
      </c>
      <c r="S171" s="2"/>
      <c r="T171" s="14">
        <f>IFERROR(T127+T129+T130+T131+T132+T133+T134+T135+T136+T137+T138+T139+T140+T143+T144+T145+T146+T147+T151+T153+T154+T155+T156+T157+T160+T161+T162+T163+T164+T165+T167+T168+T169, "NA")</f>
        <v>1184316.3499999999</v>
      </c>
      <c r="U171" s="15">
        <f>IFERROR(T171/T444, "NA")</f>
        <v>0.24866677823587452</v>
      </c>
      <c r="V171" s="2"/>
      <c r="W171" s="14">
        <f t="shared" si="42"/>
        <v>-131048.98000000021</v>
      </c>
      <c r="X171" s="15">
        <f>IFERROR(W171/W444, "NA")</f>
        <v>0.92433447047460271</v>
      </c>
      <c r="Y171" s="2"/>
      <c r="Z171" s="14">
        <f>IFERROR(Z127+Z129+Z130+Z131+Z132+Z133+Z134+Z135+Z136+Z137+Z138+Z139+Z140+Z143+Z144+Z145+Z146+Z147+Z151+Z153+Z154+Z155+Z156+Z157+Z160+Z161+Z162+Z163+Z164+Z165+Z167+Z168+Z169, "NA")</f>
        <v>1160160.96</v>
      </c>
      <c r="AA171" s="15">
        <f>IFERROR(Z171/Z444, "NA")</f>
        <v>0.27681935388680179</v>
      </c>
      <c r="AB171" s="2"/>
      <c r="AC171" s="14">
        <f t="shared" si="43"/>
        <v>-155204.37000000011</v>
      </c>
      <c r="AD171" s="15">
        <f>IFERROR(AC171/AC444, "NA")</f>
        <v>-0.36106831429534841</v>
      </c>
    </row>
    <row r="172" spans="1:30" ht="16.5" customHeight="1" x14ac:dyDescent="0.45">
      <c r="A172" s="22" t="s">
        <v>160</v>
      </c>
      <c r="B172" s="23">
        <f>IFERROR(B124-B171, "NA")</f>
        <v>369523.96</v>
      </c>
      <c r="C172" s="24">
        <f>IFERROR(B172/B444, "NA")</f>
        <v>0.71722693597713794</v>
      </c>
      <c r="D172" s="25"/>
      <c r="E172" s="23">
        <f>IFERROR(E124-E171, "NA")</f>
        <v>441959.52999999991</v>
      </c>
      <c r="F172" s="24">
        <f>IFERROR(E172/E444, "NA")</f>
        <v>0.75901347927007046</v>
      </c>
      <c r="G172" s="25"/>
      <c r="H172" s="23">
        <f>IFERROR(B172-E172, "NA")</f>
        <v>-72435.569999999891</v>
      </c>
      <c r="I172" s="24">
        <f>IFERROR(H172/H444, "NA")</f>
        <v>1.0800079261088638</v>
      </c>
      <c r="J172" s="25"/>
      <c r="K172" s="23">
        <f>IFERROR(K124-K171, "NA")</f>
        <v>386635.34</v>
      </c>
      <c r="L172" s="24">
        <f>IFERROR(K172/K444, "NA")</f>
        <v>0.74404939020276206</v>
      </c>
      <c r="M172" s="25"/>
      <c r="N172" s="23">
        <f>IFERROR(B172-K172, "NA")</f>
        <v>-17111.380000000005</v>
      </c>
      <c r="O172" s="24">
        <f>IFERROR(N172/N444, "NA")</f>
        <v>3.8673193795611498</v>
      </c>
      <c r="P172" s="25"/>
      <c r="Q172" s="23">
        <f>IFERROR(Q124-Q171, "NA")</f>
        <v>3305522.2399999984</v>
      </c>
      <c r="R172" s="24">
        <f>IFERROR(Q172/Q444, "NA")</f>
        <v>0.71534357629913037</v>
      </c>
      <c r="S172" s="25"/>
      <c r="T172" s="23">
        <f>IFERROR(T124-T171, "NA")</f>
        <v>3578347.8000000007</v>
      </c>
      <c r="U172" s="24">
        <f>IFERROR(T172/T444, "NA")</f>
        <v>0.75133322176412554</v>
      </c>
      <c r="V172" s="25"/>
      <c r="W172" s="23">
        <f>IFERROR(Q172-T172, "NA")</f>
        <v>-272825.56000000238</v>
      </c>
      <c r="X172" s="24">
        <f>IFERROR(W172/W444, "NA")</f>
        <v>1.9243344704746175</v>
      </c>
      <c r="Y172" s="25"/>
      <c r="Z172" s="23">
        <f>IFERROR(Z124-Z171, "NA")</f>
        <v>3030878.9500000011</v>
      </c>
      <c r="AA172" s="24">
        <f>IFERROR(Z172/Z444, "NA")</f>
        <v>0.72318064611319843</v>
      </c>
      <c r="AB172" s="25"/>
      <c r="AC172" s="23">
        <f>IFERROR(Q172-Z172, "NA")</f>
        <v>274643.28999999724</v>
      </c>
      <c r="AD172" s="24">
        <f>IFERROR(AC172/AC444, "NA")</f>
        <v>0.63893168570464509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31832.32</v>
      </c>
      <c r="C178" s="8">
        <f>IFERROR(B178/B444, "NA")</f>
        <v>6.1784890318462071E-2</v>
      </c>
      <c r="D178" s="9"/>
      <c r="E178" s="7">
        <v>32038.460000000003</v>
      </c>
      <c r="F178" s="8">
        <f>IFERROR(E178/E444, "NA")</f>
        <v>5.5022284495268123E-2</v>
      </c>
      <c r="G178" s="9"/>
      <c r="H178" s="10">
        <f t="shared" si="44"/>
        <v>206.14000000000306</v>
      </c>
      <c r="I178" s="8">
        <f>IFERROR(H178/H444, "NA")</f>
        <v>-3.0735291223370617E-3</v>
      </c>
      <c r="J178" s="9"/>
      <c r="K178" s="7">
        <v>25961.559999999998</v>
      </c>
      <c r="L178" s="8">
        <f>IFERROR(K178/K444, "NA")</f>
        <v>4.9960986201396947E-2</v>
      </c>
      <c r="M178" s="9"/>
      <c r="N178" s="10">
        <f t="shared" si="45"/>
        <v>-5870.760000000002</v>
      </c>
      <c r="O178" s="8">
        <f>IFERROR(N178/N444, "NA")</f>
        <v>1.326842365767835</v>
      </c>
      <c r="P178" s="9"/>
      <c r="Q178" s="7">
        <v>266199.83999999997</v>
      </c>
      <c r="R178" s="8">
        <f>IFERROR(Q178/Q444, "NA")</f>
        <v>5.7607945652743929E-2</v>
      </c>
      <c r="S178" s="9"/>
      <c r="T178" s="7">
        <v>272326.90000000002</v>
      </c>
      <c r="U178" s="8">
        <f>IFERROR(T178/T444, "NA")</f>
        <v>5.7179530494502744E-2</v>
      </c>
      <c r="V178" s="9"/>
      <c r="W178" s="10">
        <f t="shared" si="46"/>
        <v>6127.0600000000559</v>
      </c>
      <c r="X178" s="8">
        <f>IFERROR(W178/W444, "NA")</f>
        <v>-4.3216305542142806E-2</v>
      </c>
      <c r="Y178" s="9"/>
      <c r="Z178" s="7">
        <v>220673.25999999998</v>
      </c>
      <c r="AA178" s="8">
        <f>IFERROR(Z178/Z444, "NA")</f>
        <v>5.2653581149027989E-2</v>
      </c>
      <c r="AB178" s="9"/>
      <c r="AC178" s="10">
        <f t="shared" si="47"/>
        <v>-45526.579999999987</v>
      </c>
      <c r="AD178" s="8">
        <f>IFERROR(AC178/AC444, "NA")</f>
        <v>-0.10591329030382525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103804.74</v>
      </c>
      <c r="C180" s="8">
        <f>IFERROR(B180/B444, "NA")</f>
        <v>0.20147964318769329</v>
      </c>
      <c r="D180" s="9"/>
      <c r="E180" s="7">
        <v>105568.82</v>
      </c>
      <c r="F180" s="8">
        <f>IFERROR(E180/E444, "NA")</f>
        <v>0.18130202412568366</v>
      </c>
      <c r="G180" s="9"/>
      <c r="H180" s="10">
        <f t="shared" si="44"/>
        <v>1764.0800000000017</v>
      </c>
      <c r="I180" s="8">
        <f>IFERROR(H180/H444, "NA")</f>
        <v>-2.6302276385622825E-2</v>
      </c>
      <c r="J180" s="9"/>
      <c r="K180" s="7">
        <v>103180.68</v>
      </c>
      <c r="L180" s="8">
        <f>IFERROR(K180/K444, "NA")</f>
        <v>0.19856312678170163</v>
      </c>
      <c r="M180" s="9"/>
      <c r="N180" s="10">
        <f t="shared" si="45"/>
        <v>-624.06000000001222</v>
      </c>
      <c r="O180" s="8">
        <f>IFERROR(N180/N444, "NA")</f>
        <v>0.14104293937771106</v>
      </c>
      <c r="P180" s="9"/>
      <c r="Q180" s="7">
        <v>877275.77</v>
      </c>
      <c r="R180" s="8">
        <f>IFERROR(Q180/Q444, "NA")</f>
        <v>0.18985005731269067</v>
      </c>
      <c r="S180" s="9"/>
      <c r="T180" s="7">
        <v>894269.62</v>
      </c>
      <c r="U180" s="8">
        <f>IFERROR(T180/T444, "NA")</f>
        <v>0.18776667676640604</v>
      </c>
      <c r="V180" s="9"/>
      <c r="W180" s="10">
        <f t="shared" si="46"/>
        <v>16993.849999999977</v>
      </c>
      <c r="X180" s="8">
        <f>IFERROR(W180/W444, "NA")</f>
        <v>-0.11986359101058841</v>
      </c>
      <c r="Y180" s="9"/>
      <c r="Z180" s="7">
        <v>855077.67</v>
      </c>
      <c r="AA180" s="8">
        <f>IFERROR(Z180/Z444, "NA")</f>
        <v>0.20402517951684215</v>
      </c>
      <c r="AB180" s="9"/>
      <c r="AC180" s="10">
        <f t="shared" si="47"/>
        <v>-22198.099999999977</v>
      </c>
      <c r="AD180" s="8">
        <f>IFERROR(AC180/AC444, "NA")</f>
        <v>-5.1641783975280846E-2</v>
      </c>
    </row>
    <row r="181" spans="1:30" ht="16.5" customHeight="1" x14ac:dyDescent="0.45">
      <c r="A181" s="12" t="s">
        <v>166</v>
      </c>
      <c r="B181" s="7">
        <v>1880.0800000000002</v>
      </c>
      <c r="C181" s="8">
        <f>IFERROR(B181/B444, "NA")</f>
        <v>3.6491382528805374E-3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-1880.0800000000002</v>
      </c>
      <c r="I181" s="8">
        <f>IFERROR(H181/H444, "NA")</f>
        <v>2.8031826100336558E-2</v>
      </c>
      <c r="J181" s="9"/>
      <c r="K181" s="7">
        <v>1285.7</v>
      </c>
      <c r="L181" s="8">
        <f>IFERROR(K181/K444, "NA")</f>
        <v>2.4742288198065163E-3</v>
      </c>
      <c r="M181" s="9"/>
      <c r="N181" s="10">
        <f t="shared" si="45"/>
        <v>-594.38000000000011</v>
      </c>
      <c r="O181" s="8">
        <f>IFERROR(N181/N444, "NA")</f>
        <v>0.13433500353703534</v>
      </c>
      <c r="P181" s="9"/>
      <c r="Q181" s="7">
        <v>12848.52</v>
      </c>
      <c r="R181" s="8">
        <f>IFERROR(Q181/Q444, "NA")</f>
        <v>2.7805307541814957E-3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-12848.52</v>
      </c>
      <c r="X181" s="8">
        <f>IFERROR(W181/W444, "NA")</f>
        <v>9.0625122992810198E-2</v>
      </c>
      <c r="Y181" s="9"/>
      <c r="Z181" s="7">
        <v>8665.8799999999992</v>
      </c>
      <c r="AA181" s="8">
        <f>IFERROR(Z181/Z444, "NA")</f>
        <v>2.0677159335378411E-3</v>
      </c>
      <c r="AB181" s="9"/>
      <c r="AC181" s="10">
        <f t="shared" si="47"/>
        <v>-4182.6400000000012</v>
      </c>
      <c r="AD181" s="8">
        <f>IFERROR(AC181/AC444, "NA")</f>
        <v>-9.7305170859834384E-3</v>
      </c>
    </row>
    <row r="182" spans="1:30" ht="16.5" customHeight="1" x14ac:dyDescent="0.45">
      <c r="A182" s="13" t="s">
        <v>167</v>
      </c>
      <c r="B182" s="14">
        <f>IFERROR(B177+B178+B179+B180+B181, "NA")</f>
        <v>137517.13999999998</v>
      </c>
      <c r="C182" s="15">
        <f>IFERROR(B182/B444, "NA")</f>
        <v>0.26691367175903585</v>
      </c>
      <c r="D182" s="2"/>
      <c r="E182" s="14">
        <f>IFERROR(E177+E178+E179+E180+E181, "NA")</f>
        <v>137607.28</v>
      </c>
      <c r="F182" s="15">
        <f>IFERROR(E182/E444, "NA")</f>
        <v>0.23632430862095177</v>
      </c>
      <c r="G182" s="2"/>
      <c r="H182" s="14">
        <f t="shared" si="44"/>
        <v>90.14000000001397</v>
      </c>
      <c r="I182" s="15">
        <f>IFERROR(H182/H444, "NA")</f>
        <v>-1.3439794076234675E-3</v>
      </c>
      <c r="J182" s="2"/>
      <c r="K182" s="14">
        <f>IFERROR(K177+K178+K179+K180+K181, "NA")</f>
        <v>130427.93999999999</v>
      </c>
      <c r="L182" s="15">
        <f>IFERROR(K182/K444, "NA")</f>
        <v>0.25099834180290509</v>
      </c>
      <c r="M182" s="2"/>
      <c r="N182" s="14">
        <f t="shared" si="45"/>
        <v>-7089.1999999999971</v>
      </c>
      <c r="O182" s="15">
        <f>IFERROR(N182/N444, "NA")</f>
        <v>1.6022203086825775</v>
      </c>
      <c r="P182" s="2"/>
      <c r="Q182" s="14">
        <f>IFERROR(Q177+Q178+Q179+Q180+Q181, "NA")</f>
        <v>1156324.1299999999</v>
      </c>
      <c r="R182" s="15">
        <f>IFERROR(Q182/Q444, "NA")</f>
        <v>0.25023853371961607</v>
      </c>
      <c r="S182" s="2"/>
      <c r="T182" s="14">
        <f>IFERROR(T177+T178+T179+T180+T181, "NA")</f>
        <v>1166596.52</v>
      </c>
      <c r="U182" s="15">
        <f>IFERROR(T182/T444, "NA")</f>
        <v>0.24494620726090877</v>
      </c>
      <c r="V182" s="2"/>
      <c r="W182" s="14">
        <f t="shared" si="46"/>
        <v>10272.39000000013</v>
      </c>
      <c r="X182" s="15">
        <f>IFERROR(W182/W444, "NA")</f>
        <v>-7.2454773559921706E-2</v>
      </c>
      <c r="Y182" s="2"/>
      <c r="Z182" s="14">
        <f>IFERROR(Z177+Z178+Z179+Z180+Z181, "NA")</f>
        <v>1084416.8099999998</v>
      </c>
      <c r="AA182" s="15">
        <f>IFERROR(Z182/Z444, "NA")</f>
        <v>0.25874647659940797</v>
      </c>
      <c r="AB182" s="2"/>
      <c r="AC182" s="14">
        <f t="shared" si="47"/>
        <v>-71907.320000000065</v>
      </c>
      <c r="AD182" s="15">
        <f>IFERROR(AC182/AC444, "NA")</f>
        <v>-0.16728559136508978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5.7257977564771625E-3</v>
      </c>
      <c r="D184" s="9"/>
      <c r="E184" s="7">
        <v>2950</v>
      </c>
      <c r="F184" s="8">
        <f>IFERROR(E184/E444, "NA")</f>
        <v>5.0662778192535141E-3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850</v>
      </c>
      <c r="L184" s="8">
        <f>IFERROR(K184/K444, "NA")</f>
        <v>1.6357583392980779E-3</v>
      </c>
      <c r="M184" s="9"/>
      <c r="N184" s="10">
        <f t="shared" si="45"/>
        <v>-2100</v>
      </c>
      <c r="O184" s="8">
        <f>IFERROR(N184/N444, "NA")</f>
        <v>0.47461810193440929</v>
      </c>
      <c r="P184" s="9"/>
      <c r="Q184" s="7">
        <v>11050</v>
      </c>
      <c r="R184" s="8">
        <f>IFERROR(Q184/Q444, "NA")</f>
        <v>2.391315484873396E-3</v>
      </c>
      <c r="S184" s="9"/>
      <c r="T184" s="7">
        <v>23600</v>
      </c>
      <c r="U184" s="8">
        <f>IFERROR(T184/T444, "NA")</f>
        <v>4.9552097852627293E-3</v>
      </c>
      <c r="V184" s="9"/>
      <c r="W184" s="10">
        <f t="shared" si="46"/>
        <v>12550</v>
      </c>
      <c r="X184" s="8">
        <f>IFERROR(W184/W444, "NA")</f>
        <v>-8.8519556615062889E-2</v>
      </c>
      <c r="Y184" s="9"/>
      <c r="Z184" s="7">
        <v>10250</v>
      </c>
      <c r="AA184" s="8">
        <f>IFERROR(Z184/Z444, "NA")</f>
        <v>2.4456937228259415E-3</v>
      </c>
      <c r="AB184" s="9"/>
      <c r="AC184" s="10">
        <f t="shared" si="47"/>
        <v>-800</v>
      </c>
      <c r="AD184" s="8">
        <f>IFERROR(AC184/AC444, "NA")</f>
        <v>-1.8611244737263422E-3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12597.9</v>
      </c>
      <c r="C186" s="8">
        <f>IFERROR(B186/B444, "NA")</f>
        <v>2.4451873747906319E-2</v>
      </c>
      <c r="D186" s="9"/>
      <c r="E186" s="7">
        <v>14019.41</v>
      </c>
      <c r="F186" s="8">
        <f>IFERROR(E186/E444, "NA")</f>
        <v>2.4076686753227428E-2</v>
      </c>
      <c r="G186" s="9"/>
      <c r="H186" s="10">
        <f t="shared" ref="H186:H197" si="48">IFERROR(-(B186-E186), "NA")</f>
        <v>1421.5100000000002</v>
      </c>
      <c r="I186" s="8">
        <f>IFERROR(H186/H444, "NA")</f>
        <v>-2.1194588060023733E-2</v>
      </c>
      <c r="J186" s="9"/>
      <c r="K186" s="7">
        <v>12800.529999999999</v>
      </c>
      <c r="L186" s="8">
        <f>IFERROR(K186/K444, "NA")</f>
        <v>2.4633616111688499E-2</v>
      </c>
      <c r="M186" s="9"/>
      <c r="N186" s="10">
        <f t="shared" ref="N186:N197" si="49">IFERROR(-(B186-K186), "NA")</f>
        <v>202.6299999999992</v>
      </c>
      <c r="O186" s="8">
        <f>IFERROR(N186/N444, "NA")</f>
        <v>-4.5796126664270936E-2</v>
      </c>
      <c r="P186" s="9"/>
      <c r="Q186" s="7">
        <v>115259.37</v>
      </c>
      <c r="R186" s="8">
        <f>IFERROR(Q186/Q444, "NA")</f>
        <v>2.494312364323549E-2</v>
      </c>
      <c r="S186" s="9"/>
      <c r="T186" s="7">
        <v>130867.81</v>
      </c>
      <c r="U186" s="8">
        <f>IFERROR(T186/T444, "NA")</f>
        <v>2.7477858164741679E-2</v>
      </c>
      <c r="V186" s="9"/>
      <c r="W186" s="10">
        <f t="shared" ref="W186:W197" si="50">IFERROR(-(Q186-T186), "NA")</f>
        <v>15608.440000000002</v>
      </c>
      <c r="X186" s="8">
        <f>IFERROR(W186/W444, "NA")</f>
        <v>-0.11009180782890936</v>
      </c>
      <c r="Y186" s="9"/>
      <c r="Z186" s="7">
        <v>113535.03</v>
      </c>
      <c r="AA186" s="8">
        <f>IFERROR(Z186/Z444, "NA")</f>
        <v>2.7089942457741947E-2</v>
      </c>
      <c r="AB186" s="9"/>
      <c r="AC186" s="10">
        <f t="shared" ref="AC186:AC197" si="51">IFERROR(-(Q186-Z186), "NA")</f>
        <v>-1724.3399999999965</v>
      </c>
      <c r="AD186" s="8">
        <f>IFERROR(AC186/AC444, "NA")</f>
        <v>-4.0115142187815934E-3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1.6702298594908871E-8</v>
      </c>
      <c r="AB187" s="9"/>
      <c r="AC187" s="10">
        <f t="shared" si="51"/>
        <v>7.0000000000000007E-2</v>
      </c>
      <c r="AD187" s="8">
        <f>IFERROR(AC187/AC444, "NA")</f>
        <v>1.6284839145105496E-7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12597.9</v>
      </c>
      <c r="C193" s="15">
        <f>IFERROR(B193/B444, "NA")</f>
        <v>2.4451873747906319E-2</v>
      </c>
      <c r="D193" s="2"/>
      <c r="E193" s="14">
        <f>IFERROR(E186+E187+E188+E189+E190+E191+E192, "NA")</f>
        <v>14019.41</v>
      </c>
      <c r="F193" s="15">
        <f>IFERROR(E193/E444, "NA")</f>
        <v>2.4076686753227428E-2</v>
      </c>
      <c r="G193" s="2"/>
      <c r="H193" s="14">
        <f t="shared" si="48"/>
        <v>1421.5100000000002</v>
      </c>
      <c r="I193" s="15">
        <f>IFERROR(H193/H444, "NA")</f>
        <v>-2.1194588060023733E-2</v>
      </c>
      <c r="J193" s="2"/>
      <c r="K193" s="14">
        <f>IFERROR(K186+K187+K188+K189+K190+K191+K192, "NA")</f>
        <v>12800.529999999999</v>
      </c>
      <c r="L193" s="15">
        <f>IFERROR(K193/K444, "NA")</f>
        <v>2.4633616111688499E-2</v>
      </c>
      <c r="M193" s="2"/>
      <c r="N193" s="14">
        <f t="shared" si="49"/>
        <v>202.6299999999992</v>
      </c>
      <c r="O193" s="15">
        <f>IFERROR(N193/N444, "NA")</f>
        <v>-4.5796126664270936E-2</v>
      </c>
      <c r="P193" s="2"/>
      <c r="Q193" s="14">
        <f>IFERROR(Q186+Q187+Q188+Q189+Q190+Q191+Q192, "NA")</f>
        <v>115259.37</v>
      </c>
      <c r="R193" s="15">
        <f>IFERROR(Q193/Q444, "NA")</f>
        <v>2.494312364323549E-2</v>
      </c>
      <c r="S193" s="2"/>
      <c r="T193" s="14">
        <f>IFERROR(T186+T187+T188+T189+T190+T191+T192, "NA")</f>
        <v>130867.81</v>
      </c>
      <c r="U193" s="15">
        <f>IFERROR(T193/T444, "NA")</f>
        <v>2.7477858164741679E-2</v>
      </c>
      <c r="V193" s="2"/>
      <c r="W193" s="14">
        <f t="shared" si="50"/>
        <v>15608.440000000002</v>
      </c>
      <c r="X193" s="15">
        <f>IFERROR(W193/W444, "NA")</f>
        <v>-0.11009180782890936</v>
      </c>
      <c r="Y193" s="2"/>
      <c r="Z193" s="14">
        <f>IFERROR(Z186+Z187+Z188+Z189+Z190+Z191+Z192, "NA")</f>
        <v>113535.1</v>
      </c>
      <c r="AA193" s="15">
        <f>IFERROR(Z193/Z444, "NA")</f>
        <v>2.7089959160040544E-2</v>
      </c>
      <c r="AB193" s="2"/>
      <c r="AC193" s="14">
        <f t="shared" si="51"/>
        <v>-1724.2699999999895</v>
      </c>
      <c r="AD193" s="15">
        <f>IFERROR(AC193/AC444, "NA")</f>
        <v>-4.0113513703901264E-3</v>
      </c>
    </row>
    <row r="194" spans="1:30" ht="16.5" customHeight="1" x14ac:dyDescent="0.45">
      <c r="A194" s="6" t="s">
        <v>178</v>
      </c>
      <c r="B194" s="7">
        <v>1236.6400000000001</v>
      </c>
      <c r="C194" s="8">
        <f>IFERROR(B194/B444, "NA")</f>
        <v>2.4002544195152269E-3</v>
      </c>
      <c r="D194" s="9"/>
      <c r="E194" s="7">
        <v>1124.47</v>
      </c>
      <c r="F194" s="8">
        <f>IFERROR(E194/E444, "NA")</f>
        <v>1.9311448879376269E-3</v>
      </c>
      <c r="G194" s="9"/>
      <c r="H194" s="10">
        <f t="shared" si="48"/>
        <v>-112.17000000000007</v>
      </c>
      <c r="I194" s="8">
        <f>IFERROR(H194/H444, "NA")</f>
        <v>1.6724447543055366E-3</v>
      </c>
      <c r="J194" s="9"/>
      <c r="K194" s="7">
        <v>1235.2</v>
      </c>
      <c r="L194" s="8">
        <f>IFERROR(K194/K444, "NA")</f>
        <v>2.3770455302364541E-3</v>
      </c>
      <c r="M194" s="9"/>
      <c r="N194" s="10">
        <f t="shared" si="49"/>
        <v>-1.4400000000000546</v>
      </c>
      <c r="O194" s="8">
        <f>IFERROR(N194/N444, "NA")</f>
        <v>3.2545241275503583E-4</v>
      </c>
      <c r="P194" s="9"/>
      <c r="Q194" s="7">
        <v>10329.84</v>
      </c>
      <c r="R194" s="8">
        <f>IFERROR(Q194/Q444, "NA")</f>
        <v>2.2354666378520001E-3</v>
      </c>
      <c r="S194" s="9"/>
      <c r="T194" s="7">
        <v>9521.61</v>
      </c>
      <c r="U194" s="8">
        <f>IFERROR(T194/T444, "NA")</f>
        <v>1.9992192815023501E-3</v>
      </c>
      <c r="V194" s="9"/>
      <c r="W194" s="10">
        <f t="shared" si="50"/>
        <v>-808.22999999999956</v>
      </c>
      <c r="X194" s="8">
        <f>IFERROR(W194/W444, "NA")</f>
        <v>5.7007299795212947E-3</v>
      </c>
      <c r="Y194" s="9"/>
      <c r="Z194" s="7">
        <v>8965.27</v>
      </c>
      <c r="AA194" s="8">
        <f>IFERROR(Z194/Z444, "NA")</f>
        <v>2.1391516646282666E-3</v>
      </c>
      <c r="AB194" s="9"/>
      <c r="AC194" s="10">
        <f t="shared" si="51"/>
        <v>-1364.5699999999997</v>
      </c>
      <c r="AD194" s="8">
        <f>IFERROR(AC194/AC444, "NA")</f>
        <v>-3.174543278890943E-3</v>
      </c>
    </row>
    <row r="195" spans="1:30" ht="16.5" customHeight="1" x14ac:dyDescent="0.45">
      <c r="A195" s="6" t="s">
        <v>179</v>
      </c>
      <c r="B195" s="7">
        <v>1329.25</v>
      </c>
      <c r="C195" s="8">
        <f>IFERROR(B195/B444, "NA")</f>
        <v>2.580005650100769E-3</v>
      </c>
      <c r="D195" s="9"/>
      <c r="E195" s="7">
        <v>552.76</v>
      </c>
      <c r="F195" s="8">
        <f>IFERROR(E195/E444, "NA")</f>
        <v>9.4930024656629584E-4</v>
      </c>
      <c r="G195" s="9"/>
      <c r="H195" s="10">
        <f t="shared" si="48"/>
        <v>-776.49</v>
      </c>
      <c r="I195" s="8">
        <f>IFERROR(H195/H444, "NA")</f>
        <v>1.1577397051535217E-2</v>
      </c>
      <c r="J195" s="9"/>
      <c r="K195" s="7">
        <v>673.77</v>
      </c>
      <c r="L195" s="8">
        <f>IFERROR(K195/K444, "NA")</f>
        <v>1.2966175250221951E-3</v>
      </c>
      <c r="M195" s="9"/>
      <c r="N195" s="10">
        <f t="shared" si="49"/>
        <v>-655.48</v>
      </c>
      <c r="O195" s="8">
        <f>IFERROR(N195/N444, "NA")</f>
        <v>0.14814413021712694</v>
      </c>
      <c r="P195" s="9"/>
      <c r="Q195" s="7">
        <v>10572.45</v>
      </c>
      <c r="R195" s="8">
        <f>IFERROR(Q195/Q444, "NA")</f>
        <v>2.2879695382850441E-3</v>
      </c>
      <c r="S195" s="9"/>
      <c r="T195" s="7">
        <v>4676.1899999999996</v>
      </c>
      <c r="U195" s="8">
        <f>IFERROR(T195/T444, "NA")</f>
        <v>9.8184332397236091E-4</v>
      </c>
      <c r="V195" s="9"/>
      <c r="W195" s="10">
        <f t="shared" si="50"/>
        <v>-5896.2600000000011</v>
      </c>
      <c r="X195" s="8">
        <f>IFERROR(W195/W444, "NA")</f>
        <v>4.1588392102560226E-2</v>
      </c>
      <c r="Y195" s="9"/>
      <c r="Z195" s="7">
        <v>9247.43</v>
      </c>
      <c r="AA195" s="8">
        <f>IFERROR(Z195/Z444, "NA")</f>
        <v>2.2064762442216878E-3</v>
      </c>
      <c r="AB195" s="9"/>
      <c r="AC195" s="10">
        <f t="shared" si="51"/>
        <v>-1325.0200000000004</v>
      </c>
      <c r="AD195" s="8">
        <f>IFERROR(AC195/AC444, "NA")</f>
        <v>-3.0825339377210988E-3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155630.93</v>
      </c>
      <c r="C196" s="15">
        <f>IFERROR(B196/B444, "NA")</f>
        <v>0.30207160333303534</v>
      </c>
      <c r="D196" s="2"/>
      <c r="E196" s="14">
        <f>IFERROR(E175+E177+E178+E179+E180+E181+E183+E184+E186+E187+E188+E189+E190+E191+E192+E194+E195, "NA")</f>
        <v>156253.92000000001</v>
      </c>
      <c r="F196" s="15">
        <f>IFERROR(E196/E444, "NA")</f>
        <v>0.26834771832793669</v>
      </c>
      <c r="G196" s="2"/>
      <c r="H196" s="14">
        <f t="shared" si="48"/>
        <v>622.99000000001979</v>
      </c>
      <c r="I196" s="15">
        <f>IFERROR(H196/H444, "NA")</f>
        <v>-9.2887256618065326E-3</v>
      </c>
      <c r="J196" s="2"/>
      <c r="K196" s="14">
        <f>IFERROR(K175+K177+K178+K179+K180+K181+K183+K184+K186+K187+K188+K189+K190+K191+K192+K194+K195, "NA")</f>
        <v>145987.44</v>
      </c>
      <c r="L196" s="15">
        <f>IFERROR(K196/K444, "NA")</f>
        <v>0.28094137930915036</v>
      </c>
      <c r="M196" s="2"/>
      <c r="N196" s="14">
        <f t="shared" si="49"/>
        <v>-9643.4899999999907</v>
      </c>
      <c r="O196" s="15">
        <f>IFERROR(N196/N444, "NA")</f>
        <v>2.1795118665825961</v>
      </c>
      <c r="P196" s="2"/>
      <c r="Q196" s="14">
        <f>IFERROR(Q175+Q177+Q178+Q179+Q180+Q181+Q183+Q184+Q186+Q187+Q188+Q189+Q190+Q191+Q192+Q194+Q195, "NA")</f>
        <v>1303535.79</v>
      </c>
      <c r="R196" s="15">
        <f>IFERROR(Q196/Q444, "NA")</f>
        <v>0.28209640902386207</v>
      </c>
      <c r="S196" s="2"/>
      <c r="T196" s="14">
        <f>IFERROR(T175+T177+T178+T179+T180+T181+T183+T184+T186+T187+T188+T189+T190+T191+T192+T194+T195, "NA")</f>
        <v>1335262.1300000001</v>
      </c>
      <c r="U196" s="15">
        <f>IFERROR(T196/T444, "NA")</f>
        <v>0.28036033781638792</v>
      </c>
      <c r="V196" s="2"/>
      <c r="W196" s="14">
        <f t="shared" si="50"/>
        <v>31726.340000000084</v>
      </c>
      <c r="X196" s="15">
        <f>IFERROR(W196/W444, "NA")</f>
        <v>-0.22377701592181209</v>
      </c>
      <c r="Y196" s="2"/>
      <c r="Z196" s="14">
        <f>IFERROR(Z175+Z177+Z178+Z179+Z180+Z181+Z183+Z184+Z186+Z187+Z188+Z189+Z190+Z191+Z192+Z194+Z195, "NA")</f>
        <v>1226414.6099999999</v>
      </c>
      <c r="AA196" s="15">
        <f>IFERROR(Z196/Z444, "NA")</f>
        <v>0.2926277573911244</v>
      </c>
      <c r="AB196" s="2"/>
      <c r="AC196" s="14">
        <f t="shared" si="51"/>
        <v>-77121.180000000168</v>
      </c>
      <c r="AD196" s="15">
        <f>IFERROR(AC196/AC444, "NA")</f>
        <v>-0.17941514442581855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155630.93</v>
      </c>
      <c r="C197" s="15">
        <f>IFERROR(B197/B444, "NA")</f>
        <v>0.30207160333303534</v>
      </c>
      <c r="D197" s="2"/>
      <c r="E197" s="14">
        <f>IFERROR(E175+E177+E178+E179+E180+E181+E183+E184+E186+E187+E188+E189+E190+E191+E192+E194+E195, "NA")</f>
        <v>156253.92000000001</v>
      </c>
      <c r="F197" s="15">
        <f>IFERROR(E197/E444, "NA")</f>
        <v>0.26834771832793669</v>
      </c>
      <c r="G197" s="2"/>
      <c r="H197" s="14">
        <f t="shared" si="48"/>
        <v>622.99000000001979</v>
      </c>
      <c r="I197" s="15">
        <f>IFERROR(H197/H444, "NA")</f>
        <v>-9.2887256618065326E-3</v>
      </c>
      <c r="J197" s="2"/>
      <c r="K197" s="14">
        <f>IFERROR(K175+K177+K178+K179+K180+K181+K183+K184+K186+K187+K188+K189+K190+K191+K192+K194+K195, "NA")</f>
        <v>145987.44</v>
      </c>
      <c r="L197" s="15">
        <f>IFERROR(K197/K444, "NA")</f>
        <v>0.28094137930915036</v>
      </c>
      <c r="M197" s="2"/>
      <c r="N197" s="14">
        <f t="shared" si="49"/>
        <v>-9643.4899999999907</v>
      </c>
      <c r="O197" s="15">
        <f>IFERROR(N197/N444, "NA")</f>
        <v>2.1795118665825961</v>
      </c>
      <c r="P197" s="2"/>
      <c r="Q197" s="14">
        <f>IFERROR(Q175+Q177+Q178+Q179+Q180+Q181+Q183+Q184+Q186+Q187+Q188+Q189+Q190+Q191+Q192+Q194+Q195, "NA")</f>
        <v>1303535.79</v>
      </c>
      <c r="R197" s="15">
        <f>IFERROR(Q197/Q444, "NA")</f>
        <v>0.28209640902386207</v>
      </c>
      <c r="S197" s="2"/>
      <c r="T197" s="14">
        <f>IFERROR(T175+T177+T178+T179+T180+T181+T183+T184+T186+T187+T188+T189+T190+T191+T192+T194+T195, "NA")</f>
        <v>1335262.1300000001</v>
      </c>
      <c r="U197" s="15">
        <f>IFERROR(T197/T444, "NA")</f>
        <v>0.28036033781638792</v>
      </c>
      <c r="V197" s="2"/>
      <c r="W197" s="14">
        <f t="shared" si="50"/>
        <v>31726.340000000084</v>
      </c>
      <c r="X197" s="15">
        <f>IFERROR(W197/W444, "NA")</f>
        <v>-0.22377701592181209</v>
      </c>
      <c r="Y197" s="2"/>
      <c r="Z197" s="14">
        <f>IFERROR(Z175+Z177+Z178+Z179+Z180+Z181+Z183+Z184+Z186+Z187+Z188+Z189+Z190+Z191+Z192+Z194+Z195, "NA")</f>
        <v>1226414.6099999999</v>
      </c>
      <c r="AA197" s="15">
        <f>IFERROR(Z197/Z444, "NA")</f>
        <v>0.2926277573911244</v>
      </c>
      <c r="AB197" s="2"/>
      <c r="AC197" s="14">
        <f t="shared" si="51"/>
        <v>-77121.180000000168</v>
      </c>
      <c r="AD197" s="15">
        <f>IFERROR(AC197/AC444, "NA")</f>
        <v>-0.17941514442581855</v>
      </c>
    </row>
    <row r="198" spans="1:30" ht="16.5" customHeight="1" x14ac:dyDescent="0.45">
      <c r="A198" s="22" t="s">
        <v>181</v>
      </c>
      <c r="B198" s="23">
        <f>IFERROR(B172-B197, "NA")</f>
        <v>213893.03000000003</v>
      </c>
      <c r="C198" s="24">
        <f>IFERROR(B198/B444, "NA")</f>
        <v>0.41515533264410259</v>
      </c>
      <c r="D198" s="25"/>
      <c r="E198" s="23">
        <f>IFERROR(E172-E197, "NA")</f>
        <v>285705.60999999987</v>
      </c>
      <c r="F198" s="24">
        <f>IFERROR(E198/E444, "NA")</f>
        <v>0.49066576094213371</v>
      </c>
      <c r="G198" s="25"/>
      <c r="H198" s="23">
        <f>IFERROR(B198-E198, "NA")</f>
        <v>-71812.579999999842</v>
      </c>
      <c r="I198" s="24">
        <f>IFERROR(H198/H444, "NA")</f>
        <v>1.0707192004470567</v>
      </c>
      <c r="J198" s="25"/>
      <c r="K198" s="23">
        <f>IFERROR(K172-K197, "NA")</f>
        <v>240647.90000000002</v>
      </c>
      <c r="L198" s="24">
        <f>IFERROR(K198/K444, "NA")</f>
        <v>0.4631080108936117</v>
      </c>
      <c r="M198" s="25"/>
      <c r="N198" s="23">
        <f>IFERROR(B198-K198, "NA")</f>
        <v>-26754.869999999995</v>
      </c>
      <c r="O198" s="24">
        <f>IFERROR(N198/N444, "NA")</f>
        <v>6.0468312461437463</v>
      </c>
      <c r="P198" s="25"/>
      <c r="Q198" s="23">
        <f>IFERROR(Q172-Q197, "NA")</f>
        <v>2001986.4499999983</v>
      </c>
      <c r="R198" s="24">
        <f>IFERROR(Q198/Q444, "NA")</f>
        <v>0.43324716727526835</v>
      </c>
      <c r="S198" s="25"/>
      <c r="T198" s="23">
        <f>IFERROR(T172-T197, "NA")</f>
        <v>2243085.6700000009</v>
      </c>
      <c r="U198" s="24">
        <f>IFERROR(T198/T444, "NA")</f>
        <v>0.47097288394773767</v>
      </c>
      <c r="V198" s="25"/>
      <c r="W198" s="23">
        <f>IFERROR(Q198-T198, "NA")</f>
        <v>-241099.22000000253</v>
      </c>
      <c r="X198" s="24">
        <f>IFERROR(W198/W444, "NA")</f>
        <v>1.700557454552807</v>
      </c>
      <c r="Y198" s="25"/>
      <c r="Z198" s="23">
        <f>IFERROR(Z172-Z197, "NA")</f>
        <v>1804464.3400000012</v>
      </c>
      <c r="AA198" s="24">
        <f>IFERROR(Z198/Z444, "NA")</f>
        <v>0.43055288872207403</v>
      </c>
      <c r="AB198" s="25"/>
      <c r="AC198" s="23">
        <f>IFERROR(Q198-Z198, "NA")</f>
        <v>197522.10999999708</v>
      </c>
      <c r="AD198" s="24">
        <f>IFERROR(AC198/AC444, "NA")</f>
        <v>0.45951654127882657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11266.04</v>
      </c>
      <c r="F201" s="8">
        <f>IFERROR(E201/E444, "NA")</f>
        <v>1.9348097817906057E-2</v>
      </c>
      <c r="G201" s="9"/>
      <c r="H201" s="10">
        <f t="shared" ref="H201:H209" si="52">IFERROR(-(B201-E201), "NA")</f>
        <v>11266.04</v>
      </c>
      <c r="I201" s="8">
        <f>IFERROR(H201/H444, "NA")</f>
        <v>-0.16797565748236015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93146.52</v>
      </c>
      <c r="U201" s="8">
        <f>IFERROR(T201/T444, "NA")</f>
        <v>1.9557650312168242E-2</v>
      </c>
      <c r="V201" s="9"/>
      <c r="W201" s="10">
        <f t="shared" ref="W201:W209" si="54">IFERROR(-(Q201-T201), "NA")</f>
        <v>93146.52</v>
      </c>
      <c r="X201" s="8">
        <f>IFERROR(W201/W444, "NA")</f>
        <v>-0.65699511160446922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5358.12</v>
      </c>
      <c r="C202" s="8">
        <f>IFERROR(B202/B444, "NA")</f>
        <v>1.0399834398283191E-2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-5358.12</v>
      </c>
      <c r="I202" s="8">
        <f>IFERROR(H202/H444, "NA")</f>
        <v>7.9889094115535131E-2</v>
      </c>
      <c r="J202" s="9"/>
      <c r="K202" s="7">
        <v>4205.87</v>
      </c>
      <c r="L202" s="8">
        <f>IFERROR(K202/K444, "NA")</f>
        <v>8.0938669723571843E-3</v>
      </c>
      <c r="M202" s="9"/>
      <c r="N202" s="10">
        <f t="shared" si="53"/>
        <v>-1152.25</v>
      </c>
      <c r="O202" s="8">
        <f>IFERROR(N202/N444, "NA")</f>
        <v>0.26041843235901102</v>
      </c>
      <c r="P202" s="9"/>
      <c r="Q202" s="7">
        <v>47077.159999999996</v>
      </c>
      <c r="R202" s="8">
        <f>IFERROR(Q202/Q444, "NA")</f>
        <v>1.0187904225507914E-2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-47077.159999999996</v>
      </c>
      <c r="X202" s="8">
        <f>IFERROR(W202/W444, "NA")</f>
        <v>0.33205173943397404</v>
      </c>
      <c r="Y202" s="9"/>
      <c r="Z202" s="7">
        <v>40042.83</v>
      </c>
      <c r="AA202" s="8">
        <f>IFERROR(Z202/Z444, "NA")</f>
        <v>9.5543900463596395E-3</v>
      </c>
      <c r="AB202" s="9"/>
      <c r="AC202" s="10">
        <f t="shared" si="55"/>
        <v>-7034.3299999999945</v>
      </c>
      <c r="AD202" s="8">
        <f>IFERROR(AC202/AC444, "NA")</f>
        <v>-1.6364704649084263E-2</v>
      </c>
    </row>
    <row r="203" spans="1:30" ht="16.5" customHeight="1" x14ac:dyDescent="0.45">
      <c r="A203" s="6" t="s">
        <v>185</v>
      </c>
      <c r="B203" s="7">
        <v>4025.9199999999996</v>
      </c>
      <c r="C203" s="8">
        <f>IFERROR(B203/B444, "NA")</f>
        <v>7.8141029504259444E-3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-4025.9199999999996</v>
      </c>
      <c r="I203" s="8">
        <f>IFERROR(H203/H444, "NA")</f>
        <v>6.0026110236727652E-2</v>
      </c>
      <c r="J203" s="9"/>
      <c r="K203" s="7">
        <v>3854.46</v>
      </c>
      <c r="L203" s="8">
        <f>IFERROR(K203/K444, "NA")</f>
        <v>7.417605986459846E-3</v>
      </c>
      <c r="M203" s="9"/>
      <c r="N203" s="10">
        <f t="shared" si="53"/>
        <v>-171.45999999999958</v>
      </c>
      <c r="O203" s="8">
        <f>IFERROR(N203/N444, "NA")</f>
        <v>3.875143797984458E-2</v>
      </c>
      <c r="P203" s="9"/>
      <c r="Q203" s="7">
        <v>39696.550000000003</v>
      </c>
      <c r="R203" s="8">
        <f>IFERROR(Q203/Q444, "NA")</f>
        <v>8.5906764444390066E-3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-39696.550000000003</v>
      </c>
      <c r="X203" s="8">
        <f>IFERROR(W203/W444, "NA")</f>
        <v>0.27999370558945619</v>
      </c>
      <c r="Y203" s="9"/>
      <c r="Z203" s="7">
        <v>27187.68</v>
      </c>
      <c r="AA203" s="8">
        <f>IFERROR(Z203/Z444, "NA")</f>
        <v>6.4870964208976001E-3</v>
      </c>
      <c r="AB203" s="9"/>
      <c r="AC203" s="10">
        <f t="shared" si="55"/>
        <v>-12508.870000000003</v>
      </c>
      <c r="AD203" s="8">
        <f>IFERROR(AC203/AC444, "NA")</f>
        <v>-2.9100705119576544E-2</v>
      </c>
    </row>
    <row r="204" spans="1:30" ht="16.5" customHeight="1" x14ac:dyDescent="0.45">
      <c r="A204" s="6" t="s">
        <v>186</v>
      </c>
      <c r="B204" s="7">
        <v>1953.44</v>
      </c>
      <c r="C204" s="8">
        <f>IFERROR(B204/B444, "NA")</f>
        <v>3.7915262269195759E-3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-1953.44</v>
      </c>
      <c r="I204" s="8">
        <f>IFERROR(H204/H444, "NA")</f>
        <v>2.912561719577967E-2</v>
      </c>
      <c r="J204" s="9"/>
      <c r="K204" s="7">
        <v>305.99</v>
      </c>
      <c r="L204" s="8">
        <f>IFERROR(K204/K444, "NA")</f>
        <v>5.8885375793155158E-4</v>
      </c>
      <c r="M204" s="9"/>
      <c r="N204" s="10">
        <f t="shared" si="53"/>
        <v>-1647.45</v>
      </c>
      <c r="O204" s="8">
        <f>IFERROR(N204/N444, "NA")</f>
        <v>0.3723379009675441</v>
      </c>
      <c r="P204" s="9"/>
      <c r="Q204" s="7">
        <v>9310.5399999999991</v>
      </c>
      <c r="R204" s="8">
        <f>IFERROR(Q204/Q444, "NA")</f>
        <v>2.014881309912502E-3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-9310.5399999999991</v>
      </c>
      <c r="X204" s="8">
        <f>IFERROR(W204/W444, "NA")</f>
        <v>6.5670507780622112E-2</v>
      </c>
      <c r="Y204" s="9"/>
      <c r="Z204" s="7">
        <v>5770.9400000000005</v>
      </c>
      <c r="AA204" s="8">
        <f>IFERROR(Z204/Z444, "NA")</f>
        <v>1.3769709007614773E-3</v>
      </c>
      <c r="AB204" s="9"/>
      <c r="AC204" s="10">
        <f t="shared" si="55"/>
        <v>-3539.5999999999985</v>
      </c>
      <c r="AD204" s="8">
        <f>IFERROR(AC204/AC444, "NA")</f>
        <v>-8.2345452340021989E-3</v>
      </c>
    </row>
    <row r="205" spans="1:30" ht="16.5" customHeight="1" x14ac:dyDescent="0.45">
      <c r="A205" s="6" t="s">
        <v>187</v>
      </c>
      <c r="B205" s="7">
        <v>1585.73</v>
      </c>
      <c r="C205" s="8">
        <f>IFERROR(B205/B444, "NA")</f>
        <v>3.0778200936876377E-3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-1585.73</v>
      </c>
      <c r="I205" s="8">
        <f>IFERROR(H205/H444, "NA")</f>
        <v>2.3643093699250398E-2</v>
      </c>
      <c r="J205" s="9"/>
      <c r="K205" s="7">
        <v>2039.96</v>
      </c>
      <c r="L205" s="8">
        <f>IFERROR(K205/K444, "NA")</f>
        <v>3.9257430374523613E-3</v>
      </c>
      <c r="M205" s="9"/>
      <c r="N205" s="10">
        <f t="shared" si="53"/>
        <v>454.23</v>
      </c>
      <c r="O205" s="8">
        <f>IFERROR(N205/N444, "NA")</f>
        <v>-0.10265989544841272</v>
      </c>
      <c r="P205" s="9"/>
      <c r="Q205" s="7">
        <v>16391.36</v>
      </c>
      <c r="R205" s="8">
        <f>IFERROR(Q205/Q444, "NA")</f>
        <v>3.5472319444465514E-3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-16391.36</v>
      </c>
      <c r="X205" s="8">
        <f>IFERROR(W205/W444, "NA")</f>
        <v>0.11561401749146433</v>
      </c>
      <c r="Y205" s="9"/>
      <c r="Z205" s="7">
        <v>15665.060000000001</v>
      </c>
      <c r="AA205" s="8">
        <f>IFERROR(Z205/Z444, "NA")</f>
        <v>3.7377501375309022E-3</v>
      </c>
      <c r="AB205" s="9"/>
      <c r="AC205" s="10">
        <f t="shared" si="55"/>
        <v>-726.29999999999927</v>
      </c>
      <c r="AD205" s="8">
        <f>IFERROR(AC205/AC444, "NA")</f>
        <v>-1.6896683815843013E-3</v>
      </c>
    </row>
    <row r="206" spans="1:30" ht="16.5" customHeight="1" x14ac:dyDescent="0.45">
      <c r="A206" s="6" t="s">
        <v>188</v>
      </c>
      <c r="B206" s="7">
        <v>128.16999999999999</v>
      </c>
      <c r="C206" s="8">
        <f>IFERROR(B206/B444, "NA")</f>
        <v>2.4877135540599251E-4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-128.16999999999999</v>
      </c>
      <c r="I206" s="8">
        <f>IFERROR(H206/H444, "NA")</f>
        <v>1.911003335645364E-3</v>
      </c>
      <c r="J206" s="9"/>
      <c r="K206" s="7">
        <v>379.32</v>
      </c>
      <c r="L206" s="8">
        <f>IFERROR(K206/K444, "NA")</f>
        <v>7.2997159207358454E-4</v>
      </c>
      <c r="M206" s="9"/>
      <c r="N206" s="10">
        <f t="shared" si="53"/>
        <v>251.15</v>
      </c>
      <c r="O206" s="8">
        <f>IFERROR(N206/N444, "NA")</f>
        <v>-5.676206490515566E-2</v>
      </c>
      <c r="P206" s="9"/>
      <c r="Q206" s="7">
        <v>4632.29</v>
      </c>
      <c r="R206" s="8">
        <f>IFERROR(Q206/Q444, "NA")</f>
        <v>1.0024675843822791E-3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-4632.29</v>
      </c>
      <c r="X206" s="8">
        <f>IFERROR(W206/W444, "NA")</f>
        <v>3.2673167881465313E-2</v>
      </c>
      <c r="Y206" s="9"/>
      <c r="Z206" s="7">
        <v>1680.07</v>
      </c>
      <c r="AA206" s="8">
        <f>IFERROR(Z206/Z444, "NA")</f>
        <v>4.0087186857640776E-4</v>
      </c>
      <c r="AB206" s="9"/>
      <c r="AC206" s="10">
        <f t="shared" si="55"/>
        <v>-2952.2200000000003</v>
      </c>
      <c r="AD206" s="8">
        <f>IFERROR(AC206/AC444, "NA")</f>
        <v>-6.8680611172804787E-3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3814.8900000000003</v>
      </c>
      <c r="R207" s="8">
        <f>IFERROR(Q207/Q444, "NA")</f>
        <v>8.2557516109399735E-4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-3814.8900000000003</v>
      </c>
      <c r="X207" s="8">
        <f>IFERROR(W207/W444, "NA")</f>
        <v>2.6907758672130463E-2</v>
      </c>
      <c r="Y207" s="9"/>
      <c r="Z207" s="7">
        <v>1541.54</v>
      </c>
      <c r="AA207" s="8">
        <f>IFERROR(Z207/Z444, "NA")</f>
        <v>3.6781801965708315E-4</v>
      </c>
      <c r="AB207" s="9"/>
      <c r="AC207" s="10">
        <f t="shared" si="55"/>
        <v>-2273.3500000000004</v>
      </c>
      <c r="AD207" s="8">
        <f>IFERROR(AC207/AC444, "NA")</f>
        <v>-5.2887341529322266E-3</v>
      </c>
    </row>
    <row r="208" spans="1:30" ht="16.5" customHeight="1" x14ac:dyDescent="0.45">
      <c r="A208" s="6" t="s">
        <v>190</v>
      </c>
      <c r="B208" s="7">
        <v>1119.1799999999998</v>
      </c>
      <c r="C208" s="8">
        <f>IFERROR(B208/B444, "NA")</f>
        <v>2.172270621387834E-3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-1119.1799999999998</v>
      </c>
      <c r="I208" s="8">
        <f>IFERROR(H208/H444, "NA")</f>
        <v>1.6686874566494331E-2</v>
      </c>
      <c r="J208" s="9"/>
      <c r="K208" s="7">
        <v>807.25000000000011</v>
      </c>
      <c r="L208" s="8">
        <f>IFERROR(K208/K444, "NA")</f>
        <v>1.5534893169392629E-3</v>
      </c>
      <c r="M208" s="9"/>
      <c r="N208" s="10">
        <f t="shared" si="53"/>
        <v>-311.92999999999972</v>
      </c>
      <c r="O208" s="8">
        <f>IFERROR(N208/N444, "NA")</f>
        <v>7.0498868826857214E-2</v>
      </c>
      <c r="P208" s="9"/>
      <c r="Q208" s="7">
        <v>6641.76</v>
      </c>
      <c r="R208" s="8">
        <f>IFERROR(Q208/Q444, "NA")</f>
        <v>1.4373342565441383E-3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-6641.76</v>
      </c>
      <c r="X208" s="8">
        <f>IFERROR(W208/W444, "NA")</f>
        <v>4.6846665366028696E-2</v>
      </c>
      <c r="Y208" s="9"/>
      <c r="Z208" s="7">
        <v>6229.91</v>
      </c>
      <c r="AA208" s="8">
        <f>IFERROR(Z208/Z444, "NA")</f>
        <v>1.4864831005629816E-3</v>
      </c>
      <c r="AB208" s="9"/>
      <c r="AC208" s="10">
        <f t="shared" si="55"/>
        <v>-411.85000000000036</v>
      </c>
      <c r="AD208" s="8">
        <f>IFERROR(AC208/AC444, "NA")</f>
        <v>-9.5813014313024341E-4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14170.56</v>
      </c>
      <c r="C209" s="15">
        <f>IFERROR(B209/B444, "NA")</f>
        <v>2.7504325646110175E-2</v>
      </c>
      <c r="D209" s="2"/>
      <c r="E209" s="14">
        <f>IFERROR(E201+E202+E203+E204+E205+E206+E207+E208, "NA")</f>
        <v>11266.04</v>
      </c>
      <c r="F209" s="15">
        <f>IFERROR(E209/E444, "NA")</f>
        <v>1.9348097817906057E-2</v>
      </c>
      <c r="G209" s="2"/>
      <c r="H209" s="14">
        <f t="shared" si="52"/>
        <v>-2904.5199999999986</v>
      </c>
      <c r="I209" s="15">
        <f>IFERROR(H209/H444, "NA")</f>
        <v>4.3306135667072407E-2</v>
      </c>
      <c r="J209" s="2"/>
      <c r="K209" s="14">
        <f>IFERROR(K201+K202+K203+K204+K205+K206+K207+K208, "NA")</f>
        <v>11592.849999999999</v>
      </c>
      <c r="L209" s="15">
        <f>IFERROR(K209/K444, "NA")</f>
        <v>2.2309530663213787E-2</v>
      </c>
      <c r="M209" s="2"/>
      <c r="N209" s="14">
        <f t="shared" si="53"/>
        <v>-2577.7100000000009</v>
      </c>
      <c r="O209" s="15">
        <f>IFERROR(N209/N444, "NA")</f>
        <v>0.58258467977968886</v>
      </c>
      <c r="P209" s="2"/>
      <c r="Q209" s="14">
        <f>IFERROR(Q201+Q202+Q203+Q204+Q205+Q206+Q207+Q208, "NA")</f>
        <v>127564.54999999997</v>
      </c>
      <c r="R209" s="15">
        <f>IFERROR(Q209/Q444, "NA")</f>
        <v>2.7606070926326384E-2</v>
      </c>
      <c r="S209" s="2"/>
      <c r="T209" s="14">
        <f>IFERROR(T201+T202+T203+T204+T205+T206+T207+T208, "NA")</f>
        <v>93146.52</v>
      </c>
      <c r="U209" s="15">
        <f>IFERROR(T209/T444, "NA")</f>
        <v>1.9557650312168242E-2</v>
      </c>
      <c r="V209" s="2"/>
      <c r="W209" s="14">
        <f t="shared" si="54"/>
        <v>-34418.02999999997</v>
      </c>
      <c r="X209" s="15">
        <f>IFERROR(W209/W444, "NA")</f>
        <v>0.24276245061067175</v>
      </c>
      <c r="Y209" s="2"/>
      <c r="Z209" s="14">
        <f>IFERROR(Z201+Z202+Z203+Z204+Z205+Z206+Z207+Z208, "NA")</f>
        <v>98118.030000000013</v>
      </c>
      <c r="AA209" s="15">
        <f>IFERROR(Z209/Z444, "NA")</f>
        <v>2.3411380494346094E-2</v>
      </c>
      <c r="AB209" s="2"/>
      <c r="AC209" s="14">
        <f t="shared" si="55"/>
        <v>-29446.51999999996</v>
      </c>
      <c r="AD209" s="15">
        <f>IFERROR(AC209/AC444, "NA")</f>
        <v>-6.8504548797590173E-2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20293.190000000002</v>
      </c>
      <c r="F213" s="8">
        <f>IFERROR(E213/E444, "NA")</f>
        <v>3.4851165552168557E-2</v>
      </c>
      <c r="G213" s="9"/>
      <c r="H213" s="10">
        <f t="shared" ref="H213:H227" si="56">IFERROR(-(B213-E213), "NA")</f>
        <v>20293.190000000002</v>
      </c>
      <c r="I213" s="8">
        <f>IFERROR(H213/H444, "NA")</f>
        <v>-0.30256966357872472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163877.63</v>
      </c>
      <c r="U213" s="8">
        <f>IFERROR(T213/T444, "NA")</f>
        <v>3.4408815074646819E-2</v>
      </c>
      <c r="V213" s="9"/>
      <c r="W213" s="10">
        <f t="shared" ref="W213:W227" si="58">IFERROR(-(Q213-T213), "NA")</f>
        <v>163877.63</v>
      </c>
      <c r="X213" s="8">
        <f>IFERROR(W213/W444, "NA")</f>
        <v>-1.1558864658746877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2713.87</v>
      </c>
      <c r="C214" s="8">
        <f>IFERROR(B214/B444, "NA")</f>
        <v>5.2674816126680258E-3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-2713.87</v>
      </c>
      <c r="I214" s="8">
        <f>IFERROR(H214/H444, "NA")</f>
        <v>4.0463561071295027E-2</v>
      </c>
      <c r="J214" s="9"/>
      <c r="K214" s="7">
        <v>6623.95</v>
      </c>
      <c r="L214" s="8">
        <f>IFERROR(K214/K444, "NA")</f>
        <v>1.2747272295992356E-2</v>
      </c>
      <c r="M214" s="9"/>
      <c r="N214" s="10">
        <f t="shared" si="57"/>
        <v>3910.08</v>
      </c>
      <c r="O214" s="8">
        <f>IFERROR(N214/N444, "NA")</f>
        <v>-0.88371178476747381</v>
      </c>
      <c r="P214" s="9"/>
      <c r="Q214" s="7">
        <v>91212.22</v>
      </c>
      <c r="R214" s="8">
        <f>IFERROR(Q214/Q444, "NA")</f>
        <v>1.9739112587844242E-2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-91212.22</v>
      </c>
      <c r="X214" s="8">
        <f>IFERROR(W214/W444, "NA")</f>
        <v>0.64335181452394996</v>
      </c>
      <c r="Y214" s="9"/>
      <c r="Z214" s="7">
        <v>23970.94</v>
      </c>
      <c r="AA214" s="8">
        <f>IFERROR(Z214/Z444, "NA")</f>
        <v>5.719568535437783E-3</v>
      </c>
      <c r="AB214" s="9"/>
      <c r="AC214" s="10">
        <f t="shared" si="59"/>
        <v>-67241.279999999999</v>
      </c>
      <c r="AD214" s="8">
        <f>IFERROR(AC214/AC444, "NA")</f>
        <v>-0.15643048981585703</v>
      </c>
    </row>
    <row r="215" spans="1:30" ht="16.5" customHeight="1" x14ac:dyDescent="0.45">
      <c r="A215" s="12" t="s">
        <v>195</v>
      </c>
      <c r="B215" s="7">
        <v>1614.2900000000002</v>
      </c>
      <c r="C215" s="8">
        <f>IFERROR(B215/B444, "NA")</f>
        <v>3.1332535797639052E-3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-1614.2900000000002</v>
      </c>
      <c r="I215" s="8">
        <f>IFERROR(H215/H444, "NA")</f>
        <v>2.4068920766941993E-2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-1614.2900000000002</v>
      </c>
      <c r="O215" s="8">
        <f>IFERROR(N215/N444, "NA")</f>
        <v>0.36484345512937982</v>
      </c>
      <c r="P215" s="9"/>
      <c r="Q215" s="7">
        <v>2325.08</v>
      </c>
      <c r="R215" s="8">
        <f>IFERROR(Q215/Q444, "NA")</f>
        <v>5.0316740339994897E-4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-2325.08</v>
      </c>
      <c r="X215" s="8">
        <f>IFERROR(W215/W444, "NA")</f>
        <v>1.6399605633031906E-2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-2325.08</v>
      </c>
      <c r="AD215" s="8">
        <f>IFERROR(AC215/AC444, "NA")</f>
        <v>-5.4090791142145551E-3</v>
      </c>
    </row>
    <row r="216" spans="1:30" ht="16.5" customHeight="1" x14ac:dyDescent="0.45">
      <c r="A216" s="12" t="s">
        <v>196</v>
      </c>
      <c r="B216" s="7">
        <v>61</v>
      </c>
      <c r="C216" s="8">
        <f>IFERROR(B216/B444, "NA")</f>
        <v>1.1839785191359556E-4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-61</v>
      </c>
      <c r="I216" s="8">
        <f>IFERROR(H216/H444, "NA")</f>
        <v>9.0950459135809639E-4</v>
      </c>
      <c r="J216" s="9"/>
      <c r="K216" s="7">
        <v>207.14</v>
      </c>
      <c r="L216" s="8">
        <f>IFERROR(K216/K444, "NA")</f>
        <v>3.9862468517906332E-4</v>
      </c>
      <c r="M216" s="9"/>
      <c r="N216" s="10">
        <f t="shared" si="57"/>
        <v>146.13999999999999</v>
      </c>
      <c r="O216" s="8">
        <f>IFERROR(N216/N444, "NA")</f>
        <v>-3.3028899722235508E-2</v>
      </c>
      <c r="P216" s="9"/>
      <c r="Q216" s="7">
        <v>744.22</v>
      </c>
      <c r="R216" s="8">
        <f>IFERROR(Q216/Q444, "NA")</f>
        <v>1.6105563892782616E-4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-744.22</v>
      </c>
      <c r="X216" s="8">
        <f>IFERROR(W216/W444, "NA")</f>
        <v>5.2492449740288534E-3</v>
      </c>
      <c r="Y216" s="9"/>
      <c r="Z216" s="7">
        <v>207.14</v>
      </c>
      <c r="AA216" s="8">
        <f>IFERROR(Z216/Z444, "NA")</f>
        <v>4.9424487584991757E-5</v>
      </c>
      <c r="AB216" s="9"/>
      <c r="AC216" s="10">
        <f t="shared" si="59"/>
        <v>-537.08000000000004</v>
      </c>
      <c r="AD216" s="8">
        <f>IFERROR(AC216/AC444, "NA")</f>
        <v>-1.2494659154361799E-3</v>
      </c>
    </row>
    <row r="217" spans="1:30" ht="16.5" customHeight="1" x14ac:dyDescent="0.45">
      <c r="A217" s="12" t="s">
        <v>197</v>
      </c>
      <c r="B217" s="7">
        <v>1969.4199999999998</v>
      </c>
      <c r="C217" s="8">
        <f>IFERROR(B217/B444, "NA")</f>
        <v>3.8225425822241534E-3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-1969.4199999999998</v>
      </c>
      <c r="I217" s="8">
        <f>IFERROR(H217/H444, "NA")</f>
        <v>2.9363877578892819E-2</v>
      </c>
      <c r="J217" s="9"/>
      <c r="K217" s="7">
        <v>23185.91</v>
      </c>
      <c r="L217" s="8">
        <f>IFERROR(K217/K444, "NA")</f>
        <v>4.4619465454958471E-2</v>
      </c>
      <c r="M217" s="9"/>
      <c r="N217" s="10">
        <f t="shared" si="57"/>
        <v>21216.49</v>
      </c>
      <c r="O217" s="8">
        <f>IFERROR(N217/N444, "NA")</f>
        <v>-4.795109625481131</v>
      </c>
      <c r="P217" s="9"/>
      <c r="Q217" s="7">
        <v>89322.98000000001</v>
      </c>
      <c r="R217" s="8">
        <f>IFERROR(Q217/Q444, "NA")</f>
        <v>1.9330264726609654E-2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-89322.98000000001</v>
      </c>
      <c r="X217" s="8">
        <f>IFERROR(W217/W444, "NA")</f>
        <v>0.63002634144511005</v>
      </c>
      <c r="Y217" s="9"/>
      <c r="Z217" s="7">
        <v>31538.19</v>
      </c>
      <c r="AA217" s="8">
        <f>IFERROR(Z217/Z444, "NA")</f>
        <v>7.5251466646138422E-3</v>
      </c>
      <c r="AB217" s="9"/>
      <c r="AC217" s="10">
        <f t="shared" si="59"/>
        <v>-57784.790000000008</v>
      </c>
      <c r="AD217" s="8">
        <f>IFERROR(AC217/AC444, "NA")</f>
        <v>-0.13443085859767154</v>
      </c>
    </row>
    <row r="218" spans="1:30" ht="16.5" customHeight="1" x14ac:dyDescent="0.45">
      <c r="A218" s="13" t="s">
        <v>198</v>
      </c>
      <c r="B218" s="14">
        <f>IFERROR(B213+B214+B215+B216+B217, "NA")</f>
        <v>6358.58</v>
      </c>
      <c r="C218" s="15">
        <f>IFERROR(B218/B444, "NA")</f>
        <v>1.234167562656968E-2</v>
      </c>
      <c r="D218" s="2"/>
      <c r="E218" s="14">
        <f>IFERROR(E213+E214+E215+E216+E217, "NA")</f>
        <v>20293.190000000002</v>
      </c>
      <c r="F218" s="15">
        <f>IFERROR(E218/E444, "NA")</f>
        <v>3.4851165552168557E-2</v>
      </c>
      <c r="G218" s="2"/>
      <c r="H218" s="14">
        <f t="shared" si="56"/>
        <v>13934.610000000002</v>
      </c>
      <c r="I218" s="15">
        <f>IFERROR(H218/H444, "NA")</f>
        <v>-0.2077637995702368</v>
      </c>
      <c r="J218" s="2"/>
      <c r="K218" s="14">
        <f>IFERROR(K213+K214+K215+K216+K217, "NA")</f>
        <v>30017</v>
      </c>
      <c r="L218" s="15">
        <f>IFERROR(K218/K444, "NA")</f>
        <v>5.776536243612989E-2</v>
      </c>
      <c r="M218" s="2"/>
      <c r="N218" s="14">
        <f t="shared" si="57"/>
        <v>23658.42</v>
      </c>
      <c r="O218" s="15">
        <f>IFERROR(N218/N444, "NA")</f>
        <v>-5.3470068548414602</v>
      </c>
      <c r="P218" s="2"/>
      <c r="Q218" s="14">
        <f>IFERROR(Q213+Q214+Q215+Q216+Q217, "NA")</f>
        <v>183604.5</v>
      </c>
      <c r="R218" s="15">
        <f>IFERROR(Q218/Q444, "NA")</f>
        <v>3.9733600356781668E-2</v>
      </c>
      <c r="S218" s="2"/>
      <c r="T218" s="14">
        <f>IFERROR(T213+T214+T215+T216+T217, "NA")</f>
        <v>163877.63</v>
      </c>
      <c r="U218" s="15">
        <f>IFERROR(T218/T444, "NA")</f>
        <v>3.4408815074646819E-2</v>
      </c>
      <c r="V218" s="2"/>
      <c r="W218" s="14">
        <f t="shared" si="58"/>
        <v>-19726.869999999995</v>
      </c>
      <c r="X218" s="15">
        <f>IFERROR(W218/W444, "NA")</f>
        <v>0.13914054070143309</v>
      </c>
      <c r="Y218" s="2"/>
      <c r="Z218" s="14">
        <f>IFERROR(Z213+Z214+Z215+Z216+Z217, "NA")</f>
        <v>55716.27</v>
      </c>
      <c r="AA218" s="15">
        <f>IFERROR(Z218/Z444, "NA")</f>
        <v>1.3294139687636616E-2</v>
      </c>
      <c r="AB218" s="2"/>
      <c r="AC218" s="14">
        <f t="shared" si="59"/>
        <v>-127888.23000000001</v>
      </c>
      <c r="AD218" s="15">
        <f>IFERROR(AC218/AC444, "NA")</f>
        <v>-0.29751989344317931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300</v>
      </c>
      <c r="C222" s="8">
        <f>IFERROR(B222/B444, "NA")</f>
        <v>5.8228451760784707E-4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-300</v>
      </c>
      <c r="I222" s="8">
        <f>IFERROR(H222/H444, "NA")</f>
        <v>4.4729734001217854E-3</v>
      </c>
      <c r="J222" s="9"/>
      <c r="K222" s="7">
        <v>375</v>
      </c>
      <c r="L222" s="8">
        <f>IFERROR(K222/K444, "NA")</f>
        <v>7.2165809086679902E-4</v>
      </c>
      <c r="M222" s="9"/>
      <c r="N222" s="10">
        <f t="shared" si="57"/>
        <v>75</v>
      </c>
      <c r="O222" s="8">
        <f>IFERROR(N222/N444, "NA")</f>
        <v>-1.6950646497657474E-2</v>
      </c>
      <c r="P222" s="9"/>
      <c r="Q222" s="7">
        <v>7966.61</v>
      </c>
      <c r="R222" s="8">
        <f>IFERROR(Q222/Q444, "NA")</f>
        <v>1.724043244791606E-3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-7966.61</v>
      </c>
      <c r="X222" s="8">
        <f>IFERROR(W222/W444, "NA")</f>
        <v>5.6191297603595709E-2</v>
      </c>
      <c r="Y222" s="9"/>
      <c r="Z222" s="7">
        <v>2675</v>
      </c>
      <c r="AA222" s="8">
        <f>IFERROR(Z222/Z444, "NA")</f>
        <v>6.3826641059116043E-4</v>
      </c>
      <c r="AB222" s="9"/>
      <c r="AC222" s="10">
        <f t="shared" si="59"/>
        <v>-5291.61</v>
      </c>
      <c r="AD222" s="8">
        <f>IFERROR(AC222/AC444, "NA")</f>
        <v>-1.2310431095518812E-2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582.29999999999995</v>
      </c>
      <c r="F226" s="8">
        <f>IFERROR(E226/E444, "NA")</f>
        <v>1.0000317200512952E-3</v>
      </c>
      <c r="G226" s="9"/>
      <c r="H226" s="10">
        <f t="shared" si="56"/>
        <v>582.29999999999995</v>
      </c>
      <c r="I226" s="8">
        <f>IFERROR(H226/H444, "NA")</f>
        <v>-8.6820413696363855E-3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4762.68</v>
      </c>
      <c r="U226" s="8">
        <f>IFERROR(T226/T444, "NA")</f>
        <v>1.0000033279692836E-3</v>
      </c>
      <c r="V226" s="9"/>
      <c r="W226" s="10">
        <f t="shared" si="58"/>
        <v>4762.68</v>
      </c>
      <c r="X226" s="8">
        <f>IFERROR(W226/W444, "NA")</f>
        <v>-3.3592854334615757E-2</v>
      </c>
      <c r="Y226" s="9"/>
      <c r="Z226" s="7">
        <v>3956.1899999999996</v>
      </c>
      <c r="AA226" s="8">
        <f>IFERROR(Z226/Z444, "NA")</f>
        <v>9.4396380968846453E-4</v>
      </c>
      <c r="AB226" s="9"/>
      <c r="AC226" s="10">
        <f t="shared" si="59"/>
        <v>3956.1899999999996</v>
      </c>
      <c r="AD226" s="8">
        <f>IFERROR(AC226/AC444, "NA")</f>
        <v>9.2037025396392719E-3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6658.58</v>
      </c>
      <c r="C227" s="15">
        <f>IFERROR(B227/B444, "NA")</f>
        <v>1.2923960144177528E-2</v>
      </c>
      <c r="D227" s="2"/>
      <c r="E227" s="14">
        <f>IFERROR(E211+E213+E214+E215+E216+E217+E219+E220+E221+E222+E223+E224+E225+E226, "NA")</f>
        <v>20875.490000000002</v>
      </c>
      <c r="F227" s="15">
        <f>IFERROR(E227/E444, "NA")</f>
        <v>3.5851197272219852E-2</v>
      </c>
      <c r="G227" s="2"/>
      <c r="H227" s="14">
        <f t="shared" si="56"/>
        <v>14216.910000000002</v>
      </c>
      <c r="I227" s="15">
        <f>IFERROR(H227/H444, "NA")</f>
        <v>-0.21197286753975139</v>
      </c>
      <c r="J227" s="2"/>
      <c r="K227" s="14">
        <f>IFERROR(K211+K213+K214+K215+K216+K217+K219+K220+K221+K222+K223+K224+K225+K226, "NA")</f>
        <v>30392</v>
      </c>
      <c r="L227" s="15">
        <f>IFERROR(K227/K444, "NA")</f>
        <v>5.848702052699669E-2</v>
      </c>
      <c r="M227" s="2"/>
      <c r="N227" s="14">
        <f t="shared" si="57"/>
        <v>23733.42</v>
      </c>
      <c r="O227" s="15">
        <f>IFERROR(N227/N444, "NA")</f>
        <v>-5.3639575013391179</v>
      </c>
      <c r="P227" s="2"/>
      <c r="Q227" s="14">
        <f>IFERROR(Q211+Q213+Q214+Q215+Q216+Q217+Q219+Q220+Q221+Q222+Q223+Q224+Q225+Q226, "NA")</f>
        <v>191571.11</v>
      </c>
      <c r="R227" s="15">
        <f>IFERROR(Q227/Q444, "NA")</f>
        <v>4.1457643601573273E-2</v>
      </c>
      <c r="S227" s="2"/>
      <c r="T227" s="14">
        <f>IFERROR(T211+T213+T214+T215+T216+T217+T219+T220+T221+T222+T223+T224+T225+T226, "NA")</f>
        <v>168640.31</v>
      </c>
      <c r="U227" s="15">
        <f>IFERROR(T227/T444, "NA")</f>
        <v>3.5408818402616102E-2</v>
      </c>
      <c r="V227" s="2"/>
      <c r="W227" s="14">
        <f t="shared" si="58"/>
        <v>-22930.799999999988</v>
      </c>
      <c r="X227" s="15">
        <f>IFERROR(W227/W444, "NA")</f>
        <v>0.161738983970413</v>
      </c>
      <c r="Y227" s="2"/>
      <c r="Z227" s="14">
        <f>IFERROR(Z211+Z213+Z214+Z215+Z216+Z217+Z219+Z220+Z221+Z222+Z223+Z224+Z225+Z226, "NA")</f>
        <v>62347.46</v>
      </c>
      <c r="AA227" s="15">
        <f>IFERROR(Z227/Z444, "NA")</f>
        <v>1.4876369907916243E-2</v>
      </c>
      <c r="AB227" s="2"/>
      <c r="AC227" s="14">
        <f t="shared" si="59"/>
        <v>-129223.65</v>
      </c>
      <c r="AD227" s="15">
        <f>IFERROR(AC227/AC444, "NA")</f>
        <v>-0.30062662199905882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9906.9699999999993</v>
      </c>
      <c r="F229" s="8">
        <f>IFERROR(E229/E444, "NA")</f>
        <v>1.7014055039664404E-2</v>
      </c>
      <c r="G229" s="9"/>
      <c r="H229" s="10">
        <f t="shared" ref="H229:H236" si="60">IFERROR(-(B229-E229), "NA")</f>
        <v>9906.9699999999993</v>
      </c>
      <c r="I229" s="8">
        <f>IFERROR(H229/H444, "NA")</f>
        <v>-0.14771204428601506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81327.13</v>
      </c>
      <c r="U229" s="8">
        <f>IFERROR(T229/T444, "NA")</f>
        <v>1.7075974168785341E-2</v>
      </c>
      <c r="V229" s="9"/>
      <c r="W229" s="10">
        <f t="shared" ref="W229:W236" si="62">IFERROR(-(Q229-T229), "NA")</f>
        <v>81327.13</v>
      </c>
      <c r="X229" s="8">
        <f>IFERROR(W229/W444, "NA")</f>
        <v>-0.57362880385462789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1.8167505425802862E-5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5.9212882691908608E-4</v>
      </c>
      <c r="Y230" s="9"/>
      <c r="Z230" s="7">
        <v>682.33999999999992</v>
      </c>
      <c r="AA230" s="8">
        <f>IFERROR(Z230/Z444, "NA")</f>
        <v>1.6280923461785881E-4</v>
      </c>
      <c r="AB230" s="9"/>
      <c r="AC230" s="10">
        <f t="shared" si="63"/>
        <v>598.38999999999987</v>
      </c>
      <c r="AD230" s="8">
        <f>IFERROR(AC230/AC444, "NA")</f>
        <v>1.3920978422913822E-3</v>
      </c>
    </row>
    <row r="231" spans="1:30" ht="16.5" customHeight="1" x14ac:dyDescent="0.45">
      <c r="A231" s="6" t="s">
        <v>210</v>
      </c>
      <c r="B231" s="7">
        <v>469</v>
      </c>
      <c r="C231" s="8">
        <f>IFERROR(B231/B444, "NA")</f>
        <v>9.1030479586026757E-4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-469</v>
      </c>
      <c r="I231" s="8">
        <f>IFERROR(H231/H444, "NA")</f>
        <v>6.9927484155237248E-3</v>
      </c>
      <c r="J231" s="9"/>
      <c r="K231" s="7">
        <v>1187.92</v>
      </c>
      <c r="L231" s="8">
        <f>IFERROR(K231/K444, "NA")</f>
        <v>2.286058878139968E-3</v>
      </c>
      <c r="M231" s="9"/>
      <c r="N231" s="10">
        <f t="shared" si="61"/>
        <v>718.92000000000007</v>
      </c>
      <c r="O231" s="8">
        <f>IFERROR(N231/N444, "NA")</f>
        <v>-0.16248211706794549</v>
      </c>
      <c r="P231" s="9"/>
      <c r="Q231" s="7">
        <v>7707.3</v>
      </c>
      <c r="R231" s="8">
        <f>IFERROR(Q231/Q444, "NA")</f>
        <v>1.6679263200511064E-3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-7707.3</v>
      </c>
      <c r="X231" s="8">
        <f>IFERROR(W231/W444, "NA")</f>
        <v>5.4362293123448147E-2</v>
      </c>
      <c r="Y231" s="9"/>
      <c r="Z231" s="7">
        <v>10899.720000000001</v>
      </c>
      <c r="AA231" s="8">
        <f>IFERROR(Z231/Z444, "NA")</f>
        <v>2.6007196862985731E-3</v>
      </c>
      <c r="AB231" s="9"/>
      <c r="AC231" s="10">
        <f t="shared" si="63"/>
        <v>3192.420000000001</v>
      </c>
      <c r="AD231" s="8">
        <f>IFERROR(AC231/AC444, "NA")</f>
        <v>7.4268637405168142E-3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390.34</v>
      </c>
      <c r="C233" s="8">
        <f>IFERROR(B233/B444, "NA")</f>
        <v>7.5762979534348997E-4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-390.34</v>
      </c>
      <c r="I233" s="8">
        <f>IFERROR(H233/H444, "NA")</f>
        <v>5.8199347900117918E-3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-390.34</v>
      </c>
      <c r="O233" s="8">
        <f>IFERROR(N233/N444, "NA")</f>
        <v>8.8220204718608239E-2</v>
      </c>
      <c r="P233" s="9"/>
      <c r="Q233" s="7">
        <v>577.79</v>
      </c>
      <c r="R233" s="8">
        <f>IFERROR(Q233/Q444, "NA")</f>
        <v>1.2503874877873298E-4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-577.79</v>
      </c>
      <c r="X233" s="8">
        <f>IFERROR(W233/W444, "NA")</f>
        <v>4.0753557463439989E-3</v>
      </c>
      <c r="Y233" s="9"/>
      <c r="Z233" s="7">
        <v>34</v>
      </c>
      <c r="AA233" s="8">
        <f>IFERROR(Z233/Z444, "NA")</f>
        <v>8.1125450318128791E-6</v>
      </c>
      <c r="AB233" s="9"/>
      <c r="AC233" s="10">
        <f t="shared" si="63"/>
        <v>-543.79</v>
      </c>
      <c r="AD233" s="8">
        <f>IFERROR(AC233/AC444, "NA")</f>
        <v>-1.2650760969595595E-3</v>
      </c>
    </row>
    <row r="234" spans="1:30" ht="16.5" customHeight="1" x14ac:dyDescent="0.45">
      <c r="A234" s="6" t="s">
        <v>213</v>
      </c>
      <c r="B234" s="7">
        <v>6664.1900000000005</v>
      </c>
      <c r="C234" s="8">
        <f>IFERROR(B234/B444, "NA")</f>
        <v>1.2934848864656795E-2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-6664.1900000000005</v>
      </c>
      <c r="I234" s="8">
        <f>IFERROR(H234/H444, "NA")</f>
        <v>9.9362482011192008E-2</v>
      </c>
      <c r="J234" s="9"/>
      <c r="K234" s="7">
        <v>8051.2000000000007</v>
      </c>
      <c r="L234" s="8">
        <f>IFERROR(K234/K444, "NA")</f>
        <v>1.5493902989831396E-2</v>
      </c>
      <c r="M234" s="9"/>
      <c r="N234" s="10">
        <f t="shared" si="61"/>
        <v>1387.0100000000002</v>
      </c>
      <c r="O234" s="8">
        <f>IFERROR(N234/N444, "NA")</f>
        <v>-0.31347621598287861</v>
      </c>
      <c r="P234" s="9"/>
      <c r="Q234" s="7">
        <v>61389.7</v>
      </c>
      <c r="R234" s="8">
        <f>IFERROR(Q234/Q444, "NA")</f>
        <v>1.3285261558527812E-2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-61389.7</v>
      </c>
      <c r="X234" s="8">
        <f>IFERROR(W234/W444, "NA")</f>
        <v>0.43300310954037657</v>
      </c>
      <c r="Y234" s="9"/>
      <c r="Z234" s="7">
        <v>68876.95</v>
      </c>
      <c r="AA234" s="8">
        <f>IFERROR(Z234/Z444, "NA")</f>
        <v>1.6434334074380122E-2</v>
      </c>
      <c r="AB234" s="9"/>
      <c r="AC234" s="10">
        <f t="shared" si="63"/>
        <v>7487.25</v>
      </c>
      <c r="AD234" s="8">
        <f>IFERROR(AC234/AC444, "NA")</f>
        <v>1.7418380269884445E-2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7523.5300000000007</v>
      </c>
      <c r="C236" s="15">
        <f>IFERROR(B236/B444, "NA")</f>
        <v>1.4602783455860554E-2</v>
      </c>
      <c r="D236" s="2"/>
      <c r="E236" s="14">
        <f>IFERROR(E229+E230+E231+E232+E233+E234+E235, "NA")</f>
        <v>9906.9699999999993</v>
      </c>
      <c r="F236" s="15">
        <f>IFERROR(E236/E444, "NA")</f>
        <v>1.7014055039664404E-2</v>
      </c>
      <c r="G236" s="2"/>
      <c r="H236" s="14">
        <f t="shared" si="60"/>
        <v>2383.4399999999987</v>
      </c>
      <c r="I236" s="15">
        <f>IFERROR(H236/H444, "NA")</f>
        <v>-3.5536879069287541E-2</v>
      </c>
      <c r="J236" s="2"/>
      <c r="K236" s="14">
        <f>IFERROR(K229+K230+K231+K232+K233+K234+K235, "NA")</f>
        <v>9239.1200000000008</v>
      </c>
      <c r="L236" s="15">
        <f>IFERROR(K236/K444, "NA")</f>
        <v>1.7779961867971362E-2</v>
      </c>
      <c r="M236" s="2"/>
      <c r="N236" s="14">
        <f t="shared" si="61"/>
        <v>1715.5900000000001</v>
      </c>
      <c r="O236" s="15">
        <f>IFERROR(N236/N444, "NA")</f>
        <v>-0.38773812833221583</v>
      </c>
      <c r="P236" s="2"/>
      <c r="Q236" s="14">
        <f>IFERROR(Q229+Q230+Q231+Q232+Q233+Q234+Q235, "NA")</f>
        <v>69758.739999999991</v>
      </c>
      <c r="R236" s="15">
        <f>IFERROR(Q236/Q444, "NA")</f>
        <v>1.5096394132783453E-2</v>
      </c>
      <c r="S236" s="2"/>
      <c r="T236" s="14">
        <f>IFERROR(T229+T230+T231+T232+T233+T234+T235, "NA")</f>
        <v>81327.13</v>
      </c>
      <c r="U236" s="15">
        <f>IFERROR(T236/T444, "NA")</f>
        <v>1.7075974168785341E-2</v>
      </c>
      <c r="V236" s="2"/>
      <c r="W236" s="14">
        <f t="shared" si="62"/>
        <v>11568.390000000014</v>
      </c>
      <c r="X236" s="15">
        <f>IFERROR(W236/W444, "NA")</f>
        <v>-8.1595916617540135E-2</v>
      </c>
      <c r="Y236" s="2"/>
      <c r="Z236" s="14">
        <f>IFERROR(Z229+Z230+Z231+Z232+Z233+Z234+Z235, "NA")</f>
        <v>80493.009999999995</v>
      </c>
      <c r="AA236" s="15">
        <f>IFERROR(Z236/Z444, "NA")</f>
        <v>1.9205975540328366E-2</v>
      </c>
      <c r="AB236" s="2"/>
      <c r="AC236" s="14">
        <f t="shared" si="63"/>
        <v>10734.270000000004</v>
      </c>
      <c r="AD236" s="15">
        <f>IFERROR(AC236/AC444, "NA")</f>
        <v>2.4972265755733091E-2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36537.15</v>
      </c>
      <c r="F240" s="8">
        <f>IFERROR(E240/E444, "NA")</f>
        <v>6.2748255126691035E-2</v>
      </c>
      <c r="G240" s="9"/>
      <c r="H240" s="10">
        <f t="shared" ref="H240:H263" si="64">IFERROR(-(B240-E240), "NA")</f>
        <v>36537.15</v>
      </c>
      <c r="I240" s="8">
        <f>IFERROR(H240/H444, "NA")</f>
        <v>-0.54476566688753236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302352.71000000002</v>
      </c>
      <c r="U240" s="8">
        <f>IFERROR(T240/T444, "NA")</f>
        <v>6.3483945220029842E-2</v>
      </c>
      <c r="V240" s="9"/>
      <c r="W240" s="10">
        <f t="shared" ref="W240:W263" si="66">IFERROR(-(Q240-T240), "NA")</f>
        <v>302352.71000000002</v>
      </c>
      <c r="X240" s="8">
        <f>IFERROR(W240/W444, "NA")</f>
        <v>-2.1325998271364695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29.88</v>
      </c>
      <c r="C241" s="8">
        <f>IFERROR(B241/B444, "NA")</f>
        <v>5.7995537953741567E-5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-29.88</v>
      </c>
      <c r="I241" s="8">
        <f>IFERROR(H241/H444, "NA")</f>
        <v>4.4550815065212983E-4</v>
      </c>
      <c r="J241" s="9"/>
      <c r="K241" s="7">
        <v>52.88</v>
      </c>
      <c r="L241" s="8">
        <f>IFERROR(K241/K444, "NA")</f>
        <v>1.017634129200969E-4</v>
      </c>
      <c r="M241" s="9"/>
      <c r="N241" s="10">
        <f t="shared" si="65"/>
        <v>23.000000000000004</v>
      </c>
      <c r="O241" s="8">
        <f>IFERROR(N241/N444, "NA")</f>
        <v>-5.1981982592816259E-3</v>
      </c>
      <c r="P241" s="9"/>
      <c r="Q241" s="7">
        <v>976.18</v>
      </c>
      <c r="R241" s="8">
        <f>IFERROR(Q241/Q444, "NA")</f>
        <v>2.112537873324626E-4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-976.18</v>
      </c>
      <c r="X241" s="8">
        <f>IFERROR(W241/W444, "NA")</f>
        <v>6.885340300915704E-3</v>
      </c>
      <c r="Y241" s="9"/>
      <c r="Z241" s="7">
        <v>759.99</v>
      </c>
      <c r="AA241" s="8">
        <f>IFERROR(Z241/Z444, "NA")</f>
        <v>1.813368558449256E-4</v>
      </c>
      <c r="AB241" s="9"/>
      <c r="AC241" s="10">
        <f t="shared" si="67"/>
        <v>-216.18999999999994</v>
      </c>
      <c r="AD241" s="8">
        <f>IFERROR(AC241/AC444, "NA")</f>
        <v>-5.0294562496862229E-4</v>
      </c>
    </row>
    <row r="242" spans="1:30" ht="16.5" customHeight="1" x14ac:dyDescent="0.45">
      <c r="A242" s="12" t="s">
        <v>219</v>
      </c>
      <c r="B242" s="7">
        <v>5163.2300000000005</v>
      </c>
      <c r="C242" s="8">
        <f>IFERROR(B242/B444, "NA")</f>
        <v>1.0021562966161215E-2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-5163.2300000000005</v>
      </c>
      <c r="I242" s="8">
        <f>IFERROR(H242/H444, "NA")</f>
        <v>7.6983301495702691E-2</v>
      </c>
      <c r="J242" s="9"/>
      <c r="K242" s="7">
        <v>4965.58</v>
      </c>
      <c r="L242" s="8">
        <f>IFERROR(K242/K444, "NA")</f>
        <v>9.5558692875902934E-3</v>
      </c>
      <c r="M242" s="9"/>
      <c r="N242" s="10">
        <f t="shared" si="65"/>
        <v>-197.65000000000055</v>
      </c>
      <c r="O242" s="8">
        <f>IFERROR(N242/N444, "NA")</f>
        <v>4.467060373682679E-2</v>
      </c>
      <c r="P242" s="9"/>
      <c r="Q242" s="7">
        <v>56151.27</v>
      </c>
      <c r="R242" s="8">
        <f>IFERROR(Q242/Q444, "NA")</f>
        <v>1.2151620040389772E-2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-56151.27</v>
      </c>
      <c r="X242" s="8">
        <f>IFERROR(W242/W444, "NA")</f>
        <v>0.39605462340818187</v>
      </c>
      <c r="Y242" s="9"/>
      <c r="Z242" s="7">
        <v>42241.899999999994</v>
      </c>
      <c r="AA242" s="8">
        <f>IFERROR(Z242/Z444, "NA")</f>
        <v>1.0079097528804013E-2</v>
      </c>
      <c r="AB242" s="9"/>
      <c r="AC242" s="10">
        <f t="shared" si="67"/>
        <v>-13909.370000000003</v>
      </c>
      <c r="AD242" s="8">
        <f>IFERROR(AC242/AC444, "NA")</f>
        <v>-3.2358836151393726E-2</v>
      </c>
    </row>
    <row r="243" spans="1:30" ht="16.5" customHeight="1" x14ac:dyDescent="0.45">
      <c r="A243" s="12" t="s">
        <v>220</v>
      </c>
      <c r="B243" s="7">
        <v>11186.22</v>
      </c>
      <c r="C243" s="8">
        <f>IFERROR(B243/B444, "NA")</f>
        <v>2.1711875721850835E-2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-11186.22</v>
      </c>
      <c r="I243" s="8">
        <f>IFERROR(H243/H444, "NA")</f>
        <v>0.16678554835970105</v>
      </c>
      <c r="J243" s="9"/>
      <c r="K243" s="7">
        <v>15405.3</v>
      </c>
      <c r="L243" s="8">
        <f>IFERROR(K243/K444, "NA")</f>
        <v>2.9646291699280798E-2</v>
      </c>
      <c r="M243" s="9"/>
      <c r="N243" s="10">
        <f t="shared" si="65"/>
        <v>4219.08</v>
      </c>
      <c r="O243" s="8">
        <f>IFERROR(N243/N444, "NA")</f>
        <v>-0.9535484483378226</v>
      </c>
      <c r="P243" s="9"/>
      <c r="Q243" s="7">
        <v>105594.97999999998</v>
      </c>
      <c r="R243" s="8">
        <f>IFERROR(Q243/Q444, "NA")</f>
        <v>2.2851666135646743E-2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-105594.97999999998</v>
      </c>
      <c r="X243" s="8">
        <f>IFERROR(W243/W444, "NA")</f>
        <v>0.74479847094632923</v>
      </c>
      <c r="Y243" s="9"/>
      <c r="Z243" s="7">
        <v>125116.35</v>
      </c>
      <c r="AA243" s="8">
        <f>IFERROR(Z243/Z444, "NA")</f>
        <v>2.9853294811501806E-2</v>
      </c>
      <c r="AB243" s="9"/>
      <c r="AC243" s="10">
        <f t="shared" si="67"/>
        <v>19521.370000000024</v>
      </c>
      <c r="AD243" s="8">
        <f>IFERROR(AC243/AC444, "NA")</f>
        <v>4.5414624334584063E-2</v>
      </c>
    </row>
    <row r="244" spans="1:30" ht="16.5" customHeight="1" x14ac:dyDescent="0.45">
      <c r="A244" s="12" t="s">
        <v>221</v>
      </c>
      <c r="B244" s="7">
        <v>4836.78</v>
      </c>
      <c r="C244" s="8">
        <f>IFERROR(B244/B444, "NA")</f>
        <v>9.3879403635842747E-3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-4836.78</v>
      </c>
      <c r="I244" s="8">
        <f>IFERROR(H244/H444, "NA")</f>
        <v>7.2115960940803497E-2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-4836.78</v>
      </c>
      <c r="O244" s="8">
        <f>IFERROR(N244/N444, "NA")</f>
        <v>1.0931539728925295</v>
      </c>
      <c r="P244" s="9"/>
      <c r="Q244" s="7">
        <v>16911.45</v>
      </c>
      <c r="R244" s="8">
        <f>IFERROR(Q244/Q444, "NA")</f>
        <v>3.6597839146300629E-3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-16911.45</v>
      </c>
      <c r="X244" s="8">
        <f>IFERROR(W244/W444, "NA")</f>
        <v>0.11928239487791278</v>
      </c>
      <c r="Y244" s="9"/>
      <c r="Z244" s="7">
        <v>405.63</v>
      </c>
      <c r="AA244" s="8">
        <f>IFERROR(Z244/Z444, "NA")</f>
        <v>9.6785048272184077E-5</v>
      </c>
      <c r="AB244" s="9"/>
      <c r="AC244" s="10">
        <f t="shared" si="67"/>
        <v>-16505.82</v>
      </c>
      <c r="AD244" s="8">
        <f>IFERROR(AC244/AC444, "NA")</f>
        <v>-3.839923195115217E-2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1391.04</v>
      </c>
      <c r="C246" s="8">
        <f>IFERROR(B246/B444, "NA")</f>
        <v>2.6999368512440653E-3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-1391.04</v>
      </c>
      <c r="I246" s="8">
        <f>IFERROR(H246/H444, "NA")</f>
        <v>2.0740283061684694E-2</v>
      </c>
      <c r="J246" s="9"/>
      <c r="K246" s="7">
        <v>1257.19</v>
      </c>
      <c r="L246" s="8">
        <f>IFERROR(K246/K444, "NA")</f>
        <v>2.419363560684883E-3</v>
      </c>
      <c r="M246" s="9"/>
      <c r="N246" s="10">
        <f t="shared" si="65"/>
        <v>-133.84999999999991</v>
      </c>
      <c r="O246" s="8">
        <f>IFERROR(N246/N444, "NA")</f>
        <v>3.0251253782819353E-2</v>
      </c>
      <c r="P246" s="9"/>
      <c r="Q246" s="7">
        <v>14785.509999999998</v>
      </c>
      <c r="R246" s="8">
        <f>IFERROR(Q246/Q444, "NA")</f>
        <v>3.1997121280317145E-3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-14785.509999999998</v>
      </c>
      <c r="X246" s="8">
        <f>IFERROR(W246/W444, "NA")</f>
        <v>0.10428739358785485</v>
      </c>
      <c r="Y246" s="9"/>
      <c r="Z246" s="7">
        <v>1713.1599999999999</v>
      </c>
      <c r="AA246" s="8">
        <f>IFERROR(Z246/Z444, "NA")</f>
        <v>4.0876728372648684E-4</v>
      </c>
      <c r="AB246" s="9"/>
      <c r="AC246" s="10">
        <f t="shared" si="67"/>
        <v>-13072.349999999999</v>
      </c>
      <c r="AD246" s="8">
        <f>IFERROR(AC246/AC444, "NA")</f>
        <v>-3.0411588142645687E-2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28.42</v>
      </c>
      <c r="L247" s="8">
        <f>IFERROR(K247/K444, "NA")</f>
        <v>5.4692061179825147E-5</v>
      </c>
      <c r="M247" s="9"/>
      <c r="N247" s="10">
        <f t="shared" si="65"/>
        <v>28.42</v>
      </c>
      <c r="O247" s="8">
        <f>IFERROR(N247/N444, "NA")</f>
        <v>-6.4231649795123396E-3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446.82000000000005</v>
      </c>
      <c r="AA247" s="8">
        <f>IFERROR(Z247/Z444, "NA")</f>
        <v>1.0661315797395975E-4</v>
      </c>
      <c r="AB247" s="9"/>
      <c r="AC247" s="10">
        <f t="shared" si="67"/>
        <v>446.82000000000005</v>
      </c>
      <c r="AD247" s="8">
        <f>IFERROR(AC247/AC444, "NA")</f>
        <v>1.0394845466880054E-3</v>
      </c>
    </row>
    <row r="248" spans="1:30" ht="16.5" customHeight="1" x14ac:dyDescent="0.45">
      <c r="A248" s="12" t="s">
        <v>225</v>
      </c>
      <c r="B248" s="7">
        <v>1231.2600000000002</v>
      </c>
      <c r="C248" s="8">
        <f>IFERROR(B248/B444, "NA")</f>
        <v>2.3898121171661265E-3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-1231.2600000000002</v>
      </c>
      <c r="I248" s="8">
        <f>IFERROR(H248/H444, "NA")</f>
        <v>1.8357977428779836E-2</v>
      </c>
      <c r="J248" s="9"/>
      <c r="K248" s="7">
        <v>1148.22</v>
      </c>
      <c r="L248" s="8">
        <f>IFERROR(K248/K444, "NA")</f>
        <v>2.2096593415868696E-3</v>
      </c>
      <c r="M248" s="9"/>
      <c r="N248" s="10">
        <f t="shared" si="65"/>
        <v>-83.040000000000191</v>
      </c>
      <c r="O248" s="8">
        <f>IFERROR(N248/N444, "NA")</f>
        <v>1.8767755802206399E-2</v>
      </c>
      <c r="P248" s="9"/>
      <c r="Q248" s="7">
        <v>9697.1</v>
      </c>
      <c r="R248" s="8">
        <f>IFERROR(Q248/Q444, "NA")</f>
        <v>2.0985362342412499E-3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-9697.1</v>
      </c>
      <c r="X248" s="8">
        <f>IFERROR(W248/W444, "NA")</f>
        <v>6.8397051191388558E-2</v>
      </c>
      <c r="Y248" s="9"/>
      <c r="Z248" s="7">
        <v>9096.93</v>
      </c>
      <c r="AA248" s="8">
        <f>IFERROR(Z248/Z444, "NA")</f>
        <v>2.1705663022426338E-3</v>
      </c>
      <c r="AB248" s="9"/>
      <c r="AC248" s="10">
        <f t="shared" si="67"/>
        <v>-600.17000000000007</v>
      </c>
      <c r="AD248" s="8">
        <f>IFERROR(AC248/AC444, "NA")</f>
        <v>-1.3962388442454237E-3</v>
      </c>
    </row>
    <row r="249" spans="1:30" ht="16.5" customHeight="1" x14ac:dyDescent="0.45">
      <c r="A249" s="12" t="s">
        <v>226</v>
      </c>
      <c r="B249" s="7">
        <v>4697.4900000000007</v>
      </c>
      <c r="C249" s="8">
        <f>IFERROR(B249/B444, "NA")</f>
        <v>9.117585662058952E-3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-4697.4900000000007</v>
      </c>
      <c r="I249" s="8">
        <f>IFERROR(H249/H444, "NA")</f>
        <v>7.0039159391126968E-2</v>
      </c>
      <c r="J249" s="9"/>
      <c r="K249" s="7">
        <v>6789.96</v>
      </c>
      <c r="L249" s="8">
        <f>IFERROR(K249/K444, "NA")</f>
        <v>1.306674552176515E-2</v>
      </c>
      <c r="M249" s="9"/>
      <c r="N249" s="10">
        <f t="shared" si="65"/>
        <v>2092.4699999999993</v>
      </c>
      <c r="O249" s="8">
        <f>IFERROR(N249/N444, "NA")</f>
        <v>-0.47291625702604434</v>
      </c>
      <c r="P249" s="9"/>
      <c r="Q249" s="7">
        <v>68281.990000000005</v>
      </c>
      <c r="R249" s="8">
        <f>IFERROR(Q249/Q444, "NA")</f>
        <v>1.4776812671943022E-2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-68281.990000000005</v>
      </c>
      <c r="X249" s="8">
        <f>IFERROR(W249/W444, "NA")</f>
        <v>0.48161685096367801</v>
      </c>
      <c r="Y249" s="9"/>
      <c r="Z249" s="7">
        <v>59758.900000000009</v>
      </c>
      <c r="AA249" s="8">
        <f>IFERROR(Z249/Z444, "NA")</f>
        <v>1.425872845004714E-2</v>
      </c>
      <c r="AB249" s="9"/>
      <c r="AC249" s="10">
        <f t="shared" si="67"/>
        <v>-8523.0899999999965</v>
      </c>
      <c r="AD249" s="8">
        <f>IFERROR(AC249/AC444, "NA")</f>
        <v>-1.9828164238465305E-2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1.2240398827411787E-6</v>
      </c>
      <c r="AB250" s="9"/>
      <c r="AC250" s="10">
        <f t="shared" si="67"/>
        <v>5.13</v>
      </c>
      <c r="AD250" s="8">
        <f>IFERROR(AC250/AC444, "NA")</f>
        <v>1.193446068777017E-5</v>
      </c>
    </row>
    <row r="251" spans="1:30" ht="16.5" customHeight="1" x14ac:dyDescent="0.45">
      <c r="A251" s="12" t="s">
        <v>228</v>
      </c>
      <c r="B251" s="7">
        <v>85.24</v>
      </c>
      <c r="C251" s="8">
        <f>IFERROR(B251/B444, "NA")</f>
        <v>1.654464409363096E-4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-85.24</v>
      </c>
      <c r="I251" s="8">
        <f>IFERROR(H251/H444, "NA")</f>
        <v>1.2709208420879365E-3</v>
      </c>
      <c r="J251" s="9"/>
      <c r="K251" s="7">
        <v>205.99</v>
      </c>
      <c r="L251" s="8">
        <f>IFERROR(K251/K444, "NA")</f>
        <v>3.9641160036707186E-4</v>
      </c>
      <c r="M251" s="9"/>
      <c r="N251" s="10">
        <f t="shared" si="65"/>
        <v>120.75000000000001</v>
      </c>
      <c r="O251" s="8">
        <f>IFERROR(N251/N444, "NA")</f>
        <v>-2.7290540861228535E-2</v>
      </c>
      <c r="P251" s="9"/>
      <c r="Q251" s="7">
        <v>462.79999999999995</v>
      </c>
      <c r="R251" s="8">
        <f>IFERROR(Q251/Q444, "NA")</f>
        <v>1.0015391913116811E-4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-462.79999999999995</v>
      </c>
      <c r="X251" s="8">
        <f>IFERROR(W251/W444, "NA")</f>
        <v>3.2642909005140323E-3</v>
      </c>
      <c r="Y251" s="9"/>
      <c r="Z251" s="7">
        <v>740.87</v>
      </c>
      <c r="AA251" s="8">
        <f>IFERROR(Z251/Z444, "NA")</f>
        <v>1.7677474228585907E-4</v>
      </c>
      <c r="AB251" s="9"/>
      <c r="AC251" s="10">
        <f t="shared" si="67"/>
        <v>278.07000000000005</v>
      </c>
      <c r="AD251" s="8">
        <f>IFERROR(AC251/AC444, "NA")</f>
        <v>6.4690360301135515E-4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24.52</v>
      </c>
      <c r="L252" s="8">
        <f>IFERROR(K252/K444, "NA")</f>
        <v>4.7186817034810432E-5</v>
      </c>
      <c r="M252" s="9"/>
      <c r="N252" s="10">
        <f t="shared" si="65"/>
        <v>24.52</v>
      </c>
      <c r="O252" s="8">
        <f>IFERROR(N252/N444, "NA")</f>
        <v>-5.54173136163415E-3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394.94000000000005</v>
      </c>
      <c r="AA252" s="8">
        <f>IFERROR(Z252/Z444, "NA")</f>
        <v>9.4234368672475855E-5</v>
      </c>
      <c r="AB252" s="9"/>
      <c r="AC252" s="10">
        <f t="shared" si="67"/>
        <v>394.94000000000005</v>
      </c>
      <c r="AD252" s="8">
        <f>IFERROR(AC252/AC444, "NA")</f>
        <v>9.1879062456685218E-4</v>
      </c>
    </row>
    <row r="253" spans="1:30" ht="16.5" customHeight="1" x14ac:dyDescent="0.45">
      <c r="A253" s="12" t="s">
        <v>230</v>
      </c>
      <c r="B253" s="7">
        <v>485.07</v>
      </c>
      <c r="C253" s="8">
        <f>IFERROR(B253/B444, "NA")</f>
        <v>9.4149583652012789E-4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-485.07</v>
      </c>
      <c r="I253" s="8">
        <f>IFERROR(H253/H444, "NA")</f>
        <v>7.2323506906569147E-3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-485.07</v>
      </c>
      <c r="O253" s="8">
        <f>IFERROR(N253/N444, "NA")</f>
        <v>0.10963000128824948</v>
      </c>
      <c r="P253" s="9"/>
      <c r="Q253" s="7">
        <v>1859.24</v>
      </c>
      <c r="R253" s="8">
        <f>IFERROR(Q253/Q444, "NA")</f>
        <v>4.0235560199963918E-4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-1859.24</v>
      </c>
      <c r="X253" s="8">
        <f>IFERROR(W253/W444, "NA")</f>
        <v>1.3113872545098767E-2</v>
      </c>
      <c r="Y253" s="9"/>
      <c r="Z253" s="7">
        <v>3664.95</v>
      </c>
      <c r="AA253" s="8">
        <f>IFERROR(Z253/Z444, "NA")</f>
        <v>8.7447270336301806E-4</v>
      </c>
      <c r="AB253" s="9"/>
      <c r="AC253" s="10">
        <f t="shared" si="67"/>
        <v>1805.7099999999998</v>
      </c>
      <c r="AD253" s="8">
        <f>IFERROR(AC253/AC444, "NA")</f>
        <v>4.2008138418154917E-3</v>
      </c>
    </row>
    <row r="254" spans="1:30" ht="16.5" customHeight="1" x14ac:dyDescent="0.45">
      <c r="A254" s="12" t="s">
        <v>231</v>
      </c>
      <c r="B254" s="7">
        <v>2343.8000000000002</v>
      </c>
      <c r="C254" s="8">
        <f>IFERROR(B254/B444, "NA")</f>
        <v>4.5491948412309064E-3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-2343.8000000000002</v>
      </c>
      <c r="I254" s="8">
        <f>IFERROR(H254/H444, "NA")</f>
        <v>3.4945850184018142E-2</v>
      </c>
      <c r="J254" s="9"/>
      <c r="K254" s="7">
        <v>2035.44</v>
      </c>
      <c r="L254" s="8">
        <f>IFERROR(K254/K444, "NA")</f>
        <v>3.9170446519304469E-3</v>
      </c>
      <c r="M254" s="9"/>
      <c r="N254" s="10">
        <f t="shared" si="65"/>
        <v>-308.36000000000013</v>
      </c>
      <c r="O254" s="8">
        <f>IFERROR(N254/N444, "NA")</f>
        <v>6.9692018053568811E-2</v>
      </c>
      <c r="P254" s="9"/>
      <c r="Q254" s="7">
        <v>26829</v>
      </c>
      <c r="R254" s="8">
        <f>IFERROR(Q254/Q444, "NA")</f>
        <v>5.8060274338161402E-3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-26829</v>
      </c>
      <c r="X254" s="8">
        <f>IFERROR(W254/W444, "NA")</f>
        <v>0.18923435732474281</v>
      </c>
      <c r="Y254" s="9"/>
      <c r="Z254" s="7">
        <v>21415.89</v>
      </c>
      <c r="AA254" s="8">
        <f>IFERROR(Z254/Z444, "NA")</f>
        <v>5.1099227065103271E-3</v>
      </c>
      <c r="AB254" s="9"/>
      <c r="AC254" s="10">
        <f t="shared" si="67"/>
        <v>-5413.1100000000006</v>
      </c>
      <c r="AD254" s="8">
        <f>IFERROR(AC254/AC444, "NA")</f>
        <v>-1.2593089374966003E-2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251.39</v>
      </c>
      <c r="AA255" s="8">
        <f>IFERROR(Z255/Z444, "NA")</f>
        <v>5.9982726339630581E-5</v>
      </c>
      <c r="AB255" s="9"/>
      <c r="AC255" s="10">
        <f t="shared" si="67"/>
        <v>251.39</v>
      </c>
      <c r="AD255" s="8">
        <f>IFERROR(AC255/AC444, "NA")</f>
        <v>5.848351018125815E-4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40.520000000000003</v>
      </c>
      <c r="L256" s="8">
        <f>IFERROR(K256/K444, "NA")</f>
        <v>7.7977562245127208E-5</v>
      </c>
      <c r="M256" s="9"/>
      <c r="N256" s="10">
        <f t="shared" si="65"/>
        <v>40.520000000000003</v>
      </c>
      <c r="O256" s="8">
        <f>IFERROR(N256/N444, "NA")</f>
        <v>-9.1578692811344117E-3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1.862783501863622E-5</v>
      </c>
      <c r="AB256" s="9"/>
      <c r="AC256" s="10">
        <f t="shared" si="67"/>
        <v>78.069999999999993</v>
      </c>
      <c r="AD256" s="8">
        <f>IFERROR(AC256/AC444, "NA")</f>
        <v>1.8162248457976942E-4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5290.07</v>
      </c>
      <c r="R257" s="8">
        <f>IFERROR(Q257/Q444, "NA")</f>
        <v>1.1448168603678014E-3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-5290.07</v>
      </c>
      <c r="X257" s="8">
        <f>IFERROR(W257/W444, "NA")</f>
        <v>3.7312721184274561E-2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-5290.07</v>
      </c>
      <c r="AD257" s="8">
        <f>IFERROR(AC257/AC444, "NA")</f>
        <v>-1.2306848430906889E-2</v>
      </c>
    </row>
    <row r="258" spans="1:30" ht="16.5" customHeight="1" x14ac:dyDescent="0.45">
      <c r="A258" s="12" t="s">
        <v>235</v>
      </c>
      <c r="B258" s="7">
        <v>1808.4899999999998</v>
      </c>
      <c r="C258" s="8">
        <f>IFERROR(B258/B444, "NA")</f>
        <v>3.510185757495384E-3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-1808.4899999999998</v>
      </c>
      <c r="I258" s="8">
        <f>IFERROR(H258/H444, "NA")</f>
        <v>2.6964425547954154E-2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-1808.4899999999998</v>
      </c>
      <c r="O258" s="8">
        <f>IFERROR(N258/N444, "NA")</f>
        <v>0.40873432912731417</v>
      </c>
      <c r="P258" s="9"/>
      <c r="Q258" s="7">
        <v>6203.9800000000005</v>
      </c>
      <c r="R258" s="8">
        <f>IFERROR(Q258/Q444, "NA")</f>
        <v>1.3425948816149188E-3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-6203.9800000000005</v>
      </c>
      <c r="X258" s="8">
        <f>IFERROR(W258/W444, "NA")</f>
        <v>4.3758849310654817E-2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-6203.9800000000005</v>
      </c>
      <c r="AD258" s="8">
        <f>IFERROR(AC258/AC444, "NA")</f>
        <v>-1.4432973765635942E-2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33258.500000000007</v>
      </c>
      <c r="C262" s="15">
        <f>IFERROR(B262/B444, "NA")</f>
        <v>6.4553032096201945E-2</v>
      </c>
      <c r="D262" s="2"/>
      <c r="E262" s="14">
        <f>IFERROR(E240+E241+E242+E243+E244+E245+E246+E247+E248+E249+E250+E251+E252+E253+E254+E255+E256+E257+E258+E259+E260+E261, "NA")</f>
        <v>36537.15</v>
      </c>
      <c r="F262" s="15">
        <f>IFERROR(E262/E444, "NA")</f>
        <v>6.2748255126691035E-2</v>
      </c>
      <c r="G262" s="2"/>
      <c r="H262" s="14">
        <f t="shared" si="64"/>
        <v>3278.6499999999942</v>
      </c>
      <c r="I262" s="15">
        <f>IFERROR(H262/H444, "NA")</f>
        <v>-4.8884380794364218E-2</v>
      </c>
      <c r="J262" s="2"/>
      <c r="K262" s="14">
        <f>IFERROR(K240+K241+K242+K243+K244+K245+K246+K247+K248+K249+K250+K251+K252+K253+K254+K255+K256+K257+K258+K259+K260+K261, "NA")</f>
        <v>31954.019999999997</v>
      </c>
      <c r="L262" s="15">
        <f>IFERROR(K262/K444, "NA")</f>
        <v>6.1493005516585368E-2</v>
      </c>
      <c r="M262" s="2"/>
      <c r="N262" s="14">
        <f t="shared" si="65"/>
        <v>-1304.4800000000105</v>
      </c>
      <c r="O262" s="15">
        <f>IFERROR(N262/N444, "NA")</f>
        <v>0.29482372457685868</v>
      </c>
      <c r="P262" s="2"/>
      <c r="Q262" s="14">
        <f>IFERROR(Q240+Q241+Q242+Q243+Q244+Q245+Q246+Q247+Q248+Q249+Q250+Q251+Q252+Q253+Q254+Q255+Q256+Q257+Q258+Q259+Q260+Q261, "NA")</f>
        <v>313043.57</v>
      </c>
      <c r="R262" s="15">
        <f>IFERROR(Q262/Q444, "NA")</f>
        <v>6.7745333609144698E-2</v>
      </c>
      <c r="S262" s="2"/>
      <c r="T262" s="14">
        <f>IFERROR(T240+T241+T242+T243+T244+T245+T246+T247+T248+T249+T250+T251+T252+T253+T254+T255+T256+T257+T258+T259+T260+T261, "NA")</f>
        <v>302352.71000000002</v>
      </c>
      <c r="U262" s="15">
        <f>IFERROR(T262/T444, "NA")</f>
        <v>6.3483945220029842E-2</v>
      </c>
      <c r="V262" s="2"/>
      <c r="W262" s="14">
        <f t="shared" si="66"/>
        <v>-10690.859999999986</v>
      </c>
      <c r="X262" s="15">
        <f>IFERROR(W262/W444, "NA")</f>
        <v>7.540638940507649E-2</v>
      </c>
      <c r="Y262" s="2"/>
      <c r="Z262" s="14">
        <f>IFERROR(Z240+Z241+Z242+Z243+Z244+Z245+Z246+Z247+Z248+Z249+Z250+Z251+Z252+Z253+Z254+Z255+Z256+Z257+Z258+Z259+Z260+Z261, "NA")</f>
        <v>266090.92000000004</v>
      </c>
      <c r="AA262" s="15">
        <f>IFERROR(Z262/Z444, "NA")</f>
        <v>6.349042856048584E-2</v>
      </c>
      <c r="AB262" s="2"/>
      <c r="AC262" s="14">
        <f t="shared" si="67"/>
        <v>-46952.649999999965</v>
      </c>
      <c r="AD262" s="15">
        <f>IFERROR(AC262/AC444, "NA")</f>
        <v>-0.10923090752663385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33258.500000000007</v>
      </c>
      <c r="C263" s="15">
        <f>IFERROR(B263/B444, "NA")</f>
        <v>6.4553032096201945E-2</v>
      </c>
      <c r="D263" s="2"/>
      <c r="E263" s="14">
        <f>IFERROR(E238+E240+E241+E242+E243+E244+E245+E246+E247+E248+E249+E250+E251+E252+E253+E254+E255+E256+E257+E258+E259+E260+E261, "NA")</f>
        <v>36537.15</v>
      </c>
      <c r="F263" s="15">
        <f>IFERROR(E263/E444, "NA")</f>
        <v>6.2748255126691035E-2</v>
      </c>
      <c r="G263" s="2"/>
      <c r="H263" s="14">
        <f t="shared" si="64"/>
        <v>3278.6499999999942</v>
      </c>
      <c r="I263" s="15">
        <f>IFERROR(H263/H444, "NA")</f>
        <v>-4.8884380794364218E-2</v>
      </c>
      <c r="J263" s="2"/>
      <c r="K263" s="14">
        <f>IFERROR(K238+K240+K241+K242+K243+K244+K245+K246+K247+K248+K249+K250+K251+K252+K253+K254+K255+K256+K257+K258+K259+K260+K261, "NA")</f>
        <v>31954.019999999997</v>
      </c>
      <c r="L263" s="15">
        <f>IFERROR(K263/K444, "NA")</f>
        <v>6.1493005516585368E-2</v>
      </c>
      <c r="M263" s="2"/>
      <c r="N263" s="14">
        <f t="shared" si="65"/>
        <v>-1304.4800000000105</v>
      </c>
      <c r="O263" s="15">
        <f>IFERROR(N263/N444, "NA")</f>
        <v>0.29482372457685868</v>
      </c>
      <c r="P263" s="2"/>
      <c r="Q263" s="14">
        <f>IFERROR(Q238+Q240+Q241+Q242+Q243+Q244+Q245+Q246+Q247+Q248+Q249+Q250+Q251+Q252+Q253+Q254+Q255+Q256+Q257+Q258+Q259+Q260+Q261, "NA")</f>
        <v>313043.57</v>
      </c>
      <c r="R263" s="15">
        <f>IFERROR(Q263/Q444, "NA")</f>
        <v>6.7745333609144698E-2</v>
      </c>
      <c r="S263" s="2"/>
      <c r="T263" s="14">
        <f>IFERROR(T238+T240+T241+T242+T243+T244+T245+T246+T247+T248+T249+T250+T251+T252+T253+T254+T255+T256+T257+T258+T259+T260+T261, "NA")</f>
        <v>302352.71000000002</v>
      </c>
      <c r="U263" s="15">
        <f>IFERROR(T263/T444, "NA")</f>
        <v>6.3483945220029842E-2</v>
      </c>
      <c r="V263" s="2"/>
      <c r="W263" s="14">
        <f t="shared" si="66"/>
        <v>-10690.859999999986</v>
      </c>
      <c r="X263" s="15">
        <f>IFERROR(W263/W444, "NA")</f>
        <v>7.540638940507649E-2</v>
      </c>
      <c r="Y263" s="2"/>
      <c r="Z263" s="14">
        <f>IFERROR(Z238+Z240+Z241+Z242+Z243+Z244+Z245+Z246+Z247+Z248+Z249+Z250+Z251+Z252+Z253+Z254+Z255+Z256+Z257+Z258+Z259+Z260+Z261, "NA")</f>
        <v>266090.92000000004</v>
      </c>
      <c r="AA263" s="15">
        <f>IFERROR(Z263/Z444, "NA")</f>
        <v>6.349042856048584E-2</v>
      </c>
      <c r="AB263" s="2"/>
      <c r="AC263" s="14">
        <f t="shared" si="67"/>
        <v>-46952.649999999965</v>
      </c>
      <c r="AD263" s="15">
        <f>IFERROR(AC263/AC444, "NA")</f>
        <v>-0.10923090752663385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14869.59</v>
      </c>
      <c r="C265" s="8">
        <f>IFERROR(B265/B444, "NA")</f>
        <v>2.8861106800588222E-2</v>
      </c>
      <c r="D265" s="9"/>
      <c r="E265" s="7">
        <v>15633.59</v>
      </c>
      <c r="F265" s="8">
        <f>IFERROR(E265/E444, "NA")</f>
        <v>2.6848850932984256E-2</v>
      </c>
      <c r="G265" s="9"/>
      <c r="H265" s="10">
        <f>IFERROR(-(B265-E265), "NA")</f>
        <v>764</v>
      </c>
      <c r="I265" s="8">
        <f>IFERROR(H265/H444, "NA")</f>
        <v>-1.1391172258976814E-2</v>
      </c>
      <c r="J265" s="9"/>
      <c r="K265" s="7">
        <v>14252.340000000002</v>
      </c>
      <c r="L265" s="8">
        <f>IFERROR(K265/K444, "NA")</f>
        <v>2.7427510599425376E-2</v>
      </c>
      <c r="M265" s="9"/>
      <c r="N265" s="10">
        <f>IFERROR(-(B265-K265), "NA")</f>
        <v>-617.24999999999818</v>
      </c>
      <c r="O265" s="8">
        <f>IFERROR(N265/N444, "NA")</f>
        <v>0.13950382067572059</v>
      </c>
      <c r="P265" s="9"/>
      <c r="Q265" s="7">
        <v>120477.88</v>
      </c>
      <c r="R265" s="8">
        <f>IFERROR(Q265/Q444, "NA")</f>
        <v>2.6072454301241523E-2</v>
      </c>
      <c r="S265" s="9"/>
      <c r="T265" s="7">
        <v>128632.6</v>
      </c>
      <c r="U265" s="8">
        <f>IFERROR(T265/T444, "NA")</f>
        <v>2.7008538907787566E-2</v>
      </c>
      <c r="V265" s="9"/>
      <c r="W265" s="10">
        <f>IFERROR(-(Q265-T265), "NA")</f>
        <v>8154.7200000000012</v>
      </c>
      <c r="X265" s="8">
        <f>IFERROR(W265/W444, "NA")</f>
        <v>-5.7518103483664207E-2</v>
      </c>
      <c r="Y265" s="9"/>
      <c r="Z265" s="7">
        <v>117064.04</v>
      </c>
      <c r="AA265" s="8">
        <f>IFERROR(Z265/Z444, "NA")</f>
        <v>2.7931979297233653E-2</v>
      </c>
      <c r="AB265" s="9"/>
      <c r="AC265" s="10">
        <f>IFERROR(-(Q265-Z265), "NA")</f>
        <v>-3413.8400000000111</v>
      </c>
      <c r="AD265" s="8">
        <f>IFERROR(AC265/AC444, "NA")</f>
        <v>-7.941976466732446E-3</v>
      </c>
    </row>
    <row r="266" spans="1:30" ht="16.5" customHeight="1" x14ac:dyDescent="0.45">
      <c r="A266" s="6" t="s">
        <v>242</v>
      </c>
      <c r="B266" s="7">
        <v>82.72</v>
      </c>
      <c r="C266" s="8">
        <f>IFERROR(B266/B444, "NA")</f>
        <v>1.605552509884037E-4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-82.72</v>
      </c>
      <c r="I266" s="8">
        <f>IFERROR(H266/H444, "NA")</f>
        <v>1.2333478655269137E-3</v>
      </c>
      <c r="J266" s="9"/>
      <c r="K266" s="7">
        <v>6.4699999999999989</v>
      </c>
      <c r="L266" s="8">
        <f>IFERROR(K266/K444, "NA")</f>
        <v>1.2451007594421838E-5</v>
      </c>
      <c r="M266" s="9"/>
      <c r="N266" s="10">
        <f>IFERROR(-(B266-K266), "NA")</f>
        <v>-76.25</v>
      </c>
      <c r="O266" s="8">
        <f>IFERROR(N266/N444, "NA")</f>
        <v>1.7233157272618434E-2</v>
      </c>
      <c r="P266" s="9"/>
      <c r="Q266" s="7">
        <v>691.42000000000007</v>
      </c>
      <c r="R266" s="8">
        <f>IFERROR(Q266/Q444, "NA")</f>
        <v>1.4962926267431345E-4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-691.42000000000007</v>
      </c>
      <c r="X266" s="8">
        <f>IFERROR(W266/W444, "NA")</f>
        <v>4.8768280346443661E-3</v>
      </c>
      <c r="Y266" s="9"/>
      <c r="Z266" s="7">
        <v>392.65</v>
      </c>
      <c r="AA266" s="8">
        <f>IFERROR(Z266/Z444, "NA")</f>
        <v>9.3687964904156683E-5</v>
      </c>
      <c r="AB266" s="9"/>
      <c r="AC266" s="10">
        <f>IFERROR(-(Q266-Z266), "NA")</f>
        <v>-298.7700000000001</v>
      </c>
      <c r="AD266" s="8">
        <f>IFERROR(AC266/AC444, "NA")</f>
        <v>-6.950601987690243E-4</v>
      </c>
    </row>
    <row r="267" spans="1:30" ht="16.5" customHeight="1" x14ac:dyDescent="0.45">
      <c r="A267" s="19" t="s">
        <v>243</v>
      </c>
      <c r="B267" s="14">
        <f>IFERROR(B265+B266, "NA")</f>
        <v>14952.31</v>
      </c>
      <c r="C267" s="15">
        <f>IFERROR(B267/B444, "NA")</f>
        <v>2.9021662051576625E-2</v>
      </c>
      <c r="D267" s="2"/>
      <c r="E267" s="14">
        <f>IFERROR(E265+E266, "NA")</f>
        <v>15633.59</v>
      </c>
      <c r="F267" s="15">
        <f>IFERROR(E267/E444, "NA")</f>
        <v>2.6848850932984256E-2</v>
      </c>
      <c r="G267" s="2"/>
      <c r="H267" s="14">
        <f>IFERROR(-(B267-E267), "NA")</f>
        <v>681.28000000000065</v>
      </c>
      <c r="I267" s="15">
        <f>IFERROR(H267/H444, "NA")</f>
        <v>-1.0157824393449909E-2</v>
      </c>
      <c r="J267" s="2"/>
      <c r="K267" s="14">
        <f>IFERROR(K265+K266, "NA")</f>
        <v>14258.810000000001</v>
      </c>
      <c r="L267" s="15">
        <f>IFERROR(K267/K444, "NA")</f>
        <v>2.7439961607019798E-2</v>
      </c>
      <c r="M267" s="2"/>
      <c r="N267" s="14">
        <f>IFERROR(-(B267-K267), "NA")</f>
        <v>-693.49999999999818</v>
      </c>
      <c r="O267" s="15">
        <f>IFERROR(N267/N444, "NA")</f>
        <v>0.15673697794833905</v>
      </c>
      <c r="P267" s="2"/>
      <c r="Q267" s="14">
        <f>IFERROR(Q265+Q266, "NA")</f>
        <v>121169.3</v>
      </c>
      <c r="R267" s="15">
        <f>IFERROR(Q267/Q444, "NA")</f>
        <v>2.6222083563915838E-2</v>
      </c>
      <c r="S267" s="2"/>
      <c r="T267" s="14">
        <f>IFERROR(T265+T266, "NA")</f>
        <v>128632.6</v>
      </c>
      <c r="U267" s="15">
        <f>IFERROR(T267/T444, "NA")</f>
        <v>2.7008538907787566E-2</v>
      </c>
      <c r="V267" s="2"/>
      <c r="W267" s="14">
        <f>IFERROR(-(Q267-T267), "NA")</f>
        <v>7463.3000000000029</v>
      </c>
      <c r="X267" s="15">
        <f>IFERROR(W267/W444, "NA")</f>
        <v>-5.264127544901985E-2</v>
      </c>
      <c r="Y267" s="2"/>
      <c r="Z267" s="14">
        <f>IFERROR(Z265+Z266, "NA")</f>
        <v>117456.68999999999</v>
      </c>
      <c r="AA267" s="15">
        <f>IFERROR(Z267/Z444, "NA")</f>
        <v>2.8025667262137809E-2</v>
      </c>
      <c r="AB267" s="2"/>
      <c r="AC267" s="14">
        <f>IFERROR(-(Q267-Z267), "NA")</f>
        <v>-3712.6100000000151</v>
      </c>
      <c r="AD267" s="15">
        <f>IFERROR(AC267/AC444, "NA")</f>
        <v>-8.6370366655014793E-3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1055.5600000000002</v>
      </c>
      <c r="C270" s="8">
        <f>IFERROR(B270/B444, "NA")</f>
        <v>2.0487874846871305E-3</v>
      </c>
      <c r="D270" s="9"/>
      <c r="E270" s="7">
        <v>843.35</v>
      </c>
      <c r="F270" s="8">
        <f>IFERROR(E270/E444, "NA")</f>
        <v>1.4483543724974411E-3</v>
      </c>
      <c r="G270" s="9"/>
      <c r="H270" s="10">
        <f>IFERROR(-(B270-E270), "NA")</f>
        <v>-212.21000000000015</v>
      </c>
      <c r="I270" s="8">
        <f>IFERROR(H270/H444, "NA")</f>
        <v>3.164032284132816E-3</v>
      </c>
      <c r="J270" s="9"/>
      <c r="K270" s="7">
        <v>1104.42</v>
      </c>
      <c r="L270" s="8">
        <f>IFERROR(K270/K444, "NA")</f>
        <v>2.1253696765736276E-3</v>
      </c>
      <c r="M270" s="9"/>
      <c r="N270" s="10">
        <f>IFERROR(-(B270-K270), "NA")</f>
        <v>48.8599999999999</v>
      </c>
      <c r="O270" s="8">
        <f>IFERROR(N270/N444, "NA")</f>
        <v>-1.1042781171673901E-2</v>
      </c>
      <c r="P270" s="9"/>
      <c r="Q270" s="7">
        <v>9226.4299999999985</v>
      </c>
      <c r="R270" s="8">
        <f>IFERROR(Q270/Q444, "NA")</f>
        <v>1.9966791791041125E-3</v>
      </c>
      <c r="S270" s="9"/>
      <c r="T270" s="7">
        <v>7970.32</v>
      </c>
      <c r="U270" s="8">
        <f>IFERROR(T270/T444, "NA")</f>
        <v>1.6735003243930184E-3</v>
      </c>
      <c r="V270" s="9"/>
      <c r="W270" s="10">
        <f>IFERROR(-(Q270-T270), "NA")</f>
        <v>-1256.1099999999988</v>
      </c>
      <c r="X270" s="8">
        <f>IFERROR(W270/W444, "NA")</f>
        <v>8.8597848812547036E-3</v>
      </c>
      <c r="Y270" s="9"/>
      <c r="Z270" s="7">
        <v>7802.3200000000006</v>
      </c>
      <c r="AA270" s="8">
        <f>IFERROR(Z270/Z444, "NA")</f>
        <v>1.8616668339004197E-3</v>
      </c>
      <c r="AB270" s="9"/>
      <c r="AC270" s="10">
        <f>IFERROR(-(Q270-Z270), "NA")</f>
        <v>-1424.1099999999979</v>
      </c>
      <c r="AD270" s="8">
        <f>IFERROR(AC270/AC444, "NA")</f>
        <v>-3.3130574678480215E-3</v>
      </c>
    </row>
    <row r="271" spans="1:30" ht="16.5" customHeight="1" x14ac:dyDescent="0.45">
      <c r="A271" s="6" t="s">
        <v>246</v>
      </c>
      <c r="B271" s="7">
        <v>5247.9599999999991</v>
      </c>
      <c r="C271" s="8">
        <f>IFERROR(B271/B444, "NA")</f>
        <v>1.0186019523417588E-2</v>
      </c>
      <c r="D271" s="9"/>
      <c r="E271" s="7">
        <v>3806.16</v>
      </c>
      <c r="F271" s="8">
        <f>IFERROR(E271/E444, "NA")</f>
        <v>6.5366318591626969E-3</v>
      </c>
      <c r="G271" s="9"/>
      <c r="H271" s="10">
        <f>IFERROR(-(B271-E271), "NA")</f>
        <v>-1441.7999999999993</v>
      </c>
      <c r="I271" s="8">
        <f>IFERROR(H271/H444, "NA")</f>
        <v>2.1497110160985291E-2</v>
      </c>
      <c r="J271" s="9"/>
      <c r="K271" s="7">
        <v>3693.01</v>
      </c>
      <c r="L271" s="8">
        <f>IFERROR(K271/K444, "NA")</f>
        <v>7.1069081230719939E-3</v>
      </c>
      <c r="M271" s="9"/>
      <c r="N271" s="10">
        <f>IFERROR(-(B271-K271), "NA")</f>
        <v>-1554.9499999999989</v>
      </c>
      <c r="O271" s="8">
        <f>IFERROR(N271/N444, "NA")</f>
        <v>0.35143210362043292</v>
      </c>
      <c r="P271" s="9"/>
      <c r="Q271" s="7">
        <v>39519.279999999999</v>
      </c>
      <c r="R271" s="8">
        <f>IFERROR(Q271/Q444, "NA")</f>
        <v>8.5523136846196845E-3</v>
      </c>
      <c r="S271" s="9"/>
      <c r="T271" s="7">
        <v>31262.04</v>
      </c>
      <c r="U271" s="8">
        <f>IFERROR(T271/T444, "NA")</f>
        <v>6.563981632003172E-3</v>
      </c>
      <c r="V271" s="9"/>
      <c r="W271" s="10">
        <f>IFERROR(-(Q271-T271), "NA")</f>
        <v>-8257.239999999998</v>
      </c>
      <c r="X271" s="8">
        <f>IFERROR(W271/W444, "NA")</f>
        <v>5.8241213040969061E-2</v>
      </c>
      <c r="Y271" s="9"/>
      <c r="Z271" s="7">
        <v>31525.7</v>
      </c>
      <c r="AA271" s="8">
        <f>IFERROR(Z271/Z444, "NA")</f>
        <v>7.52216649733598E-3</v>
      </c>
      <c r="AB271" s="9"/>
      <c r="AC271" s="10">
        <f>IFERROR(-(Q271-Z271), "NA")</f>
        <v>-7993.5799999999981</v>
      </c>
      <c r="AD271" s="8">
        <f>IFERROR(AC271/AC444, "NA")</f>
        <v>-1.8596309213361764E-2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6303.5199999999995</v>
      </c>
      <c r="C273" s="15">
        <f>IFERROR(B273/B444, "NA")</f>
        <v>1.2234807008104719E-2</v>
      </c>
      <c r="D273" s="2"/>
      <c r="E273" s="14">
        <f>IFERROR(E269+E270+E271+E272, "NA")</f>
        <v>4649.51</v>
      </c>
      <c r="F273" s="15">
        <f>IFERROR(E273/E444, "NA")</f>
        <v>7.9849862316601385E-3</v>
      </c>
      <c r="G273" s="2"/>
      <c r="H273" s="14">
        <f>IFERROR(-(B273-E273), "NA")</f>
        <v>-1654.0099999999993</v>
      </c>
      <c r="I273" s="15">
        <f>IFERROR(H273/H444, "NA")</f>
        <v>2.4661142445118103E-2</v>
      </c>
      <c r="J273" s="2"/>
      <c r="K273" s="14">
        <f>IFERROR(K269+K270+K271+K272, "NA")</f>
        <v>4797.43</v>
      </c>
      <c r="L273" s="15">
        <f>IFERROR(K273/K444, "NA")</f>
        <v>9.2322777996456211E-3</v>
      </c>
      <c r="M273" s="2"/>
      <c r="N273" s="14">
        <f>IFERROR(-(B273-K273), "NA")</f>
        <v>-1506.0899999999992</v>
      </c>
      <c r="O273" s="15">
        <f>IFERROR(N273/N444, "NA")</f>
        <v>0.34038932244875908</v>
      </c>
      <c r="P273" s="2"/>
      <c r="Q273" s="14">
        <f>IFERROR(Q269+Q270+Q271+Q272, "NA")</f>
        <v>48745.71</v>
      </c>
      <c r="R273" s="15">
        <f>IFERROR(Q273/Q444, "NA")</f>
        <v>1.0548992863723797E-2</v>
      </c>
      <c r="S273" s="2"/>
      <c r="T273" s="14">
        <f>IFERROR(T269+T270+T271+T272, "NA")</f>
        <v>39232.36</v>
      </c>
      <c r="U273" s="15">
        <f>IFERROR(T273/T444, "NA")</f>
        <v>8.2374819563961893E-3</v>
      </c>
      <c r="V273" s="2"/>
      <c r="W273" s="14">
        <f>IFERROR(-(Q273-T273), "NA")</f>
        <v>-9513.3499999999985</v>
      </c>
      <c r="X273" s="15">
        <f>IFERROR(W273/W444, "NA")</f>
        <v>6.7100997922223779E-2</v>
      </c>
      <c r="Y273" s="2"/>
      <c r="Z273" s="14">
        <f>IFERROR(Z269+Z270+Z271+Z272, "NA")</f>
        <v>39328.020000000004</v>
      </c>
      <c r="AA273" s="15">
        <f>IFERROR(Z273/Z444, "NA")</f>
        <v>9.3838333312364006E-3</v>
      </c>
      <c r="AB273" s="2"/>
      <c r="AC273" s="14">
        <f>IFERROR(-(Q273-Z273), "NA")</f>
        <v>-9417.6899999999951</v>
      </c>
      <c r="AD273" s="15">
        <f>IFERROR(AC273/AC444, "NA")</f>
        <v>-2.1909366681209786E-2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1.8837486429131459E-3</v>
      </c>
      <c r="D287" s="9"/>
      <c r="E287" s="7">
        <v>2703</v>
      </c>
      <c r="F287" s="8">
        <f>IFERROR(E287/E444, "NA")</f>
        <v>4.6420843882855082E-3</v>
      </c>
      <c r="G287" s="9"/>
      <c r="H287" s="10">
        <f t="shared" si="72"/>
        <v>1732.47</v>
      </c>
      <c r="I287" s="8">
        <f>IFERROR(H287/H444, "NA")</f>
        <v>-2.5830974088363299E-2</v>
      </c>
      <c r="J287" s="9"/>
      <c r="K287" s="7">
        <v>970.53</v>
      </c>
      <c r="L287" s="8">
        <f>IFERROR(K287/K444, "NA")</f>
        <v>1.8677088718105452E-3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7764.24</v>
      </c>
      <c r="R287" s="8">
        <f>IFERROR(Q287/Q444, "NA")</f>
        <v>1.6802486280790422E-3</v>
      </c>
      <c r="S287" s="9"/>
      <c r="T287" s="7">
        <v>21624</v>
      </c>
      <c r="U287" s="8">
        <f>IFERROR(T287/T444, "NA")</f>
        <v>4.540315949005138E-3</v>
      </c>
      <c r="V287" s="9"/>
      <c r="W287" s="10">
        <f t="shared" si="74"/>
        <v>13859.76</v>
      </c>
      <c r="X287" s="8">
        <f>IFERROR(W287/W444, "NA")</f>
        <v>-9.7757753784158088E-2</v>
      </c>
      <c r="Y287" s="9"/>
      <c r="Z287" s="7">
        <v>7764.24</v>
      </c>
      <c r="AA287" s="8">
        <f>IFERROR(Z287/Z444, "NA")</f>
        <v>1.8525807834647891E-3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763.79000000000008</v>
      </c>
      <c r="C288" s="8">
        <f>IFERROR(B288/B444, "NA")</f>
        <v>1.4824769723456586E-3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-763.79000000000008</v>
      </c>
      <c r="I288" s="8">
        <f>IFERROR(H288/H444, "NA")</f>
        <v>1.1388041177596729E-2</v>
      </c>
      <c r="J288" s="9"/>
      <c r="K288" s="7">
        <v>748.68</v>
      </c>
      <c r="L288" s="8">
        <f>IFERROR(K288/K444, "NA")</f>
        <v>1.4407759452537468E-3</v>
      </c>
      <c r="M288" s="9"/>
      <c r="N288" s="10">
        <f t="shared" si="73"/>
        <v>-15.110000000000127</v>
      </c>
      <c r="O288" s="8">
        <f>IFERROR(N288/N444, "NA")</f>
        <v>3.4149902477280877E-3</v>
      </c>
      <c r="P288" s="9"/>
      <c r="Q288" s="7">
        <v>7045.95</v>
      </c>
      <c r="R288" s="8">
        <f>IFERROR(Q288/Q444, "NA")</f>
        <v>1.5248044652166248E-3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-7045.95</v>
      </c>
      <c r="X288" s="8">
        <f>IFERROR(W288/W444, "NA")</f>
        <v>4.9697559357123694E-2</v>
      </c>
      <c r="Y288" s="9"/>
      <c r="Z288" s="7">
        <v>5464.47</v>
      </c>
      <c r="AA288" s="8">
        <f>IFERROR(Z288/Z444, "NA")</f>
        <v>1.3038458514703097E-3</v>
      </c>
      <c r="AB288" s="9"/>
      <c r="AC288" s="10">
        <f t="shared" si="75"/>
        <v>-1581.4799999999996</v>
      </c>
      <c r="AD288" s="8">
        <f>IFERROR(AC288/AC444, "NA")</f>
        <v>-3.6791639158859188E-3</v>
      </c>
    </row>
    <row r="289" spans="1:30" ht="16.5" customHeight="1" x14ac:dyDescent="0.45">
      <c r="A289" s="6" t="s">
        <v>262</v>
      </c>
      <c r="B289" s="7">
        <v>1098.8</v>
      </c>
      <c r="C289" s="8">
        <f>IFERROR(B289/B444, "NA")</f>
        <v>2.1327140931583408E-3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-1098.8</v>
      </c>
      <c r="I289" s="8">
        <f>IFERROR(H289/H444, "NA")</f>
        <v>1.6383010573512727E-2</v>
      </c>
      <c r="J289" s="9"/>
      <c r="K289" s="7">
        <v>809.10000000000014</v>
      </c>
      <c r="L289" s="8">
        <f>IFERROR(K289/K444, "NA")</f>
        <v>1.557049496854206E-3</v>
      </c>
      <c r="M289" s="9"/>
      <c r="N289" s="10">
        <f t="shared" si="73"/>
        <v>-289.69999999999982</v>
      </c>
      <c r="O289" s="8">
        <f>IFERROR(N289/N444, "NA")</f>
        <v>6.5474697204951568E-2</v>
      </c>
      <c r="P289" s="9"/>
      <c r="Q289" s="7">
        <v>8613.59</v>
      </c>
      <c r="R289" s="8">
        <f>IFERROR(Q289/Q444, "NA")</f>
        <v>1.8640553074525464E-3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-8613.59</v>
      </c>
      <c r="X289" s="8">
        <f>IFERROR(W289/W444, "NA")</f>
        <v>6.0754674714258133E-2</v>
      </c>
      <c r="Y289" s="9"/>
      <c r="Z289" s="7">
        <v>7956.8900000000012</v>
      </c>
      <c r="AA289" s="8">
        <f>IFERROR(Z289/Z444, "NA")</f>
        <v>1.8985478952406351E-3</v>
      </c>
      <c r="AB289" s="9"/>
      <c r="AC289" s="10">
        <f t="shared" si="75"/>
        <v>-656.69999999999891</v>
      </c>
      <c r="AD289" s="8">
        <f>IFERROR(AC289/AC444, "NA")</f>
        <v>-1.5277505523701087E-3</v>
      </c>
    </row>
    <row r="290" spans="1:30" ht="16.5" customHeight="1" x14ac:dyDescent="0.45">
      <c r="A290" s="6" t="s">
        <v>263</v>
      </c>
      <c r="B290" s="7">
        <v>5769.23</v>
      </c>
      <c r="C290" s="8">
        <f>IFERROR(B290/B444, "NA")</f>
        <v>1.1197777691729064E-2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-5769.23</v>
      </c>
      <c r="I290" s="8">
        <f>IFERROR(H290/H444, "NA")</f>
        <v>8.6018707763948682E-2</v>
      </c>
      <c r="J290" s="9"/>
      <c r="K290" s="7">
        <v>1944.54</v>
      </c>
      <c r="L290" s="8">
        <f>IFERROR(K290/K444, "NA")</f>
        <v>3.7421147307043347E-3</v>
      </c>
      <c r="M290" s="9"/>
      <c r="N290" s="10">
        <f t="shared" si="73"/>
        <v>-3824.6899999999996</v>
      </c>
      <c r="O290" s="8">
        <f>IFERROR(N290/N444, "NA")</f>
        <v>0.86441290870834075</v>
      </c>
      <c r="P290" s="9"/>
      <c r="Q290" s="7">
        <v>28904.940000000002</v>
      </c>
      <c r="R290" s="8">
        <f>IFERROR(Q290/Q444, "NA")</f>
        <v>6.2552787883562383E-3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-28904.940000000002</v>
      </c>
      <c r="X290" s="8">
        <f>IFERROR(W290/W444, "NA")</f>
        <v>0.20387669105856543</v>
      </c>
      <c r="Y290" s="9"/>
      <c r="Z290" s="7">
        <v>17800.940000000002</v>
      </c>
      <c r="AA290" s="8">
        <f>IFERROR(Z290/Z444, "NA")</f>
        <v>4.2473802164293877E-3</v>
      </c>
      <c r="AB290" s="9"/>
      <c r="AC290" s="10">
        <f t="shared" si="75"/>
        <v>-11104</v>
      </c>
      <c r="AD290" s="8">
        <f>IFERROR(AC290/AC444, "NA")</f>
        <v>-2.5832407695321632E-2</v>
      </c>
    </row>
    <row r="291" spans="1:30" ht="16.5" customHeight="1" x14ac:dyDescent="0.45">
      <c r="A291" s="6" t="s">
        <v>264</v>
      </c>
      <c r="B291" s="7">
        <v>2740.95</v>
      </c>
      <c r="C291" s="8">
        <f>IFERROR(B291/B444, "NA")</f>
        <v>5.3200424951240942E-3</v>
      </c>
      <c r="D291" s="9"/>
      <c r="E291" s="7">
        <v>7159.1299999999992</v>
      </c>
      <c r="F291" s="8">
        <f>IFERROR(E291/E444, "NA")</f>
        <v>1.229496322852624E-2</v>
      </c>
      <c r="G291" s="9"/>
      <c r="H291" s="10">
        <f t="shared" si="72"/>
        <v>4418.1799999999994</v>
      </c>
      <c r="I291" s="8">
        <f>IFERROR(H291/H444, "NA")</f>
        <v>-6.587467205650023E-2</v>
      </c>
      <c r="J291" s="9"/>
      <c r="K291" s="7">
        <v>94.89</v>
      </c>
      <c r="L291" s="8">
        <f>IFERROR(K291/K444, "NA")</f>
        <v>1.8260836331293484E-4</v>
      </c>
      <c r="M291" s="9"/>
      <c r="N291" s="10">
        <f t="shared" si="73"/>
        <v>-2646.06</v>
      </c>
      <c r="O291" s="8">
        <f>IFERROR(N291/N444, "NA")</f>
        <v>0.59803236895455381</v>
      </c>
      <c r="P291" s="9"/>
      <c r="Q291" s="7">
        <v>31832.739999999998</v>
      </c>
      <c r="R291" s="8">
        <f>IFERROR(Q291/Q444, "NA")</f>
        <v>6.8888800079591628E-3</v>
      </c>
      <c r="S291" s="9"/>
      <c r="T291" s="7">
        <v>58666.26</v>
      </c>
      <c r="U291" s="8">
        <f>IFERROR(T291/T444, "NA")</f>
        <v>1.231795023799862E-2</v>
      </c>
      <c r="V291" s="9"/>
      <c r="W291" s="10">
        <f t="shared" si="74"/>
        <v>26833.520000000004</v>
      </c>
      <c r="X291" s="8">
        <f>IFERROR(W291/W444, "NA")</f>
        <v>-0.18926623847182653</v>
      </c>
      <c r="Y291" s="9"/>
      <c r="Z291" s="7">
        <v>15825.74</v>
      </c>
      <c r="AA291" s="8">
        <f>IFERROR(Z291/Z444, "NA")</f>
        <v>3.7760890709341872E-3</v>
      </c>
      <c r="AB291" s="9"/>
      <c r="AC291" s="10">
        <f t="shared" si="75"/>
        <v>-16006.999999999998</v>
      </c>
      <c r="AD291" s="8">
        <f>IFERROR(AC291/AC444, "NA")</f>
        <v>-3.7238774313671945E-2</v>
      </c>
    </row>
    <row r="292" spans="1:30" ht="16.5" customHeight="1" x14ac:dyDescent="0.45">
      <c r="A292" s="6" t="s">
        <v>265</v>
      </c>
      <c r="B292" s="7">
        <v>336.68</v>
      </c>
      <c r="C292" s="8">
        <f>IFERROR(B292/B444, "NA")</f>
        <v>6.5347850462736646E-4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-336.68</v>
      </c>
      <c r="I292" s="8">
        <f>IFERROR(H292/H444, "NA")</f>
        <v>5.0198689478433423E-3</v>
      </c>
      <c r="J292" s="9"/>
      <c r="K292" s="7">
        <v>1078.5999999999999</v>
      </c>
      <c r="L292" s="8">
        <f>IFERROR(K292/K444, "NA")</f>
        <v>2.0756811114904785E-3</v>
      </c>
      <c r="M292" s="9"/>
      <c r="N292" s="10">
        <f t="shared" si="73"/>
        <v>741.91999999999985</v>
      </c>
      <c r="O292" s="8">
        <f>IFERROR(N292/N444, "NA")</f>
        <v>-0.16768031532722708</v>
      </c>
      <c r="P292" s="9"/>
      <c r="Q292" s="7">
        <v>6160.2499999999991</v>
      </c>
      <c r="R292" s="8">
        <f>IFERROR(Q292/Q444, "NA")</f>
        <v>1.3331313317367726E-3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-6160.2499999999991</v>
      </c>
      <c r="X292" s="8">
        <f>IFERROR(W292/W444, "NA")</f>
        <v>4.3450406265971402E-2</v>
      </c>
      <c r="Y292" s="9"/>
      <c r="Z292" s="7">
        <v>5433.2</v>
      </c>
      <c r="AA292" s="8">
        <f>IFERROR(Z292/Z444, "NA")</f>
        <v>1.2963846960836981E-3</v>
      </c>
      <c r="AB292" s="9"/>
      <c r="AC292" s="10">
        <f t="shared" si="75"/>
        <v>-727.04999999999927</v>
      </c>
      <c r="AD292" s="8">
        <f>IFERROR(AC292/AC444, "NA")</f>
        <v>-1.6914131857784197E-3</v>
      </c>
    </row>
    <row r="293" spans="1:30" ht="16.5" customHeight="1" x14ac:dyDescent="0.45">
      <c r="A293" s="6" t="s">
        <v>266</v>
      </c>
      <c r="B293" s="7">
        <v>3091.48</v>
      </c>
      <c r="C293" s="8">
        <f>IFERROR(B293/B444, "NA")</f>
        <v>6.0004031349810234E-3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-3091.48</v>
      </c>
      <c r="I293" s="8">
        <f>IFERROR(H293/H444, "NA")</f>
        <v>4.6093692690028325E-2</v>
      </c>
      <c r="J293" s="9"/>
      <c r="K293" s="7">
        <v>295.24</v>
      </c>
      <c r="L293" s="8">
        <f>IFERROR(K293/K444, "NA")</f>
        <v>5.6816622599337001E-4</v>
      </c>
      <c r="M293" s="9"/>
      <c r="N293" s="10">
        <f t="shared" si="73"/>
        <v>-2796.24</v>
      </c>
      <c r="O293" s="8">
        <f>IFERROR(N293/N444, "NA")</f>
        <v>0.63197434350146309</v>
      </c>
      <c r="P293" s="9"/>
      <c r="Q293" s="7">
        <v>7515.01</v>
      </c>
      <c r="R293" s="8">
        <f>IFERROR(Q293/Q444, "NA")</f>
        <v>1.6263131024414862E-3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-7515.01</v>
      </c>
      <c r="X293" s="8">
        <f>IFERROR(W293/W444, "NA")</f>
        <v>5.3006004235678389E-2</v>
      </c>
      <c r="Y293" s="9"/>
      <c r="Z293" s="7">
        <v>7002.6699999999992</v>
      </c>
      <c r="AA293" s="8">
        <f>IFERROR(Z293/Z444, "NA")</f>
        <v>1.6708669328801497E-3</v>
      </c>
      <c r="AB293" s="9"/>
      <c r="AC293" s="10">
        <f t="shared" si="75"/>
        <v>-512.34000000000106</v>
      </c>
      <c r="AD293" s="8">
        <f>IFERROR(AC293/AC444, "NA")</f>
        <v>-1.1919106410861952E-3</v>
      </c>
    </row>
    <row r="294" spans="1:30" ht="16.5" customHeight="1" x14ac:dyDescent="0.45">
      <c r="A294" s="6" t="s">
        <v>267</v>
      </c>
      <c r="B294" s="7">
        <v>1703.23</v>
      </c>
      <c r="C294" s="8">
        <f>IFERROR(B294/B444, "NA")</f>
        <v>3.3058815297507113E-3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-1703.23</v>
      </c>
      <c r="I294" s="8">
        <f>IFERROR(H294/H444, "NA")</f>
        <v>2.5395008280964762E-2</v>
      </c>
      <c r="J294" s="9"/>
      <c r="K294" s="7">
        <v>183.32999999999998</v>
      </c>
      <c r="L294" s="8">
        <f>IFERROR(K294/K444, "NA")</f>
        <v>3.5280420746296068E-4</v>
      </c>
      <c r="M294" s="9"/>
      <c r="N294" s="10">
        <f t="shared" si="73"/>
        <v>-1519.9</v>
      </c>
      <c r="O294" s="8">
        <f>IFERROR(N294/N444, "NA")</f>
        <v>0.34351050149052798</v>
      </c>
      <c r="P294" s="9"/>
      <c r="Q294" s="7">
        <v>14535.78</v>
      </c>
      <c r="R294" s="8">
        <f>IFERROR(Q294/Q444, "NA")</f>
        <v>3.1456683980735762E-3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-14535.78</v>
      </c>
      <c r="X294" s="8">
        <f>IFERROR(W294/W444, "NA")</f>
        <v>0.10252596021148198</v>
      </c>
      <c r="Y294" s="9"/>
      <c r="Z294" s="7">
        <v>1377.1399999999999</v>
      </c>
      <c r="AA294" s="8">
        <f>IFERROR(Z294/Z444, "NA")</f>
        <v>3.2859147838561144E-4</v>
      </c>
      <c r="AB294" s="9"/>
      <c r="AC294" s="10">
        <f t="shared" si="75"/>
        <v>-13158.640000000001</v>
      </c>
      <c r="AD294" s="8">
        <f>IFERROR(AC294/AC444, "NA")</f>
        <v>-3.0612333681193E-2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16474.689999999999</v>
      </c>
      <c r="C295" s="15">
        <f>IFERROR(B295/B444, "NA")</f>
        <v>3.1976523064629406E-2</v>
      </c>
      <c r="D295" s="2"/>
      <c r="E295" s="14">
        <f>IFERROR(E286+E287+E288+E289+E290+E291+E292+E293+E294, "NA")</f>
        <v>9862.1299999999992</v>
      </c>
      <c r="F295" s="15">
        <f>IFERROR(E295/E444, "NA")</f>
        <v>1.6937047616811748E-2</v>
      </c>
      <c r="G295" s="2"/>
      <c r="H295" s="14">
        <f t="shared" si="72"/>
        <v>-6612.5599999999995</v>
      </c>
      <c r="I295" s="15">
        <f>IFERROR(H295/H444, "NA")</f>
        <v>9.8592683289031036E-2</v>
      </c>
      <c r="J295" s="2"/>
      <c r="K295" s="14">
        <f>IFERROR(K286+K287+K288+K289+K290+K291+K292+K293+K294, "NA")</f>
        <v>6124.91</v>
      </c>
      <c r="L295" s="15">
        <f>IFERROR(K295/K444, "NA")</f>
        <v>1.1786908952882577E-2</v>
      </c>
      <c r="M295" s="2"/>
      <c r="N295" s="14">
        <f t="shared" si="73"/>
        <v>-10349.779999999999</v>
      </c>
      <c r="O295" s="15">
        <f>IFERROR(N295/N444, "NA")</f>
        <v>2.3391394947803379</v>
      </c>
      <c r="P295" s="2"/>
      <c r="Q295" s="14">
        <f>IFERROR(Q286+Q287+Q288+Q289+Q290+Q291+Q292+Q293+Q294, "NA")</f>
        <v>112372.49999999999</v>
      </c>
      <c r="R295" s="15">
        <f>IFERROR(Q295/Q444, "NA")</f>
        <v>2.4318380029315446E-2</v>
      </c>
      <c r="S295" s="2"/>
      <c r="T295" s="14">
        <f>IFERROR(T286+T287+T288+T289+T290+T291+T292+T293+T294, "NA")</f>
        <v>80290.260000000009</v>
      </c>
      <c r="U295" s="15">
        <f>IFERROR(T295/T444, "NA")</f>
        <v>1.685826618700376E-2</v>
      </c>
      <c r="V295" s="2"/>
      <c r="W295" s="14">
        <f t="shared" si="74"/>
        <v>-32082.239999999976</v>
      </c>
      <c r="X295" s="15">
        <f>IFERROR(W295/W444, "NA")</f>
        <v>0.22628730358709429</v>
      </c>
      <c r="Y295" s="2"/>
      <c r="Z295" s="14">
        <f>IFERROR(Z286+Z287+Z288+Z289+Z290+Z291+Z292+Z293+Z294, "NA")</f>
        <v>68625.289999999994</v>
      </c>
      <c r="AA295" s="15">
        <f>IFERROR(Z295/Z444, "NA")</f>
        <v>1.6374286924888765E-2</v>
      </c>
      <c r="AB295" s="2"/>
      <c r="AC295" s="14">
        <f t="shared" si="75"/>
        <v>-43747.209999999992</v>
      </c>
      <c r="AD295" s="15">
        <f>IFERROR(AC295/AC444, "NA")</f>
        <v>-0.10177375398530721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7569.67</v>
      </c>
      <c r="F297" s="8">
        <f>IFERROR(E297/E444, "NA")</f>
        <v>1.3000017362735169E-2</v>
      </c>
      <c r="G297" s="9"/>
      <c r="H297" s="10">
        <f t="shared" ref="H297:H325" si="76">IFERROR(-(B297-E297), "NA")</f>
        <v>7569.67</v>
      </c>
      <c r="I297" s="8">
        <f>IFERROR(H297/H444, "NA")</f>
        <v>-0.11286310852566625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61914.64</v>
      </c>
      <c r="U297" s="8">
        <f>IFERROR(T297/T444, "NA")</f>
        <v>1.3000001270297422E-2</v>
      </c>
      <c r="V297" s="9"/>
      <c r="W297" s="10">
        <f t="shared" ref="W297:W325" si="78">IFERROR(-(Q297-T297), "NA")</f>
        <v>61914.64</v>
      </c>
      <c r="X297" s="8">
        <f>IFERROR(W297/W444, "NA")</f>
        <v>-0.4367056956797799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1905.52</v>
      </c>
      <c r="C299" s="8">
        <f>IFERROR(B299/B444, "NA")</f>
        <v>3.6985159799736824E-3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-1905.52</v>
      </c>
      <c r="I299" s="8">
        <f>IFERROR(H299/H444, "NA")</f>
        <v>2.8411134244666882E-2</v>
      </c>
      <c r="J299" s="9"/>
      <c r="K299" s="7">
        <v>1436.11</v>
      </c>
      <c r="L299" s="8">
        <f>IFERROR(K299/K444, "NA")</f>
        <v>2.7636810689992499E-3</v>
      </c>
      <c r="M299" s="9"/>
      <c r="N299" s="10">
        <f t="shared" si="77"/>
        <v>-469.41000000000008</v>
      </c>
      <c r="O299" s="8">
        <f>IFERROR(N299/N444, "NA")</f>
        <v>0.10609070629953862</v>
      </c>
      <c r="P299" s="9"/>
      <c r="Q299" s="7">
        <v>19351.07</v>
      </c>
      <c r="R299" s="8">
        <f>IFERROR(Q299/Q444, "NA")</f>
        <v>4.1877387637890527E-3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-19351.07</v>
      </c>
      <c r="X299" s="8">
        <f>IFERROR(W299/W444, "NA")</f>
        <v>0.13648989134876854</v>
      </c>
      <c r="Y299" s="9"/>
      <c r="Z299" s="7">
        <v>10945.869999999999</v>
      </c>
      <c r="AA299" s="8">
        <f>IFERROR(Z299/Z444, "NA")</f>
        <v>2.6117312731579307E-3</v>
      </c>
      <c r="AB299" s="9"/>
      <c r="AC299" s="10">
        <f t="shared" si="79"/>
        <v>-8405.2000000000007</v>
      </c>
      <c r="AD299" s="8">
        <f>IFERROR(AC299/AC444, "NA")</f>
        <v>-1.9553904283205817E-2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258.78999999999996</v>
      </c>
      <c r="L304" s="8">
        <f>IFERROR(K304/K444, "NA")</f>
        <v>4.9802105956111707E-4</v>
      </c>
      <c r="M304" s="9"/>
      <c r="N304" s="10">
        <f t="shared" si="77"/>
        <v>258.78999999999996</v>
      </c>
      <c r="O304" s="8">
        <f>IFERROR(N304/N444, "NA")</f>
        <v>-5.8488770761717025E-2</v>
      </c>
      <c r="P304" s="9"/>
      <c r="Q304" s="7">
        <v>834.62000000000012</v>
      </c>
      <c r="R304" s="8">
        <f>IFERROR(Q304/Q444, "NA")</f>
        <v>1.8061898008914337E-4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-834.62000000000012</v>
      </c>
      <c r="X304" s="8">
        <f>IFERROR(W304/W444, "NA")</f>
        <v>5.8868679157022949E-3</v>
      </c>
      <c r="Y304" s="9"/>
      <c r="Z304" s="7">
        <v>710.04</v>
      </c>
      <c r="AA304" s="8">
        <f>IFERROR(Z304/Z444, "NA")</f>
        <v>1.6941857277612992E-4</v>
      </c>
      <c r="AB304" s="9"/>
      <c r="AC304" s="10">
        <f t="shared" si="79"/>
        <v>-124.58000000000015</v>
      </c>
      <c r="AD304" s="8">
        <f>IFERROR(AC304/AC444, "NA")</f>
        <v>-2.8982360867103499E-4</v>
      </c>
    </row>
    <row r="305" spans="1:30" ht="16.5" customHeight="1" x14ac:dyDescent="0.45">
      <c r="A305" s="6" t="s">
        <v>277</v>
      </c>
      <c r="B305" s="7">
        <v>332.46</v>
      </c>
      <c r="C305" s="8">
        <f>IFERROR(B305/B444, "NA")</f>
        <v>6.4528770241301602E-4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-332.46</v>
      </c>
      <c r="I305" s="8">
        <f>IFERROR(H305/H444, "NA")</f>
        <v>4.9569491220149619E-3</v>
      </c>
      <c r="J305" s="9"/>
      <c r="K305" s="7">
        <v>58.33</v>
      </c>
      <c r="L305" s="8">
        <f>IFERROR(K305/K444, "NA")</f>
        <v>1.1225151050736104E-4</v>
      </c>
      <c r="M305" s="9"/>
      <c r="N305" s="10">
        <f t="shared" si="77"/>
        <v>-274.13</v>
      </c>
      <c r="O305" s="8">
        <f>IFERROR(N305/N444, "NA")</f>
        <v>6.1955742992037911E-2</v>
      </c>
      <c r="P305" s="9"/>
      <c r="Q305" s="7">
        <v>657.73</v>
      </c>
      <c r="R305" s="8">
        <f>IFERROR(Q305/Q444, "NA")</f>
        <v>1.4233845555346416E-4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-657.73</v>
      </c>
      <c r="X305" s="8">
        <f>IFERROR(W305/W444, "NA")</f>
        <v>4.639200635253013E-3</v>
      </c>
      <c r="Y305" s="9"/>
      <c r="Z305" s="7">
        <v>451.2</v>
      </c>
      <c r="AA305" s="8">
        <f>IFERROR(Z305/Z444, "NA")</f>
        <v>1.0765824465746974E-4</v>
      </c>
      <c r="AB305" s="9"/>
      <c r="AC305" s="10">
        <f t="shared" si="79"/>
        <v>-206.53000000000003</v>
      </c>
      <c r="AD305" s="8">
        <f>IFERROR(AC305/AC444, "NA")</f>
        <v>-4.8047254694837691E-4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94.389999999999986</v>
      </c>
      <c r="C310" s="8">
        <f>IFERROR(B310/B444, "NA")</f>
        <v>1.8320611872334891E-4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-94.389999999999986</v>
      </c>
      <c r="I310" s="8">
        <f>IFERROR(H310/H444, "NA")</f>
        <v>1.4073465307916509E-3</v>
      </c>
      <c r="J310" s="9"/>
      <c r="K310" s="7">
        <v>192.99</v>
      </c>
      <c r="L310" s="8">
        <f>IFERROR(K310/K444, "NA")</f>
        <v>3.713941198836895E-4</v>
      </c>
      <c r="M310" s="9"/>
      <c r="N310" s="10">
        <f t="shared" si="77"/>
        <v>98.600000000000023</v>
      </c>
      <c r="O310" s="8">
        <f>IFERROR(N310/N444, "NA")</f>
        <v>-2.2284449928920366E-2</v>
      </c>
      <c r="P310" s="9"/>
      <c r="Q310" s="7">
        <v>2769.5299999999997</v>
      </c>
      <c r="R310" s="8">
        <f>IFERROR(Q310/Q444, "NA")</f>
        <v>5.9935022396573898E-4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-2769.5299999999997</v>
      </c>
      <c r="X310" s="8">
        <f>IFERROR(W310/W444, "NA")</f>
        <v>1.953446754040758E-2</v>
      </c>
      <c r="Y310" s="9"/>
      <c r="Z310" s="7">
        <v>917.3599999999999</v>
      </c>
      <c r="AA310" s="8">
        <f>IFERROR(Z310/Z444, "NA")</f>
        <v>2.1888600912893714E-4</v>
      </c>
      <c r="AB310" s="9"/>
      <c r="AC310" s="10">
        <f t="shared" si="79"/>
        <v>-1852.1699999999998</v>
      </c>
      <c r="AD310" s="8">
        <f>IFERROR(AC310/AC444, "NA")</f>
        <v>-4.3088986456271492E-3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3.6244119222316414E-5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1.1812952463657953E-3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-3.8962640857460976E-4</v>
      </c>
    </row>
    <row r="312" spans="1:30" ht="16.5" customHeight="1" x14ac:dyDescent="0.45">
      <c r="A312" s="6" t="s">
        <v>284</v>
      </c>
      <c r="B312" s="7">
        <v>2452.2399999999998</v>
      </c>
      <c r="C312" s="8">
        <f>IFERROR(B312/B444, "NA")</f>
        <v>4.7596712848622224E-3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-2452.2399999999998</v>
      </c>
      <c r="I312" s="8">
        <f>IFERROR(H312/H444, "NA")</f>
        <v>3.6562680969048821E-2</v>
      </c>
      <c r="J312" s="9"/>
      <c r="K312" s="7">
        <v>267.57</v>
      </c>
      <c r="L312" s="8">
        <f>IFERROR(K312/K444, "NA")</f>
        <v>5.1491748099527848E-4</v>
      </c>
      <c r="M312" s="9"/>
      <c r="N312" s="10">
        <f t="shared" si="77"/>
        <v>-2184.6699999999996</v>
      </c>
      <c r="O312" s="8">
        <f>IFERROR(N312/N444, "NA")</f>
        <v>0.49375425178716464</v>
      </c>
      <c r="P312" s="9"/>
      <c r="Q312" s="7">
        <v>12661.13</v>
      </c>
      <c r="R312" s="8">
        <f>IFERROR(Q312/Q444, "NA")</f>
        <v>2.7399779389135838E-3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-12661.13</v>
      </c>
      <c r="X312" s="8">
        <f>IFERROR(W312/W444, "NA")</f>
        <v>8.9303395525551485E-2</v>
      </c>
      <c r="Y312" s="9"/>
      <c r="Z312" s="7">
        <v>3113.6699999999996</v>
      </c>
      <c r="AA312" s="8">
        <f>IFERROR(Z312/Z444, "NA")</f>
        <v>7.4293494380014134E-4</v>
      </c>
      <c r="AB312" s="9"/>
      <c r="AC312" s="10">
        <f t="shared" si="79"/>
        <v>-9547.4599999999991</v>
      </c>
      <c r="AD312" s="8">
        <f>IFERROR(AC312/AC444, "NA")</f>
        <v>-2.2211264334904127E-2</v>
      </c>
    </row>
    <row r="313" spans="1:30" ht="16.5" customHeight="1" x14ac:dyDescent="0.45">
      <c r="A313" s="6" t="s">
        <v>285</v>
      </c>
      <c r="B313" s="7">
        <v>359.05</v>
      </c>
      <c r="C313" s="8">
        <f>IFERROR(B313/B444, "NA")</f>
        <v>6.9689752015699162E-4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-359.05</v>
      </c>
      <c r="I313" s="8">
        <f>IFERROR(H313/H444, "NA")</f>
        <v>5.3534036643790904E-3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-359.05</v>
      </c>
      <c r="O313" s="8">
        <f>IFERROR(N313/N444, "NA")</f>
        <v>8.1148394999785545E-2</v>
      </c>
      <c r="P313" s="9"/>
      <c r="Q313" s="7">
        <v>2637.2999999999997</v>
      </c>
      <c r="R313" s="8">
        <f>IFERROR(Q313/Q444, "NA")</f>
        <v>5.7073450934448937E-4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-2637.2999999999997</v>
      </c>
      <c r="X313" s="8">
        <f>IFERROR(W313/W444, "NA")</f>
        <v>1.8601802921187675E-2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-2637.2999999999997</v>
      </c>
      <c r="AD313" s="8">
        <f>IFERROR(AC313/AC444, "NA")</f>
        <v>-6.1354294681981022E-3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1735.52</v>
      </c>
      <c r="C315" s="8">
        <f>IFERROR(B315/B444, "NA")</f>
        <v>3.3685547533292355E-3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-1735.52</v>
      </c>
      <c r="I315" s="8">
        <f>IFERROR(H315/H444, "NA")</f>
        <v>2.5876449317931201E-2</v>
      </c>
      <c r="J315" s="9"/>
      <c r="K315" s="7">
        <v>455.52</v>
      </c>
      <c r="L315" s="8">
        <f>IFERROR(K315/K444, "NA")</f>
        <v>8.766125161377181E-4</v>
      </c>
      <c r="M315" s="9"/>
      <c r="N315" s="10">
        <f t="shared" si="77"/>
        <v>-1280</v>
      </c>
      <c r="O315" s="8">
        <f>IFERROR(N315/N444, "NA")</f>
        <v>0.28929103356002089</v>
      </c>
      <c r="P315" s="9"/>
      <c r="Q315" s="7">
        <v>13216.369999999999</v>
      </c>
      <c r="R315" s="8">
        <f>IFERROR(Q315/Q444, "NA")</f>
        <v>2.8601366728340455E-3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-13216.369999999999</v>
      </c>
      <c r="X315" s="8">
        <f>IFERROR(W315/W444, "NA")</f>
        <v>9.3219698204033363E-2</v>
      </c>
      <c r="Y315" s="9"/>
      <c r="Z315" s="7">
        <v>4993.6099999999997</v>
      </c>
      <c r="AA315" s="8">
        <f>IFERROR(Z315/Z444, "NA")</f>
        <v>1.1914966469503269E-3</v>
      </c>
      <c r="AB315" s="9"/>
      <c r="AC315" s="10">
        <f t="shared" si="79"/>
        <v>-8222.7599999999984</v>
      </c>
      <c r="AD315" s="8">
        <f>IFERROR(AC315/AC444, "NA")</f>
        <v>-1.912947484697252E-2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4.0849050277834269E-6</v>
      </c>
      <c r="AB316" s="9"/>
      <c r="AC316" s="10">
        <f t="shared" si="79"/>
        <v>17.12</v>
      </c>
      <c r="AD316" s="8">
        <f>IFERROR(AC316/AC444, "NA")</f>
        <v>3.9828063737743726E-5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2.5615666403765204E-3</v>
      </c>
      <c r="D318" s="9"/>
      <c r="E318" s="7">
        <v>3210</v>
      </c>
      <c r="F318" s="8">
        <f>IFERROR(E318/E444, "NA")</f>
        <v>5.5127972202724685E-3</v>
      </c>
      <c r="G318" s="9"/>
      <c r="H318" s="10">
        <f t="shared" si="76"/>
        <v>1890.25</v>
      </c>
      <c r="I318" s="8">
        <f>IFERROR(H318/H444, "NA")</f>
        <v>-2.8183459898600684E-2</v>
      </c>
      <c r="J318" s="9"/>
      <c r="K318" s="7">
        <v>1319.75</v>
      </c>
      <c r="L318" s="8">
        <f>IFERROR(K318/K444, "NA")</f>
        <v>2.5397553744572216E-3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10558</v>
      </c>
      <c r="R318" s="8">
        <f>IFERROR(Q318/Q444, "NA")</f>
        <v>2.2848424334202095E-3</v>
      </c>
      <c r="S318" s="9"/>
      <c r="T318" s="7">
        <v>25680</v>
      </c>
      <c r="U318" s="8">
        <f>IFERROR(T318/T444, "NA")</f>
        <v>5.391940139218088E-3</v>
      </c>
      <c r="V318" s="9"/>
      <c r="W318" s="10">
        <f t="shared" si="78"/>
        <v>15122</v>
      </c>
      <c r="X318" s="8">
        <f>IFERROR(W318/W444, "NA")</f>
        <v>-0.10666077570780726</v>
      </c>
      <c r="Y318" s="9"/>
      <c r="Z318" s="7">
        <v>10558</v>
      </c>
      <c r="AA318" s="8">
        <f>IFERROR(Z318/Z444, "NA")</f>
        <v>2.5191838366435408E-3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1238.82</v>
      </c>
      <c r="C319" s="8">
        <f>IFERROR(B319/B444, "NA")</f>
        <v>2.4044856870098436E-3</v>
      </c>
      <c r="D319" s="9"/>
      <c r="E319" s="7">
        <v>1084</v>
      </c>
      <c r="F319" s="8">
        <f>IFERROR(E319/E444, "NA")</f>
        <v>1.8616424257867151E-3</v>
      </c>
      <c r="G319" s="9"/>
      <c r="H319" s="10">
        <f t="shared" si="76"/>
        <v>-154.81999999999994</v>
      </c>
      <c r="I319" s="8">
        <f>IFERROR(H319/H444, "NA")</f>
        <v>2.3083524726895152E-3</v>
      </c>
      <c r="J319" s="9"/>
      <c r="K319" s="7">
        <v>1140.5800000000002</v>
      </c>
      <c r="L319" s="8">
        <f>IFERROR(K319/K444, "NA")</f>
        <v>2.1949567607489435E-3</v>
      </c>
      <c r="M319" s="9"/>
      <c r="N319" s="10">
        <f t="shared" si="77"/>
        <v>-98.239999999999782</v>
      </c>
      <c r="O319" s="8">
        <f>IFERROR(N319/N444, "NA")</f>
        <v>2.2203086825731553E-2</v>
      </c>
      <c r="P319" s="9"/>
      <c r="Q319" s="7">
        <v>9687.73</v>
      </c>
      <c r="R319" s="8">
        <f>IFERROR(Q319/Q444, "NA")</f>
        <v>2.0965084852735336E-3</v>
      </c>
      <c r="S319" s="9"/>
      <c r="T319" s="7">
        <v>8672</v>
      </c>
      <c r="U319" s="8">
        <f>IFERROR(T319/T444, "NA")</f>
        <v>1.8208296295677282E-3</v>
      </c>
      <c r="V319" s="9"/>
      <c r="W319" s="10">
        <f t="shared" si="78"/>
        <v>-1015.7299999999996</v>
      </c>
      <c r="X319" s="8">
        <f>IFERROR(W319/W444, "NA")</f>
        <v>7.1643003378978323E-3</v>
      </c>
      <c r="Y319" s="9"/>
      <c r="Z319" s="7">
        <v>8460.2800000000007</v>
      </c>
      <c r="AA319" s="8">
        <f>IFERROR(Z319/Z444, "NA")</f>
        <v>2.0186588965219374E-3</v>
      </c>
      <c r="AB319" s="9"/>
      <c r="AC319" s="10">
        <f t="shared" si="79"/>
        <v>-1227.4499999999989</v>
      </c>
      <c r="AD319" s="8">
        <f>IFERROR(AC319/AC444, "NA")</f>
        <v>-2.8555465440942463E-3</v>
      </c>
    </row>
    <row r="320" spans="1:30" ht="16.5" customHeight="1" x14ac:dyDescent="0.45">
      <c r="A320" s="6" t="s">
        <v>292</v>
      </c>
      <c r="B320" s="7">
        <v>5929.869999999999</v>
      </c>
      <c r="C320" s="8">
        <f>IFERROR(B320/B444, "NA")</f>
        <v>1.1509571641424144E-2</v>
      </c>
      <c r="D320" s="9"/>
      <c r="E320" s="7">
        <v>4243</v>
      </c>
      <c r="F320" s="8">
        <f>IFERROR(E320/E444, "NA")</f>
        <v>7.2868531481670041E-3</v>
      </c>
      <c r="G320" s="9"/>
      <c r="H320" s="10">
        <f t="shared" si="76"/>
        <v>-1686.869999999999</v>
      </c>
      <c r="I320" s="8">
        <f>IFERROR(H320/H444, "NA")</f>
        <v>2.5151082131544773E-2</v>
      </c>
      <c r="J320" s="9"/>
      <c r="K320" s="7">
        <v>3363.1000000000004</v>
      </c>
      <c r="L320" s="8">
        <f>IFERROR(K320/K444, "NA")</f>
        <v>6.4720222010510196E-3</v>
      </c>
      <c r="M320" s="9"/>
      <c r="N320" s="10">
        <f t="shared" si="77"/>
        <v>-2566.7699999999986</v>
      </c>
      <c r="O320" s="8">
        <f>IFERROR(N320/N444, "NA")</f>
        <v>0.58011214547723</v>
      </c>
      <c r="P320" s="9"/>
      <c r="Q320" s="7">
        <v>45647.579999999994</v>
      </c>
      <c r="R320" s="8">
        <f>IFERROR(Q320/Q444, "NA")</f>
        <v>9.8785307602712331E-3</v>
      </c>
      <c r="S320" s="9"/>
      <c r="T320" s="7">
        <v>33944</v>
      </c>
      <c r="U320" s="8">
        <f>IFERROR(T320/T444, "NA")</f>
        <v>7.1271034301253425E-3</v>
      </c>
      <c r="V320" s="9"/>
      <c r="W320" s="10">
        <f t="shared" si="78"/>
        <v>-11703.579999999994</v>
      </c>
      <c r="X320" s="8">
        <f>IFERROR(W320/W444, "NA")</f>
        <v>8.2549459156089022E-2</v>
      </c>
      <c r="Y320" s="9"/>
      <c r="Z320" s="7">
        <v>31883.45</v>
      </c>
      <c r="AA320" s="8">
        <f>IFERROR(Z320/Z444, "NA")</f>
        <v>7.6075271733692463E-3</v>
      </c>
      <c r="AB320" s="9"/>
      <c r="AC320" s="10">
        <f t="shared" si="79"/>
        <v>-13764.129999999994</v>
      </c>
      <c r="AD320" s="8">
        <f>IFERROR(AC320/AC444, "NA")</f>
        <v>-3.2020949003188685E-2</v>
      </c>
    </row>
    <row r="321" spans="1:30" ht="16.5" customHeight="1" x14ac:dyDescent="0.45">
      <c r="A321" s="6" t="s">
        <v>293</v>
      </c>
      <c r="B321" s="7">
        <v>6860.67</v>
      </c>
      <c r="C321" s="8">
        <f>IFERROR(B321/B444, "NA")</f>
        <v>1.3316206404722093E-2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-6860.67</v>
      </c>
      <c r="I321" s="8">
        <f>IFERROR(H321/H444, "NA")</f>
        <v>0.1022919813900451</v>
      </c>
      <c r="J321" s="9"/>
      <c r="K321" s="7">
        <v>21978.049999999996</v>
      </c>
      <c r="L321" s="8">
        <f>IFERROR(K321/K444, "NA")</f>
        <v>4.2295033610600136E-2</v>
      </c>
      <c r="M321" s="9"/>
      <c r="N321" s="10">
        <f t="shared" si="77"/>
        <v>15117.379999999996</v>
      </c>
      <c r="O321" s="8">
        <f>IFERROR(N321/N444, "NA")</f>
        <v>-3.4166581913434277</v>
      </c>
      <c r="P321" s="9"/>
      <c r="Q321" s="7">
        <v>77450.8</v>
      </c>
      <c r="R321" s="8">
        <f>IFERROR(Q321/Q444, "NA")</f>
        <v>1.6761022385143206E-2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-77450.8</v>
      </c>
      <c r="X321" s="8">
        <f>IFERROR(W321/W444, "NA")</f>
        <v>0.54628768728939547</v>
      </c>
      <c r="Y321" s="9"/>
      <c r="Z321" s="7">
        <v>97089.279999999999</v>
      </c>
      <c r="AA321" s="8">
        <f>IFERROR(Z321/Z444, "NA")</f>
        <v>2.316591635606734E-2</v>
      </c>
      <c r="AB321" s="9"/>
      <c r="AC321" s="10">
        <f t="shared" si="79"/>
        <v>19638.479999999996</v>
      </c>
      <c r="AD321" s="8">
        <f>IFERROR(AC321/AC444, "NA")</f>
        <v>4.5687069693481616E-2</v>
      </c>
    </row>
    <row r="322" spans="1:30" ht="16.5" customHeight="1" x14ac:dyDescent="0.45">
      <c r="A322" s="6" t="s">
        <v>294</v>
      </c>
      <c r="B322" s="7">
        <v>1452.67</v>
      </c>
      <c r="C322" s="8">
        <f>IFERROR(B322/B444, "NA")</f>
        <v>2.8195575006446372E-3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-1452.67</v>
      </c>
      <c r="I322" s="8">
        <f>IFERROR(H322/H444, "NA")</f>
        <v>2.1659180897183047E-2</v>
      </c>
      <c r="J322" s="9"/>
      <c r="K322" s="7">
        <v>1047.1100000000001</v>
      </c>
      <c r="L322" s="8">
        <f>IFERROR(K322/K444, "NA")</f>
        <v>2.0150810760734242E-3</v>
      </c>
      <c r="M322" s="9"/>
      <c r="N322" s="10">
        <f t="shared" si="77"/>
        <v>-405.55999999999995</v>
      </c>
      <c r="O322" s="8">
        <f>IFERROR(N322/N444, "NA")</f>
        <v>9.1660055914532856E-2</v>
      </c>
      <c r="P322" s="9"/>
      <c r="Q322" s="7">
        <v>14206.5</v>
      </c>
      <c r="R322" s="8">
        <f>IFERROR(Q322/Q444, "NA")</f>
        <v>3.0744093607107605E-3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-14206.5</v>
      </c>
      <c r="X322" s="8">
        <f>IFERROR(W322/W444, "NA")</f>
        <v>0.10020343275313873</v>
      </c>
      <c r="Y322" s="9"/>
      <c r="Z322" s="7">
        <v>10392.23</v>
      </c>
      <c r="AA322" s="8">
        <f>IFERROR(Z322/Z444, "NA")</f>
        <v>2.4796304075281402E-3</v>
      </c>
      <c r="AB322" s="9"/>
      <c r="AC322" s="10">
        <f t="shared" si="79"/>
        <v>-3814.2700000000004</v>
      </c>
      <c r="AD322" s="8">
        <f>IFERROR(AC322/AC444, "NA")</f>
        <v>-8.8735390580002207E-3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-7.4659274719242648E-6</v>
      </c>
      <c r="AB323" s="9"/>
      <c r="AC323" s="10">
        <f t="shared" si="79"/>
        <v>-31.29</v>
      </c>
      <c r="AD323" s="8">
        <f>IFERROR(AC323/AC444, "NA")</f>
        <v>-7.2793230978621557E-5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23680.959999999999</v>
      </c>
      <c r="C324" s="15">
        <f>IFERROR(B324/B444, "NA")</f>
        <v>4.5963521233635736E-2</v>
      </c>
      <c r="D324" s="2"/>
      <c r="E324" s="14">
        <f>IFERROR(E297+E298+E299+E300+E301+E302+E303+E304+E305+E306+E307+E308+E309+E310+E311+E312+E313+E314+E315+E316+E317+E318+E319+E320+E321+E322+E323, "NA")</f>
        <v>16106.67</v>
      </c>
      <c r="F324" s="15">
        <f>IFERROR(E324/E444, "NA")</f>
        <v>2.7661310156961359E-2</v>
      </c>
      <c r="G324" s="2"/>
      <c r="H324" s="14">
        <f t="shared" si="76"/>
        <v>-7574.2899999999991</v>
      </c>
      <c r="I324" s="15">
        <f>IFERROR(H324/H444, "NA")</f>
        <v>0.11293199231602812</v>
      </c>
      <c r="J324" s="2"/>
      <c r="K324" s="14">
        <f>IFERROR(K297+K298+K299+K300+K301+K302+K303+K304+K305+K306+K307+K308+K309+K310+K311+K312+K313+K314+K315+K316+K317+K318+K319+K320+K321+K322+K323, "NA")</f>
        <v>31517.899999999998</v>
      </c>
      <c r="L324" s="15">
        <f>IFERROR(K324/K444, "NA")</f>
        <v>6.0653726779015163E-2</v>
      </c>
      <c r="M324" s="2"/>
      <c r="N324" s="14">
        <f t="shared" si="77"/>
        <v>7836.9399999999987</v>
      </c>
      <c r="O324" s="15">
        <f>IFERROR(N324/N444, "NA")</f>
        <v>-1.7712159941780232</v>
      </c>
      <c r="P324" s="2"/>
      <c r="Q324" s="14">
        <f>IFERROR(Q297+Q298+Q299+Q300+Q301+Q302+Q303+Q304+Q305+Q306+Q307+Q308+Q309+Q310+Q311+Q312+Q313+Q314+Q315+Q316+Q317+Q318+Q319+Q320+Q321+Q322+Q323, "NA")</f>
        <v>209845.83999999997</v>
      </c>
      <c r="R324" s="15">
        <f>IFERROR(Q324/Q444, "NA")</f>
        <v>4.5412453088530771E-2</v>
      </c>
      <c r="S324" s="2"/>
      <c r="T324" s="14">
        <f>IFERROR(T297+T298+T299+T300+T301+T302+T303+T304+T305+T306+T307+T308+T309+T310+T311+T312+T313+T314+T315+T316+T317+T318+T319+T320+T321+T322+T323, "NA")</f>
        <v>130210.64</v>
      </c>
      <c r="U324" s="15">
        <f>IFERROR(T324/T444, "NA")</f>
        <v>2.7339874469208582E-2</v>
      </c>
      <c r="V324" s="2"/>
      <c r="W324" s="14">
        <f t="shared" si="78"/>
        <v>-79635.199999999968</v>
      </c>
      <c r="X324" s="15">
        <f>IFERROR(W324/W444, "NA")</f>
        <v>0.56169502748620348</v>
      </c>
      <c r="Y324" s="2"/>
      <c r="Z324" s="14">
        <f>IFERROR(Z297+Z298+Z299+Z300+Z301+Z302+Z303+Z304+Z305+Z306+Z307+Z308+Z309+Z310+Z311+Z312+Z313+Z314+Z315+Z316+Z317+Z318+Z319+Z320+Z321+Z322+Z323, "NA")</f>
        <v>179500.82</v>
      </c>
      <c r="AA324" s="15">
        <f>IFERROR(Z324/Z444, "NA")</f>
        <v>4.2829661338157E-2</v>
      </c>
      <c r="AB324" s="2"/>
      <c r="AC324" s="14">
        <f t="shared" si="79"/>
        <v>-30345.01999999996</v>
      </c>
      <c r="AD324" s="15">
        <f>IFERROR(AC324/AC444, "NA")</f>
        <v>-7.0594824222144067E-2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123022.65</v>
      </c>
      <c r="C325" s="15">
        <f>IFERROR(B325/B444, "NA")</f>
        <v>0.23878061470029668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124837.55</v>
      </c>
      <c r="F325" s="15">
        <f>IFERROR(E325/E444, "NA")</f>
        <v>0.21439380019489884</v>
      </c>
      <c r="G325" s="2"/>
      <c r="H325" s="14">
        <f t="shared" si="76"/>
        <v>1814.9000000000087</v>
      </c>
      <c r="I325" s="15">
        <f>IFERROR(H325/H444, "NA")</f>
        <v>-2.7059998079603558E-2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139877.04</v>
      </c>
      <c r="L325" s="15">
        <f>IFERROR(K325/K444, "NA")</f>
        <v>0.26918239371333036</v>
      </c>
      <c r="M325" s="2"/>
      <c r="N325" s="14">
        <f t="shared" si="77"/>
        <v>16854.390000000014</v>
      </c>
      <c r="O325" s="15">
        <f>IFERROR(N325/N444, "NA")</f>
        <v>-3.8092374243153784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1194071.3199999998</v>
      </c>
      <c r="R325" s="15">
        <f>IFERROR(Q325/Q444, "NA")</f>
        <v>0.25840735181531366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1023832.53</v>
      </c>
      <c r="U325" s="15">
        <f>IFERROR(T325/T444, "NA")</f>
        <v>0.21497054962399562</v>
      </c>
      <c r="V325" s="2"/>
      <c r="W325" s="14">
        <f t="shared" si="78"/>
        <v>-170238.7899999998</v>
      </c>
      <c r="X325" s="15">
        <f>IFERROR(W325/W444, "NA")</f>
        <v>1.2007539609151223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911960.23999999987</v>
      </c>
      <c r="AA325" s="15">
        <f>IFERROR(Z325/Z444, "NA")</f>
        <v>0.21759760335949649</v>
      </c>
      <c r="AB325" s="2"/>
      <c r="AC325" s="14">
        <f t="shared" si="79"/>
        <v>-282111.07999999996</v>
      </c>
      <c r="AD325" s="15">
        <f>IFERROR(AC325/AC444, "NA")</f>
        <v>-0.6563047941217125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59761.599999999999</v>
      </c>
      <c r="C329" s="8">
        <f>IFERROR(B329/B444, "NA")</f>
        <v>0.11599418142491037</v>
      </c>
      <c r="D329" s="9"/>
      <c r="E329" s="7">
        <v>55158.91</v>
      </c>
      <c r="F329" s="8">
        <f>IFERROR(E329/E444, "NA")</f>
        <v>9.4728936361763008E-2</v>
      </c>
      <c r="G329" s="9"/>
      <c r="H329" s="10">
        <f t="shared" si="80"/>
        <v>-4602.6899999999951</v>
      </c>
      <c r="I329" s="8">
        <f>IFERROR(H329/H444, "NA")</f>
        <v>6.8625699796688394E-2</v>
      </c>
      <c r="J329" s="9"/>
      <c r="K329" s="7">
        <v>53046.68</v>
      </c>
      <c r="L329" s="8">
        <f>IFERROR(K329/K444, "NA")</f>
        <v>0.10208417550832537</v>
      </c>
      <c r="M329" s="9"/>
      <c r="N329" s="10">
        <f t="shared" si="81"/>
        <v>-6714.9199999999983</v>
      </c>
      <c r="O329" s="8">
        <f>IFERROR(N329/N444, "NA")</f>
        <v>1.517629802400668</v>
      </c>
      <c r="P329" s="9"/>
      <c r="Q329" s="7">
        <v>453158.02</v>
      </c>
      <c r="R329" s="8">
        <f>IFERROR(Q329/Q444, "NA")</f>
        <v>9.8067311341227897E-2</v>
      </c>
      <c r="S329" s="9"/>
      <c r="T329" s="7">
        <v>446079.54000000004</v>
      </c>
      <c r="U329" s="8">
        <f>IFERROR(T329/T444, "NA")</f>
        <v>9.3661767017521061E-2</v>
      </c>
      <c r="V329" s="9"/>
      <c r="W329" s="10">
        <f t="shared" si="82"/>
        <v>-7078.4799999999814</v>
      </c>
      <c r="X329" s="8">
        <f>IFERROR(W329/W444, "NA")</f>
        <v>4.9927004869210256E-2</v>
      </c>
      <c r="Y329" s="9"/>
      <c r="Z329" s="7">
        <v>418737.27</v>
      </c>
      <c r="AA329" s="8">
        <f>IFERROR(Z329/Z444, "NA")</f>
        <v>9.991249880509967E-2</v>
      </c>
      <c r="AB329" s="9"/>
      <c r="AC329" s="10">
        <f t="shared" si="83"/>
        <v>-34420.75</v>
      </c>
      <c r="AD329" s="8">
        <f>IFERROR(AC329/AC444, "NA")</f>
        <v>-8.0076625286269992E-2</v>
      </c>
    </row>
    <row r="330" spans="1:30" ht="16.5" customHeight="1" x14ac:dyDescent="0.45">
      <c r="A330" s="6" t="s">
        <v>301</v>
      </c>
      <c r="B330" s="7">
        <v>6355.6100000000006</v>
      </c>
      <c r="C330" s="8">
        <f>IFERROR(B330/B444, "NA")</f>
        <v>1.2335911009845364E-2</v>
      </c>
      <c r="D330" s="9"/>
      <c r="E330" s="7">
        <v>6065</v>
      </c>
      <c r="F330" s="8">
        <f>IFERROR(E330/E444, "NA")</f>
        <v>1.0415923719922903E-2</v>
      </c>
      <c r="G330" s="9"/>
      <c r="H330" s="10">
        <f t="shared" si="80"/>
        <v>-290.61000000000058</v>
      </c>
      <c r="I330" s="8">
        <f>IFERROR(H330/H444, "NA")</f>
        <v>4.3329693326979819E-3</v>
      </c>
      <c r="J330" s="9"/>
      <c r="K330" s="7">
        <v>6496.64</v>
      </c>
      <c r="L330" s="8">
        <f>IFERROR(K330/K444, "NA")</f>
        <v>1.2502274185197018E-2</v>
      </c>
      <c r="M330" s="9"/>
      <c r="N330" s="10">
        <f t="shared" si="81"/>
        <v>141.02999999999975</v>
      </c>
      <c r="O330" s="8">
        <f>IFERROR(N330/N444, "NA")</f>
        <v>-3.1873995674195056E-2</v>
      </c>
      <c r="P330" s="9"/>
      <c r="Q330" s="7">
        <v>48476.05</v>
      </c>
      <c r="R330" s="8">
        <f>IFERROR(Q330/Q444, "NA")</f>
        <v>1.049063610954724E-2</v>
      </c>
      <c r="S330" s="9"/>
      <c r="T330" s="7">
        <v>48520</v>
      </c>
      <c r="U330" s="8">
        <f>IFERROR(T330/T444, "NA")</f>
        <v>1.0187575372074051E-2</v>
      </c>
      <c r="V330" s="9"/>
      <c r="W330" s="10">
        <f t="shared" si="82"/>
        <v>43.94999999999709</v>
      </c>
      <c r="X330" s="8">
        <f>IFERROR(W330/W444, "NA")</f>
        <v>-3.0999478193081726E-4</v>
      </c>
      <c r="Y330" s="9"/>
      <c r="Z330" s="7">
        <v>47515.13</v>
      </c>
      <c r="AA330" s="8">
        <f>IFERROR(Z330/Z444, "NA")</f>
        <v>1.1337312700513032E-2</v>
      </c>
      <c r="AB330" s="9"/>
      <c r="AC330" s="10">
        <f t="shared" si="83"/>
        <v>-960.92000000000553</v>
      </c>
      <c r="AD330" s="8">
        <f>IFERROR(AC330/AC444, "NA")</f>
        <v>-2.235489661616409E-3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3.7879548818782477E-4</v>
      </c>
      <c r="D332" s="9"/>
      <c r="E332" s="7">
        <v>195</v>
      </c>
      <c r="F332" s="8">
        <f>IFERROR(E332/E444, "NA")</f>
        <v>3.3488955076421537E-4</v>
      </c>
      <c r="G332" s="9"/>
      <c r="H332" s="10">
        <f t="shared" si="80"/>
        <v>-0.15999999999999659</v>
      </c>
      <c r="I332" s="8">
        <f>IFERROR(H332/H444, "NA")</f>
        <v>2.3855858133982348E-6</v>
      </c>
      <c r="J332" s="9"/>
      <c r="K332" s="7">
        <v>195.16</v>
      </c>
      <c r="L332" s="8">
        <f>IFERROR(K332/K444, "NA")</f>
        <v>3.7557011470283868E-4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2856.52</v>
      </c>
      <c r="R332" s="8">
        <f>IFERROR(Q332/Q444, "NA")</f>
        <v>6.1817561166068358E-4</v>
      </c>
      <c r="S332" s="9"/>
      <c r="T332" s="7">
        <v>1560</v>
      </c>
      <c r="U332" s="8">
        <f>IFERROR(T332/T444, "NA")</f>
        <v>3.2754776546651941E-4</v>
      </c>
      <c r="V332" s="9"/>
      <c r="W332" s="10">
        <f t="shared" si="82"/>
        <v>-1296.52</v>
      </c>
      <c r="X332" s="8">
        <f>IFERROR(W332/W444, "NA")</f>
        <v>9.1448108002040902E-3</v>
      </c>
      <c r="Y332" s="9"/>
      <c r="Z332" s="7">
        <v>1561.28</v>
      </c>
      <c r="AA332" s="8">
        <f>IFERROR(Z332/Z444, "NA")</f>
        <v>3.7252806786084743E-4</v>
      </c>
      <c r="AB332" s="9"/>
      <c r="AC332" s="10">
        <f t="shared" si="83"/>
        <v>-1295.24</v>
      </c>
      <c r="AD332" s="8">
        <f>IFERROR(AC332/AC444, "NA")</f>
        <v>-3.0132535791866344E-3</v>
      </c>
    </row>
    <row r="333" spans="1:30" ht="16.5" customHeight="1" x14ac:dyDescent="0.45">
      <c r="A333" s="6" t="s">
        <v>304</v>
      </c>
      <c r="B333" s="7">
        <v>5618.9000000000005</v>
      </c>
      <c r="C333" s="8">
        <f>IFERROR(B333/B444, "NA")</f>
        <v>1.0905994919955773E-2</v>
      </c>
      <c r="D333" s="9"/>
      <c r="E333" s="7">
        <v>5155</v>
      </c>
      <c r="F333" s="8">
        <f>IFERROR(E333/E444, "NA")</f>
        <v>8.8531058163565657E-3</v>
      </c>
      <c r="G333" s="9"/>
      <c r="H333" s="10">
        <f t="shared" si="80"/>
        <v>-463.90000000000055</v>
      </c>
      <c r="I333" s="8">
        <f>IFERROR(H333/H444, "NA")</f>
        <v>6.9167078677216621E-3</v>
      </c>
      <c r="J333" s="9"/>
      <c r="K333" s="7">
        <v>5558.9100000000008</v>
      </c>
      <c r="L333" s="8">
        <f>IFERROR(K333/K444, "NA")</f>
        <v>1.0697686341067623E-2</v>
      </c>
      <c r="M333" s="9"/>
      <c r="N333" s="10">
        <f t="shared" si="81"/>
        <v>-59.989999999999782</v>
      </c>
      <c r="O333" s="8">
        <f>IFERROR(N333/N444, "NA")</f>
        <v>1.3558257111926241E-2</v>
      </c>
      <c r="P333" s="9"/>
      <c r="Q333" s="7">
        <v>45386.140000000007</v>
      </c>
      <c r="R333" s="8">
        <f>IFERROR(Q333/Q444, "NA")</f>
        <v>9.821952885125055E-3</v>
      </c>
      <c r="S333" s="9"/>
      <c r="T333" s="7">
        <v>41240</v>
      </c>
      <c r="U333" s="8">
        <f>IFERROR(T333/T444, "NA")</f>
        <v>8.6590191332302936E-3</v>
      </c>
      <c r="V333" s="9"/>
      <c r="W333" s="10">
        <f t="shared" si="82"/>
        <v>-4146.1400000000067</v>
      </c>
      <c r="X333" s="8">
        <f>IFERROR(W333/W444, "NA")</f>
        <v>2.9244181232189439E-2</v>
      </c>
      <c r="Y333" s="9"/>
      <c r="Z333" s="7">
        <v>42694.89</v>
      </c>
      <c r="AA333" s="8">
        <f>IFERROR(Z333/Z444, "NA")</f>
        <v>1.0187182875096982E-2</v>
      </c>
      <c r="AB333" s="9"/>
      <c r="AC333" s="10">
        <f t="shared" si="83"/>
        <v>-2691.2500000000073</v>
      </c>
      <c r="AD333" s="8">
        <f>IFERROR(AC333/AC444, "NA")</f>
        <v>-6.2609390498950404E-3</v>
      </c>
    </row>
    <row r="334" spans="1:30" ht="16.5" customHeight="1" x14ac:dyDescent="0.45">
      <c r="A334" s="6" t="s">
        <v>305</v>
      </c>
      <c r="B334" s="7">
        <v>-4601.6499999999996</v>
      </c>
      <c r="C334" s="8">
        <f>IFERROR(B334/B444, "NA")</f>
        <v>-8.9315651681671632E-3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4601.6499999999996</v>
      </c>
      <c r="I334" s="8">
        <f>IFERROR(H334/H444, "NA")</f>
        <v>-6.8610193488901378E-2</v>
      </c>
      <c r="J334" s="9"/>
      <c r="K334" s="7">
        <v>-4047.84</v>
      </c>
      <c r="L334" s="8">
        <f>IFERROR(K334/K444, "NA")</f>
        <v>-7.7897506307580376E-3</v>
      </c>
      <c r="M334" s="9"/>
      <c r="N334" s="10">
        <f t="shared" si="81"/>
        <v>553.80999999999949</v>
      </c>
      <c r="O334" s="8">
        <f>IFERROR(N334/N444, "NA")</f>
        <v>-0.12516583382490237</v>
      </c>
      <c r="P334" s="9"/>
      <c r="Q334" s="7">
        <v>-9165.619999999999</v>
      </c>
      <c r="R334" s="8">
        <f>IFERROR(Q334/Q444, "NA")</f>
        <v>-1.9835193696348683E-3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9165.619999999999</v>
      </c>
      <c r="X334" s="8">
        <f>IFERROR(W334/W444, "NA")</f>
        <v>-6.4648336135629689E-2</v>
      </c>
      <c r="Y334" s="9"/>
      <c r="Z334" s="7">
        <v>-8095.68</v>
      </c>
      <c r="AA334" s="8">
        <f>IFERROR(Z334/Z444, "NA")</f>
        <v>-1.9316637812690264E-3</v>
      </c>
      <c r="AB334" s="9"/>
      <c r="AC334" s="10">
        <f t="shared" si="83"/>
        <v>1069.9399999999987</v>
      </c>
      <c r="AD334" s="8">
        <f>IFERROR(AC334/AC444, "NA")</f>
        <v>2.4891143992734504E-3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7.1623036697255108E-4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2.3343911949350156E-2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-7.6995184759177208E-3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18169.689999999999</v>
      </c>
      <c r="F337" s="8">
        <f>IFERROR(E337/E444, "NA")</f>
        <v>3.1204304213461823E-2</v>
      </c>
      <c r="G337" s="9"/>
      <c r="H337" s="10">
        <f t="shared" ref="H337:H344" si="84">IFERROR(-(B337-E337), "NA")</f>
        <v>18169.689999999999</v>
      </c>
      <c r="I337" s="8">
        <f>IFERROR(H337/H444, "NA")</f>
        <v>-0.27090846686152931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127272.4</v>
      </c>
      <c r="U337" s="8">
        <f>IFERROR(T337/T444, "NA")</f>
        <v>2.6722942452282718E-2</v>
      </c>
      <c r="V337" s="9"/>
      <c r="W337" s="10">
        <f t="shared" ref="W337:W344" si="86">IFERROR(-(Q337-T337), "NA")</f>
        <v>127272.4</v>
      </c>
      <c r="X337" s="8">
        <f>IFERROR(W337/W444, "NA")</f>
        <v>-0.89769692568405812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11681.78</v>
      </c>
      <c r="C338" s="8">
        <f>IFERROR(B338/B444, "NA")</f>
        <v>2.2673732107003318E-2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-11681.78</v>
      </c>
      <c r="I338" s="8">
        <f>IFERROR(H338/H444, "NA")</f>
        <v>0.17417430402024892</v>
      </c>
      <c r="J338" s="9"/>
      <c r="K338" s="7">
        <v>10202.779999999999</v>
      </c>
      <c r="L338" s="8">
        <f>IFERROR(K338/K444, "NA")</f>
        <v>1.9634449963557225E-2</v>
      </c>
      <c r="M338" s="9"/>
      <c r="N338" s="10">
        <f t="shared" si="85"/>
        <v>-1479.0000000000018</v>
      </c>
      <c r="O338" s="8">
        <f>IFERROR(N338/N444, "NA")</f>
        <v>0.33426674893380581</v>
      </c>
      <c r="P338" s="9"/>
      <c r="Q338" s="7">
        <v>82255.209999999992</v>
      </c>
      <c r="R338" s="8">
        <f>IFERROR(Q338/Q444, "NA")</f>
        <v>1.7800738224842804E-2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-82255.209999999992</v>
      </c>
      <c r="X338" s="8">
        <f>IFERROR(W338/W444, "NA")</f>
        <v>0.58017487796644518</v>
      </c>
      <c r="Y338" s="9"/>
      <c r="Z338" s="7">
        <v>67596.89</v>
      </c>
      <c r="AA338" s="8">
        <f>IFERROR(Z338/Z444, "NA")</f>
        <v>1.6128906298102992E-2</v>
      </c>
      <c r="AB338" s="9"/>
      <c r="AC338" s="10">
        <f t="shared" si="87"/>
        <v>-14658.319999999992</v>
      </c>
      <c r="AD338" s="8">
        <f>IFERROR(AC338/AC444, "NA")</f>
        <v>-3.410119761964038E-2</v>
      </c>
    </row>
    <row r="339" spans="1:30" ht="16.5" customHeight="1" x14ac:dyDescent="0.45">
      <c r="A339" s="12" t="s">
        <v>309</v>
      </c>
      <c r="B339" s="7">
        <v>1726.0100000000002</v>
      </c>
      <c r="C339" s="8">
        <f>IFERROR(B339/B444, "NA")</f>
        <v>3.3500963341210675E-3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-1726.0100000000002</v>
      </c>
      <c r="I339" s="8">
        <f>IFERROR(H339/H444, "NA")</f>
        <v>2.5734656061147346E-2</v>
      </c>
      <c r="J339" s="9"/>
      <c r="K339" s="7">
        <v>1678.07</v>
      </c>
      <c r="L339" s="8">
        <f>IFERROR(K339/K444, "NA")</f>
        <v>3.2293141134422652E-3</v>
      </c>
      <c r="M339" s="9"/>
      <c r="N339" s="10">
        <f t="shared" si="85"/>
        <v>-47.940000000000282</v>
      </c>
      <c r="O339" s="8">
        <f>IFERROR(N339/N444, "NA")</f>
        <v>1.0834853241302721E-2</v>
      </c>
      <c r="P339" s="9"/>
      <c r="Q339" s="7">
        <v>18739.73</v>
      </c>
      <c r="R339" s="8">
        <f>IFERROR(Q339/Q444, "NA")</f>
        <v>4.0554395050992334E-3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-18739.73</v>
      </c>
      <c r="X339" s="8">
        <f>IFERROR(W339/W444, "NA")</f>
        <v>0.13217789567219063</v>
      </c>
      <c r="Y339" s="9"/>
      <c r="Z339" s="7">
        <v>18270.88</v>
      </c>
      <c r="AA339" s="8">
        <f>IFERROR(Z339/Z444, "NA")</f>
        <v>4.3595099050249796E-3</v>
      </c>
      <c r="AB339" s="9"/>
      <c r="AC339" s="10">
        <f t="shared" si="87"/>
        <v>-468.84999999999854</v>
      </c>
      <c r="AD339" s="8">
        <f>IFERROR(AC339/AC444, "NA")</f>
        <v>-1.090735261883241E-3</v>
      </c>
    </row>
    <row r="340" spans="1:30" ht="16.5" customHeight="1" x14ac:dyDescent="0.45">
      <c r="A340" s="12" t="s">
        <v>310</v>
      </c>
      <c r="B340" s="7">
        <v>5016.17</v>
      </c>
      <c r="C340" s="8">
        <f>IFERROR(B340/B444, "NA")</f>
        <v>9.7361270956298467E-3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-5016.17</v>
      </c>
      <c r="I340" s="8">
        <f>IFERROR(H340/H444, "NA")</f>
        <v>7.4790649934962983E-2</v>
      </c>
      <c r="J340" s="9"/>
      <c r="K340" s="7">
        <v>2454.9499999999998</v>
      </c>
      <c r="L340" s="8">
        <f>IFERROR(K340/K444, "NA")</f>
        <v>4.724358747129195E-3</v>
      </c>
      <c r="M340" s="9"/>
      <c r="N340" s="10">
        <f t="shared" si="85"/>
        <v>-2561.2200000000003</v>
      </c>
      <c r="O340" s="8">
        <f>IFERROR(N340/N444, "NA")</f>
        <v>0.57885779763640377</v>
      </c>
      <c r="P340" s="9"/>
      <c r="Q340" s="7">
        <v>24800</v>
      </c>
      <c r="R340" s="8">
        <f>IFERROR(Q340/Q444, "NA")</f>
        <v>5.3669343008923278E-3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-24800</v>
      </c>
      <c r="X340" s="8">
        <f>IFERROR(W340/W444, "NA")</f>
        <v>0.17492310789271392</v>
      </c>
      <c r="Y340" s="9"/>
      <c r="Z340" s="7">
        <v>19359.2</v>
      </c>
      <c r="AA340" s="8">
        <f>IFERROR(Z340/Z444, "NA")</f>
        <v>4.6191876994079971E-3</v>
      </c>
      <c r="AB340" s="9"/>
      <c r="AC340" s="10">
        <f t="shared" si="87"/>
        <v>-5440.7999999999993</v>
      </c>
      <c r="AD340" s="8">
        <f>IFERROR(AC340/AC444, "NA")</f>
        <v>-1.2657507545812852E-2</v>
      </c>
    </row>
    <row r="341" spans="1:30" ht="16.5" customHeight="1" x14ac:dyDescent="0.45">
      <c r="A341" s="12" t="s">
        <v>311</v>
      </c>
      <c r="B341" s="7">
        <v>1883.3200000000002</v>
      </c>
      <c r="C341" s="8">
        <f>IFERROR(B341/B444, "NA")</f>
        <v>3.6554269256707018E-3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-1883.3200000000002</v>
      </c>
      <c r="I341" s="8">
        <f>IFERROR(H341/H444, "NA")</f>
        <v>2.8080134213057873E-2</v>
      </c>
      <c r="J341" s="9"/>
      <c r="K341" s="7">
        <v>1788.06</v>
      </c>
      <c r="L341" s="8">
        <f>IFERROR(K341/K444, "NA")</f>
        <v>3.4409812425474366E-3</v>
      </c>
      <c r="M341" s="9"/>
      <c r="N341" s="10">
        <f t="shared" si="85"/>
        <v>-95.260000000000218</v>
      </c>
      <c r="O341" s="8">
        <f>IFERROR(N341/N444, "NA")</f>
        <v>2.1529581138224729E-2</v>
      </c>
      <c r="P341" s="9"/>
      <c r="Q341" s="7">
        <v>15031.48</v>
      </c>
      <c r="R341" s="8">
        <f>IFERROR(Q341/Q444, "NA")</f>
        <v>3.2529421614990728E-3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-15031.48</v>
      </c>
      <c r="X341" s="8">
        <f>IFERROR(W341/W444, "NA")</f>
        <v>0.10602230636399884</v>
      </c>
      <c r="Y341" s="9"/>
      <c r="Z341" s="7">
        <v>14035.64</v>
      </c>
      <c r="AA341" s="8">
        <f>IFERROR(Z341/Z444, "NA")</f>
        <v>3.3489635750092389E-3</v>
      </c>
      <c r="AB341" s="9"/>
      <c r="AC341" s="10">
        <f t="shared" si="87"/>
        <v>-995.84000000000015</v>
      </c>
      <c r="AD341" s="8">
        <f>IFERROR(AC341/AC444, "NA")</f>
        <v>-2.3167277448945512E-3</v>
      </c>
    </row>
    <row r="342" spans="1:30" ht="16.5" customHeight="1" x14ac:dyDescent="0.45">
      <c r="A342" s="13" t="s">
        <v>312</v>
      </c>
      <c r="B342" s="14">
        <f>IFERROR(B337+B338+B339+B340+B341, "NA")</f>
        <v>20307.28</v>
      </c>
      <c r="C342" s="15">
        <f>IFERROR(B342/B444, "NA")</f>
        <v>3.941538246242493E-2</v>
      </c>
      <c r="D342" s="2"/>
      <c r="E342" s="14">
        <f>IFERROR(E337+E338+E339+E340+E341, "NA")</f>
        <v>18169.689999999999</v>
      </c>
      <c r="F342" s="15">
        <f>IFERROR(E342/E444, "NA")</f>
        <v>3.1204304213461823E-2</v>
      </c>
      <c r="G342" s="2"/>
      <c r="H342" s="14">
        <f t="shared" si="84"/>
        <v>-2137.59</v>
      </c>
      <c r="I342" s="15">
        <f>IFERROR(H342/H444, "NA")</f>
        <v>3.1871277367887758E-2</v>
      </c>
      <c r="J342" s="2"/>
      <c r="K342" s="14">
        <f>IFERROR(K337+K338+K339+K340+K341, "NA")</f>
        <v>16123.859999999999</v>
      </c>
      <c r="L342" s="15">
        <f>IFERROR(K342/K444, "NA")</f>
        <v>3.1029104066676121E-2</v>
      </c>
      <c r="M342" s="2"/>
      <c r="N342" s="14">
        <f t="shared" si="85"/>
        <v>-4183.42</v>
      </c>
      <c r="O342" s="15">
        <f>IFERROR(N342/N444, "NA")</f>
        <v>0.94548898094973644</v>
      </c>
      <c r="P342" s="2"/>
      <c r="Q342" s="14">
        <f>IFERROR(Q337+Q338+Q339+Q340+Q341, "NA")</f>
        <v>140826.41999999998</v>
      </c>
      <c r="R342" s="15">
        <f>IFERROR(Q342/Q444, "NA")</f>
        <v>3.047605419233344E-2</v>
      </c>
      <c r="S342" s="2"/>
      <c r="T342" s="14">
        <f>IFERROR(T337+T338+T339+T340+T341, "NA")</f>
        <v>127272.4</v>
      </c>
      <c r="U342" s="15">
        <f>IFERROR(T342/T444, "NA")</f>
        <v>2.6722942452282718E-2</v>
      </c>
      <c r="V342" s="2"/>
      <c r="W342" s="14">
        <f t="shared" si="86"/>
        <v>-13554.01999999999</v>
      </c>
      <c r="X342" s="15">
        <f>IFERROR(W342/W444, "NA")</f>
        <v>9.5601262211290339E-2</v>
      </c>
      <c r="Y342" s="2"/>
      <c r="Z342" s="14">
        <f>IFERROR(Z337+Z338+Z339+Z340+Z341, "NA")</f>
        <v>119262.61</v>
      </c>
      <c r="AA342" s="15">
        <f>IFERROR(Z342/Z444, "NA")</f>
        <v>2.8456567477545207E-2</v>
      </c>
      <c r="AB342" s="2"/>
      <c r="AC342" s="14">
        <f t="shared" si="87"/>
        <v>-21563.809999999983</v>
      </c>
      <c r="AD342" s="15">
        <f>IFERROR(AC342/AC444, "NA")</f>
        <v>-5.0166168172231004E-2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87636.9</v>
      </c>
      <c r="C343" s="15">
        <f>IFERROR(B343/B444, "NA")</f>
        <v>0.17009870013715708</v>
      </c>
      <c r="D343" s="2"/>
      <c r="E343" s="14">
        <f>IFERROR(E328+E329+E330+E331+E332+E333+E334+E335+E337+E338+E339+E340+E341, "NA")</f>
        <v>84743.6</v>
      </c>
      <c r="F343" s="15">
        <f>IFERROR(E343/E444, "NA")</f>
        <v>0.14553715966226852</v>
      </c>
      <c r="G343" s="2"/>
      <c r="H343" s="14">
        <f t="shared" si="84"/>
        <v>-2893.2999999999884</v>
      </c>
      <c r="I343" s="15">
        <f>IFERROR(H343/H444, "NA")</f>
        <v>4.3138846461907701E-2</v>
      </c>
      <c r="J343" s="2"/>
      <c r="K343" s="14">
        <f>IFERROR(K328+K329+K330+K331+K332+K333+K334+K335+K337+K338+K339+K340+K341, "NA")</f>
        <v>77373.41</v>
      </c>
      <c r="L343" s="15">
        <f>IFERROR(K343/K444, "NA")</f>
        <v>0.14889905958521094</v>
      </c>
      <c r="M343" s="2"/>
      <c r="N343" s="14">
        <f t="shared" si="85"/>
        <v>-10263.489999999991</v>
      </c>
      <c r="O343" s="15">
        <f>IFERROR(N343/N444, "NA")</f>
        <v>2.3196372109632315</v>
      </c>
      <c r="P343" s="2"/>
      <c r="Q343" s="14">
        <f>IFERROR(Q328+Q329+Q330+Q331+Q332+Q333+Q334+Q335+Q337+Q338+Q339+Q340+Q341, "NA")</f>
        <v>684847.14999999991</v>
      </c>
      <c r="R343" s="15">
        <f>IFERROR(Q343/Q444, "NA")</f>
        <v>0.14820684113723195</v>
      </c>
      <c r="S343" s="2"/>
      <c r="T343" s="14">
        <f>IFERROR(T328+T329+T330+T331+T332+T333+T334+T335+T337+T338+T339+T340+T341, "NA")</f>
        <v>664671.94000000006</v>
      </c>
      <c r="U343" s="15">
        <f>IFERROR(T343/T444, "NA")</f>
        <v>0.13955885174057464</v>
      </c>
      <c r="V343" s="2"/>
      <c r="W343" s="14">
        <f t="shared" si="86"/>
        <v>-20175.209999999846</v>
      </c>
      <c r="X343" s="15">
        <f>IFERROR(W343/W444, "NA")</f>
        <v>0.14230284014468284</v>
      </c>
      <c r="Y343" s="2"/>
      <c r="Z343" s="14">
        <f>IFERROR(Z328+Z329+Z330+Z331+Z332+Z333+Z334+Z335+Z337+Z338+Z339+Z340+Z341, "NA")</f>
        <v>621675.5</v>
      </c>
      <c r="AA343" s="15">
        <f>IFERROR(Z343/Z444, "NA")</f>
        <v>0.14833442614484671</v>
      </c>
      <c r="AB343" s="2"/>
      <c r="AC343" s="14">
        <f t="shared" si="87"/>
        <v>-63171.649999999907</v>
      </c>
      <c r="AD343" s="15">
        <f>IFERROR(AC343/AC444, "NA")</f>
        <v>-0.14696287982584316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87636.9</v>
      </c>
      <c r="C344" s="15">
        <f>IFERROR(B344/B444, "NA")</f>
        <v>0.17009870013715708</v>
      </c>
      <c r="D344" s="2"/>
      <c r="E344" s="14">
        <f>IFERROR(E328+E329+E330+E331+E332+E333+E334+E335+E337+E338+E339+E340+E341, "NA")</f>
        <v>84743.6</v>
      </c>
      <c r="F344" s="15">
        <f>IFERROR(E344/E444, "NA")</f>
        <v>0.14553715966226852</v>
      </c>
      <c r="G344" s="2"/>
      <c r="H344" s="14">
        <f t="shared" si="84"/>
        <v>-2893.2999999999884</v>
      </c>
      <c r="I344" s="15">
        <f>IFERROR(H344/H444, "NA")</f>
        <v>4.3138846461907701E-2</v>
      </c>
      <c r="J344" s="2"/>
      <c r="K344" s="14">
        <f>IFERROR(K328+K329+K330+K331+K332+K333+K334+K335+K337+K338+K339+K340+K341, "NA")</f>
        <v>77373.41</v>
      </c>
      <c r="L344" s="15">
        <f>IFERROR(K344/K444, "NA")</f>
        <v>0.14889905958521094</v>
      </c>
      <c r="M344" s="2"/>
      <c r="N344" s="14">
        <f t="shared" si="85"/>
        <v>-10263.489999999991</v>
      </c>
      <c r="O344" s="15">
        <f>IFERROR(N344/N444, "NA")</f>
        <v>2.3196372109632315</v>
      </c>
      <c r="P344" s="2"/>
      <c r="Q344" s="14">
        <f>IFERROR(Q328+Q329+Q330+Q331+Q332+Q333+Q334+Q335+Q337+Q338+Q339+Q340+Q341, "NA")</f>
        <v>684847.14999999991</v>
      </c>
      <c r="R344" s="15">
        <f>IFERROR(Q344/Q444, "NA")</f>
        <v>0.14820684113723195</v>
      </c>
      <c r="S344" s="2"/>
      <c r="T344" s="14">
        <f>IFERROR(T328+T329+T330+T331+T332+T333+T334+T335+T337+T338+T339+T340+T341, "NA")</f>
        <v>664671.94000000006</v>
      </c>
      <c r="U344" s="15">
        <f>IFERROR(T344/T444, "NA")</f>
        <v>0.13955885174057464</v>
      </c>
      <c r="V344" s="2"/>
      <c r="W344" s="14">
        <f t="shared" si="86"/>
        <v>-20175.209999999846</v>
      </c>
      <c r="X344" s="15">
        <f>IFERROR(W344/W444, "NA")</f>
        <v>0.14230284014468284</v>
      </c>
      <c r="Y344" s="2"/>
      <c r="Z344" s="14">
        <f>IFERROR(Z328+Z329+Z330+Z331+Z332+Z333+Z334+Z335+Z337+Z338+Z339+Z340+Z341, "NA")</f>
        <v>621675.5</v>
      </c>
      <c r="AA344" s="15">
        <f>IFERROR(Z344/Z444, "NA")</f>
        <v>0.14833442614484671</v>
      </c>
      <c r="AB344" s="2"/>
      <c r="AC344" s="14">
        <f t="shared" si="87"/>
        <v>-63171.649999999907</v>
      </c>
      <c r="AD344" s="15">
        <f>IFERROR(AC344/AC444, "NA")</f>
        <v>-0.14696287982584316</v>
      </c>
    </row>
    <row r="345" spans="1:30" ht="16.5" customHeight="1" x14ac:dyDescent="0.45">
      <c r="A345" s="22" t="s">
        <v>315</v>
      </c>
      <c r="B345" s="23">
        <f>IFERROR(B198-B325-B344, "NA")</f>
        <v>3233.4800000000396</v>
      </c>
      <c r="C345" s="24">
        <f>IFERROR(B345/B444, "NA")</f>
        <v>6.2760178066488146E-3</v>
      </c>
      <c r="D345" s="25"/>
      <c r="E345" s="23">
        <f>IFERROR(E198-E325-E344, "NA")</f>
        <v>76124.459999999875</v>
      </c>
      <c r="F345" s="24">
        <f>IFERROR(E345/E444, "NA")</f>
        <v>0.13073480108496635</v>
      </c>
      <c r="G345" s="25"/>
      <c r="H345" s="23">
        <f>IFERROR(B345-E345, "NA")</f>
        <v>-72890.979999999836</v>
      </c>
      <c r="I345" s="24">
        <f>IFERROR(H345/H444, "NA")</f>
        <v>1.0867980488293612</v>
      </c>
      <c r="J345" s="25"/>
      <c r="K345" s="23">
        <f>IFERROR(K198-K325-K344, "NA")</f>
        <v>23397.450000000012</v>
      </c>
      <c r="L345" s="24">
        <f>IFERROR(K345/K444, "NA")</f>
        <v>4.5026557595070391E-2</v>
      </c>
      <c r="M345" s="25"/>
      <c r="N345" s="23">
        <f>IFERROR(B345-K345, "NA")</f>
        <v>-20163.969999999972</v>
      </c>
      <c r="O345" s="24">
        <f>IFERROR(N345/N444, "NA")</f>
        <v>4.5572310327915986</v>
      </c>
      <c r="P345" s="25"/>
      <c r="Q345" s="23">
        <f>IFERROR(Q198-Q325-Q344, "NA")</f>
        <v>123067.97999999858</v>
      </c>
      <c r="R345" s="24">
        <f>IFERROR(Q345/Q444, "NA")</f>
        <v>2.6632974322722717E-2</v>
      </c>
      <c r="S345" s="25"/>
      <c r="T345" s="23">
        <f>IFERROR(T198-T325-T344, "NA")</f>
        <v>554581.20000000077</v>
      </c>
      <c r="U345" s="24">
        <f>IFERROR(T345/T444, "NA")</f>
        <v>0.11644348258316739</v>
      </c>
      <c r="V345" s="25"/>
      <c r="W345" s="23">
        <f>IFERROR(Q345-T345, "NA")</f>
        <v>-431513.22000000218</v>
      </c>
      <c r="X345" s="24">
        <f>IFERROR(W345/W444, "NA")</f>
        <v>3.0436142556126122</v>
      </c>
      <c r="Y345" s="25"/>
      <c r="Z345" s="23">
        <f>IFERROR(Z198-Z325-Z344, "NA")</f>
        <v>270828.60000000137</v>
      </c>
      <c r="AA345" s="24">
        <f>IFERROR(Z345/Z444, "NA")</f>
        <v>6.462085921773085E-2</v>
      </c>
      <c r="AB345" s="25"/>
      <c r="AC345" s="23">
        <f>IFERROR(Q345-Z345, "NA")</f>
        <v>-147760.62000000279</v>
      </c>
      <c r="AD345" s="24">
        <f>IFERROR(AC345/AC444, "NA")</f>
        <v>-0.34375113266872903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46769.16</v>
      </c>
      <c r="C350" s="8">
        <f>IFERROR(B350/B444, "NA")</f>
        <v>9.0776525898414062E-2</v>
      </c>
      <c r="D350" s="9"/>
      <c r="E350" s="7">
        <v>62115</v>
      </c>
      <c r="F350" s="8">
        <f>IFERROR(E350/E444, "NA")</f>
        <v>0.10667520228573968</v>
      </c>
      <c r="G350" s="9"/>
      <c r="H350" s="10">
        <f t="shared" si="88"/>
        <v>15345.839999999997</v>
      </c>
      <c r="I350" s="8">
        <f>IFERROR(H350/H444, "NA")</f>
        <v>-0.22880511374174961</v>
      </c>
      <c r="J350" s="9"/>
      <c r="K350" s="7">
        <v>44653.8</v>
      </c>
      <c r="L350" s="8">
        <f>IFERROR(K350/K444, "NA")</f>
        <v>8.5932736154527664E-2</v>
      </c>
      <c r="M350" s="9"/>
      <c r="N350" s="10">
        <f t="shared" si="89"/>
        <v>-2115.3600000000006</v>
      </c>
      <c r="O350" s="8">
        <f>IFERROR(N350/N444, "NA")</f>
        <v>0.47808959433712966</v>
      </c>
      <c r="P350" s="9"/>
      <c r="Q350" s="7">
        <v>402688.98</v>
      </c>
      <c r="R350" s="8">
        <f>IFERROR(Q350/Q444, "NA")</f>
        <v>8.7145374973925188E-2</v>
      </c>
      <c r="S350" s="9"/>
      <c r="T350" s="7">
        <v>520671</v>
      </c>
      <c r="U350" s="8">
        <f>IFERROR(T350/T444, "NA")</f>
        <v>0.10932347602129366</v>
      </c>
      <c r="V350" s="9"/>
      <c r="W350" s="10">
        <f t="shared" si="90"/>
        <v>117982.02000000002</v>
      </c>
      <c r="X350" s="8">
        <f>IFERROR(W350/W444, "NA")</f>
        <v>-0.83216861346211024</v>
      </c>
      <c r="Y350" s="9"/>
      <c r="Z350" s="7">
        <v>400387.8</v>
      </c>
      <c r="AA350" s="8">
        <f>IFERROR(Z350/Z444, "NA")</f>
        <v>9.5534236990837906E-2</v>
      </c>
      <c r="AB350" s="9"/>
      <c r="AC350" s="10">
        <f t="shared" si="91"/>
        <v>-2301.179999999993</v>
      </c>
      <c r="AD350" s="8">
        <f>IFERROR(AC350/AC444, "NA")</f>
        <v>-5.3534780205619645E-3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5500</v>
      </c>
      <c r="F352" s="8">
        <f>IFERROR(E352/E444, "NA")</f>
        <v>9.4456027138624839E-3</v>
      </c>
      <c r="G352" s="9"/>
      <c r="H352" s="10">
        <f t="shared" si="88"/>
        <v>5500</v>
      </c>
      <c r="I352" s="8">
        <f>IFERROR(H352/H444, "NA")</f>
        <v>-8.2004512335566063E-2</v>
      </c>
      <c r="J352" s="9"/>
      <c r="K352" s="7">
        <v>10769.24</v>
      </c>
      <c r="L352" s="8">
        <f>IFERROR(K352/K444, "NA")</f>
        <v>2.0724557809296978E-2</v>
      </c>
      <c r="M352" s="9"/>
      <c r="N352" s="10">
        <f t="shared" si="89"/>
        <v>10769.24</v>
      </c>
      <c r="O352" s="8">
        <f>IFERROR(N352/N444, "NA")</f>
        <v>-2.4339410705124371</v>
      </c>
      <c r="P352" s="9"/>
      <c r="Q352" s="7">
        <v>0</v>
      </c>
      <c r="R352" s="8">
        <f>IFERROR(Q352/Q444, "NA")</f>
        <v>0</v>
      </c>
      <c r="S352" s="9"/>
      <c r="T352" s="7">
        <v>23375</v>
      </c>
      <c r="U352" s="8">
        <f>IFERROR(T352/T444, "NA")</f>
        <v>4.9079673190896731E-3</v>
      </c>
      <c r="V352" s="9"/>
      <c r="W352" s="10">
        <f t="shared" si="90"/>
        <v>23375</v>
      </c>
      <c r="X352" s="8">
        <f>IFERROR(W352/W444, "NA")</f>
        <v>-0.16487208254000757</v>
      </c>
      <c r="Y352" s="9"/>
      <c r="Z352" s="7">
        <v>81346.210000000006</v>
      </c>
      <c r="AA352" s="8">
        <f>IFERROR(Z352/Z444, "NA")</f>
        <v>1.9409552699773742E-2</v>
      </c>
      <c r="AB352" s="9"/>
      <c r="AC352" s="10">
        <f t="shared" si="91"/>
        <v>81346.210000000006</v>
      </c>
      <c r="AD352" s="8">
        <f>IFERROR(AC352/AC444, "NA")</f>
        <v>0.18924427784485318</v>
      </c>
    </row>
    <row r="353" spans="1:30" ht="16.5" customHeight="1" x14ac:dyDescent="0.45">
      <c r="A353" s="6" t="s">
        <v>322</v>
      </c>
      <c r="B353" s="7">
        <v>580</v>
      </c>
      <c r="C353" s="8">
        <f>IFERROR(B353/B444, "NA")</f>
        <v>1.125750067375171E-3</v>
      </c>
      <c r="D353" s="9"/>
      <c r="E353" s="7">
        <v>4869.7299999999996</v>
      </c>
      <c r="F353" s="8">
        <f>IFERROR(E353/E444, "NA")</f>
        <v>8.363188164323191E-3</v>
      </c>
      <c r="G353" s="9"/>
      <c r="H353" s="10">
        <f t="shared" si="88"/>
        <v>4289.7299999999996</v>
      </c>
      <c r="I353" s="8">
        <f>IFERROR(H353/H444, "NA")</f>
        <v>-6.3959493945681414E-2</v>
      </c>
      <c r="J353" s="9"/>
      <c r="K353" s="7">
        <v>3917.56</v>
      </c>
      <c r="L353" s="8">
        <f>IFERROR(K353/K444, "NA")</f>
        <v>7.539036987883033E-3</v>
      </c>
      <c r="M353" s="9"/>
      <c r="N353" s="10">
        <f t="shared" si="89"/>
        <v>3337.56</v>
      </c>
      <c r="O353" s="8">
        <f>IFERROR(N353/N444, "NA")</f>
        <v>-0.75431732966295573</v>
      </c>
      <c r="P353" s="9"/>
      <c r="Q353" s="7">
        <v>7499.8</v>
      </c>
      <c r="R353" s="8">
        <f>IFERROR(Q353/Q444, "NA")</f>
        <v>1.6230215270093662E-3</v>
      </c>
      <c r="S353" s="9"/>
      <c r="T353" s="7">
        <v>39852.230000000003</v>
      </c>
      <c r="U353" s="8">
        <f>IFERROR(T353/T444, "NA")</f>
        <v>8.3676339008703776E-3</v>
      </c>
      <c r="V353" s="9"/>
      <c r="W353" s="10">
        <f t="shared" si="90"/>
        <v>32352.430000000004</v>
      </c>
      <c r="X353" s="8">
        <f>IFERROR(W353/W444, "NA")</f>
        <v>-0.22819304852747885</v>
      </c>
      <c r="Y353" s="9"/>
      <c r="Z353" s="7">
        <v>6743.78</v>
      </c>
      <c r="AA353" s="8">
        <f>IFERROR(Z353/Z444, "NA")</f>
        <v>1.6090946745482076E-3</v>
      </c>
      <c r="AB353" s="9"/>
      <c r="AC353" s="10">
        <f t="shared" si="91"/>
        <v>-756.02000000000044</v>
      </c>
      <c r="AD353" s="8">
        <f>IFERROR(AC353/AC444, "NA")</f>
        <v>-1.7588091557832377E-3</v>
      </c>
    </row>
    <row r="354" spans="1:30" ht="16.5" customHeight="1" x14ac:dyDescent="0.45">
      <c r="A354" s="6" t="s">
        <v>323</v>
      </c>
      <c r="B354" s="7">
        <v>4215.2700000000004</v>
      </c>
      <c r="C354" s="8">
        <f>IFERROR(B354/B444, "NA")</f>
        <v>8.1816215284560984E-3</v>
      </c>
      <c r="D354" s="9"/>
      <c r="E354" s="7">
        <v>5222.99</v>
      </c>
      <c r="F354" s="8">
        <f>IFERROR(E354/E444, "NA")</f>
        <v>8.9698706397230207E-3</v>
      </c>
      <c r="G354" s="9"/>
      <c r="H354" s="10">
        <f t="shared" si="88"/>
        <v>1007.7199999999993</v>
      </c>
      <c r="I354" s="8">
        <f>IFERROR(H354/H444, "NA")</f>
        <v>-1.5025015849235742E-2</v>
      </c>
      <c r="J354" s="9"/>
      <c r="K354" s="7">
        <v>4267.49</v>
      </c>
      <c r="L354" s="8">
        <f>IFERROR(K354/K444, "NA")</f>
        <v>8.2124498298484158E-3</v>
      </c>
      <c r="M354" s="9"/>
      <c r="N354" s="10">
        <f t="shared" si="89"/>
        <v>52.219999999999345</v>
      </c>
      <c r="O354" s="8">
        <f>IFERROR(N354/N444, "NA")</f>
        <v>-1.1802170134768829E-2</v>
      </c>
      <c r="P354" s="9"/>
      <c r="Q354" s="7">
        <v>35602.81</v>
      </c>
      <c r="R354" s="8">
        <f>IFERROR(Q354/Q444, "NA")</f>
        <v>7.7047557337561441E-3</v>
      </c>
      <c r="S354" s="9"/>
      <c r="T354" s="7">
        <v>44806.51</v>
      </c>
      <c r="U354" s="8">
        <f>IFERROR(T354/T444, "NA")</f>
        <v>9.4078668133674714E-3</v>
      </c>
      <c r="V354" s="9"/>
      <c r="W354" s="10">
        <f t="shared" si="90"/>
        <v>9203.7000000000044</v>
      </c>
      <c r="X354" s="8">
        <f>IFERROR(W354/W444, "NA")</f>
        <v>-6.4916927746458547E-2</v>
      </c>
      <c r="Y354" s="9"/>
      <c r="Z354" s="7">
        <v>37308.61</v>
      </c>
      <c r="AA354" s="8">
        <f>IFERROR(Z354/Z444, "NA")</f>
        <v>8.9019934911571865E-3</v>
      </c>
      <c r="AB354" s="9"/>
      <c r="AC354" s="10">
        <f t="shared" si="91"/>
        <v>1705.8000000000029</v>
      </c>
      <c r="AD354" s="8">
        <f>IFERROR(AC354/AC444, "NA")</f>
        <v>3.9683826591029999E-3</v>
      </c>
    </row>
    <row r="355" spans="1:30" ht="16.5" customHeight="1" x14ac:dyDescent="0.45">
      <c r="A355" s="6" t="s">
        <v>324</v>
      </c>
      <c r="B355" s="7">
        <v>212</v>
      </c>
      <c r="C355" s="8">
        <f>IFERROR(B355/B444, "NA")</f>
        <v>4.1148105910954522E-4</v>
      </c>
      <c r="D355" s="9"/>
      <c r="E355" s="7">
        <v>280</v>
      </c>
      <c r="F355" s="8">
        <f>IFERROR(E355/E444, "NA")</f>
        <v>4.8086704725118105E-4</v>
      </c>
      <c r="G355" s="9"/>
      <c r="H355" s="10">
        <f t="shared" si="88"/>
        <v>68</v>
      </c>
      <c r="I355" s="8">
        <f>IFERROR(H355/H444, "NA")</f>
        <v>-1.0138739706942713E-3</v>
      </c>
      <c r="J355" s="9"/>
      <c r="K355" s="7">
        <v>275.60000000000002</v>
      </c>
      <c r="L355" s="8">
        <f>IFERROR(K355/K444, "NA")</f>
        <v>5.3037058624770626E-4</v>
      </c>
      <c r="M355" s="9"/>
      <c r="N355" s="10">
        <f t="shared" si="89"/>
        <v>63.600000000000023</v>
      </c>
      <c r="O355" s="8">
        <f>IFERROR(N355/N444, "NA")</f>
        <v>-1.4374148230013543E-2</v>
      </c>
      <c r="P355" s="9"/>
      <c r="Q355" s="7">
        <v>1812.6</v>
      </c>
      <c r="R355" s="8">
        <f>IFERROR(Q355/Q444, "NA")</f>
        <v>3.9226230297570295E-4</v>
      </c>
      <c r="S355" s="9"/>
      <c r="T355" s="7">
        <v>2380</v>
      </c>
      <c r="U355" s="8">
        <f>IFERROR(T355/T444, "NA")</f>
        <v>4.9972030885276676E-4</v>
      </c>
      <c r="V355" s="9"/>
      <c r="W355" s="10">
        <f t="shared" si="90"/>
        <v>567.40000000000009</v>
      </c>
      <c r="X355" s="8">
        <f>IFERROR(W355/W444, "NA")</f>
        <v>-4.0020714281583025E-3</v>
      </c>
      <c r="Y355" s="9"/>
      <c r="Z355" s="7">
        <v>1814.72</v>
      </c>
      <c r="AA355" s="8">
        <f>IFERROR(Z355/Z444, "NA")</f>
        <v>4.3299993294504321E-4</v>
      </c>
      <c r="AB355" s="9"/>
      <c r="AC355" s="10">
        <f t="shared" si="91"/>
        <v>2.1200000000001182</v>
      </c>
      <c r="AD355" s="8">
        <f>IFERROR(AC355/AC444, "NA")</f>
        <v>4.9319798553750821E-6</v>
      </c>
    </row>
    <row r="356" spans="1:30" ht="16.5" customHeight="1" x14ac:dyDescent="0.45">
      <c r="A356" s="6" t="s">
        <v>325</v>
      </c>
      <c r="B356" s="7">
        <v>6187.5</v>
      </c>
      <c r="C356" s="8">
        <f>IFERROR(B356/B444, "NA")</f>
        <v>1.2009618175661846E-2</v>
      </c>
      <c r="D356" s="9"/>
      <c r="E356" s="7">
        <v>6187.5</v>
      </c>
      <c r="F356" s="8">
        <f>IFERROR(E356/E444, "NA")</f>
        <v>1.0626303053095296E-2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-6187.5</v>
      </c>
      <c r="O356" s="8">
        <f>IFERROR(N356/N444, "NA")</f>
        <v>1.3984283360567415</v>
      </c>
      <c r="P356" s="9"/>
      <c r="Q356" s="7">
        <v>45187.5</v>
      </c>
      <c r="R356" s="8">
        <f>IFERROR(Q356/Q444, "NA")</f>
        <v>9.7789654726440356E-3</v>
      </c>
      <c r="S356" s="9"/>
      <c r="T356" s="7">
        <v>49500</v>
      </c>
      <c r="U356" s="8">
        <f>IFERROR(T356/T444, "NA")</f>
        <v>1.039334255807225E-2</v>
      </c>
      <c r="V356" s="9"/>
      <c r="W356" s="10">
        <f t="shared" si="90"/>
        <v>4312.5</v>
      </c>
      <c r="X356" s="8">
        <f>IFERROR(W356/W444, "NA")</f>
        <v>-3.0417576725295516E-2</v>
      </c>
      <c r="Y356" s="9"/>
      <c r="Z356" s="7">
        <v>11800</v>
      </c>
      <c r="AA356" s="8">
        <f>IFERROR(Z356/Z444, "NA")</f>
        <v>2.8155303345703524E-3</v>
      </c>
      <c r="AB356" s="9"/>
      <c r="AC356" s="10">
        <f t="shared" si="91"/>
        <v>-33387.5</v>
      </c>
      <c r="AD356" s="8">
        <f>IFERROR(AC356/AC444, "NA")</f>
        <v>-7.7672866708172819E-2</v>
      </c>
    </row>
    <row r="357" spans="1:30" ht="16.5" customHeight="1" x14ac:dyDescent="0.45">
      <c r="A357" s="6" t="s">
        <v>326</v>
      </c>
      <c r="B357" s="7">
        <v>3674.43</v>
      </c>
      <c r="C357" s="8">
        <f>IFERROR(B357/B444, "NA")</f>
        <v>7.131879000112671E-3</v>
      </c>
      <c r="D357" s="9"/>
      <c r="E357" s="7">
        <v>2546.7199999999998</v>
      </c>
      <c r="F357" s="8">
        <f>IFERROR(E357/E444, "NA")</f>
        <v>4.3736918806268846E-3</v>
      </c>
      <c r="G357" s="9"/>
      <c r="H357" s="10">
        <f t="shared" si="88"/>
        <v>-1127.71</v>
      </c>
      <c r="I357" s="8">
        <f>IFERROR(H357/H444, "NA")</f>
        <v>1.681405611017113E-2</v>
      </c>
      <c r="J357" s="9"/>
      <c r="K357" s="7">
        <v>2976.76</v>
      </c>
      <c r="L357" s="8">
        <f>IFERROR(K357/K444, "NA")</f>
        <v>5.728541169516408E-3</v>
      </c>
      <c r="M357" s="9"/>
      <c r="N357" s="10">
        <f t="shared" si="89"/>
        <v>-697.66999999999962</v>
      </c>
      <c r="O357" s="8">
        <f>IFERROR(N357/N444, "NA")</f>
        <v>0.15767943389360911</v>
      </c>
      <c r="P357" s="9"/>
      <c r="Q357" s="7">
        <v>28071.360000000001</v>
      </c>
      <c r="R357" s="8">
        <f>IFERROR(Q357/Q444, "NA")</f>
        <v>6.0748848732539058E-3</v>
      </c>
      <c r="S357" s="9"/>
      <c r="T357" s="7">
        <v>21347.52</v>
      </c>
      <c r="U357" s="8">
        <f>IFERROR(T357/T444, "NA")</f>
        <v>4.4822644065716875E-3</v>
      </c>
      <c r="V357" s="9"/>
      <c r="W357" s="10">
        <f t="shared" si="90"/>
        <v>-6723.84</v>
      </c>
      <c r="X357" s="8">
        <f>IFERROR(W357/W444, "NA")</f>
        <v>4.7425604426344581E-2</v>
      </c>
      <c r="Y357" s="9"/>
      <c r="Z357" s="7">
        <v>20358.38</v>
      </c>
      <c r="AA357" s="8">
        <f>IFERROR(Z357/Z444, "NA")</f>
        <v>4.8575963095517267E-3</v>
      </c>
      <c r="AB357" s="9"/>
      <c r="AC357" s="10">
        <f t="shared" si="91"/>
        <v>-7712.98</v>
      </c>
      <c r="AD357" s="8">
        <f>IFERROR(AC357/AC444, "NA")</f>
        <v>-1.7943519804202255E-2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61638.360000000008</v>
      </c>
      <c r="C358" s="15">
        <f>IFERROR(B358/B444, "NA")</f>
        <v>0.1196368757291294</v>
      </c>
      <c r="D358" s="2"/>
      <c r="E358" s="14">
        <f>IFERROR(E349+E350+E351+E352+E353+E354+E355+E356+E357, "NA")</f>
        <v>86721.94</v>
      </c>
      <c r="F358" s="15">
        <f>IFERROR(E358/E444, "NA")</f>
        <v>0.14893472578462175</v>
      </c>
      <c r="G358" s="2"/>
      <c r="H358" s="14">
        <f t="shared" si="88"/>
        <v>25083.579999999994</v>
      </c>
      <c r="I358" s="15">
        <f>IFERROR(H358/H444, "NA")</f>
        <v>-0.37399395373275596</v>
      </c>
      <c r="J358" s="2"/>
      <c r="K358" s="14">
        <f>IFERROR(K349+K350+K351+K352+K353+K354+K355+K356+K357, "NA")</f>
        <v>66860.45</v>
      </c>
      <c r="L358" s="15">
        <f>IFERROR(K358/K444, "NA")</f>
        <v>0.12866769253732019</v>
      </c>
      <c r="M358" s="2"/>
      <c r="N358" s="14">
        <f t="shared" si="89"/>
        <v>5222.0899999999892</v>
      </c>
      <c r="O358" s="15">
        <f>IFERROR(N358/N444, "NA")</f>
        <v>-1.1802373542526925</v>
      </c>
      <c r="P358" s="2"/>
      <c r="Q358" s="14">
        <f>IFERROR(Q349+Q350+Q351+Q352+Q353+Q354+Q355+Q356+Q357, "NA")</f>
        <v>520863.04999999993</v>
      </c>
      <c r="R358" s="15">
        <f>IFERROR(Q358/Q444, "NA")</f>
        <v>0.11271926488356433</v>
      </c>
      <c r="S358" s="2"/>
      <c r="T358" s="14">
        <f>IFERROR(T349+T350+T351+T352+T353+T354+T355+T356+T357, "NA")</f>
        <v>701932.26</v>
      </c>
      <c r="U358" s="15">
        <f>IFERROR(T358/T444, "NA")</f>
        <v>0.14738227132811788</v>
      </c>
      <c r="V358" s="2"/>
      <c r="W358" s="14">
        <f t="shared" si="90"/>
        <v>181069.21000000008</v>
      </c>
      <c r="X358" s="15">
        <f>IFERROR(W358/W444, "NA")</f>
        <v>-1.2771447160031648</v>
      </c>
      <c r="Y358" s="2"/>
      <c r="Z358" s="14">
        <f>IFERROR(Z349+Z350+Z351+Z352+Z353+Z354+Z355+Z356+Z357, "NA")</f>
        <v>559759.5</v>
      </c>
      <c r="AA358" s="15">
        <f>IFERROR(Z358/Z444, "NA")</f>
        <v>0.13356100443338417</v>
      </c>
      <c r="AB358" s="2"/>
      <c r="AC358" s="14">
        <f t="shared" si="91"/>
        <v>38896.45000000007</v>
      </c>
      <c r="AD358" s="15">
        <f>IFERROR(AC358/AC444, "NA")</f>
        <v>9.0488918795091397E-2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2.5760734674170412E-3</v>
      </c>
      <c r="G360" s="9"/>
      <c r="H360" s="10">
        <f t="shared" ref="H360:H383" si="92">IFERROR(-(B360-E360), "NA")</f>
        <v>1500</v>
      </c>
      <c r="I360" s="8">
        <f>IFERROR(H360/H444, "NA")</f>
        <v>-2.2364867000608926E-2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11500</v>
      </c>
      <c r="U360" s="8">
        <f>IFERROR(T360/T444, "NA")</f>
        <v>2.4146149377339571E-3</v>
      </c>
      <c r="V360" s="9"/>
      <c r="W360" s="10">
        <f t="shared" ref="W360:W383" si="94">IFERROR(-(Q360-T360), "NA")</f>
        <v>11500</v>
      </c>
      <c r="X360" s="8">
        <f>IFERROR(W360/W444, "NA")</f>
        <v>-8.1113537934121377E-2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389.09</v>
      </c>
      <c r="L361" s="8">
        <f>IFERROR(K361/K444, "NA")</f>
        <v>7.4877319086763419E-4</v>
      </c>
      <c r="M361" s="9"/>
      <c r="N361" s="10">
        <f t="shared" si="93"/>
        <v>389.09</v>
      </c>
      <c r="O361" s="8">
        <f>IFERROR(N361/N444, "NA")</f>
        <v>-8.7937693943647283E-2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3195.33</v>
      </c>
      <c r="AA361" s="8">
        <f>IFERROR(Z361/Z444, "NA")</f>
        <v>7.6241936813243086E-4</v>
      </c>
      <c r="AB361" s="9"/>
      <c r="AC361" s="10">
        <f t="shared" si="95"/>
        <v>3195.33</v>
      </c>
      <c r="AD361" s="8">
        <f>IFERROR(AC361/AC444, "NA")</f>
        <v>7.4336335807899919E-3</v>
      </c>
    </row>
    <row r="362" spans="1:30" ht="16.5" customHeight="1" x14ac:dyDescent="0.45">
      <c r="A362" s="6" t="s">
        <v>330</v>
      </c>
      <c r="B362" s="7">
        <v>741.3</v>
      </c>
      <c r="C362" s="8">
        <f>IFERROR(B362/B444, "NA")</f>
        <v>1.4388250430089899E-3</v>
      </c>
      <c r="D362" s="9"/>
      <c r="E362" s="7">
        <v>500</v>
      </c>
      <c r="F362" s="8">
        <f>IFERROR(E362/E444, "NA")</f>
        <v>8.5869115580568039E-4</v>
      </c>
      <c r="G362" s="9"/>
      <c r="H362" s="10">
        <f t="shared" si="92"/>
        <v>-241.29999999999995</v>
      </c>
      <c r="I362" s="8">
        <f>IFERROR(H362/H444, "NA")</f>
        <v>3.5977616048312889E-3</v>
      </c>
      <c r="J362" s="9"/>
      <c r="K362" s="7">
        <v>1201.44</v>
      </c>
      <c r="L362" s="8">
        <f>IFERROR(K362/K444, "NA")</f>
        <v>2.3120770578426856E-3</v>
      </c>
      <c r="M362" s="9"/>
      <c r="N362" s="10">
        <f t="shared" si="93"/>
        <v>460.1400000000001</v>
      </c>
      <c r="O362" s="8">
        <f>IFERROR(N362/N444, "NA")</f>
        <v>-0.10399560639242816</v>
      </c>
      <c r="P362" s="9"/>
      <c r="Q362" s="7">
        <v>6182.1</v>
      </c>
      <c r="R362" s="8">
        <f>IFERROR(Q362/Q444, "NA")</f>
        <v>1.3378598605462283E-3</v>
      </c>
      <c r="S362" s="9"/>
      <c r="T362" s="7">
        <v>3600</v>
      </c>
      <c r="U362" s="8">
        <f>IFERROR(T362/T444, "NA")</f>
        <v>7.5587945876889092E-4</v>
      </c>
      <c r="V362" s="9"/>
      <c r="W362" s="10">
        <f t="shared" si="94"/>
        <v>-2582.1000000000004</v>
      </c>
      <c r="X362" s="8">
        <f>IFERROR(W362/W444, "NA")</f>
        <v>1.82124579391039E-2</v>
      </c>
      <c r="Y362" s="9"/>
      <c r="Z362" s="7">
        <v>4270.1099999999997</v>
      </c>
      <c r="AA362" s="8">
        <f>IFERROR(Z362/Z444, "NA")</f>
        <v>1.0188664607586615E-3</v>
      </c>
      <c r="AB362" s="9"/>
      <c r="AC362" s="10">
        <f t="shared" si="95"/>
        <v>-1911.9900000000007</v>
      </c>
      <c r="AD362" s="8">
        <f>IFERROR(AC362/AC444, "NA")</f>
        <v>-4.4480642281500378E-3</v>
      </c>
    </row>
    <row r="363" spans="1:30" ht="16.5" customHeight="1" x14ac:dyDescent="0.45">
      <c r="A363" s="6" t="s">
        <v>331</v>
      </c>
      <c r="B363" s="7">
        <v>778.59</v>
      </c>
      <c r="C363" s="8">
        <f>IFERROR(B363/B444, "NA")</f>
        <v>1.5112030085476455E-3</v>
      </c>
      <c r="D363" s="9"/>
      <c r="E363" s="7">
        <v>200</v>
      </c>
      <c r="F363" s="8">
        <f>IFERROR(E363/E444, "NA")</f>
        <v>3.4347646232227216E-4</v>
      </c>
      <c r="G363" s="9"/>
      <c r="H363" s="10">
        <f t="shared" si="92"/>
        <v>-578.59</v>
      </c>
      <c r="I363" s="8">
        <f>IFERROR(H363/H444, "NA")</f>
        <v>8.6267255985882137E-3</v>
      </c>
      <c r="J363" s="9"/>
      <c r="K363" s="7">
        <v>3410.65</v>
      </c>
      <c r="L363" s="8">
        <f>IFERROR(K363/K444, "NA")</f>
        <v>6.5635284469729291E-3</v>
      </c>
      <c r="M363" s="9"/>
      <c r="N363" s="10">
        <f t="shared" si="93"/>
        <v>2632.06</v>
      </c>
      <c r="O363" s="8">
        <f>IFERROR(N363/N444, "NA")</f>
        <v>-0.59486824827499107</v>
      </c>
      <c r="P363" s="9"/>
      <c r="Q363" s="7">
        <v>7129.2</v>
      </c>
      <c r="R363" s="8">
        <f>IFERROR(Q363/Q444, "NA")</f>
        <v>1.5428204845936123E-3</v>
      </c>
      <c r="S363" s="9"/>
      <c r="T363" s="7">
        <v>1700</v>
      </c>
      <c r="U363" s="8">
        <f>IFERROR(T363/T444, "NA")</f>
        <v>3.5694307775197627E-4</v>
      </c>
      <c r="V363" s="9"/>
      <c r="W363" s="10">
        <f t="shared" si="94"/>
        <v>-5429.2</v>
      </c>
      <c r="X363" s="8">
        <f>IFERROR(W363/W444, "NA")</f>
        <v>3.8294053926254935E-2</v>
      </c>
      <c r="Y363" s="9"/>
      <c r="Z363" s="7">
        <v>17553.29</v>
      </c>
      <c r="AA363" s="8">
        <f>IFERROR(Z363/Z444, "NA")</f>
        <v>4.1882898700432566E-3</v>
      </c>
      <c r="AB363" s="9"/>
      <c r="AC363" s="10">
        <f t="shared" si="95"/>
        <v>10424.09</v>
      </c>
      <c r="AD363" s="8">
        <f>IFERROR(AC363/AC444, "NA")</f>
        <v>2.4250661269157536E-2</v>
      </c>
    </row>
    <row r="364" spans="1:30" ht="16.5" customHeight="1" x14ac:dyDescent="0.45">
      <c r="A364" s="6" t="s">
        <v>332</v>
      </c>
      <c r="B364" s="7">
        <v>551.02</v>
      </c>
      <c r="C364" s="8">
        <f>IFERROR(B364/B444, "NA")</f>
        <v>1.0695013829742528E-3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-551.02</v>
      </c>
      <c r="I364" s="8">
        <f>IFERROR(H364/H444, "NA")</f>
        <v>8.2156593431170211E-3</v>
      </c>
      <c r="J364" s="9"/>
      <c r="K364" s="7">
        <v>1106.9100000000001</v>
      </c>
      <c r="L364" s="8">
        <f>IFERROR(K364/K444, "NA")</f>
        <v>2.1301614862969829E-3</v>
      </c>
      <c r="M364" s="9"/>
      <c r="N364" s="10">
        <f t="shared" si="93"/>
        <v>555.8900000000001</v>
      </c>
      <c r="O364" s="8">
        <f>IFERROR(N364/N444, "NA")</f>
        <v>-0.12563593175443755</v>
      </c>
      <c r="P364" s="9"/>
      <c r="Q364" s="7">
        <v>5433.32</v>
      </c>
      <c r="R364" s="8">
        <f>IFERROR(Q364/Q444, "NA")</f>
        <v>1.1758173982146895E-3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-5433.32</v>
      </c>
      <c r="X364" s="8">
        <f>IFERROR(W364/W444, "NA")</f>
        <v>3.8323113732888721E-2</v>
      </c>
      <c r="Y364" s="9"/>
      <c r="Z364" s="7">
        <v>7100.11</v>
      </c>
      <c r="AA364" s="8">
        <f>IFERROR(Z364/Z444, "NA")</f>
        <v>1.694116532524263E-3</v>
      </c>
      <c r="AB364" s="9"/>
      <c r="AC364" s="10">
        <f t="shared" si="95"/>
        <v>1666.79</v>
      </c>
      <c r="AD364" s="8">
        <f>IFERROR(AC364/AC444, "NA")</f>
        <v>3.8776295769529126E-3</v>
      </c>
    </row>
    <row r="365" spans="1:30" ht="16.5" customHeight="1" x14ac:dyDescent="0.45">
      <c r="A365" s="6" t="s">
        <v>333</v>
      </c>
      <c r="B365" s="7">
        <v>172.26</v>
      </c>
      <c r="C365" s="8">
        <f>IFERROR(B365/B444, "NA")</f>
        <v>3.3434777001042573E-4</v>
      </c>
      <c r="D365" s="9"/>
      <c r="E365" s="7">
        <v>210</v>
      </c>
      <c r="F365" s="8">
        <f>IFERROR(E365/E444, "NA")</f>
        <v>3.6065028543838578E-4</v>
      </c>
      <c r="G365" s="9"/>
      <c r="H365" s="10">
        <f t="shared" si="92"/>
        <v>37.740000000000009</v>
      </c>
      <c r="I365" s="8">
        <f>IFERROR(H365/H444, "NA")</f>
        <v>-5.6270005373532073E-4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-172.26</v>
      </c>
      <c r="O365" s="8">
        <f>IFERROR(N365/N444, "NA")</f>
        <v>3.8932244875819685E-2</v>
      </c>
      <c r="P365" s="9"/>
      <c r="Q365" s="7">
        <v>4530.6400000000003</v>
      </c>
      <c r="R365" s="8">
        <f>IFERROR(Q365/Q444, "NA")</f>
        <v>9.8046964600785559E-4</v>
      </c>
      <c r="S365" s="9"/>
      <c r="T365" s="7">
        <v>1470</v>
      </c>
      <c r="U365" s="8">
        <f>IFERROR(T365/T444, "NA")</f>
        <v>3.0865077899729711E-4</v>
      </c>
      <c r="V365" s="9"/>
      <c r="W365" s="10">
        <f t="shared" si="94"/>
        <v>-3060.6400000000003</v>
      </c>
      <c r="X365" s="8">
        <f>IFERROR(W365/W444, "NA")</f>
        <v>2.1587768586320808E-2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-4530.6400000000003</v>
      </c>
      <c r="AD365" s="8">
        <f>IFERROR(AC365/AC444, "NA")</f>
        <v>-1.0540106232054395E-2</v>
      </c>
    </row>
    <row r="366" spans="1:30" ht="16.5" customHeight="1" x14ac:dyDescent="0.45">
      <c r="A366" s="6" t="s">
        <v>334</v>
      </c>
      <c r="B366" s="7">
        <v>1016.96</v>
      </c>
      <c r="C366" s="8">
        <f>IFERROR(B366/B444, "NA")</f>
        <v>1.9738668767549203E-3</v>
      </c>
      <c r="D366" s="9"/>
      <c r="E366" s="7">
        <v>345</v>
      </c>
      <c r="F366" s="8">
        <f>IFERROR(E366/E444, "NA")</f>
        <v>5.9249689750591949E-4</v>
      </c>
      <c r="G366" s="9"/>
      <c r="H366" s="10">
        <f t="shared" si="92"/>
        <v>-671.96</v>
      </c>
      <c r="I366" s="8">
        <f>IFERROR(H366/H444, "NA")</f>
        <v>1.001886401981945E-2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-1016.96</v>
      </c>
      <c r="O366" s="8">
        <f>IFERROR(N366/N444, "NA")</f>
        <v>0.22984172616343659</v>
      </c>
      <c r="P366" s="9"/>
      <c r="Q366" s="7">
        <v>3885.47</v>
      </c>
      <c r="R366" s="8">
        <f>IFERROR(Q366/Q444, "NA")</f>
        <v>8.4084928298742393E-4</v>
      </c>
      <c r="S366" s="9"/>
      <c r="T366" s="7">
        <v>2415</v>
      </c>
      <c r="U366" s="8">
        <f>IFERROR(T366/T444, "NA")</f>
        <v>5.0706913692413096E-4</v>
      </c>
      <c r="V366" s="9"/>
      <c r="W366" s="10">
        <f t="shared" si="94"/>
        <v>-1470.4699999999998</v>
      </c>
      <c r="X366" s="8">
        <f>IFERROR(W366/W444, "NA")</f>
        <v>1.0371741228346734E-2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-3885.47</v>
      </c>
      <c r="AD366" s="8">
        <f>IFERROR(AC366/AC444, "NA")</f>
        <v>-9.0391791361618644E-3</v>
      </c>
    </row>
    <row r="367" spans="1:30" ht="16.5" customHeight="1" x14ac:dyDescent="0.45">
      <c r="A367" s="6" t="s">
        <v>335</v>
      </c>
      <c r="B367" s="7">
        <v>1765.71</v>
      </c>
      <c r="C367" s="8">
        <f>IFERROR(B367/B444, "NA")</f>
        <v>3.4271519852845053E-3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-1765.71</v>
      </c>
      <c r="I367" s="8">
        <f>IFERROR(H367/H444, "NA")</f>
        <v>2.6326579541096792E-2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-1765.71</v>
      </c>
      <c r="O367" s="8">
        <f>IFERROR(N367/N444, "NA")</f>
        <v>0.39906568036505041</v>
      </c>
      <c r="P367" s="9"/>
      <c r="Q367" s="7">
        <v>8539.77</v>
      </c>
      <c r="R367" s="8">
        <f>IFERROR(Q367/Q444, "NA")</f>
        <v>1.848080021561745E-3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-8539.77</v>
      </c>
      <c r="X367" s="8">
        <f>IFERROR(W367/W444, "NA")</f>
        <v>6.0233996334232327E-2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-8539.77</v>
      </c>
      <c r="AD367" s="8">
        <f>IFERROR(AC367/AC444, "NA")</f>
        <v>-1.9866968683742509E-2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5025.84</v>
      </c>
      <c r="C368" s="15">
        <f>IFERROR(B368/B444, "NA")</f>
        <v>9.7548960665807399E-3</v>
      </c>
      <c r="D368" s="2"/>
      <c r="E368" s="14">
        <f>IFERROR(E360+E361+E362+E363+E364+E365+E366+E367, "NA")</f>
        <v>2755</v>
      </c>
      <c r="F368" s="15">
        <f>IFERROR(E368/E444, "NA")</f>
        <v>4.7313882684892989E-3</v>
      </c>
      <c r="G368" s="2"/>
      <c r="H368" s="14">
        <f t="shared" si="92"/>
        <v>-2270.84</v>
      </c>
      <c r="I368" s="15">
        <f>IFERROR(H368/H444, "NA")</f>
        <v>3.3858023053108519E-2</v>
      </c>
      <c r="J368" s="2"/>
      <c r="K368" s="14">
        <f>IFERROR(K360+K361+K362+K363+K364+K365+K366+K367, "NA")</f>
        <v>6108.09</v>
      </c>
      <c r="L368" s="15">
        <f>IFERROR(K368/K444, "NA")</f>
        <v>1.1754540181980232E-2</v>
      </c>
      <c r="M368" s="2"/>
      <c r="N368" s="14">
        <f t="shared" si="93"/>
        <v>1082.25</v>
      </c>
      <c r="O368" s="15">
        <f>IFERROR(N368/N444, "NA")</f>
        <v>-0.24459782896119736</v>
      </c>
      <c r="P368" s="2"/>
      <c r="Q368" s="14">
        <f>IFERROR(Q360+Q361+Q362+Q363+Q364+Q365+Q366+Q367, "NA")</f>
        <v>35700.5</v>
      </c>
      <c r="R368" s="15">
        <f>IFERROR(Q368/Q444, "NA")</f>
        <v>7.7258966939115544E-3</v>
      </c>
      <c r="S368" s="2"/>
      <c r="T368" s="14">
        <f>IFERROR(T360+T361+T362+T363+T364+T365+T366+T367, "NA")</f>
        <v>20685</v>
      </c>
      <c r="U368" s="15">
        <f>IFERROR(T368/T444, "NA")</f>
        <v>4.3431573901762518E-3</v>
      </c>
      <c r="V368" s="2"/>
      <c r="W368" s="14">
        <f t="shared" si="94"/>
        <v>-15015.5</v>
      </c>
      <c r="X368" s="15">
        <f>IFERROR(W368/W444, "NA")</f>
        <v>0.10590959381302605</v>
      </c>
      <c r="Y368" s="2"/>
      <c r="Z368" s="14">
        <f>IFERROR(Z360+Z361+Z362+Z363+Z364+Z365+Z366+Z367, "NA")</f>
        <v>32118.84</v>
      </c>
      <c r="AA368" s="15">
        <f>IFERROR(Z368/Z444, "NA")</f>
        <v>7.6636922314586116E-3</v>
      </c>
      <c r="AB368" s="2"/>
      <c r="AC368" s="14">
        <f t="shared" si="95"/>
        <v>-3581.66</v>
      </c>
      <c r="AD368" s="15">
        <f>IFERROR(AC368/AC444, "NA")</f>
        <v>-8.3323938532083638E-3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177.35</v>
      </c>
      <c r="C370" s="8">
        <f>IFERROR(B370/B444, "NA")</f>
        <v>3.4422719732583889E-4</v>
      </c>
      <c r="D370" s="9"/>
      <c r="E370" s="7">
        <v>635</v>
      </c>
      <c r="F370" s="8">
        <f>IFERROR(E370/E444, "NA")</f>
        <v>1.0905377678732142E-3</v>
      </c>
      <c r="G370" s="9"/>
      <c r="H370" s="10">
        <f t="shared" si="92"/>
        <v>457.65</v>
      </c>
      <c r="I370" s="8">
        <f>IFERROR(H370/H444, "NA")</f>
        <v>-6.8235209218857834E-3</v>
      </c>
      <c r="J370" s="9"/>
      <c r="K370" s="7">
        <v>98</v>
      </c>
      <c r="L370" s="8">
        <f>IFERROR(K370/K444, "NA")</f>
        <v>1.8859331441319015E-4</v>
      </c>
      <c r="M370" s="9"/>
      <c r="N370" s="10">
        <f t="shared" si="93"/>
        <v>-79.349999999999994</v>
      </c>
      <c r="O370" s="8">
        <f>IFERROR(N370/N444, "NA")</f>
        <v>1.7933783994521606E-2</v>
      </c>
      <c r="P370" s="9"/>
      <c r="Q370" s="7">
        <v>1807.35</v>
      </c>
      <c r="R370" s="8">
        <f>IFERROR(Q370/Q444, "NA")</f>
        <v>3.9112615760958662E-4</v>
      </c>
      <c r="S370" s="9"/>
      <c r="T370" s="7">
        <v>5080</v>
      </c>
      <c r="U370" s="8">
        <f>IFERROR(T370/T444, "NA")</f>
        <v>1.0666299029294349E-3</v>
      </c>
      <c r="V370" s="9"/>
      <c r="W370" s="10">
        <f t="shared" si="94"/>
        <v>3272.65</v>
      </c>
      <c r="X370" s="8">
        <f>IFERROR(W370/W444, "NA")</f>
        <v>-2.3083149558269768E-2</v>
      </c>
      <c r="Y370" s="9"/>
      <c r="Z370" s="7">
        <v>4992.6000000000004</v>
      </c>
      <c r="AA370" s="8">
        <f>IFERROR(Z370/Z444, "NA")</f>
        <v>1.191255656642029E-3</v>
      </c>
      <c r="AB370" s="9"/>
      <c r="AC370" s="10">
        <f t="shared" si="95"/>
        <v>3185.2500000000005</v>
      </c>
      <c r="AD370" s="8">
        <f>IFERROR(AC370/AC444, "NA")</f>
        <v>7.4101834124210408E-3</v>
      </c>
    </row>
    <row r="371" spans="1:30" ht="16.5" customHeight="1" x14ac:dyDescent="0.45">
      <c r="A371" s="20" t="s">
        <v>339</v>
      </c>
      <c r="B371" s="7">
        <v>296.8</v>
      </c>
      <c r="C371" s="8">
        <f>IFERROR(B371/B444, "NA")</f>
        <v>5.7607348275336341E-4</v>
      </c>
      <c r="D371" s="9"/>
      <c r="E371" s="7">
        <v>100</v>
      </c>
      <c r="F371" s="8">
        <f>IFERROR(E371/E444, "NA")</f>
        <v>1.7173823116113608E-4</v>
      </c>
      <c r="G371" s="9"/>
      <c r="H371" s="10">
        <f t="shared" si="92"/>
        <v>-196.8</v>
      </c>
      <c r="I371" s="8">
        <f>IFERROR(H371/H444, "NA")</f>
        <v>2.9342705504798914E-3</v>
      </c>
      <c r="J371" s="9"/>
      <c r="K371" s="7">
        <v>297.64999999999998</v>
      </c>
      <c r="L371" s="8">
        <f>IFERROR(K371/K444, "NA")</f>
        <v>5.7280408199067391E-4</v>
      </c>
      <c r="M371" s="9"/>
      <c r="N371" s="10">
        <f t="shared" si="93"/>
        <v>0.84999999999996589</v>
      </c>
      <c r="O371" s="8">
        <f>IFERROR(N371/N444, "NA")</f>
        <v>-1.9210732697344366E-4</v>
      </c>
      <c r="P371" s="9"/>
      <c r="Q371" s="7">
        <v>4446.4799999999996</v>
      </c>
      <c r="R371" s="8">
        <f>IFERROR(Q371/Q444, "NA")</f>
        <v>9.6225669476740787E-4</v>
      </c>
      <c r="S371" s="9"/>
      <c r="T371" s="7">
        <v>800</v>
      </c>
      <c r="U371" s="8">
        <f>IFERROR(T371/T444, "NA")</f>
        <v>1.6797321305975354E-4</v>
      </c>
      <c r="V371" s="9"/>
      <c r="W371" s="10">
        <f t="shared" si="94"/>
        <v>-3646.4799999999996</v>
      </c>
      <c r="X371" s="8">
        <f>IFERROR(W371/W444, "NA")</f>
        <v>2.5719903809218684E-2</v>
      </c>
      <c r="Y371" s="9"/>
      <c r="Z371" s="7">
        <v>4128.43</v>
      </c>
      <c r="AA371" s="8">
        <f>IFERROR(Z371/Z444, "NA")</f>
        <v>9.8506100840256615E-4</v>
      </c>
      <c r="AB371" s="9"/>
      <c r="AC371" s="10">
        <f t="shared" si="95"/>
        <v>-318.04999999999927</v>
      </c>
      <c r="AD371" s="8">
        <f>IFERROR(AC371/AC444, "NA")</f>
        <v>-7.3991329858582732E-4</v>
      </c>
    </row>
    <row r="372" spans="1:30" ht="16.5" customHeight="1" x14ac:dyDescent="0.45">
      <c r="A372" s="20" t="s">
        <v>340</v>
      </c>
      <c r="B372" s="7">
        <v>297.17</v>
      </c>
      <c r="C372" s="8">
        <f>IFERROR(B372/B444, "NA")</f>
        <v>5.7679163365841307E-4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-297.17</v>
      </c>
      <c r="I372" s="8">
        <f>IFERROR(H372/H444, "NA")</f>
        <v>4.4307783510473039E-3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-297.17</v>
      </c>
      <c r="O372" s="8">
        <f>IFERROR(N372/N444, "NA")</f>
        <v>6.716298159611829E-2</v>
      </c>
      <c r="P372" s="9"/>
      <c r="Q372" s="7">
        <v>2960.19</v>
      </c>
      <c r="R372" s="8">
        <f>IFERROR(Q372/Q444, "NA")</f>
        <v>6.4061069549026055E-4</v>
      </c>
      <c r="S372" s="9"/>
      <c r="T372" s="7">
        <v>3500</v>
      </c>
      <c r="U372" s="8">
        <f>IFERROR(T372/T444, "NA")</f>
        <v>7.3488280713642168E-4</v>
      </c>
      <c r="V372" s="9"/>
      <c r="W372" s="10">
        <f t="shared" si="94"/>
        <v>539.80999999999995</v>
      </c>
      <c r="X372" s="8">
        <f>IFERROR(W372/W444, "NA")</f>
        <v>-3.807469470627657E-3</v>
      </c>
      <c r="Y372" s="9"/>
      <c r="Z372" s="7">
        <v>3450</v>
      </c>
      <c r="AA372" s="8">
        <f>IFERROR(Z372/Z444, "NA")</f>
        <v>8.2318471646336577E-4</v>
      </c>
      <c r="AB372" s="9"/>
      <c r="AC372" s="10">
        <f t="shared" si="95"/>
        <v>489.80999999999995</v>
      </c>
      <c r="AD372" s="8">
        <f>IFERROR(AC372/AC444, "NA")</f>
        <v>1.1394967230948746E-3</v>
      </c>
    </row>
    <row r="373" spans="1:30" ht="16.5" customHeight="1" x14ac:dyDescent="0.45">
      <c r="A373" s="20" t="s">
        <v>341</v>
      </c>
      <c r="B373" s="7">
        <v>627.08000000000004</v>
      </c>
      <c r="C373" s="8">
        <f>IFERROR(B373/B444, "NA")</f>
        <v>1.2171299176717625E-3</v>
      </c>
      <c r="D373" s="9"/>
      <c r="E373" s="7">
        <v>325</v>
      </c>
      <c r="F373" s="8">
        <f>IFERROR(E373/E444, "NA")</f>
        <v>5.5814925127369225E-4</v>
      </c>
      <c r="G373" s="9"/>
      <c r="H373" s="10">
        <f t="shared" si="92"/>
        <v>-302.08000000000004</v>
      </c>
      <c r="I373" s="8">
        <f>IFERROR(H373/H444, "NA")</f>
        <v>4.5039860156959634E-3</v>
      </c>
      <c r="J373" s="9"/>
      <c r="K373" s="7">
        <v>485.24</v>
      </c>
      <c r="L373" s="8">
        <f>IFERROR(K373/K444, "NA")</f>
        <v>9.3380632536588161E-4</v>
      </c>
      <c r="M373" s="9"/>
      <c r="N373" s="10">
        <f t="shared" si="93"/>
        <v>-141.84000000000003</v>
      </c>
      <c r="O373" s="8">
        <f>IFERROR(N373/N444, "NA")</f>
        <v>3.2057062656369824E-2</v>
      </c>
      <c r="P373" s="9"/>
      <c r="Q373" s="7">
        <v>5286.82</v>
      </c>
      <c r="R373" s="8">
        <f>IFERROR(Q373/Q444, "NA")</f>
        <v>1.1441135322840152E-3</v>
      </c>
      <c r="S373" s="9"/>
      <c r="T373" s="7">
        <v>2600</v>
      </c>
      <c r="U373" s="8">
        <f>IFERROR(T373/T444, "NA")</f>
        <v>5.4591294244419892E-4</v>
      </c>
      <c r="V373" s="9"/>
      <c r="W373" s="10">
        <f t="shared" si="94"/>
        <v>-2686.8199999999997</v>
      </c>
      <c r="X373" s="8">
        <f>IFERROR(W373/W444, "NA")</f>
        <v>1.8951084868883129E-2</v>
      </c>
      <c r="Y373" s="9"/>
      <c r="Z373" s="7">
        <v>6412.75</v>
      </c>
      <c r="AA373" s="8">
        <f>IFERROR(Z373/Z444, "NA")</f>
        <v>1.5301095044928836E-3</v>
      </c>
      <c r="AB373" s="9"/>
      <c r="AC373" s="10">
        <f t="shared" si="95"/>
        <v>1125.9300000000003</v>
      </c>
      <c r="AD373" s="8">
        <f>IFERROR(AC373/AC444, "NA")</f>
        <v>2.6193698483783765E-3</v>
      </c>
    </row>
    <row r="374" spans="1:30" ht="16.5" customHeight="1" x14ac:dyDescent="0.45">
      <c r="A374" s="20" t="s">
        <v>342</v>
      </c>
      <c r="B374" s="7">
        <v>2149.5300000000002</v>
      </c>
      <c r="C374" s="8">
        <f>IFERROR(B374/B444, "NA")</f>
        <v>4.1721267971119849E-3</v>
      </c>
      <c r="D374" s="9"/>
      <c r="E374" s="7">
        <v>1900</v>
      </c>
      <c r="F374" s="8">
        <f>IFERROR(E374/E444, "NA")</f>
        <v>3.2630263920615855E-3</v>
      </c>
      <c r="G374" s="9"/>
      <c r="H374" s="10">
        <f t="shared" si="92"/>
        <v>-249.5300000000002</v>
      </c>
      <c r="I374" s="8">
        <f>IFERROR(H374/H444, "NA")</f>
        <v>3.7204701751079668E-3</v>
      </c>
      <c r="J374" s="9"/>
      <c r="K374" s="7">
        <v>1897.01</v>
      </c>
      <c r="L374" s="8">
        <f>IFERROR(K374/K444, "NA")</f>
        <v>3.6506469732139374E-3</v>
      </c>
      <c r="M374" s="9"/>
      <c r="N374" s="10">
        <f t="shared" si="93"/>
        <v>-252.52000000000021</v>
      </c>
      <c r="O374" s="8">
        <f>IFERROR(N374/N444, "NA")</f>
        <v>5.7071696714512919E-2</v>
      </c>
      <c r="P374" s="9"/>
      <c r="Q374" s="7">
        <v>16032.6</v>
      </c>
      <c r="R374" s="8">
        <f>IFERROR(Q374/Q444, "NA")</f>
        <v>3.4695931803421912E-3</v>
      </c>
      <c r="S374" s="9"/>
      <c r="T374" s="7">
        <v>15200</v>
      </c>
      <c r="U374" s="8">
        <f>IFERROR(T374/T444, "NA")</f>
        <v>3.1914910481353172E-3</v>
      </c>
      <c r="V374" s="9"/>
      <c r="W374" s="10">
        <f t="shared" si="94"/>
        <v>-832.60000000000036</v>
      </c>
      <c r="X374" s="8">
        <f>IFERROR(W374/W444, "NA")</f>
        <v>5.8726201464303898E-3</v>
      </c>
      <c r="Y374" s="9"/>
      <c r="Z374" s="7">
        <v>14517.73</v>
      </c>
      <c r="AA374" s="8">
        <f>IFERROR(Z374/Z444, "NA")</f>
        <v>3.4639923054323764E-3</v>
      </c>
      <c r="AB374" s="9"/>
      <c r="AC374" s="10">
        <f t="shared" si="95"/>
        <v>-1514.8700000000008</v>
      </c>
      <c r="AD374" s="8">
        <f>IFERROR(AC374/AC444, "NA")</f>
        <v>-3.5242020393922821E-3</v>
      </c>
    </row>
    <row r="375" spans="1:30" ht="16.5" customHeight="1" x14ac:dyDescent="0.45">
      <c r="A375" s="20" t="s">
        <v>343</v>
      </c>
      <c r="B375" s="7">
        <v>53</v>
      </c>
      <c r="C375" s="8">
        <f>IFERROR(B375/B444, "NA")</f>
        <v>1.0287026477738631E-4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-53</v>
      </c>
      <c r="I375" s="8">
        <f>IFERROR(H375/H444, "NA")</f>
        <v>7.9022530068818212E-4</v>
      </c>
      <c r="J375" s="9"/>
      <c r="K375" s="7">
        <v>800</v>
      </c>
      <c r="L375" s="8">
        <f>IFERROR(K375/K444, "NA")</f>
        <v>1.539537260515838E-3</v>
      </c>
      <c r="M375" s="9"/>
      <c r="N375" s="10">
        <f t="shared" si="93"/>
        <v>747</v>
      </c>
      <c r="O375" s="8">
        <f>IFERROR(N375/N444, "NA")</f>
        <v>-0.16882843911666845</v>
      </c>
      <c r="P375" s="9"/>
      <c r="Q375" s="7">
        <v>3934.08</v>
      </c>
      <c r="R375" s="8">
        <f>IFERROR(Q375/Q444, "NA")</f>
        <v>8.5136890703445516E-4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-3934.08</v>
      </c>
      <c r="X375" s="8">
        <f>IFERROR(W375/W444, "NA")</f>
        <v>2.7748447592684192E-2</v>
      </c>
      <c r="Y375" s="9"/>
      <c r="Z375" s="7">
        <v>984.99</v>
      </c>
      <c r="AA375" s="8">
        <f>IFERROR(Z375/Z444, "NA")</f>
        <v>2.3502281561427554E-4</v>
      </c>
      <c r="AB375" s="9"/>
      <c r="AC375" s="10">
        <f t="shared" si="95"/>
        <v>-2949.09</v>
      </c>
      <c r="AD375" s="8">
        <f>IFERROR(AC375/AC444, "NA")</f>
        <v>-6.8607794677770237E-3</v>
      </c>
    </row>
    <row r="376" spans="1:30" ht="16.5" customHeight="1" x14ac:dyDescent="0.45">
      <c r="A376" s="20" t="s">
        <v>344</v>
      </c>
      <c r="B376" s="7">
        <v>512.12</v>
      </c>
      <c r="C376" s="8">
        <f>IFERROR(B376/B444, "NA")</f>
        <v>9.9399849052443537E-4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-512.12</v>
      </c>
      <c r="I376" s="8">
        <f>IFERROR(H376/H444, "NA")</f>
        <v>7.6356637922345627E-3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-512.12</v>
      </c>
      <c r="O376" s="8">
        <f>IFERROR(N376/N444, "NA")</f>
        <v>0.11574353445840461</v>
      </c>
      <c r="P376" s="9"/>
      <c r="Q376" s="7">
        <v>-1900.88</v>
      </c>
      <c r="R376" s="8">
        <f>IFERROR(Q376/Q444, "NA")</f>
        <v>-4.1136685781775035E-4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1900.88</v>
      </c>
      <c r="X376" s="8">
        <f>IFERROR(W376/W444, "NA")</f>
        <v>-1.3407574085931535E-2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1900.88</v>
      </c>
      <c r="AD376" s="8">
        <f>IFERROR(AC376/AC444, "NA")</f>
        <v>4.4222178620211619E-3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9201.2800000000007</v>
      </c>
      <c r="C378" s="8">
        <f>IFERROR(B378/B444, "NA")</f>
        <v>1.7859209620582437E-2</v>
      </c>
      <c r="D378" s="9"/>
      <c r="E378" s="7">
        <v>8470.33</v>
      </c>
      <c r="F378" s="8">
        <f>IFERROR(E378/E444, "NA")</f>
        <v>1.4546794915511058E-2</v>
      </c>
      <c r="G378" s="9"/>
      <c r="H378" s="10">
        <f t="shared" si="92"/>
        <v>-730.95000000000073</v>
      </c>
      <c r="I378" s="8">
        <f>IFERROR(H378/H444, "NA")</f>
        <v>1.0898399689396741E-2</v>
      </c>
      <c r="J378" s="9"/>
      <c r="K378" s="7">
        <v>5168.26</v>
      </c>
      <c r="L378" s="8">
        <f>IFERROR(K378/K444, "NA")</f>
        <v>9.9459110525419812E-3</v>
      </c>
      <c r="M378" s="9"/>
      <c r="N378" s="10">
        <f t="shared" si="93"/>
        <v>-4033.0200000000004</v>
      </c>
      <c r="O378" s="8">
        <f>IFERROR(N378/N444, "NA")</f>
        <v>0.91149728450643408</v>
      </c>
      <c r="P378" s="9"/>
      <c r="Q378" s="7">
        <v>74301.62</v>
      </c>
      <c r="R378" s="8">
        <f>IFERROR(Q378/Q444, "NA")</f>
        <v>1.6079512620559171E-2</v>
      </c>
      <c r="S378" s="9"/>
      <c r="T378" s="7">
        <v>67762.64</v>
      </c>
      <c r="U378" s="8">
        <f>IFERROR(T378/T444, "NA")</f>
        <v>1.4227885457764222E-2</v>
      </c>
      <c r="V378" s="9"/>
      <c r="W378" s="10">
        <f t="shared" si="94"/>
        <v>-6538.9799999999959</v>
      </c>
      <c r="X378" s="8">
        <f>IFERROR(W378/W444, "NA")</f>
        <v>4.6121721937431359E-2</v>
      </c>
      <c r="Y378" s="9"/>
      <c r="Z378" s="7">
        <v>47611.360000000001</v>
      </c>
      <c r="AA378" s="8">
        <f>IFERROR(Z378/Z444, "NA")</f>
        <v>1.1360273588995719E-2</v>
      </c>
      <c r="AB378" s="9"/>
      <c r="AC378" s="10">
        <f t="shared" si="95"/>
        <v>-26690.259999999995</v>
      </c>
      <c r="AD378" s="8">
        <f>IFERROR(AC378/AC444, "NA")</f>
        <v>-6.2092370120149044E-2</v>
      </c>
    </row>
    <row r="379" spans="1:30" ht="16.5" customHeight="1" x14ac:dyDescent="0.45">
      <c r="A379" s="20" t="s">
        <v>347</v>
      </c>
      <c r="B379" s="7">
        <v>429.07</v>
      </c>
      <c r="C379" s="8">
        <f>IFERROR(B379/B444, "NA")</f>
        <v>8.3280272656666306E-4</v>
      </c>
      <c r="D379" s="9"/>
      <c r="E379" s="7">
        <v>200</v>
      </c>
      <c r="F379" s="8">
        <f>IFERROR(E379/E444, "NA")</f>
        <v>3.4347646232227216E-4</v>
      </c>
      <c r="G379" s="9"/>
      <c r="H379" s="10">
        <f t="shared" si="92"/>
        <v>-229.07</v>
      </c>
      <c r="I379" s="8">
        <f>IFERROR(H379/H444, "NA")</f>
        <v>3.4154133892196578E-3</v>
      </c>
      <c r="J379" s="9"/>
      <c r="K379" s="7">
        <v>299.98</v>
      </c>
      <c r="L379" s="8">
        <f>IFERROR(K379/K444, "NA")</f>
        <v>5.7728798426192642E-4</v>
      </c>
      <c r="M379" s="9"/>
      <c r="N379" s="10">
        <f t="shared" si="93"/>
        <v>-129.08999999999997</v>
      </c>
      <c r="O379" s="8">
        <f>IFERROR(N379/N444, "NA")</f>
        <v>2.9175452751768038E-2</v>
      </c>
      <c r="P379" s="9"/>
      <c r="Q379" s="7">
        <v>6949.36</v>
      </c>
      <c r="R379" s="8">
        <f>IFERROR(Q379/Q444, "NA")</f>
        <v>1.5039015545664962E-3</v>
      </c>
      <c r="S379" s="9"/>
      <c r="T379" s="7">
        <v>1600</v>
      </c>
      <c r="U379" s="8">
        <f>IFERROR(T379/T444, "NA")</f>
        <v>3.3594642611950708E-4</v>
      </c>
      <c r="V379" s="9"/>
      <c r="W379" s="10">
        <f t="shared" si="94"/>
        <v>-5349.36</v>
      </c>
      <c r="X379" s="8">
        <f>IFERROR(W379/W444, "NA")</f>
        <v>3.7730914372458388E-2</v>
      </c>
      <c r="Y379" s="9"/>
      <c r="Z379" s="7">
        <v>3259.99</v>
      </c>
      <c r="AA379" s="8">
        <f>IFERROR(Z379/Z444, "NA")</f>
        <v>7.7784751994881374E-4</v>
      </c>
      <c r="AB379" s="9"/>
      <c r="AC379" s="10">
        <f t="shared" si="95"/>
        <v>-3689.37</v>
      </c>
      <c r="AD379" s="8">
        <f>IFERROR(AC379/AC444, "NA")</f>
        <v>-8.5829709995396946E-3</v>
      </c>
    </row>
    <row r="380" spans="1:30" ht="16.5" customHeight="1" x14ac:dyDescent="0.45">
      <c r="A380" s="20" t="s">
        <v>348</v>
      </c>
      <c r="B380" s="7">
        <v>11020</v>
      </c>
      <c r="C380" s="8">
        <f>IFERROR(B380/B444, "NA")</f>
        <v>2.1389251280128248E-2</v>
      </c>
      <c r="D380" s="9"/>
      <c r="E380" s="7">
        <v>11500</v>
      </c>
      <c r="F380" s="8">
        <f>IFERROR(E380/E444, "NA")</f>
        <v>1.974989658353065E-2</v>
      </c>
      <c r="G380" s="9"/>
      <c r="H380" s="10">
        <f t="shared" si="92"/>
        <v>480</v>
      </c>
      <c r="I380" s="8">
        <f>IFERROR(H380/H444, "NA")</f>
        <v>-7.1567574401948568E-3</v>
      </c>
      <c r="J380" s="9"/>
      <c r="K380" s="7">
        <v>11500</v>
      </c>
      <c r="L380" s="8">
        <f>IFERROR(K380/K444, "NA")</f>
        <v>2.2130848119915173E-2</v>
      </c>
      <c r="M380" s="9"/>
      <c r="N380" s="10">
        <f t="shared" si="93"/>
        <v>480</v>
      </c>
      <c r="O380" s="8">
        <f>IFERROR(N380/N444, "NA")</f>
        <v>-0.10848413758500783</v>
      </c>
      <c r="P380" s="9"/>
      <c r="Q380" s="7">
        <v>92900</v>
      </c>
      <c r="R380" s="8">
        <f>IFERROR(Q380/Q444, "NA")</f>
        <v>2.0104362764229729E-2</v>
      </c>
      <c r="S380" s="9"/>
      <c r="T380" s="7">
        <v>92000</v>
      </c>
      <c r="U380" s="8">
        <f>IFERROR(T380/T444, "NA")</f>
        <v>1.9316919501871657E-2</v>
      </c>
      <c r="V380" s="9"/>
      <c r="W380" s="10">
        <f t="shared" si="94"/>
        <v>-900</v>
      </c>
      <c r="X380" s="8">
        <f>IFERROR(W380/W444, "NA")</f>
        <v>6.3480160122355855E-3</v>
      </c>
      <c r="Y380" s="9"/>
      <c r="Z380" s="7">
        <v>92000</v>
      </c>
      <c r="AA380" s="8">
        <f>IFERROR(Z380/Z444, "NA")</f>
        <v>2.1951592439023088E-2</v>
      </c>
      <c r="AB380" s="9"/>
      <c r="AC380" s="10">
        <f t="shared" si="95"/>
        <v>-900</v>
      </c>
      <c r="AD380" s="8">
        <f>IFERROR(AC380/AC444, "NA")</f>
        <v>-2.0937650329421352E-3</v>
      </c>
    </row>
    <row r="381" spans="1:30" ht="16.5" customHeight="1" x14ac:dyDescent="0.45">
      <c r="A381" s="20" t="s">
        <v>349</v>
      </c>
      <c r="B381" s="7">
        <v>5153.75</v>
      </c>
      <c r="C381" s="8">
        <f>IFERROR(B381/B444, "NA")</f>
        <v>1.0003162775404806E-2</v>
      </c>
      <c r="D381" s="9"/>
      <c r="E381" s="7">
        <v>4000</v>
      </c>
      <c r="F381" s="8">
        <f>IFERROR(E381/E444, "NA")</f>
        <v>6.8695292464454431E-3</v>
      </c>
      <c r="G381" s="9"/>
      <c r="H381" s="10">
        <f t="shared" si="92"/>
        <v>-1153.75</v>
      </c>
      <c r="I381" s="8">
        <f>IFERROR(H381/H444, "NA")</f>
        <v>1.7202310201301699E-2</v>
      </c>
      <c r="J381" s="9"/>
      <c r="K381" s="7">
        <v>9211.5</v>
      </c>
      <c r="L381" s="8">
        <f>IFERROR(K381/K444, "NA")</f>
        <v>1.7726809344052054E-2</v>
      </c>
      <c r="M381" s="9"/>
      <c r="N381" s="10">
        <f t="shared" si="93"/>
        <v>4057.75</v>
      </c>
      <c r="O381" s="8">
        <f>IFERROR(N381/N444, "NA")</f>
        <v>-0.91708647767826157</v>
      </c>
      <c r="P381" s="9"/>
      <c r="Q381" s="7">
        <v>46365.26</v>
      </c>
      <c r="R381" s="8">
        <f>IFERROR(Q381/Q444, "NA")</f>
        <v>1.0033842913862542E-2</v>
      </c>
      <c r="S381" s="9"/>
      <c r="T381" s="7">
        <v>32000</v>
      </c>
      <c r="U381" s="8">
        <f>IFERROR(T381/T444, "NA")</f>
        <v>6.7189285223901414E-3</v>
      </c>
      <c r="V381" s="9"/>
      <c r="W381" s="10">
        <f t="shared" si="94"/>
        <v>-14365.260000000002</v>
      </c>
      <c r="X381" s="8">
        <f>IFERROR(W381/W444, "NA")</f>
        <v>0.10132322277769709</v>
      </c>
      <c r="Y381" s="9"/>
      <c r="Z381" s="7">
        <v>95057.07</v>
      </c>
      <c r="AA381" s="8">
        <f>IFERROR(Z381/Z444, "NA")</f>
        <v>2.2681022381387916E-2</v>
      </c>
      <c r="AB381" s="9"/>
      <c r="AC381" s="10">
        <f t="shared" si="95"/>
        <v>48691.810000000005</v>
      </c>
      <c r="AD381" s="8">
        <f>IFERROR(AC381/AC444, "NA")</f>
        <v>0.11327689907629132</v>
      </c>
    </row>
    <row r="382" spans="1:30" ht="16.5" customHeight="1" x14ac:dyDescent="0.45">
      <c r="A382" s="20" t="s">
        <v>350</v>
      </c>
      <c r="B382" s="7">
        <v>505.62</v>
      </c>
      <c r="C382" s="8">
        <f>IFERROR(B382/B444, "NA")</f>
        <v>9.8138232597626534E-4</v>
      </c>
      <c r="D382" s="9"/>
      <c r="E382" s="7">
        <v>795</v>
      </c>
      <c r="F382" s="8">
        <f>IFERROR(E382/E444, "NA")</f>
        <v>1.3653189377310318E-3</v>
      </c>
      <c r="G382" s="9"/>
      <c r="H382" s="10">
        <f t="shared" si="92"/>
        <v>289.38</v>
      </c>
      <c r="I382" s="8">
        <f>IFERROR(H382/H444, "NA")</f>
        <v>-4.3146301417574745E-3</v>
      </c>
      <c r="J382" s="9"/>
      <c r="K382" s="7">
        <v>342.52</v>
      </c>
      <c r="L382" s="8">
        <f>IFERROR(K382/K444, "NA")</f>
        <v>6.5915287808985602E-4</v>
      </c>
      <c r="M382" s="9"/>
      <c r="N382" s="10">
        <f t="shared" si="93"/>
        <v>-163.10000000000002</v>
      </c>
      <c r="O382" s="8">
        <f>IFERROR(N382/N444, "NA")</f>
        <v>3.6862005916905791E-2</v>
      </c>
      <c r="P382" s="9"/>
      <c r="Q382" s="7">
        <v>5208.91</v>
      </c>
      <c r="R382" s="8">
        <f>IFERROR(Q382/Q444, "NA")</f>
        <v>1.1272531350508489E-3</v>
      </c>
      <c r="S382" s="9"/>
      <c r="T382" s="7">
        <v>6360</v>
      </c>
      <c r="U382" s="8">
        <f>IFERROR(T382/T444, "NA")</f>
        <v>1.3353870438250405E-3</v>
      </c>
      <c r="V382" s="9"/>
      <c r="W382" s="10">
        <f t="shared" si="94"/>
        <v>1151.0900000000001</v>
      </c>
      <c r="X382" s="8">
        <f>IFERROR(W382/W444, "NA")</f>
        <v>-8.1190419461380677E-3</v>
      </c>
      <c r="Y382" s="9"/>
      <c r="Z382" s="7">
        <v>2170.17</v>
      </c>
      <c r="AA382" s="8">
        <f>IFERROR(Z382/Z444, "NA")</f>
        <v>5.1781181916733408E-4</v>
      </c>
      <c r="AB382" s="9"/>
      <c r="AC382" s="10">
        <f t="shared" si="95"/>
        <v>-3038.74</v>
      </c>
      <c r="AD382" s="8">
        <f>IFERROR(AC382/AC444, "NA")</f>
        <v>-7.0693417291139817E-3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803.62</v>
      </c>
      <c r="C385" s="8">
        <f>IFERROR(B385/B444, "NA")</f>
        <v>1.5597849468000601E-3</v>
      </c>
      <c r="D385" s="9"/>
      <c r="E385" s="7">
        <v>1164.56</v>
      </c>
      <c r="F385" s="8">
        <f>IFERROR(E385/E444, "NA")</f>
        <v>1.9999947448101261E-3</v>
      </c>
      <c r="G385" s="9"/>
      <c r="H385" s="10">
        <f>IFERROR(-(B385-E385), "NA")</f>
        <v>360.93999999999994</v>
      </c>
      <c r="I385" s="8">
        <f>IFERROR(H385/H444, "NA")</f>
        <v>-5.3815833967998565E-3</v>
      </c>
      <c r="J385" s="9"/>
      <c r="K385" s="7">
        <v>2968.09</v>
      </c>
      <c r="L385" s="8">
        <f>IFERROR(K385/K444, "NA")</f>
        <v>5.7118564344555674E-3</v>
      </c>
      <c r="M385" s="9"/>
      <c r="N385" s="10">
        <f>IFERROR(-(B385-K385), "NA")</f>
        <v>2164.4700000000003</v>
      </c>
      <c r="O385" s="8">
        <f>IFERROR(N385/N444, "NA")</f>
        <v>-0.48918887766379571</v>
      </c>
      <c r="P385" s="9"/>
      <c r="Q385" s="7">
        <v>21949.46</v>
      </c>
      <c r="R385" s="8">
        <f>IFERROR(Q385/Q444, "NA")</f>
        <v>4.7500528129058106E-3</v>
      </c>
      <c r="S385" s="9"/>
      <c r="T385" s="7">
        <v>17372.55</v>
      </c>
      <c r="U385" s="8">
        <f>IFERROR(T385/T444, "NA")</f>
        <v>3.6476538031765264E-3</v>
      </c>
      <c r="V385" s="9"/>
      <c r="W385" s="10">
        <f>IFERROR(-(Q385-T385), "NA")</f>
        <v>-4576.91</v>
      </c>
      <c r="X385" s="8">
        <f>IFERROR(W385/W444, "NA")</f>
        <v>3.228255329617908E-2</v>
      </c>
      <c r="Y385" s="9"/>
      <c r="Z385" s="7">
        <v>17780.330000000002</v>
      </c>
      <c r="AA385" s="8">
        <f>IFERROR(Z385/Z444, "NA")</f>
        <v>4.2424625825145147E-3</v>
      </c>
      <c r="AB385" s="9"/>
      <c r="AC385" s="10">
        <f>IFERROR(-(Q385-Z385), "NA")</f>
        <v>-4169.1299999999974</v>
      </c>
      <c r="AD385" s="8">
        <f>IFERROR(AC385/AC444, "NA")</f>
        <v>-9.6990873464333754E-3</v>
      </c>
    </row>
    <row r="386" spans="1:30" ht="16.5" customHeight="1" x14ac:dyDescent="0.45">
      <c r="A386" s="6" t="s">
        <v>353</v>
      </c>
      <c r="B386" s="7">
        <v>100.24</v>
      </c>
      <c r="C386" s="8">
        <f>IFERROR(B386/B444, "NA")</f>
        <v>1.9456066681670196E-4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-100.24</v>
      </c>
      <c r="I386" s="8">
        <f>IFERROR(H386/H444, "NA")</f>
        <v>1.4945695120940259E-3</v>
      </c>
      <c r="J386" s="9"/>
      <c r="K386" s="7">
        <v>75.42</v>
      </c>
      <c r="L386" s="8">
        <f>IFERROR(K386/K444, "NA")</f>
        <v>1.4513987523513062E-4</v>
      </c>
      <c r="M386" s="9"/>
      <c r="N386" s="10">
        <f>IFERROR(-(B386-K386), "NA")</f>
        <v>-24.819999999999993</v>
      </c>
      <c r="O386" s="8">
        <f>IFERROR(N386/N444, "NA")</f>
        <v>5.6095339476247789E-3</v>
      </c>
      <c r="P386" s="9"/>
      <c r="Q386" s="7">
        <v>151.71</v>
      </c>
      <c r="R386" s="8">
        <f>IFERROR(Q386/Q444, "NA")</f>
        <v>3.2831354951144158E-5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-151.71</v>
      </c>
      <c r="X386" s="8">
        <f>IFERROR(W386/W444, "NA")</f>
        <v>1.0700638991291787E-3</v>
      </c>
      <c r="Y386" s="9"/>
      <c r="Z386" s="7">
        <v>4879.6499999999996</v>
      </c>
      <c r="AA386" s="8">
        <f>IFERROR(Z386/Z444, "NA")</f>
        <v>1.1643053048378152E-3</v>
      </c>
      <c r="AB386" s="9"/>
      <c r="AC386" s="10">
        <f>IFERROR(-(Q386-Z386), "NA")</f>
        <v>4727.9399999999996</v>
      </c>
      <c r="AD386" s="8">
        <f>IFERROR(AC386/AC444, "NA")</f>
        <v>1.0999106055387153E-2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3212.19</v>
      </c>
      <c r="C389" s="8">
        <f>IFERROR(B389/B444, "NA")</f>
        <v>6.234695015382501E-3</v>
      </c>
      <c r="D389" s="9"/>
      <c r="E389" s="7">
        <v>2721.66</v>
      </c>
      <c r="F389" s="8">
        <f>IFERROR(E389/E444, "NA")</f>
        <v>4.6741307422201762E-3</v>
      </c>
      <c r="G389" s="9"/>
      <c r="H389" s="10">
        <f t="shared" si="96"/>
        <v>-490.5300000000002</v>
      </c>
      <c r="I389" s="8">
        <f>IFERROR(H389/H444, "NA")</f>
        <v>7.3137588065391342E-3</v>
      </c>
      <c r="J389" s="9"/>
      <c r="K389" s="7">
        <v>2224.8000000000002</v>
      </c>
      <c r="L389" s="8">
        <f>IFERROR(K389/K444, "NA")</f>
        <v>4.2814531214945455E-3</v>
      </c>
      <c r="M389" s="9"/>
      <c r="N389" s="10">
        <f t="shared" si="97"/>
        <v>-987.38999999999987</v>
      </c>
      <c r="O389" s="8">
        <f>IFERROR(N389/N444, "NA")</f>
        <v>0.22315865127096016</v>
      </c>
      <c r="P389" s="9"/>
      <c r="Q389" s="7">
        <v>36767.040000000001</v>
      </c>
      <c r="R389" s="8">
        <f>IFERROR(Q389/Q444, "NA")</f>
        <v>7.9567051660596883E-3</v>
      </c>
      <c r="S389" s="9"/>
      <c r="T389" s="7">
        <v>21951.07</v>
      </c>
      <c r="U389" s="8">
        <f>IFERROR(T389/T444, "NA")</f>
        <v>4.6089896974994549E-3</v>
      </c>
      <c r="V389" s="9"/>
      <c r="W389" s="10">
        <f t="shared" si="98"/>
        <v>-14815.970000000001</v>
      </c>
      <c r="X389" s="8">
        <f>IFERROR(W389/W444, "NA")</f>
        <v>0.10450223866311342</v>
      </c>
      <c r="Y389" s="9"/>
      <c r="Z389" s="7">
        <v>11445.96</v>
      </c>
      <c r="AA389" s="8">
        <f>IFERROR(Z389/Z444, "NA")</f>
        <v>2.7310548803626158E-3</v>
      </c>
      <c r="AB389" s="9"/>
      <c r="AC389" s="10">
        <f t="shared" si="99"/>
        <v>-25321.08</v>
      </c>
      <c r="AD389" s="8">
        <f>IFERROR(AC389/AC444, "NA")</f>
        <v>-5.8907102111478267E-2</v>
      </c>
    </row>
    <row r="390" spans="1:30" ht="16.5" customHeight="1" x14ac:dyDescent="0.45">
      <c r="A390" s="12" t="s">
        <v>356</v>
      </c>
      <c r="B390" s="7">
        <v>1783.47</v>
      </c>
      <c r="C390" s="8">
        <f>IFERROR(B390/B444, "NA")</f>
        <v>3.4616232287268899E-3</v>
      </c>
      <c r="D390" s="9"/>
      <c r="E390" s="7">
        <v>13224.85</v>
      </c>
      <c r="F390" s="8">
        <f>IFERROR(E390/E444, "NA")</f>
        <v>2.2712123463713506E-2</v>
      </c>
      <c r="G390" s="9"/>
      <c r="H390" s="10">
        <f t="shared" si="96"/>
        <v>11441.380000000001</v>
      </c>
      <c r="I390" s="8">
        <f>IFERROR(H390/H444, "NA")</f>
        <v>-0.17058996133561799</v>
      </c>
      <c r="J390" s="9"/>
      <c r="K390" s="7">
        <v>15064.2</v>
      </c>
      <c r="L390" s="8">
        <f>IFERROR(K390/K444, "NA")</f>
        <v>2.898987149982836E-2</v>
      </c>
      <c r="M390" s="9"/>
      <c r="N390" s="10">
        <f t="shared" si="97"/>
        <v>13280.730000000001</v>
      </c>
      <c r="O390" s="8">
        <f>IFERROR(N390/N444, "NA")</f>
        <v>-3.0015594594777943</v>
      </c>
      <c r="P390" s="9"/>
      <c r="Q390" s="7">
        <v>58167.74</v>
      </c>
      <c r="R390" s="8">
        <f>IFERROR(Q390/Q444, "NA")</f>
        <v>1.2588001573039785E-2</v>
      </c>
      <c r="S390" s="9"/>
      <c r="T390" s="7">
        <v>106662.76</v>
      </c>
      <c r="U390" s="8">
        <f>IFERROR(T390/T444, "NA")</f>
        <v>2.2395608138776696E-2</v>
      </c>
      <c r="V390" s="9"/>
      <c r="W390" s="10">
        <f t="shared" si="98"/>
        <v>48495.02</v>
      </c>
      <c r="X390" s="8">
        <f>IFERROR(W390/W444, "NA")</f>
        <v>-0.34205240385964997</v>
      </c>
      <c r="Y390" s="9"/>
      <c r="Z390" s="7">
        <v>114470.9</v>
      </c>
      <c r="AA390" s="8">
        <f>IFERROR(Z390/Z444, "NA")</f>
        <v>2.7313245031827908E-2</v>
      </c>
      <c r="AB390" s="9"/>
      <c r="AC390" s="10">
        <f t="shared" si="99"/>
        <v>56303.159999999996</v>
      </c>
      <c r="AD390" s="8">
        <f>IFERROR(AC390/AC444, "NA")</f>
        <v>0.13098398628016256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3277.7</v>
      </c>
      <c r="C392" s="8">
        <f>IFERROR(B392/B444, "NA")</f>
        <v>6.3618465445441337E-3</v>
      </c>
      <c r="D392" s="9"/>
      <c r="E392" s="7">
        <v>2031.65</v>
      </c>
      <c r="F392" s="8">
        <f>IFERROR(E392/E444, "NA")</f>
        <v>3.4891197733852215E-3</v>
      </c>
      <c r="G392" s="9"/>
      <c r="H392" s="10">
        <f t="shared" si="96"/>
        <v>-1246.0499999999997</v>
      </c>
      <c r="I392" s="8">
        <f>IFERROR(H392/H444, "NA")</f>
        <v>1.8578495017405831E-2</v>
      </c>
      <c r="J392" s="9"/>
      <c r="K392" s="7">
        <v>3835.98</v>
      </c>
      <c r="L392" s="8">
        <f>IFERROR(K392/K444, "NA")</f>
        <v>7.3820426757419304E-3</v>
      </c>
      <c r="M392" s="9"/>
      <c r="N392" s="10">
        <f t="shared" si="97"/>
        <v>558.2800000000002</v>
      </c>
      <c r="O392" s="8">
        <f>IFERROR(N392/N444, "NA")</f>
        <v>-0.12617609235616289</v>
      </c>
      <c r="P392" s="9"/>
      <c r="Q392" s="7">
        <v>36489.43</v>
      </c>
      <c r="R392" s="8">
        <f>IFERROR(Q392/Q444, "NA")</f>
        <v>7.8966279631858694E-3</v>
      </c>
      <c r="S392" s="9"/>
      <c r="T392" s="7">
        <v>16385.95</v>
      </c>
      <c r="U392" s="8">
        <f>IFERROR(T392/T444, "NA")</f>
        <v>3.4405008381705854E-3</v>
      </c>
      <c r="V392" s="9"/>
      <c r="W392" s="10">
        <f t="shared" si="98"/>
        <v>-20103.48</v>
      </c>
      <c r="X392" s="8">
        <f>IFERROR(W392/W444, "NA")</f>
        <v>0.14179690326850872</v>
      </c>
      <c r="Y392" s="9"/>
      <c r="Z392" s="7">
        <v>26409.03</v>
      </c>
      <c r="AA392" s="8">
        <f>IFERROR(Z392/Z444, "NA")</f>
        <v>6.3013072094558024E-3</v>
      </c>
      <c r="AB392" s="9"/>
      <c r="AC392" s="10">
        <f t="shared" si="99"/>
        <v>-10080.400000000001</v>
      </c>
      <c r="AD392" s="8">
        <f>IFERROR(AC392/AC444, "NA")</f>
        <v>-2.3451098931188779E-2</v>
      </c>
    </row>
    <row r="393" spans="1:30" ht="16.5" customHeight="1" x14ac:dyDescent="0.45">
      <c r="A393" s="13" t="s">
        <v>359</v>
      </c>
      <c r="B393" s="14">
        <f>IFERROR(B388+B389+B390+B391+B392, "NA")</f>
        <v>8273.36</v>
      </c>
      <c r="C393" s="15">
        <f>IFERROR(B393/B444, "NA")</f>
        <v>1.6058164788653524E-2</v>
      </c>
      <c r="D393" s="2"/>
      <c r="E393" s="14">
        <f>IFERROR(E388+E389+E390+E391+E392, "NA")</f>
        <v>17978.16</v>
      </c>
      <c r="F393" s="15">
        <f>IFERROR(E393/E444, "NA")</f>
        <v>3.0875373979318901E-2</v>
      </c>
      <c r="G393" s="2"/>
      <c r="H393" s="14">
        <f t="shared" si="96"/>
        <v>9704.7999999999993</v>
      </c>
      <c r="I393" s="15">
        <f>IFERROR(H393/H444, "NA")</f>
        <v>-0.14469770751167299</v>
      </c>
      <c r="J393" s="2"/>
      <c r="K393" s="14">
        <f>IFERROR(K388+K389+K390+K391+K392, "NA")</f>
        <v>21124.98</v>
      </c>
      <c r="L393" s="15">
        <f>IFERROR(K393/K444, "NA")</f>
        <v>4.0653367297064834E-2</v>
      </c>
      <c r="M393" s="2"/>
      <c r="N393" s="14">
        <f t="shared" si="97"/>
        <v>12851.619999999999</v>
      </c>
      <c r="O393" s="15">
        <f>IFERROR(N393/N444, "NA")</f>
        <v>-2.9045769005629962</v>
      </c>
      <c r="P393" s="2"/>
      <c r="Q393" s="14">
        <f>IFERROR(Q388+Q389+Q390+Q391+Q392, "NA")</f>
        <v>131424.21</v>
      </c>
      <c r="R393" s="15">
        <f>IFERROR(Q393/Q444, "NA")</f>
        <v>2.844133470228534E-2</v>
      </c>
      <c r="S393" s="2"/>
      <c r="T393" s="14">
        <f>IFERROR(T388+T389+T390+T391+T392, "NA")</f>
        <v>144999.78</v>
      </c>
      <c r="U393" s="15">
        <f>IFERROR(T393/T444, "NA")</f>
        <v>3.0445098674446735E-2</v>
      </c>
      <c r="V393" s="2"/>
      <c r="W393" s="14">
        <f t="shared" si="98"/>
        <v>13575.570000000007</v>
      </c>
      <c r="X393" s="15">
        <f>IFERROR(W393/W444, "NA")</f>
        <v>-9.5753261928027883E-2</v>
      </c>
      <c r="Y393" s="2"/>
      <c r="Z393" s="14">
        <f>IFERROR(Z388+Z389+Z390+Z391+Z392, "NA")</f>
        <v>152325.88999999998</v>
      </c>
      <c r="AA393" s="15">
        <f>IFERROR(Z393/Z444, "NA")</f>
        <v>3.6345607121646327E-2</v>
      </c>
      <c r="AB393" s="2"/>
      <c r="AC393" s="14">
        <f t="shared" si="99"/>
        <v>20901.679999999993</v>
      </c>
      <c r="AD393" s="15">
        <f>IFERROR(AC393/AC444, "NA")</f>
        <v>4.86257852374955E-2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5822.82</v>
      </c>
      <c r="F394" s="8">
        <f>IFERROR(E394/E444, "NA")</f>
        <v>1.0000008071696863E-2</v>
      </c>
      <c r="G394" s="9"/>
      <c r="H394" s="10">
        <f t="shared" si="96"/>
        <v>5822.82</v>
      </c>
      <c r="I394" s="8">
        <f>IFERROR(H394/H444, "NA")</f>
        <v>-8.6817729912323782E-2</v>
      </c>
      <c r="J394" s="9"/>
      <c r="K394" s="7">
        <v>2193.96</v>
      </c>
      <c r="L394" s="8">
        <f>IFERROR(K394/K444, "NA")</f>
        <v>4.2221039601016601E-3</v>
      </c>
      <c r="M394" s="9"/>
      <c r="N394" s="10">
        <f t="shared" si="97"/>
        <v>2193.96</v>
      </c>
      <c r="O394" s="8">
        <f>IFERROR(N394/N444, "NA")</f>
        <v>-0.49585387186667457</v>
      </c>
      <c r="P394" s="9"/>
      <c r="Q394" s="7">
        <v>6612.06</v>
      </c>
      <c r="R394" s="8">
        <f>IFERROR(Q394/Q444, "NA")</f>
        <v>1.4309069199015373E-3</v>
      </c>
      <c r="S394" s="9"/>
      <c r="T394" s="7">
        <v>38313.14</v>
      </c>
      <c r="U394" s="8">
        <f>IFERROR(T394/T444, "NA")</f>
        <v>8.044476535260206E-3</v>
      </c>
      <c r="V394" s="9"/>
      <c r="W394" s="10">
        <f t="shared" si="98"/>
        <v>31701.079999999998</v>
      </c>
      <c r="X394" s="8">
        <f>IFERROR(W394/W444, "NA")</f>
        <v>-0.22359884827240142</v>
      </c>
      <c r="Y394" s="9"/>
      <c r="Z394" s="7">
        <v>40233.39</v>
      </c>
      <c r="AA394" s="8">
        <f>IFERROR(Z394/Z444, "NA")</f>
        <v>9.5998584752202947E-3</v>
      </c>
      <c r="AB394" s="9"/>
      <c r="AC394" s="10">
        <f t="shared" si="99"/>
        <v>33621.33</v>
      </c>
      <c r="AD394" s="8">
        <f>IFERROR(AC394/AC444, "NA")</f>
        <v>7.8216850127787105E-2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9177.2200000000012</v>
      </c>
      <c r="C396" s="15">
        <f>IFERROR(B396/B444, "NA")</f>
        <v>1.781251040227029E-2</v>
      </c>
      <c r="D396" s="2"/>
      <c r="E396" s="14">
        <f>IFERROR(E385+E386+E388+E389+E390+E391+E392+E394+E395, "NA")</f>
        <v>24965.54</v>
      </c>
      <c r="F396" s="15">
        <f>IFERROR(E396/E444, "NA")</f>
        <v>4.2875376795825898E-2</v>
      </c>
      <c r="G396" s="2"/>
      <c r="H396" s="14">
        <f t="shared" si="96"/>
        <v>15788.32</v>
      </c>
      <c r="I396" s="15">
        <f>IFERROR(H396/H444, "NA")</f>
        <v>-0.23540245130870263</v>
      </c>
      <c r="J396" s="2"/>
      <c r="K396" s="14">
        <f>IFERROR(K385+K386+K388+K389+K390+K391+K392+K394+K395, "NA")</f>
        <v>26362.45</v>
      </c>
      <c r="L396" s="15">
        <f>IFERROR(K396/K444, "NA")</f>
        <v>5.0732467566857196E-2</v>
      </c>
      <c r="M396" s="2"/>
      <c r="N396" s="14">
        <f t="shared" si="97"/>
        <v>17185.23</v>
      </c>
      <c r="O396" s="15">
        <f>IFERROR(N396/N444, "NA")</f>
        <v>-3.8840101161458418</v>
      </c>
      <c r="P396" s="2"/>
      <c r="Q396" s="14">
        <f>IFERROR(Q385+Q386+Q388+Q389+Q390+Q391+Q392+Q394+Q395, "NA")</f>
        <v>160137.44</v>
      </c>
      <c r="R396" s="15">
        <f>IFERROR(Q396/Q444, "NA")</f>
        <v>3.4655125790043838E-2</v>
      </c>
      <c r="S396" s="2"/>
      <c r="T396" s="14">
        <f>IFERROR(T385+T386+T388+T389+T390+T391+T392+T394+T395, "NA")</f>
        <v>200685.47000000003</v>
      </c>
      <c r="U396" s="15">
        <f>IFERROR(T396/T444, "NA")</f>
        <v>4.2137229012883477E-2</v>
      </c>
      <c r="V396" s="2"/>
      <c r="W396" s="14">
        <f t="shared" si="98"/>
        <v>40548.030000000028</v>
      </c>
      <c r="X396" s="15">
        <f>IFERROR(W396/W444, "NA")</f>
        <v>-0.28599949300512123</v>
      </c>
      <c r="Y396" s="2"/>
      <c r="Z396" s="14">
        <f>IFERROR(Z385+Z386+Z388+Z389+Z390+Z391+Z392+Z394+Z395, "NA")</f>
        <v>215219.26</v>
      </c>
      <c r="AA396" s="15">
        <f>IFERROR(Z396/Z444, "NA")</f>
        <v>5.1352233484218954E-2</v>
      </c>
      <c r="AB396" s="2"/>
      <c r="AC396" s="14">
        <f t="shared" si="99"/>
        <v>55081.820000000007</v>
      </c>
      <c r="AD396" s="15">
        <f>IFERROR(AC396/AC444, "NA")</f>
        <v>0.12814265407423642</v>
      </c>
    </row>
    <row r="397" spans="1:30" ht="16.5" customHeight="1" x14ac:dyDescent="0.45">
      <c r="A397" s="20" t="s">
        <v>363</v>
      </c>
      <c r="B397" s="7">
        <v>11909.19</v>
      </c>
      <c r="C397" s="8">
        <f>IFERROR(B397/B444, "NA")</f>
        <v>2.3115123180833988E-2</v>
      </c>
      <c r="D397" s="9"/>
      <c r="E397" s="7">
        <v>20224.240000000002</v>
      </c>
      <c r="F397" s="8">
        <f>IFERROR(E397/E444, "NA")</f>
        <v>3.4732752041782951E-2</v>
      </c>
      <c r="G397" s="9"/>
      <c r="H397" s="10">
        <f t="shared" si="96"/>
        <v>8315.0500000000011</v>
      </c>
      <c r="I397" s="8">
        <f>IFERROR(H397/H444, "NA")</f>
        <v>-0.12397665823560886</v>
      </c>
      <c r="J397" s="9"/>
      <c r="K397" s="7">
        <v>11409.13</v>
      </c>
      <c r="L397" s="8">
        <f>IFERROR(K397/K444, "NA")</f>
        <v>2.1955975931336327E-2</v>
      </c>
      <c r="M397" s="9"/>
      <c r="N397" s="10">
        <f t="shared" si="97"/>
        <v>-500.06000000000131</v>
      </c>
      <c r="O397" s="8">
        <f>IFERROR(N397/N444, "NA")</f>
        <v>0.11301787050158159</v>
      </c>
      <c r="P397" s="9"/>
      <c r="Q397" s="7">
        <v>71924.429999999993</v>
      </c>
      <c r="R397" s="8">
        <f>IFERROR(Q397/Q444, "NA")</f>
        <v>1.5565068162868111E-2</v>
      </c>
      <c r="S397" s="9"/>
      <c r="T397" s="7">
        <v>144203.01</v>
      </c>
      <c r="U397" s="8">
        <f>IFERROR(T397/T444, "NA")</f>
        <v>3.0277803653234712E-2</v>
      </c>
      <c r="V397" s="9"/>
      <c r="W397" s="10">
        <f t="shared" si="98"/>
        <v>72278.580000000016</v>
      </c>
      <c r="X397" s="8">
        <f>IFERROR(W397/W444, "NA")</f>
        <v>-0.50980620353516759</v>
      </c>
      <c r="Y397" s="9"/>
      <c r="Z397" s="7">
        <v>67327.22</v>
      </c>
      <c r="AA397" s="8">
        <f>IFERROR(Z397/Z444, "NA")</f>
        <v>1.6064561885787434E-2</v>
      </c>
      <c r="AB397" s="9"/>
      <c r="AC397" s="10">
        <f t="shared" si="99"/>
        <v>-4597.2099999999919</v>
      </c>
      <c r="AD397" s="8">
        <f>IFERROR(AC397/AC444, "NA")</f>
        <v>-1.069497505232433E-2</v>
      </c>
    </row>
    <row r="398" spans="1:30" ht="16.5" customHeight="1" x14ac:dyDescent="0.45">
      <c r="A398" s="20" t="s">
        <v>364</v>
      </c>
      <c r="B398" s="7">
        <v>224.36</v>
      </c>
      <c r="C398" s="8">
        <f>IFERROR(B398/B444, "NA")</f>
        <v>4.354711812349886E-4</v>
      </c>
      <c r="D398" s="9"/>
      <c r="E398" s="7">
        <v>75</v>
      </c>
      <c r="F398" s="8">
        <f>IFERROR(E398/E444, "NA")</f>
        <v>1.2880367337085206E-4</v>
      </c>
      <c r="G398" s="9"/>
      <c r="H398" s="10">
        <f t="shared" si="96"/>
        <v>-149.36000000000001</v>
      </c>
      <c r="I398" s="8">
        <f>IFERROR(H398/H444, "NA")</f>
        <v>2.2269443568072997E-3</v>
      </c>
      <c r="J398" s="9"/>
      <c r="K398" s="7">
        <v>31.44</v>
      </c>
      <c r="L398" s="8">
        <f>IFERROR(K398/K444, "NA")</f>
        <v>6.050381433827244E-5</v>
      </c>
      <c r="M398" s="9"/>
      <c r="N398" s="10">
        <f t="shared" si="97"/>
        <v>-192.92000000000002</v>
      </c>
      <c r="O398" s="8">
        <f>IFERROR(N398/N444, "NA")</f>
        <v>4.36015829643744E-2</v>
      </c>
      <c r="P398" s="9"/>
      <c r="Q398" s="7">
        <v>1234.97</v>
      </c>
      <c r="R398" s="8">
        <f>IFERROR(Q398/Q444, "NA")</f>
        <v>2.6725817957955639E-4</v>
      </c>
      <c r="S398" s="9"/>
      <c r="T398" s="7">
        <v>600</v>
      </c>
      <c r="U398" s="8">
        <f>IFERROR(T398/T444, "NA")</f>
        <v>1.2597990979481514E-4</v>
      </c>
      <c r="V398" s="9"/>
      <c r="W398" s="10">
        <f t="shared" si="98"/>
        <v>-634.97</v>
      </c>
      <c r="X398" s="8">
        <f>IFERROR(W398/W444, "NA")</f>
        <v>4.4786663636547002E-3</v>
      </c>
      <c r="Y398" s="9"/>
      <c r="Z398" s="7">
        <v>806.63</v>
      </c>
      <c r="AA398" s="8">
        <f>IFERROR(Z398/Z444, "NA")</f>
        <v>1.9246535879444775E-4</v>
      </c>
      <c r="AB398" s="9"/>
      <c r="AC398" s="10">
        <f t="shared" si="99"/>
        <v>-428.34000000000003</v>
      </c>
      <c r="AD398" s="8">
        <f>IFERROR(AC398/AC444, "NA")</f>
        <v>-9.9649257134492696E-4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1.2021676181279525E-3</v>
      </c>
      <c r="G399" s="9"/>
      <c r="H399" s="10">
        <f t="shared" si="96"/>
        <v>700</v>
      </c>
      <c r="I399" s="8">
        <f>IFERROR(H399/H444, "NA")</f>
        <v>-1.04369379336175E-2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1487</v>
      </c>
      <c r="R399" s="8">
        <f>IFERROR(Q399/Q444, "NA")</f>
        <v>3.2179964941237468E-4</v>
      </c>
      <c r="S399" s="9"/>
      <c r="T399" s="7">
        <v>5600</v>
      </c>
      <c r="U399" s="8">
        <f>IFERROR(T399/T444, "NA")</f>
        <v>1.1758124914182746E-3</v>
      </c>
      <c r="V399" s="9"/>
      <c r="W399" s="10">
        <f t="shared" si="98"/>
        <v>4113</v>
      </c>
      <c r="X399" s="8">
        <f>IFERROR(W399/W444, "NA")</f>
        <v>-2.9010433175916627E-2</v>
      </c>
      <c r="Y399" s="9"/>
      <c r="Z399" s="7">
        <v>5570.95</v>
      </c>
      <c r="AA399" s="8">
        <f>IFERROR(Z399/Z444, "NA")</f>
        <v>1.3292524336758224E-3</v>
      </c>
      <c r="AB399" s="9"/>
      <c r="AC399" s="10">
        <f t="shared" si="99"/>
        <v>4083.95</v>
      </c>
      <c r="AD399" s="8">
        <f>IFERROR(AC399/AC444, "NA")</f>
        <v>9.5009241180933693E-3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1.6036840048968059E-2</v>
      </c>
      <c r="M401" s="9"/>
      <c r="N401" s="10">
        <f t="shared" si="97"/>
        <v>8333.33</v>
      </c>
      <c r="O401" s="8">
        <f>IFERROR(N401/N444, "NA")</f>
        <v>-1.8834044130443195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66666.66</v>
      </c>
      <c r="AA401" s="8">
        <f>IFERROR(Z401/Z444, "NA")</f>
        <v>1.5906949452075249E-2</v>
      </c>
      <c r="AB401" s="9"/>
      <c r="AC401" s="10">
        <f t="shared" si="99"/>
        <v>66666.66</v>
      </c>
      <c r="AD401" s="8">
        <f>IFERROR(AC401/AC444, "NA")</f>
        <v>0.15509369063449124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118397.74000000002</v>
      </c>
      <c r="C403" s="15">
        <f>IFERROR(B403/B444, "NA")</f>
        <v>0.22980390307253104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163367.04999999999</v>
      </c>
      <c r="F403" s="15">
        <f>IFERROR(E403/E444, "NA")</f>
        <v>0.28056368197012876</v>
      </c>
      <c r="G403" s="2"/>
      <c r="H403" s="14">
        <f t="shared" si="96"/>
        <v>44969.309999999969</v>
      </c>
      <c r="I403" s="15">
        <f>IFERROR(H403/H444, "NA")</f>
        <v>-0.67048842483943494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149205.04999999996</v>
      </c>
      <c r="L403" s="15">
        <f>IFERROR(K403/K444, "NA")</f>
        <v>0.28713341741516074</v>
      </c>
      <c r="M403" s="2"/>
      <c r="N403" s="14">
        <f t="shared" si="97"/>
        <v>30807.309999999939</v>
      </c>
      <c r="O403" s="15">
        <f>IFERROR(N403/N444, "NA")</f>
        <v>-6.962717618049961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1049639.1799999997</v>
      </c>
      <c r="R403" s="15">
        <f>IFERROR(Q403/Q444, "NA")</f>
        <v>0.22715098865735867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1300608.3799999999</v>
      </c>
      <c r="U403" s="15">
        <f>IFERROR(T403/T444, "NA")</f>
        <v>0.27308421065130106</v>
      </c>
      <c r="V403" s="2"/>
      <c r="W403" s="14">
        <f t="shared" si="98"/>
        <v>250969.20000000019</v>
      </c>
      <c r="X403" s="15">
        <f>IFERROR(W403/W444, "NA")</f>
        <v>-1.7701738890866183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1222054.1499999997</v>
      </c>
      <c r="AA403" s="15">
        <f>IFERROR(Z403/Z444, "NA")</f>
        <v>0.29158733303496498</v>
      </c>
      <c r="AB403" s="2"/>
      <c r="AC403" s="14">
        <f t="shared" si="99"/>
        <v>172414.96999999997</v>
      </c>
      <c r="AD403" s="15">
        <f>IFERROR(AC403/AC444, "NA")</f>
        <v>0.40110715037974132</v>
      </c>
    </row>
    <row r="404" spans="1:30" ht="16.5" customHeight="1" x14ac:dyDescent="0.45">
      <c r="A404" s="22" t="s">
        <v>370</v>
      </c>
      <c r="B404" s="23">
        <f>IFERROR(B345-B403, "NA")</f>
        <v>-115164.25999999998</v>
      </c>
      <c r="C404" s="24">
        <f>IFERROR(B404/B444, "NA")</f>
        <v>-0.22352788526588221</v>
      </c>
      <c r="D404" s="25"/>
      <c r="E404" s="23">
        <f>IFERROR(E345-E403, "NA")</f>
        <v>-87242.590000000113</v>
      </c>
      <c r="F404" s="24">
        <f>IFERROR(E404/E444, "NA")</f>
        <v>-0.14982888088516239</v>
      </c>
      <c r="G404" s="25"/>
      <c r="H404" s="23">
        <f>IFERROR(B404-E404, "NA")</f>
        <v>-27921.669999999867</v>
      </c>
      <c r="I404" s="24">
        <f>IFERROR(H404/H444, "NA")</f>
        <v>0.41630962398992621</v>
      </c>
      <c r="J404" s="25"/>
      <c r="K404" s="23">
        <f>IFERROR(K345-K403, "NA")</f>
        <v>-125807.59999999995</v>
      </c>
      <c r="L404" s="24">
        <f>IFERROR(K404/K444, "NA")</f>
        <v>-0.24210685982009034</v>
      </c>
      <c r="M404" s="25"/>
      <c r="N404" s="23">
        <f>IFERROR(B404-K404, "NA")</f>
        <v>10643.339999999967</v>
      </c>
      <c r="O404" s="24">
        <f>IFERROR(N404/N444, "NA")</f>
        <v>-2.405486585258362</v>
      </c>
      <c r="P404" s="25"/>
      <c r="Q404" s="23">
        <f>IFERROR(Q345-Q403, "NA")</f>
        <v>-926571.20000000112</v>
      </c>
      <c r="R404" s="24">
        <f>IFERROR(Q404/Q444, "NA")</f>
        <v>-0.20051801433463595</v>
      </c>
      <c r="S404" s="25"/>
      <c r="T404" s="23">
        <f>IFERROR(T345-T403, "NA")</f>
        <v>-746027.17999999912</v>
      </c>
      <c r="U404" s="24">
        <f>IFERROR(T404/T444, "NA")</f>
        <v>-0.15664072806813367</v>
      </c>
      <c r="V404" s="25"/>
      <c r="W404" s="23">
        <f>IFERROR(Q404-T404, "NA")</f>
        <v>-180544.020000002</v>
      </c>
      <c r="X404" s="24">
        <f>IFERROR(W404/W444, "NA")</f>
        <v>1.2734403665259939</v>
      </c>
      <c r="Y404" s="25"/>
      <c r="Z404" s="23">
        <f>IFERROR(Z345-Z403, "NA")</f>
        <v>-951225.5499999983</v>
      </c>
      <c r="AA404" s="24">
        <f>IFERROR(Z404/Z444, "NA")</f>
        <v>-0.22696647381723412</v>
      </c>
      <c r="AB404" s="25"/>
      <c r="AC404" s="23">
        <f>IFERROR(Q404-Z404, "NA")</f>
        <v>24654.349999997183</v>
      </c>
      <c r="AD404" s="24">
        <f>IFERROR(AC404/AC444, "NA")</f>
        <v>5.7356017711012258E-2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-1.406293456174699E-2</v>
      </c>
      <c r="AB407" s="9"/>
      <c r="AC407" s="10">
        <f t="shared" ref="AC407:AC429" si="103">IFERROR(-(Q407-Z407), "NA")</f>
        <v>-58938.32</v>
      </c>
      <c r="AD407" s="8">
        <f>IFERROR(AC407/AC444, "NA")</f>
        <v>-0.13711443724039343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169.6</v>
      </c>
      <c r="L408" s="8">
        <f>IFERROR(K408/K444, "NA")</f>
        <v>3.2638189922935763E-4</v>
      </c>
      <c r="M408" s="9"/>
      <c r="N408" s="10">
        <f t="shared" si="101"/>
        <v>169.6</v>
      </c>
      <c r="O408" s="8">
        <f>IFERROR(N408/N444, "NA")</f>
        <v>-3.8331061946702764E-2</v>
      </c>
      <c r="P408" s="9"/>
      <c r="Q408" s="7">
        <v>250</v>
      </c>
      <c r="R408" s="8">
        <f>IFERROR(Q408/Q444, "NA")</f>
        <v>5.4102160291253305E-5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1.7633377811765516E-3</v>
      </c>
      <c r="Y408" s="9"/>
      <c r="Z408" s="7">
        <v>6421.29</v>
      </c>
      <c r="AA408" s="8">
        <f>IFERROR(Z408/Z444, "NA")</f>
        <v>1.5321471849214625E-3</v>
      </c>
      <c r="AB408" s="9"/>
      <c r="AC408" s="10">
        <f t="shared" si="103"/>
        <v>6171.29</v>
      </c>
      <c r="AD408" s="8">
        <f>IFERROR(AC408/AC444, "NA")</f>
        <v>1.4356923566828298E-2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30759.82</v>
      </c>
      <c r="C410" s="8">
        <f>IFERROR(B410/B444, "NA")</f>
        <v>5.9703223168014019E-2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-30759.82</v>
      </c>
      <c r="I410" s="8">
        <f>IFERROR(H410/H444, "NA")</f>
        <v>0.4586261888417803</v>
      </c>
      <c r="J410" s="9"/>
      <c r="K410" s="7">
        <v>29457.09</v>
      </c>
      <c r="L410" s="8">
        <f>IFERROR(K410/K444, "NA")</f>
        <v>5.6687859551710608E-2</v>
      </c>
      <c r="M410" s="9"/>
      <c r="N410" s="10">
        <f t="shared" si="101"/>
        <v>-1302.7299999999996</v>
      </c>
      <c r="O410" s="8">
        <f>IFERROR(N410/N444, "NA")</f>
        <v>0.29442820949191084</v>
      </c>
      <c r="P410" s="9"/>
      <c r="Q410" s="7">
        <v>228758.31</v>
      </c>
      <c r="R410" s="8">
        <f>IFERROR(Q410/Q444, "NA")</f>
        <v>4.9505275022304854E-2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-228758.31</v>
      </c>
      <c r="X410" s="8">
        <f>IFERROR(W410/W444, "NA")</f>
        <v>1.6135126831243911</v>
      </c>
      <c r="Y410" s="9"/>
      <c r="Z410" s="7">
        <v>258105.40999999997</v>
      </c>
      <c r="AA410" s="8">
        <f>IFERROR(Z410/Z444, "NA")</f>
        <v>6.1585051811162535E-2</v>
      </c>
      <c r="AB410" s="9"/>
      <c r="AC410" s="10">
        <f t="shared" si="103"/>
        <v>29347.099999999977</v>
      </c>
      <c r="AD410" s="8">
        <f>IFERROR(AC410/AC444, "NA")</f>
        <v>6.8273257553617878E-2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5.2089231996805976E-4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4.0013729046356116E-3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6.0653933341017818E-2</v>
      </c>
      <c r="P411" s="9"/>
      <c r="Q411" s="7">
        <v>1878.59</v>
      </c>
      <c r="R411" s="8">
        <f>IFERROR(Q411/Q444, "NA")</f>
        <v>4.0654310920618217E-4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-1878.59</v>
      </c>
      <c r="X411" s="8">
        <f>IFERROR(W411/W444, "NA")</f>
        <v>1.3250354889361831E-2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-1878.59</v>
      </c>
      <c r="AD411" s="8">
        <f>IFERROR(AC411/AC444, "NA")</f>
        <v>-4.3703622813719614E-3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-122.78999999999999</v>
      </c>
      <c r="C416" s="8">
        <f>IFERROR(B416/B444, "NA")</f>
        <v>-2.3832905305689179E-4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122.78999999999999</v>
      </c>
      <c r="I416" s="8">
        <f>IFERROR(H416/H444, "NA")</f>
        <v>-1.8307880126698466E-3</v>
      </c>
      <c r="J416" s="9"/>
      <c r="K416" s="7">
        <v>-135.59</v>
      </c>
      <c r="L416" s="8">
        <f>IFERROR(K416/K444, "NA")</f>
        <v>-2.6093232144167809E-4</v>
      </c>
      <c r="M416" s="9"/>
      <c r="N416" s="10">
        <f t="shared" si="101"/>
        <v>-12.800000000000011</v>
      </c>
      <c r="O416" s="8">
        <f>IFERROR(N416/N444, "NA")</f>
        <v>2.8929103356002115E-3</v>
      </c>
      <c r="P416" s="9"/>
      <c r="Q416" s="7">
        <v>-442.9</v>
      </c>
      <c r="R416" s="8">
        <f>IFERROR(Q416/Q444, "NA")</f>
        <v>-9.5847387171984352E-5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442.9</v>
      </c>
      <c r="X416" s="8">
        <f>IFERROR(W416/W444, "NA")</f>
        <v>-3.1239292131323786E-3</v>
      </c>
      <c r="Y416" s="9"/>
      <c r="Z416" s="7">
        <v>-1011.62</v>
      </c>
      <c r="AA416" s="8">
        <f>IFERROR(Z416/Z444, "NA")</f>
        <v>-2.4137684720831017E-4</v>
      </c>
      <c r="AB416" s="9"/>
      <c r="AC416" s="10">
        <f t="shared" si="103"/>
        <v>-568.72</v>
      </c>
      <c r="AD416" s="8">
        <f>IFERROR(AC416/AC444, "NA")</f>
        <v>-1.3230733883720569E-3</v>
      </c>
    </row>
    <row r="417" spans="1:30" ht="16.5" customHeight="1" x14ac:dyDescent="0.45">
      <c r="A417" s="6" t="s">
        <v>382</v>
      </c>
      <c r="B417" s="7">
        <v>-405.44</v>
      </c>
      <c r="C417" s="8">
        <f>IFERROR(B417/B444, "NA")</f>
        <v>-7.8693811606308497E-4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405.44</v>
      </c>
      <c r="I417" s="8">
        <f>IFERROR(H417/H444, "NA")</f>
        <v>-6.0450744511512554E-3</v>
      </c>
      <c r="J417" s="9"/>
      <c r="K417" s="7">
        <v>-267.10000000000002</v>
      </c>
      <c r="L417" s="8">
        <f>IFERROR(K417/K444, "NA")</f>
        <v>-5.1401300285472548E-4</v>
      </c>
      <c r="M417" s="9"/>
      <c r="N417" s="10">
        <f t="shared" si="101"/>
        <v>138.33999999999997</v>
      </c>
      <c r="O417" s="8">
        <f>IFERROR(N417/N444, "NA")</f>
        <v>-3.1266032486479127E-2</v>
      </c>
      <c r="P417" s="9"/>
      <c r="Q417" s="7">
        <v>-897.27</v>
      </c>
      <c r="R417" s="8">
        <f>IFERROR(Q417/Q444, "NA")</f>
        <v>-1.9417698145813141E-4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897.27</v>
      </c>
      <c r="X417" s="8">
        <f>IFERROR(W417/W444, "NA")</f>
        <v>-6.328760363665138E-3</v>
      </c>
      <c r="Y417" s="9"/>
      <c r="Z417" s="7">
        <v>-278.82000000000005</v>
      </c>
      <c r="AA417" s="8">
        <f>IFERROR(Z417/Z444, "NA")</f>
        <v>-6.6527641346178458E-5</v>
      </c>
      <c r="AB417" s="9"/>
      <c r="AC417" s="10">
        <f t="shared" si="103"/>
        <v>618.44999999999993</v>
      </c>
      <c r="AD417" s="8">
        <f>IFERROR(AC417/AC444, "NA")</f>
        <v>1.4387655384700705E-3</v>
      </c>
    </row>
    <row r="418" spans="1:30" ht="16.5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-3725.69</v>
      </c>
      <c r="R418" s="8">
        <f>IFERROR(Q418/Q444, "NA")</f>
        <v>-8.0627151030207816E-4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-2.6278599751806669E-2</v>
      </c>
      <c r="Y418" s="9"/>
      <c r="Z418" s="7">
        <v>-2278.69</v>
      </c>
      <c r="AA418" s="8">
        <f>IFERROR(Z418/Z444, "NA")</f>
        <v>-5.4370515407475568E-4</v>
      </c>
      <c r="AB418" s="9"/>
      <c r="AC418" s="10">
        <f t="shared" si="103"/>
        <v>1447</v>
      </c>
      <c r="AD418" s="8">
        <f>IFERROR(AC418/AC444, "NA")</f>
        <v>3.3663088918525217E-3</v>
      </c>
    </row>
    <row r="419" spans="1:30" ht="16.5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56.25</v>
      </c>
      <c r="R419" s="8">
        <f>IFERROR(Q419/Q444, "NA")</f>
        <v>1.2172986065531993E-5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-56.25</v>
      </c>
      <c r="X419" s="8">
        <f>IFERROR(W419/W444, "NA")</f>
        <v>3.967510007647241E-4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-56.25</v>
      </c>
      <c r="AD419" s="8">
        <f>IFERROR(AC419/AC444, "NA")</f>
        <v>-1.3086031455888345E-4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-1.0820432058250661E-5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-3.5266755623531034E-4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1.1632027960789639E-4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-6.72</v>
      </c>
      <c r="R423" s="8">
        <f>IFERROR(Q423/Q444, "NA")</f>
        <v>-1.4542660686288889E-6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6.72</v>
      </c>
      <c r="X423" s="8">
        <f>IFERROR(W423/W444, "NA")</f>
        <v>-4.7398519558025708E-5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6.72</v>
      </c>
      <c r="AD423" s="8">
        <f>IFERROR(AC423/AC444, "NA")</f>
        <v>1.5633445579301274E-5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6.3230719710961111E-4</v>
      </c>
      <c r="M424" s="9"/>
      <c r="N424" s="10">
        <f t="shared" si="101"/>
        <v>328.57</v>
      </c>
      <c r="O424" s="8">
        <f>IFERROR(N424/N444, "NA")</f>
        <v>-7.4259652263137549E-2</v>
      </c>
      <c r="P424" s="9"/>
      <c r="Q424" s="7">
        <v>239.6</v>
      </c>
      <c r="R424" s="8">
        <f>IFERROR(Q424/Q444, "NA")</f>
        <v>5.1851510423137169E-5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1.689982929479607E-3</v>
      </c>
      <c r="Y424" s="9"/>
      <c r="Z424" s="7">
        <v>1010.19</v>
      </c>
      <c r="AA424" s="8">
        <f>IFERROR(Z424/Z444, "NA")</f>
        <v>2.4103564310844276E-4</v>
      </c>
      <c r="AB424" s="9"/>
      <c r="AC424" s="10">
        <f t="shared" si="103"/>
        <v>770.59</v>
      </c>
      <c r="AD424" s="8">
        <f>IFERROR(AC424/AC444, "NA")</f>
        <v>1.7927048852609778E-3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-17246.990000000002</v>
      </c>
      <c r="C426" s="8">
        <f>IFERROR(B426/B444, "NA")</f>
        <v>-3.3475517507791208E-2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17246.990000000002</v>
      </c>
      <c r="I426" s="8">
        <f>IFERROR(H426/H444, "NA")</f>
        <v>-0.25715109167388811</v>
      </c>
      <c r="J426" s="9"/>
      <c r="K426" s="7">
        <v>-199.57</v>
      </c>
      <c r="L426" s="8">
        <f>IFERROR(K426/K444, "NA")</f>
        <v>-3.8405681385143223E-4</v>
      </c>
      <c r="M426" s="9"/>
      <c r="N426" s="10">
        <f t="shared" si="101"/>
        <v>17047.420000000002</v>
      </c>
      <c r="O426" s="8">
        <f>IFERROR(N426/N444, "NA")</f>
        <v>-3.852863868227947</v>
      </c>
      <c r="P426" s="9"/>
      <c r="Q426" s="7">
        <v>-97560.639999999999</v>
      </c>
      <c r="R426" s="8">
        <f>IFERROR(Q426/Q444, "NA")</f>
        <v>-2.1112965533589035E-2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97560.639999999999</v>
      </c>
      <c r="X426" s="8">
        <f>IFERROR(W426/W444, "NA")</f>
        <v>-0.68812944987105729</v>
      </c>
      <c r="Y426" s="9"/>
      <c r="Z426" s="7">
        <v>-4207.66</v>
      </c>
      <c r="AA426" s="8">
        <f>IFERROR(Z426/Z444, "NA")</f>
        <v>-1.0039656243693465E-3</v>
      </c>
      <c r="AB426" s="9"/>
      <c r="AC426" s="10">
        <f t="shared" si="103"/>
        <v>93352.98</v>
      </c>
      <c r="AD426" s="8">
        <f>IFERROR(AC426/AC444, "NA")</f>
        <v>0.2171768947166072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13252.969999999998</v>
      </c>
      <c r="C428" s="15">
        <f>IFERROR(B428/B444, "NA")</f>
        <v>2.572333081107089E-2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-13252.969999999998</v>
      </c>
      <c r="I428" s="15">
        <f>IFERROR(H428/H444, "NA")</f>
        <v>0.19760060760870668</v>
      </c>
      <c r="J428" s="2"/>
      <c r="K428" s="14">
        <f>IFERROR(K407+K408+K409+K410+K411+K412+K413+K414+K415+K416+K417+K418+K419+K420+K421+K422+K423+K424+K425+K426+K427, "NA")</f>
        <v>29353</v>
      </c>
      <c r="L428" s="15">
        <f>IFERROR(K428/K444, "NA")</f>
        <v>5.6487546509901745E-2</v>
      </c>
      <c r="M428" s="2"/>
      <c r="N428" s="14">
        <f t="shared" si="101"/>
        <v>16100.030000000002</v>
      </c>
      <c r="O428" s="15">
        <f>IFERROR(N428/N444, "NA")</f>
        <v>-3.6387455617557376</v>
      </c>
      <c r="P428" s="2"/>
      <c r="Q428" s="14">
        <f>IFERROR(Q407+Q408+Q409+Q410+Q411+Q412+Q413+Q414+Q415+Q416+Q417+Q418+Q419+Q420+Q421+Q422+Q423+Q424+Q425+Q426+Q427, "NA")</f>
        <v>128499.53000000001</v>
      </c>
      <c r="R428" s="15">
        <f>IFERROR(Q428/Q444, "NA")</f>
        <v>2.7808408677642855E-2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-128499.53000000001</v>
      </c>
      <c r="X428" s="15">
        <f>IFERROR(W428/W444, "NA")</f>
        <v>0.90635230444971904</v>
      </c>
      <c r="Y428" s="2"/>
      <c r="Z428" s="14">
        <f>IFERROR(Z407+Z408+Z409+Z410+Z411+Z412+Z413+Z414+Z415+Z416+Z417+Z418+Z419+Z420+Z421+Z422+Z423+Z424+Z425+Z426+Z427, "NA")</f>
        <v>198821.77999999997</v>
      </c>
      <c r="AA428" s="15">
        <f>IFERROR(Z428/Z444, "NA")</f>
        <v>4.7439724810446858E-2</v>
      </c>
      <c r="AB428" s="2"/>
      <c r="AC428" s="14">
        <f t="shared" si="103"/>
        <v>70322.249999999956</v>
      </c>
      <c r="AD428" s="15">
        <f>IFERROR(AC428/AC444, "NA")</f>
        <v>0.16359807565312776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13252.969999999998</v>
      </c>
      <c r="C429" s="15">
        <f>IFERROR(B429/B444, "NA")</f>
        <v>2.572333081107089E-2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-13252.969999999998</v>
      </c>
      <c r="I429" s="15">
        <f>IFERROR(H429/H444, "NA")</f>
        <v>0.19760060760870668</v>
      </c>
      <c r="J429" s="2"/>
      <c r="K429" s="14">
        <f>IFERROR(K407+K408+K409+K410+K411+K412+K413+K414+K415+K416+K417+K418+K419+K420+K421+K422+K423+K424+K425+K426+K427, "NA")</f>
        <v>29353</v>
      </c>
      <c r="L429" s="15">
        <f>IFERROR(K429/K444, "NA")</f>
        <v>5.6487546509901745E-2</v>
      </c>
      <c r="M429" s="2"/>
      <c r="N429" s="14">
        <f t="shared" si="101"/>
        <v>16100.030000000002</v>
      </c>
      <c r="O429" s="15">
        <f>IFERROR(N429/N444, "NA")</f>
        <v>-3.6387455617557376</v>
      </c>
      <c r="P429" s="2"/>
      <c r="Q429" s="14">
        <f>IFERROR(Q407+Q408+Q409+Q410+Q411+Q412+Q413+Q414+Q415+Q416+Q417+Q418+Q419+Q420+Q421+Q422+Q423+Q424+Q425+Q426+Q427, "NA")</f>
        <v>128499.53000000001</v>
      </c>
      <c r="R429" s="15">
        <f>IFERROR(Q429/Q444, "NA")</f>
        <v>2.7808408677642855E-2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-128499.53000000001</v>
      </c>
      <c r="X429" s="15">
        <f>IFERROR(W429/W444, "NA")</f>
        <v>0.90635230444971904</v>
      </c>
      <c r="Y429" s="2"/>
      <c r="Z429" s="14">
        <f>IFERROR(Z407+Z408+Z409+Z410+Z411+Z412+Z413+Z414+Z415+Z416+Z417+Z418+Z419+Z420+Z421+Z422+Z423+Z424+Z425+Z426+Z427, "NA")</f>
        <v>198821.77999999997</v>
      </c>
      <c r="AA429" s="15">
        <f>IFERROR(Z429/Z444, "NA")</f>
        <v>4.7439724810446858E-2</v>
      </c>
      <c r="AB429" s="2"/>
      <c r="AC429" s="14">
        <f t="shared" si="103"/>
        <v>70322.249999999956</v>
      </c>
      <c r="AD429" s="15">
        <f>IFERROR(AC429/AC444, "NA")</f>
        <v>0.16359807565312776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-128417.22999999998</v>
      </c>
      <c r="C443" s="24">
        <f>IFERROR(B443/B444, "NA")</f>
        <v>-0.24925121607695311</v>
      </c>
      <c r="D443" s="25"/>
      <c r="E443" s="23">
        <f>IFERROR(E404-E429-E442, "NA")</f>
        <v>-87242.590000000113</v>
      </c>
      <c r="F443" s="24">
        <f>IFERROR(E443/E444, "NA")</f>
        <v>-0.14982888088516239</v>
      </c>
      <c r="G443" s="25"/>
      <c r="H443" s="23">
        <f>IFERROR(B443-E443, "NA")</f>
        <v>-41174.639999999868</v>
      </c>
      <c r="I443" s="24">
        <f>IFERROR(H443/H444, "NA")</f>
        <v>0.61391023159863289</v>
      </c>
      <c r="J443" s="25"/>
      <c r="K443" s="23">
        <f>IFERROR(K404-K429-K442, "NA")</f>
        <v>-155160.59999999995</v>
      </c>
      <c r="L443" s="24">
        <f>IFERROR(K443/K444, "NA")</f>
        <v>-0.29859440632999207</v>
      </c>
      <c r="M443" s="25"/>
      <c r="N443" s="23">
        <f>IFERROR(B443-K443, "NA")</f>
        <v>26743.369999999966</v>
      </c>
      <c r="O443" s="24">
        <f>IFERROR(N443/N444, "NA")</f>
        <v>-6.0442321470140987</v>
      </c>
      <c r="P443" s="25"/>
      <c r="Q443" s="23">
        <f>IFERROR(Q404-Q429-Q442, "NA")</f>
        <v>-1055070.7300000011</v>
      </c>
      <c r="R443" s="24">
        <f>IFERROR(Q443/Q444, "NA")</f>
        <v>-0.22832642301227879</v>
      </c>
      <c r="S443" s="25"/>
      <c r="T443" s="23">
        <f>IFERROR(T404-T429-T442, "NA")</f>
        <v>-746027.17999999912</v>
      </c>
      <c r="U443" s="24">
        <f>IFERROR(T443/T444, "NA")</f>
        <v>-0.15664072806813367</v>
      </c>
      <c r="V443" s="25"/>
      <c r="W443" s="23">
        <f>IFERROR(Q443-T443, "NA")</f>
        <v>-309043.55000000203</v>
      </c>
      <c r="X443" s="24">
        <f>IFERROR(W443/W444, "NA")</f>
        <v>2.1797926709757132</v>
      </c>
      <c r="Y443" s="25"/>
      <c r="Z443" s="23">
        <f>IFERROR(Z404-Z429-Z442, "NA")</f>
        <v>-1150047.3299999982</v>
      </c>
      <c r="AA443" s="24">
        <f>IFERROR(Z443/Z444, "NA")</f>
        <v>-0.27440619862768095</v>
      </c>
      <c r="AB443" s="25"/>
      <c r="AC443" s="23">
        <f>IFERROR(Q443-Z443, "NA")</f>
        <v>94976.599999997066</v>
      </c>
      <c r="AD443" s="24">
        <f>IFERROR(AC443/AC444, "NA")</f>
        <v>0.22095409336413982</v>
      </c>
    </row>
    <row r="444" spans="1:30" ht="15.75" hidden="1" x14ac:dyDescent="0.45">
      <c r="A444" s="26" t="s">
        <v>117</v>
      </c>
      <c r="B444" s="7">
        <v>515212.05000000005</v>
      </c>
      <c r="C444" s="27"/>
      <c r="D444" s="9"/>
      <c r="E444" s="7">
        <v>582281.53</v>
      </c>
      <c r="F444" s="27"/>
      <c r="G444" s="9"/>
      <c r="H444" s="10">
        <f>IFERROR(B444-E444, "NA")</f>
        <v>-67069.479999999981</v>
      </c>
      <c r="I444" s="27"/>
      <c r="J444" s="9"/>
      <c r="K444" s="7">
        <v>519636.66000000003</v>
      </c>
      <c r="L444" s="27"/>
      <c r="M444" s="9"/>
      <c r="N444" s="10">
        <f>IFERROR(B444-K444, "NA")</f>
        <v>-4424.609999999986</v>
      </c>
      <c r="O444" s="27"/>
      <c r="P444" s="9"/>
      <c r="Q444" s="7">
        <v>4620887.57</v>
      </c>
      <c r="R444" s="27"/>
      <c r="S444" s="9"/>
      <c r="T444" s="7">
        <v>4762664.1500000004</v>
      </c>
      <c r="U444" s="27"/>
      <c r="V444" s="9"/>
      <c r="W444" s="10">
        <f>IFERROR(Q444-T444, "NA")</f>
        <v>-141776.58000000007</v>
      </c>
      <c r="X444" s="27"/>
      <c r="Y444" s="9"/>
      <c r="Z444" s="7">
        <v>4191039.91</v>
      </c>
      <c r="AA444" s="27"/>
      <c r="AB444" s="9"/>
      <c r="AC444" s="10">
        <f>IFERROR(Q444-Z444, "NA")</f>
        <v>429847.66000000015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46769.16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15345.839999999997</v>
      </c>
      <c r="I350" s="8" t="str">
        <f>IFERROR(H350/H444, "NA")</f>
        <v>NA</v>
      </c>
      <c r="J350" s="9"/>
      <c r="K350" s="7">
        <v>44653.8</v>
      </c>
      <c r="L350" s="8" t="str">
        <f>IFERROR(K350/K444, "NA")</f>
        <v>NA</v>
      </c>
      <c r="M350" s="9"/>
      <c r="N350" s="10">
        <f t="shared" si="89"/>
        <v>-2115.3600000000006</v>
      </c>
      <c r="O350" s="8" t="str">
        <f>IFERROR(N350/N444, "NA")</f>
        <v>NA</v>
      </c>
      <c r="P350" s="9"/>
      <c r="Q350" s="7">
        <v>402688.98</v>
      </c>
      <c r="R350" s="8" t="str">
        <f>IFERROR(Q350/Q444, "NA")</f>
        <v>NA</v>
      </c>
      <c r="S350" s="9"/>
      <c r="T350" s="7">
        <v>520671</v>
      </c>
      <c r="U350" s="8" t="str">
        <f>IFERROR(T350/T444, "NA")</f>
        <v>NA</v>
      </c>
      <c r="V350" s="9"/>
      <c r="W350" s="10">
        <f t="shared" si="90"/>
        <v>117982.02000000002</v>
      </c>
      <c r="X350" s="8" t="str">
        <f>IFERROR(W350/W444, "NA")</f>
        <v>NA</v>
      </c>
      <c r="Y350" s="9"/>
      <c r="Z350" s="7">
        <v>400387.8</v>
      </c>
      <c r="AA350" s="8" t="str">
        <f>IFERROR(Z350/Z444, "NA")</f>
        <v>NA</v>
      </c>
      <c r="AB350" s="9"/>
      <c r="AC350" s="10">
        <f t="shared" si="91"/>
        <v>-2301.179999999993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5500</v>
      </c>
      <c r="F352" s="8" t="str">
        <f>IFERROR(E352/E444, "NA")</f>
        <v>NA</v>
      </c>
      <c r="G352" s="9"/>
      <c r="H352" s="10">
        <f t="shared" si="88"/>
        <v>5500</v>
      </c>
      <c r="I352" s="8" t="str">
        <f>IFERROR(H352/H444, "NA")</f>
        <v>NA</v>
      </c>
      <c r="J352" s="9"/>
      <c r="K352" s="7">
        <v>10769.24</v>
      </c>
      <c r="L352" s="8" t="str">
        <f>IFERROR(K352/K444, "NA")</f>
        <v>NA</v>
      </c>
      <c r="M352" s="9"/>
      <c r="N352" s="10">
        <f t="shared" si="89"/>
        <v>10769.24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23375</v>
      </c>
      <c r="U352" s="8" t="str">
        <f>IFERROR(T352/T444, "NA")</f>
        <v>NA</v>
      </c>
      <c r="V352" s="9"/>
      <c r="W352" s="10">
        <f t="shared" si="90"/>
        <v>23375</v>
      </c>
      <c r="X352" s="8" t="str">
        <f>IFERROR(W352/W444, "NA")</f>
        <v>NA</v>
      </c>
      <c r="Y352" s="9"/>
      <c r="Z352" s="7">
        <v>81346.210000000006</v>
      </c>
      <c r="AA352" s="8" t="str">
        <f>IFERROR(Z352/Z444, "NA")</f>
        <v>NA</v>
      </c>
      <c r="AB352" s="9"/>
      <c r="AC352" s="10">
        <f t="shared" si="91"/>
        <v>81346.210000000006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580</v>
      </c>
      <c r="C353" s="8" t="str">
        <f>IFERROR(B353/B444, "NA")</f>
        <v>NA</v>
      </c>
      <c r="D353" s="9"/>
      <c r="E353" s="7">
        <v>4869.7299999999996</v>
      </c>
      <c r="F353" s="8" t="str">
        <f>IFERROR(E353/E444, "NA")</f>
        <v>NA</v>
      </c>
      <c r="G353" s="9"/>
      <c r="H353" s="10">
        <f t="shared" si="88"/>
        <v>4289.7299999999996</v>
      </c>
      <c r="I353" s="8" t="str">
        <f>IFERROR(H353/H444, "NA")</f>
        <v>NA</v>
      </c>
      <c r="J353" s="9"/>
      <c r="K353" s="7">
        <v>3917.56</v>
      </c>
      <c r="L353" s="8" t="str">
        <f>IFERROR(K353/K444, "NA")</f>
        <v>NA</v>
      </c>
      <c r="M353" s="9"/>
      <c r="N353" s="10">
        <f t="shared" si="89"/>
        <v>3337.56</v>
      </c>
      <c r="O353" s="8" t="str">
        <f>IFERROR(N353/N444, "NA")</f>
        <v>NA</v>
      </c>
      <c r="P353" s="9"/>
      <c r="Q353" s="7">
        <v>7499.8</v>
      </c>
      <c r="R353" s="8" t="str">
        <f>IFERROR(Q353/Q444, "NA")</f>
        <v>NA</v>
      </c>
      <c r="S353" s="9"/>
      <c r="T353" s="7">
        <v>39852.230000000003</v>
      </c>
      <c r="U353" s="8" t="str">
        <f>IFERROR(T353/T444, "NA")</f>
        <v>NA</v>
      </c>
      <c r="V353" s="9"/>
      <c r="W353" s="10">
        <f t="shared" si="90"/>
        <v>32352.430000000004</v>
      </c>
      <c r="X353" s="8" t="str">
        <f>IFERROR(W353/W444, "NA")</f>
        <v>NA</v>
      </c>
      <c r="Y353" s="9"/>
      <c r="Z353" s="7">
        <v>6743.78</v>
      </c>
      <c r="AA353" s="8" t="str">
        <f>IFERROR(Z353/Z444, "NA")</f>
        <v>NA</v>
      </c>
      <c r="AB353" s="9"/>
      <c r="AC353" s="10">
        <f t="shared" si="91"/>
        <v>-756.02000000000044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4215.2700000000004</v>
      </c>
      <c r="C354" s="8" t="str">
        <f>IFERROR(B354/B444, "NA")</f>
        <v>NA</v>
      </c>
      <c r="D354" s="9"/>
      <c r="E354" s="7">
        <v>5222.99</v>
      </c>
      <c r="F354" s="8" t="str">
        <f>IFERROR(E354/E444, "NA")</f>
        <v>NA</v>
      </c>
      <c r="G354" s="9"/>
      <c r="H354" s="10">
        <f t="shared" si="88"/>
        <v>1007.7199999999993</v>
      </c>
      <c r="I354" s="8" t="str">
        <f>IFERROR(H354/H444, "NA")</f>
        <v>NA</v>
      </c>
      <c r="J354" s="9"/>
      <c r="K354" s="7">
        <v>4267.49</v>
      </c>
      <c r="L354" s="8" t="str">
        <f>IFERROR(K354/K444, "NA")</f>
        <v>NA</v>
      </c>
      <c r="M354" s="9"/>
      <c r="N354" s="10">
        <f t="shared" si="89"/>
        <v>52.219999999999345</v>
      </c>
      <c r="O354" s="8" t="str">
        <f>IFERROR(N354/N444, "NA")</f>
        <v>NA</v>
      </c>
      <c r="P354" s="9"/>
      <c r="Q354" s="7">
        <v>35602.81</v>
      </c>
      <c r="R354" s="8" t="str">
        <f>IFERROR(Q354/Q444, "NA")</f>
        <v>NA</v>
      </c>
      <c r="S354" s="9"/>
      <c r="T354" s="7">
        <v>44806.51</v>
      </c>
      <c r="U354" s="8" t="str">
        <f>IFERROR(T354/T444, "NA")</f>
        <v>NA</v>
      </c>
      <c r="V354" s="9"/>
      <c r="W354" s="10">
        <f t="shared" si="90"/>
        <v>9203.7000000000044</v>
      </c>
      <c r="X354" s="8" t="str">
        <f>IFERROR(W354/W444, "NA")</f>
        <v>NA</v>
      </c>
      <c r="Y354" s="9"/>
      <c r="Z354" s="7">
        <v>37308.61</v>
      </c>
      <c r="AA354" s="8" t="str">
        <f>IFERROR(Z354/Z444, "NA")</f>
        <v>NA</v>
      </c>
      <c r="AB354" s="9"/>
      <c r="AC354" s="10">
        <f t="shared" si="91"/>
        <v>1705.8000000000029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212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68</v>
      </c>
      <c r="I355" s="8" t="str">
        <f>IFERROR(H355/H444, "NA")</f>
        <v>NA</v>
      </c>
      <c r="J355" s="9"/>
      <c r="K355" s="7">
        <v>275.60000000000002</v>
      </c>
      <c r="L355" s="8" t="str">
        <f>IFERROR(K355/K444, "NA")</f>
        <v>NA</v>
      </c>
      <c r="M355" s="9"/>
      <c r="N355" s="10">
        <f t="shared" si="89"/>
        <v>63.600000000000023</v>
      </c>
      <c r="O355" s="8" t="str">
        <f>IFERROR(N355/N444, "NA")</f>
        <v>NA</v>
      </c>
      <c r="P355" s="9"/>
      <c r="Q355" s="7">
        <v>1812.6</v>
      </c>
      <c r="R355" s="8" t="str">
        <f>IFERROR(Q355/Q444, "NA")</f>
        <v>NA</v>
      </c>
      <c r="S355" s="9"/>
      <c r="T355" s="7">
        <v>2380</v>
      </c>
      <c r="U355" s="8" t="str">
        <f>IFERROR(T355/T444, "NA")</f>
        <v>NA</v>
      </c>
      <c r="V355" s="9"/>
      <c r="W355" s="10">
        <f t="shared" si="90"/>
        <v>567.40000000000009</v>
      </c>
      <c r="X355" s="8" t="str">
        <f>IFERROR(W355/W444, "NA")</f>
        <v>NA</v>
      </c>
      <c r="Y355" s="9"/>
      <c r="Z355" s="7">
        <v>1814.72</v>
      </c>
      <c r="AA355" s="8" t="str">
        <f>IFERROR(Z355/Z444, "NA")</f>
        <v>NA</v>
      </c>
      <c r="AB355" s="9"/>
      <c r="AC355" s="10">
        <f t="shared" si="91"/>
        <v>2.1200000000001182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6187.5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0</v>
      </c>
      <c r="I356" s="8" t="str">
        <f>IFERROR(H356/H444, "NA")</f>
        <v>NA</v>
      </c>
      <c r="J356" s="9"/>
      <c r="K356" s="7">
        <v>0</v>
      </c>
      <c r="L356" s="8" t="str">
        <f>IFERROR(K356/K444, "NA")</f>
        <v>NA</v>
      </c>
      <c r="M356" s="9"/>
      <c r="N356" s="10">
        <f t="shared" si="89"/>
        <v>-6187.5</v>
      </c>
      <c r="O356" s="8" t="str">
        <f>IFERROR(N356/N444, "NA")</f>
        <v>NA</v>
      </c>
      <c r="P356" s="9"/>
      <c r="Q356" s="7">
        <v>45187.5</v>
      </c>
      <c r="R356" s="8" t="str">
        <f>IFERROR(Q356/Q444, "NA")</f>
        <v>NA</v>
      </c>
      <c r="S356" s="9"/>
      <c r="T356" s="7">
        <v>49500</v>
      </c>
      <c r="U356" s="8" t="str">
        <f>IFERROR(T356/T444, "NA")</f>
        <v>NA</v>
      </c>
      <c r="V356" s="9"/>
      <c r="W356" s="10">
        <f t="shared" si="90"/>
        <v>4312.5</v>
      </c>
      <c r="X356" s="8" t="str">
        <f>IFERROR(W356/W444, "NA")</f>
        <v>NA</v>
      </c>
      <c r="Y356" s="9"/>
      <c r="Z356" s="7">
        <v>11800</v>
      </c>
      <c r="AA356" s="8" t="str">
        <f>IFERROR(Z356/Z444, "NA")</f>
        <v>NA</v>
      </c>
      <c r="AB356" s="9"/>
      <c r="AC356" s="10">
        <f t="shared" si="91"/>
        <v>-33387.5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3674.43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-1127.71</v>
      </c>
      <c r="I357" s="8" t="str">
        <f>IFERROR(H357/H444, "NA")</f>
        <v>NA</v>
      </c>
      <c r="J357" s="9"/>
      <c r="K357" s="7">
        <v>2976.76</v>
      </c>
      <c r="L357" s="8" t="str">
        <f>IFERROR(K357/K444, "NA")</f>
        <v>NA</v>
      </c>
      <c r="M357" s="9"/>
      <c r="N357" s="10">
        <f t="shared" si="89"/>
        <v>-697.66999999999962</v>
      </c>
      <c r="O357" s="8" t="str">
        <f>IFERROR(N357/N444, "NA")</f>
        <v>NA</v>
      </c>
      <c r="P357" s="9"/>
      <c r="Q357" s="7">
        <v>28071.360000000001</v>
      </c>
      <c r="R357" s="8" t="str">
        <f>IFERROR(Q357/Q444, "NA")</f>
        <v>NA</v>
      </c>
      <c r="S357" s="9"/>
      <c r="T357" s="7">
        <v>21347.52</v>
      </c>
      <c r="U357" s="8" t="str">
        <f>IFERROR(T357/T444, "NA")</f>
        <v>NA</v>
      </c>
      <c r="V357" s="9"/>
      <c r="W357" s="10">
        <f t="shared" si="90"/>
        <v>-6723.84</v>
      </c>
      <c r="X357" s="8" t="str">
        <f>IFERROR(W357/W444, "NA")</f>
        <v>NA</v>
      </c>
      <c r="Y357" s="9"/>
      <c r="Z357" s="7">
        <v>20358.38</v>
      </c>
      <c r="AA357" s="8" t="str">
        <f>IFERROR(Z357/Z444, "NA")</f>
        <v>NA</v>
      </c>
      <c r="AB357" s="9"/>
      <c r="AC357" s="10">
        <f t="shared" si="91"/>
        <v>-7712.98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61638.360000000008</v>
      </c>
      <c r="C358" s="15" t="str">
        <f>IFERROR(B358/B444, "NA")</f>
        <v>NA</v>
      </c>
      <c r="D358" s="2"/>
      <c r="E358" s="14">
        <f>IFERROR(E349+E350+E351+E352+E353+E354+E355+E356+E357, "NA")</f>
        <v>86721.94</v>
      </c>
      <c r="F358" s="15" t="str">
        <f>IFERROR(E358/E444, "NA")</f>
        <v>NA</v>
      </c>
      <c r="G358" s="2"/>
      <c r="H358" s="14">
        <f t="shared" si="88"/>
        <v>25083.579999999994</v>
      </c>
      <c r="I358" s="15" t="str">
        <f>IFERROR(H358/H444, "NA")</f>
        <v>NA</v>
      </c>
      <c r="J358" s="2"/>
      <c r="K358" s="14">
        <f>IFERROR(K349+K350+K351+K352+K353+K354+K355+K356+K357, "NA")</f>
        <v>66860.45</v>
      </c>
      <c r="L358" s="15" t="str">
        <f>IFERROR(K358/K444, "NA")</f>
        <v>NA</v>
      </c>
      <c r="M358" s="2"/>
      <c r="N358" s="14">
        <f t="shared" si="89"/>
        <v>5222.0899999999892</v>
      </c>
      <c r="O358" s="15" t="str">
        <f>IFERROR(N358/N444, "NA")</f>
        <v>NA</v>
      </c>
      <c r="P358" s="2"/>
      <c r="Q358" s="14">
        <f>IFERROR(Q349+Q350+Q351+Q352+Q353+Q354+Q355+Q356+Q357, "NA")</f>
        <v>520863.04999999993</v>
      </c>
      <c r="R358" s="15" t="str">
        <f>IFERROR(Q358/Q444, "NA")</f>
        <v>NA</v>
      </c>
      <c r="S358" s="2"/>
      <c r="T358" s="14">
        <f>IFERROR(T349+T350+T351+T352+T353+T354+T355+T356+T357, "NA")</f>
        <v>701932.26</v>
      </c>
      <c r="U358" s="15" t="str">
        <f>IFERROR(T358/T444, "NA")</f>
        <v>NA</v>
      </c>
      <c r="V358" s="2"/>
      <c r="W358" s="14">
        <f t="shared" si="90"/>
        <v>181069.21000000008</v>
      </c>
      <c r="X358" s="15" t="str">
        <f>IFERROR(W358/W444, "NA")</f>
        <v>NA</v>
      </c>
      <c r="Y358" s="2"/>
      <c r="Z358" s="14">
        <f>IFERROR(Z349+Z350+Z351+Z352+Z353+Z354+Z355+Z356+Z357, "NA")</f>
        <v>559759.5</v>
      </c>
      <c r="AA358" s="15" t="str">
        <f>IFERROR(Z358/Z444, "NA")</f>
        <v>NA</v>
      </c>
      <c r="AB358" s="2"/>
      <c r="AC358" s="14">
        <f t="shared" si="91"/>
        <v>38896.45000000007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11500</v>
      </c>
      <c r="U360" s="8" t="str">
        <f>IFERROR(T360/T444, "NA")</f>
        <v>NA</v>
      </c>
      <c r="V360" s="9"/>
      <c r="W360" s="10">
        <f t="shared" ref="W360:W383" si="94">IFERROR(-(Q360-T360), "NA")</f>
        <v>11500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389.09</v>
      </c>
      <c r="L361" s="8" t="str">
        <f>IFERROR(K361/K444, "NA")</f>
        <v>NA</v>
      </c>
      <c r="M361" s="9"/>
      <c r="N361" s="10">
        <f t="shared" si="93"/>
        <v>389.09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3195.33</v>
      </c>
      <c r="AA361" s="8" t="str">
        <f>IFERROR(Z361/Z444, "NA")</f>
        <v>NA</v>
      </c>
      <c r="AB361" s="9"/>
      <c r="AC361" s="10">
        <f t="shared" si="95"/>
        <v>3195.33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741.3</v>
      </c>
      <c r="C362" s="8" t="str">
        <f>IFERROR(B362/B444, "NA")</f>
        <v>NA</v>
      </c>
      <c r="D362" s="9"/>
      <c r="E362" s="7">
        <v>500</v>
      </c>
      <c r="F362" s="8" t="str">
        <f>IFERROR(E362/E444, "NA")</f>
        <v>NA</v>
      </c>
      <c r="G362" s="9"/>
      <c r="H362" s="10">
        <f t="shared" si="92"/>
        <v>-241.29999999999995</v>
      </c>
      <c r="I362" s="8" t="str">
        <f>IFERROR(H362/H444, "NA")</f>
        <v>NA</v>
      </c>
      <c r="J362" s="9"/>
      <c r="K362" s="7">
        <v>1201.44</v>
      </c>
      <c r="L362" s="8" t="str">
        <f>IFERROR(K362/K444, "NA")</f>
        <v>NA</v>
      </c>
      <c r="M362" s="9"/>
      <c r="N362" s="10">
        <f t="shared" si="93"/>
        <v>460.1400000000001</v>
      </c>
      <c r="O362" s="8" t="str">
        <f>IFERROR(N362/N444, "NA")</f>
        <v>NA</v>
      </c>
      <c r="P362" s="9"/>
      <c r="Q362" s="7">
        <v>6182.1</v>
      </c>
      <c r="R362" s="8" t="str">
        <f>IFERROR(Q362/Q444, "NA")</f>
        <v>NA</v>
      </c>
      <c r="S362" s="9"/>
      <c r="T362" s="7">
        <v>3600</v>
      </c>
      <c r="U362" s="8" t="str">
        <f>IFERROR(T362/T444, "NA")</f>
        <v>NA</v>
      </c>
      <c r="V362" s="9"/>
      <c r="W362" s="10">
        <f t="shared" si="94"/>
        <v>-2582.1000000000004</v>
      </c>
      <c r="X362" s="8" t="str">
        <f>IFERROR(W362/W444, "NA")</f>
        <v>NA</v>
      </c>
      <c r="Y362" s="9"/>
      <c r="Z362" s="7">
        <v>4270.1099999999997</v>
      </c>
      <c r="AA362" s="8" t="str">
        <f>IFERROR(Z362/Z444, "NA")</f>
        <v>NA</v>
      </c>
      <c r="AB362" s="9"/>
      <c r="AC362" s="10">
        <f t="shared" si="95"/>
        <v>-1911.9900000000007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778.59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-578.59</v>
      </c>
      <c r="I363" s="8" t="str">
        <f>IFERROR(H363/H444, "NA")</f>
        <v>NA</v>
      </c>
      <c r="J363" s="9"/>
      <c r="K363" s="7">
        <v>3410.65</v>
      </c>
      <c r="L363" s="8" t="str">
        <f>IFERROR(K363/K444, "NA")</f>
        <v>NA</v>
      </c>
      <c r="M363" s="9"/>
      <c r="N363" s="10">
        <f t="shared" si="93"/>
        <v>2632.06</v>
      </c>
      <c r="O363" s="8" t="str">
        <f>IFERROR(N363/N444, "NA")</f>
        <v>NA</v>
      </c>
      <c r="P363" s="9"/>
      <c r="Q363" s="7">
        <v>7129.2</v>
      </c>
      <c r="R363" s="8" t="str">
        <f>IFERROR(Q363/Q444, "NA")</f>
        <v>NA</v>
      </c>
      <c r="S363" s="9"/>
      <c r="T363" s="7">
        <v>1700</v>
      </c>
      <c r="U363" s="8" t="str">
        <f>IFERROR(T363/T444, "NA")</f>
        <v>NA</v>
      </c>
      <c r="V363" s="9"/>
      <c r="W363" s="10">
        <f t="shared" si="94"/>
        <v>-5429.2</v>
      </c>
      <c r="X363" s="8" t="str">
        <f>IFERROR(W363/W444, "NA")</f>
        <v>NA</v>
      </c>
      <c r="Y363" s="9"/>
      <c r="Z363" s="7">
        <v>17553.29</v>
      </c>
      <c r="AA363" s="8" t="str">
        <f>IFERROR(Z363/Z444, "NA")</f>
        <v>NA</v>
      </c>
      <c r="AB363" s="9"/>
      <c r="AC363" s="10">
        <f t="shared" si="95"/>
        <v>10424.09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551.02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-551.02</v>
      </c>
      <c r="I364" s="8" t="str">
        <f>IFERROR(H364/H444, "NA")</f>
        <v>NA</v>
      </c>
      <c r="J364" s="9"/>
      <c r="K364" s="7">
        <v>1106.9100000000001</v>
      </c>
      <c r="L364" s="8" t="str">
        <f>IFERROR(K364/K444, "NA")</f>
        <v>NA</v>
      </c>
      <c r="M364" s="9"/>
      <c r="N364" s="10">
        <f t="shared" si="93"/>
        <v>555.8900000000001</v>
      </c>
      <c r="O364" s="8" t="str">
        <f>IFERROR(N364/N444, "NA")</f>
        <v>NA</v>
      </c>
      <c r="P364" s="9"/>
      <c r="Q364" s="7">
        <v>5433.32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-5433.32</v>
      </c>
      <c r="X364" s="8" t="str">
        <f>IFERROR(W364/W444, "NA")</f>
        <v>NA</v>
      </c>
      <c r="Y364" s="9"/>
      <c r="Z364" s="7">
        <v>7100.11</v>
      </c>
      <c r="AA364" s="8" t="str">
        <f>IFERROR(Z364/Z444, "NA")</f>
        <v>NA</v>
      </c>
      <c r="AB364" s="9"/>
      <c r="AC364" s="10">
        <f t="shared" si="95"/>
        <v>1666.79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172.26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37.740000000000009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-172.26</v>
      </c>
      <c r="O365" s="8" t="str">
        <f>IFERROR(N365/N444, "NA")</f>
        <v>NA</v>
      </c>
      <c r="P365" s="9"/>
      <c r="Q365" s="7">
        <v>4530.6400000000003</v>
      </c>
      <c r="R365" s="8" t="str">
        <f>IFERROR(Q365/Q444, "NA")</f>
        <v>NA</v>
      </c>
      <c r="S365" s="9"/>
      <c r="T365" s="7">
        <v>1470</v>
      </c>
      <c r="U365" s="8" t="str">
        <f>IFERROR(T365/T444, "NA")</f>
        <v>NA</v>
      </c>
      <c r="V365" s="9"/>
      <c r="W365" s="10">
        <f t="shared" si="94"/>
        <v>-3060.6400000000003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-4530.6400000000003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1016.96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-671.96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-1016.96</v>
      </c>
      <c r="O366" s="8" t="str">
        <f>IFERROR(N366/N444, "NA")</f>
        <v>NA</v>
      </c>
      <c r="P366" s="9"/>
      <c r="Q366" s="7">
        <v>3885.47</v>
      </c>
      <c r="R366" s="8" t="str">
        <f>IFERROR(Q366/Q444, "NA")</f>
        <v>NA</v>
      </c>
      <c r="S366" s="9"/>
      <c r="T366" s="7">
        <v>2415</v>
      </c>
      <c r="U366" s="8" t="str">
        <f>IFERROR(T366/T444, "NA")</f>
        <v>NA</v>
      </c>
      <c r="V366" s="9"/>
      <c r="W366" s="10">
        <f t="shared" si="94"/>
        <v>-1470.4699999999998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-3885.47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1765.71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-1765.71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-1765.71</v>
      </c>
      <c r="O367" s="8" t="str">
        <f>IFERROR(N367/N444, "NA")</f>
        <v>NA</v>
      </c>
      <c r="P367" s="9"/>
      <c r="Q367" s="7">
        <v>8539.77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-8539.77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-8539.77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5025.84</v>
      </c>
      <c r="C368" s="15" t="str">
        <f>IFERROR(B368/B444, "NA")</f>
        <v>NA</v>
      </c>
      <c r="D368" s="2"/>
      <c r="E368" s="14">
        <f>IFERROR(E360+E361+E362+E363+E364+E365+E366+E367, "NA")</f>
        <v>2755</v>
      </c>
      <c r="F368" s="15" t="str">
        <f>IFERROR(E368/E444, "NA")</f>
        <v>NA</v>
      </c>
      <c r="G368" s="2"/>
      <c r="H368" s="14">
        <f t="shared" si="92"/>
        <v>-2270.84</v>
      </c>
      <c r="I368" s="15" t="str">
        <f>IFERROR(H368/H444, "NA")</f>
        <v>NA</v>
      </c>
      <c r="J368" s="2"/>
      <c r="K368" s="14">
        <f>IFERROR(K360+K361+K362+K363+K364+K365+K366+K367, "NA")</f>
        <v>6108.09</v>
      </c>
      <c r="L368" s="15" t="str">
        <f>IFERROR(K368/K444, "NA")</f>
        <v>NA</v>
      </c>
      <c r="M368" s="2"/>
      <c r="N368" s="14">
        <f t="shared" si="93"/>
        <v>1082.25</v>
      </c>
      <c r="O368" s="15" t="str">
        <f>IFERROR(N368/N444, "NA")</f>
        <v>NA</v>
      </c>
      <c r="P368" s="2"/>
      <c r="Q368" s="14">
        <f>IFERROR(Q360+Q361+Q362+Q363+Q364+Q365+Q366+Q367, "NA")</f>
        <v>35700.5</v>
      </c>
      <c r="R368" s="15" t="str">
        <f>IFERROR(Q368/Q444, "NA")</f>
        <v>NA</v>
      </c>
      <c r="S368" s="2"/>
      <c r="T368" s="14">
        <f>IFERROR(T360+T361+T362+T363+T364+T365+T366+T367, "NA")</f>
        <v>20685</v>
      </c>
      <c r="U368" s="15" t="str">
        <f>IFERROR(T368/T444, "NA")</f>
        <v>NA</v>
      </c>
      <c r="V368" s="2"/>
      <c r="W368" s="14">
        <f t="shared" si="94"/>
        <v>-15015.5</v>
      </c>
      <c r="X368" s="15" t="str">
        <f>IFERROR(W368/W444, "NA")</f>
        <v>NA</v>
      </c>
      <c r="Y368" s="2"/>
      <c r="Z368" s="14">
        <f>IFERROR(Z360+Z361+Z362+Z363+Z364+Z365+Z366+Z367, "NA")</f>
        <v>32118.84</v>
      </c>
      <c r="AA368" s="15" t="str">
        <f>IFERROR(Z368/Z444, "NA")</f>
        <v>NA</v>
      </c>
      <c r="AB368" s="2"/>
      <c r="AC368" s="14">
        <f t="shared" si="95"/>
        <v>-3581.66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177.35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457.65</v>
      </c>
      <c r="I370" s="8" t="str">
        <f>IFERROR(H370/H444, "NA")</f>
        <v>NA</v>
      </c>
      <c r="J370" s="9"/>
      <c r="K370" s="7">
        <v>98</v>
      </c>
      <c r="L370" s="8" t="str">
        <f>IFERROR(K370/K444, "NA")</f>
        <v>NA</v>
      </c>
      <c r="M370" s="9"/>
      <c r="N370" s="10">
        <f t="shared" si="93"/>
        <v>-79.349999999999994</v>
      </c>
      <c r="O370" s="8" t="str">
        <f>IFERROR(N370/N444, "NA")</f>
        <v>NA</v>
      </c>
      <c r="P370" s="9"/>
      <c r="Q370" s="7">
        <v>1807.35</v>
      </c>
      <c r="R370" s="8" t="str">
        <f>IFERROR(Q370/Q444, "NA")</f>
        <v>NA</v>
      </c>
      <c r="S370" s="9"/>
      <c r="T370" s="7">
        <v>5080</v>
      </c>
      <c r="U370" s="8" t="str">
        <f>IFERROR(T370/T444, "NA")</f>
        <v>NA</v>
      </c>
      <c r="V370" s="9"/>
      <c r="W370" s="10">
        <f t="shared" si="94"/>
        <v>3272.65</v>
      </c>
      <c r="X370" s="8" t="str">
        <f>IFERROR(W370/W444, "NA")</f>
        <v>NA</v>
      </c>
      <c r="Y370" s="9"/>
      <c r="Z370" s="7">
        <v>4992.6000000000004</v>
      </c>
      <c r="AA370" s="8" t="str">
        <f>IFERROR(Z370/Z444, "NA")</f>
        <v>NA</v>
      </c>
      <c r="AB370" s="9"/>
      <c r="AC370" s="10">
        <f t="shared" si="95"/>
        <v>3185.2500000000005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296.8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-196.8</v>
      </c>
      <c r="I371" s="8" t="str">
        <f>IFERROR(H371/H444, "NA")</f>
        <v>NA</v>
      </c>
      <c r="J371" s="9"/>
      <c r="K371" s="7">
        <v>297.64999999999998</v>
      </c>
      <c r="L371" s="8" t="str">
        <f>IFERROR(K371/K444, "NA")</f>
        <v>NA</v>
      </c>
      <c r="M371" s="9"/>
      <c r="N371" s="10">
        <f t="shared" si="93"/>
        <v>0.84999999999996589</v>
      </c>
      <c r="O371" s="8" t="str">
        <f>IFERROR(N371/N444, "NA")</f>
        <v>NA</v>
      </c>
      <c r="P371" s="9"/>
      <c r="Q371" s="7">
        <v>4446.4799999999996</v>
      </c>
      <c r="R371" s="8" t="str">
        <f>IFERROR(Q371/Q444, "NA")</f>
        <v>NA</v>
      </c>
      <c r="S371" s="9"/>
      <c r="T371" s="7">
        <v>800</v>
      </c>
      <c r="U371" s="8" t="str">
        <f>IFERROR(T371/T444, "NA")</f>
        <v>NA</v>
      </c>
      <c r="V371" s="9"/>
      <c r="W371" s="10">
        <f t="shared" si="94"/>
        <v>-3646.4799999999996</v>
      </c>
      <c r="X371" s="8" t="str">
        <f>IFERROR(W371/W444, "NA")</f>
        <v>NA</v>
      </c>
      <c r="Y371" s="9"/>
      <c r="Z371" s="7">
        <v>4128.43</v>
      </c>
      <c r="AA371" s="8" t="str">
        <f>IFERROR(Z371/Z444, "NA")</f>
        <v>NA</v>
      </c>
      <c r="AB371" s="9"/>
      <c r="AC371" s="10">
        <f t="shared" si="95"/>
        <v>-318.04999999999927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297.17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-297.17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-297.17</v>
      </c>
      <c r="O372" s="8" t="str">
        <f>IFERROR(N372/N444, "NA")</f>
        <v>NA</v>
      </c>
      <c r="P372" s="9"/>
      <c r="Q372" s="7">
        <v>2960.19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539.80999999999995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489.80999999999995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627.08000000000004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-302.08000000000004</v>
      </c>
      <c r="I373" s="8" t="str">
        <f>IFERROR(H373/H444, "NA")</f>
        <v>NA</v>
      </c>
      <c r="J373" s="9"/>
      <c r="K373" s="7">
        <v>485.24</v>
      </c>
      <c r="L373" s="8" t="str">
        <f>IFERROR(K373/K444, "NA")</f>
        <v>NA</v>
      </c>
      <c r="M373" s="9"/>
      <c r="N373" s="10">
        <f t="shared" si="93"/>
        <v>-141.84000000000003</v>
      </c>
      <c r="O373" s="8" t="str">
        <f>IFERROR(N373/N444, "NA")</f>
        <v>NA</v>
      </c>
      <c r="P373" s="9"/>
      <c r="Q373" s="7">
        <v>5286.82</v>
      </c>
      <c r="R373" s="8" t="str">
        <f>IFERROR(Q373/Q444, "NA")</f>
        <v>NA</v>
      </c>
      <c r="S373" s="9"/>
      <c r="T373" s="7">
        <v>2600</v>
      </c>
      <c r="U373" s="8" t="str">
        <f>IFERROR(T373/T444, "NA")</f>
        <v>NA</v>
      </c>
      <c r="V373" s="9"/>
      <c r="W373" s="10">
        <f t="shared" si="94"/>
        <v>-2686.8199999999997</v>
      </c>
      <c r="X373" s="8" t="str">
        <f>IFERROR(W373/W444, "NA")</f>
        <v>NA</v>
      </c>
      <c r="Y373" s="9"/>
      <c r="Z373" s="7">
        <v>6412.75</v>
      </c>
      <c r="AA373" s="8" t="str">
        <f>IFERROR(Z373/Z444, "NA")</f>
        <v>NA</v>
      </c>
      <c r="AB373" s="9"/>
      <c r="AC373" s="10">
        <f t="shared" si="95"/>
        <v>1125.9300000000003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2149.5300000000002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-249.5300000000002</v>
      </c>
      <c r="I374" s="8" t="str">
        <f>IFERROR(H374/H444, "NA")</f>
        <v>NA</v>
      </c>
      <c r="J374" s="9"/>
      <c r="K374" s="7">
        <v>1897.01</v>
      </c>
      <c r="L374" s="8" t="str">
        <f>IFERROR(K374/K444, "NA")</f>
        <v>NA</v>
      </c>
      <c r="M374" s="9"/>
      <c r="N374" s="10">
        <f t="shared" si="93"/>
        <v>-252.52000000000021</v>
      </c>
      <c r="O374" s="8" t="str">
        <f>IFERROR(N374/N444, "NA")</f>
        <v>NA</v>
      </c>
      <c r="P374" s="9"/>
      <c r="Q374" s="7">
        <v>16032.6</v>
      </c>
      <c r="R374" s="8" t="str">
        <f>IFERROR(Q374/Q444, "NA")</f>
        <v>NA</v>
      </c>
      <c r="S374" s="9"/>
      <c r="T374" s="7">
        <v>15200</v>
      </c>
      <c r="U374" s="8" t="str">
        <f>IFERROR(T374/T444, "NA")</f>
        <v>NA</v>
      </c>
      <c r="V374" s="9"/>
      <c r="W374" s="10">
        <f t="shared" si="94"/>
        <v>-832.60000000000036</v>
      </c>
      <c r="X374" s="8" t="str">
        <f>IFERROR(W374/W444, "NA")</f>
        <v>NA</v>
      </c>
      <c r="Y374" s="9"/>
      <c r="Z374" s="7">
        <v>14517.73</v>
      </c>
      <c r="AA374" s="8" t="str">
        <f>IFERROR(Z374/Z444, "NA")</f>
        <v>NA</v>
      </c>
      <c r="AB374" s="9"/>
      <c r="AC374" s="10">
        <f t="shared" si="95"/>
        <v>-1514.8700000000008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53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-53</v>
      </c>
      <c r="I375" s="8" t="str">
        <f>IFERROR(H375/H444, "NA")</f>
        <v>NA</v>
      </c>
      <c r="J375" s="9"/>
      <c r="K375" s="7">
        <v>800</v>
      </c>
      <c r="L375" s="8" t="str">
        <f>IFERROR(K375/K444, "NA")</f>
        <v>NA</v>
      </c>
      <c r="M375" s="9"/>
      <c r="N375" s="10">
        <f t="shared" si="93"/>
        <v>747</v>
      </c>
      <c r="O375" s="8" t="str">
        <f>IFERROR(N375/N444, "NA")</f>
        <v>NA</v>
      </c>
      <c r="P375" s="9"/>
      <c r="Q375" s="7">
        <v>3934.08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-3934.08</v>
      </c>
      <c r="X375" s="8" t="str">
        <f>IFERROR(W375/W444, "NA")</f>
        <v>NA</v>
      </c>
      <c r="Y375" s="9"/>
      <c r="Z375" s="7">
        <v>984.99</v>
      </c>
      <c r="AA375" s="8" t="str">
        <f>IFERROR(Z375/Z444, "NA")</f>
        <v>NA</v>
      </c>
      <c r="AB375" s="9"/>
      <c r="AC375" s="10">
        <f t="shared" si="95"/>
        <v>-2949.09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512.12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-512.12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-512.12</v>
      </c>
      <c r="O376" s="8" t="str">
        <f>IFERROR(N376/N444, "NA")</f>
        <v>NA</v>
      </c>
      <c r="P376" s="9"/>
      <c r="Q376" s="7">
        <v>-1900.88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1900.88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1900.88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9201.2800000000007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-730.95000000000073</v>
      </c>
      <c r="I378" s="8" t="str">
        <f>IFERROR(H378/H444, "NA")</f>
        <v>NA</v>
      </c>
      <c r="J378" s="9"/>
      <c r="K378" s="7">
        <v>5168.26</v>
      </c>
      <c r="L378" s="8" t="str">
        <f>IFERROR(K378/K444, "NA")</f>
        <v>NA</v>
      </c>
      <c r="M378" s="9"/>
      <c r="N378" s="10">
        <f t="shared" si="93"/>
        <v>-4033.0200000000004</v>
      </c>
      <c r="O378" s="8" t="str">
        <f>IFERROR(N378/N444, "NA")</f>
        <v>NA</v>
      </c>
      <c r="P378" s="9"/>
      <c r="Q378" s="7">
        <v>74301.62</v>
      </c>
      <c r="R378" s="8" t="str">
        <f>IFERROR(Q378/Q444, "NA")</f>
        <v>NA</v>
      </c>
      <c r="S378" s="9"/>
      <c r="T378" s="7">
        <v>67762.64</v>
      </c>
      <c r="U378" s="8" t="str">
        <f>IFERROR(T378/T444, "NA")</f>
        <v>NA</v>
      </c>
      <c r="V378" s="9"/>
      <c r="W378" s="10">
        <f t="shared" si="94"/>
        <v>-6538.9799999999959</v>
      </c>
      <c r="X378" s="8" t="str">
        <f>IFERROR(W378/W444, "NA")</f>
        <v>NA</v>
      </c>
      <c r="Y378" s="9"/>
      <c r="Z378" s="7">
        <v>47611.360000000001</v>
      </c>
      <c r="AA378" s="8" t="str">
        <f>IFERROR(Z378/Z444, "NA")</f>
        <v>NA</v>
      </c>
      <c r="AB378" s="9"/>
      <c r="AC378" s="10">
        <f t="shared" si="95"/>
        <v>-26690.259999999995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429.07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-229.07</v>
      </c>
      <c r="I379" s="8" t="str">
        <f>IFERROR(H379/H444, "NA")</f>
        <v>NA</v>
      </c>
      <c r="J379" s="9"/>
      <c r="K379" s="7">
        <v>299.98</v>
      </c>
      <c r="L379" s="8" t="str">
        <f>IFERROR(K379/K444, "NA")</f>
        <v>NA</v>
      </c>
      <c r="M379" s="9"/>
      <c r="N379" s="10">
        <f t="shared" si="93"/>
        <v>-129.08999999999997</v>
      </c>
      <c r="O379" s="8" t="str">
        <f>IFERROR(N379/N444, "NA")</f>
        <v>NA</v>
      </c>
      <c r="P379" s="9"/>
      <c r="Q379" s="7">
        <v>6949.36</v>
      </c>
      <c r="R379" s="8" t="str">
        <f>IFERROR(Q379/Q444, "NA")</f>
        <v>NA</v>
      </c>
      <c r="S379" s="9"/>
      <c r="T379" s="7">
        <v>1600</v>
      </c>
      <c r="U379" s="8" t="str">
        <f>IFERROR(T379/T444, "NA")</f>
        <v>NA</v>
      </c>
      <c r="V379" s="9"/>
      <c r="W379" s="10">
        <f t="shared" si="94"/>
        <v>-5349.36</v>
      </c>
      <c r="X379" s="8" t="str">
        <f>IFERROR(W379/W444, "NA")</f>
        <v>NA</v>
      </c>
      <c r="Y379" s="9"/>
      <c r="Z379" s="7">
        <v>3259.99</v>
      </c>
      <c r="AA379" s="8" t="str">
        <f>IFERROR(Z379/Z444, "NA")</f>
        <v>NA</v>
      </c>
      <c r="AB379" s="9"/>
      <c r="AC379" s="10">
        <f t="shared" si="95"/>
        <v>-3689.37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11020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480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480</v>
      </c>
      <c r="O380" s="8" t="str">
        <f>IFERROR(N380/N444, "NA")</f>
        <v>NA</v>
      </c>
      <c r="P380" s="9"/>
      <c r="Q380" s="7">
        <v>92900</v>
      </c>
      <c r="R380" s="8" t="str">
        <f>IFERROR(Q380/Q444, "NA")</f>
        <v>NA</v>
      </c>
      <c r="S380" s="9"/>
      <c r="T380" s="7">
        <v>92000</v>
      </c>
      <c r="U380" s="8" t="str">
        <f>IFERROR(T380/T444, "NA")</f>
        <v>NA</v>
      </c>
      <c r="V380" s="9"/>
      <c r="W380" s="10">
        <f t="shared" si="94"/>
        <v>-900</v>
      </c>
      <c r="X380" s="8" t="str">
        <f>IFERROR(W380/W444, "NA")</f>
        <v>NA</v>
      </c>
      <c r="Y380" s="9"/>
      <c r="Z380" s="7">
        <v>92000</v>
      </c>
      <c r="AA380" s="8" t="str">
        <f>IFERROR(Z380/Z444, "NA")</f>
        <v>NA</v>
      </c>
      <c r="AB380" s="9"/>
      <c r="AC380" s="10">
        <f t="shared" si="95"/>
        <v>-900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5153.75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-1153.75</v>
      </c>
      <c r="I381" s="8" t="str">
        <f>IFERROR(H381/H444, "NA")</f>
        <v>NA</v>
      </c>
      <c r="J381" s="9"/>
      <c r="K381" s="7">
        <v>9211.5</v>
      </c>
      <c r="L381" s="8" t="str">
        <f>IFERROR(K381/K444, "NA")</f>
        <v>NA</v>
      </c>
      <c r="M381" s="9"/>
      <c r="N381" s="10">
        <f t="shared" si="93"/>
        <v>4057.75</v>
      </c>
      <c r="O381" s="8" t="str">
        <f>IFERROR(N381/N444, "NA")</f>
        <v>NA</v>
      </c>
      <c r="P381" s="9"/>
      <c r="Q381" s="7">
        <v>46365.26</v>
      </c>
      <c r="R381" s="8" t="str">
        <f>IFERROR(Q381/Q444, "NA")</f>
        <v>NA</v>
      </c>
      <c r="S381" s="9"/>
      <c r="T381" s="7">
        <v>32000</v>
      </c>
      <c r="U381" s="8" t="str">
        <f>IFERROR(T381/T444, "NA")</f>
        <v>NA</v>
      </c>
      <c r="V381" s="9"/>
      <c r="W381" s="10">
        <f t="shared" si="94"/>
        <v>-14365.260000000002</v>
      </c>
      <c r="X381" s="8" t="str">
        <f>IFERROR(W381/W444, "NA")</f>
        <v>NA</v>
      </c>
      <c r="Y381" s="9"/>
      <c r="Z381" s="7">
        <v>95057.07</v>
      </c>
      <c r="AA381" s="8" t="str">
        <f>IFERROR(Z381/Z444, "NA")</f>
        <v>NA</v>
      </c>
      <c r="AB381" s="9"/>
      <c r="AC381" s="10">
        <f t="shared" si="95"/>
        <v>48691.810000000005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505.62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289.38</v>
      </c>
      <c r="I382" s="8" t="str">
        <f>IFERROR(H382/H444, "NA")</f>
        <v>NA</v>
      </c>
      <c r="J382" s="9"/>
      <c r="K382" s="7">
        <v>342.52</v>
      </c>
      <c r="L382" s="8" t="str">
        <f>IFERROR(K382/K444, "NA")</f>
        <v>NA</v>
      </c>
      <c r="M382" s="9"/>
      <c r="N382" s="10">
        <f t="shared" si="93"/>
        <v>-163.10000000000002</v>
      </c>
      <c r="O382" s="8" t="str">
        <f>IFERROR(N382/N444, "NA")</f>
        <v>NA</v>
      </c>
      <c r="P382" s="9"/>
      <c r="Q382" s="7">
        <v>5208.91</v>
      </c>
      <c r="R382" s="8" t="str">
        <f>IFERROR(Q382/Q444, "NA")</f>
        <v>NA</v>
      </c>
      <c r="S382" s="9"/>
      <c r="T382" s="7">
        <v>6360</v>
      </c>
      <c r="U382" s="8" t="str">
        <f>IFERROR(T382/T444, "NA")</f>
        <v>NA</v>
      </c>
      <c r="V382" s="9"/>
      <c r="W382" s="10">
        <f t="shared" si="94"/>
        <v>1151.0900000000001</v>
      </c>
      <c r="X382" s="8" t="str">
        <f>IFERROR(W382/W444, "NA")</f>
        <v>NA</v>
      </c>
      <c r="Y382" s="9"/>
      <c r="Z382" s="7">
        <v>2170.17</v>
      </c>
      <c r="AA382" s="8" t="str">
        <f>IFERROR(Z382/Z444, "NA")</f>
        <v>NA</v>
      </c>
      <c r="AB382" s="9"/>
      <c r="AC382" s="10">
        <f t="shared" si="95"/>
        <v>-3038.74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803.62</v>
      </c>
      <c r="C385" s="8" t="str">
        <f>IFERROR(B385/B444, "NA")</f>
        <v>NA</v>
      </c>
      <c r="D385" s="9"/>
      <c r="E385" s="7">
        <v>1164.56</v>
      </c>
      <c r="F385" s="8" t="str">
        <f>IFERROR(E385/E444, "NA")</f>
        <v>NA</v>
      </c>
      <c r="G385" s="9"/>
      <c r="H385" s="10">
        <f>IFERROR(-(B385-E385), "NA")</f>
        <v>360.93999999999994</v>
      </c>
      <c r="I385" s="8" t="str">
        <f>IFERROR(H385/H444, "NA")</f>
        <v>NA</v>
      </c>
      <c r="J385" s="9"/>
      <c r="K385" s="7">
        <v>2968.09</v>
      </c>
      <c r="L385" s="8" t="str">
        <f>IFERROR(K385/K444, "NA")</f>
        <v>NA</v>
      </c>
      <c r="M385" s="9"/>
      <c r="N385" s="10">
        <f>IFERROR(-(B385-K385), "NA")</f>
        <v>2164.4700000000003</v>
      </c>
      <c r="O385" s="8" t="str">
        <f>IFERROR(N385/N444, "NA")</f>
        <v>NA</v>
      </c>
      <c r="P385" s="9"/>
      <c r="Q385" s="7">
        <v>21949.46</v>
      </c>
      <c r="R385" s="8" t="str">
        <f>IFERROR(Q385/Q444, "NA")</f>
        <v>NA</v>
      </c>
      <c r="S385" s="9"/>
      <c r="T385" s="7">
        <v>17372.55</v>
      </c>
      <c r="U385" s="8" t="str">
        <f>IFERROR(T385/T444, "NA")</f>
        <v>NA</v>
      </c>
      <c r="V385" s="9"/>
      <c r="W385" s="10">
        <f>IFERROR(-(Q385-T385), "NA")</f>
        <v>-4576.91</v>
      </c>
      <c r="X385" s="8" t="str">
        <f>IFERROR(W385/W444, "NA")</f>
        <v>NA</v>
      </c>
      <c r="Y385" s="9"/>
      <c r="Z385" s="7">
        <v>17780.330000000002</v>
      </c>
      <c r="AA385" s="8" t="str">
        <f>IFERROR(Z385/Z444, "NA")</f>
        <v>NA</v>
      </c>
      <c r="AB385" s="9"/>
      <c r="AC385" s="10">
        <f>IFERROR(-(Q385-Z385), "NA")</f>
        <v>-4169.1299999999974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100.24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-100.24</v>
      </c>
      <c r="I386" s="8" t="str">
        <f>IFERROR(H386/H444, "NA")</f>
        <v>NA</v>
      </c>
      <c r="J386" s="9"/>
      <c r="K386" s="7">
        <v>75.42</v>
      </c>
      <c r="L386" s="8" t="str">
        <f>IFERROR(K386/K444, "NA")</f>
        <v>NA</v>
      </c>
      <c r="M386" s="9"/>
      <c r="N386" s="10">
        <f>IFERROR(-(B386-K386), "NA")</f>
        <v>-24.819999999999993</v>
      </c>
      <c r="O386" s="8" t="str">
        <f>IFERROR(N386/N444, "NA")</f>
        <v>NA</v>
      </c>
      <c r="P386" s="9"/>
      <c r="Q386" s="7">
        <v>151.71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-151.71</v>
      </c>
      <c r="X386" s="8" t="str">
        <f>IFERROR(W386/W444, "NA")</f>
        <v>NA</v>
      </c>
      <c r="Y386" s="9"/>
      <c r="Z386" s="7">
        <v>4879.6499999999996</v>
      </c>
      <c r="AA386" s="8" t="str">
        <f>IFERROR(Z386/Z444, "NA")</f>
        <v>NA</v>
      </c>
      <c r="AB386" s="9"/>
      <c r="AC386" s="10">
        <f>IFERROR(-(Q386-Z386), "NA")</f>
        <v>4727.9399999999996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3212.19</v>
      </c>
      <c r="C389" s="8" t="str">
        <f>IFERROR(B389/B444, "NA")</f>
        <v>NA</v>
      </c>
      <c r="D389" s="9"/>
      <c r="E389" s="7">
        <v>2721.66</v>
      </c>
      <c r="F389" s="8" t="str">
        <f>IFERROR(E389/E444, "NA")</f>
        <v>NA</v>
      </c>
      <c r="G389" s="9"/>
      <c r="H389" s="10">
        <f t="shared" si="96"/>
        <v>-490.5300000000002</v>
      </c>
      <c r="I389" s="8" t="str">
        <f>IFERROR(H389/H444, "NA")</f>
        <v>NA</v>
      </c>
      <c r="J389" s="9"/>
      <c r="K389" s="7">
        <v>2224.8000000000002</v>
      </c>
      <c r="L389" s="8" t="str">
        <f>IFERROR(K389/K444, "NA")</f>
        <v>NA</v>
      </c>
      <c r="M389" s="9"/>
      <c r="N389" s="10">
        <f t="shared" si="97"/>
        <v>-987.38999999999987</v>
      </c>
      <c r="O389" s="8" t="str">
        <f>IFERROR(N389/N444, "NA")</f>
        <v>NA</v>
      </c>
      <c r="P389" s="9"/>
      <c r="Q389" s="7">
        <v>36767.040000000001</v>
      </c>
      <c r="R389" s="8" t="str">
        <f>IFERROR(Q389/Q444, "NA")</f>
        <v>NA</v>
      </c>
      <c r="S389" s="9"/>
      <c r="T389" s="7">
        <v>21951.07</v>
      </c>
      <c r="U389" s="8" t="str">
        <f>IFERROR(T389/T444, "NA")</f>
        <v>NA</v>
      </c>
      <c r="V389" s="9"/>
      <c r="W389" s="10">
        <f t="shared" si="98"/>
        <v>-14815.970000000001</v>
      </c>
      <c r="X389" s="8" t="str">
        <f>IFERROR(W389/W444, "NA")</f>
        <v>NA</v>
      </c>
      <c r="Y389" s="9"/>
      <c r="Z389" s="7">
        <v>11445.96</v>
      </c>
      <c r="AA389" s="8" t="str">
        <f>IFERROR(Z389/Z444, "NA")</f>
        <v>NA</v>
      </c>
      <c r="AB389" s="9"/>
      <c r="AC389" s="10">
        <f t="shared" si="99"/>
        <v>-25321.08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1783.47</v>
      </c>
      <c r="C390" s="8" t="str">
        <f>IFERROR(B390/B444, "NA")</f>
        <v>NA</v>
      </c>
      <c r="D390" s="9"/>
      <c r="E390" s="7">
        <v>13224.85</v>
      </c>
      <c r="F390" s="8" t="str">
        <f>IFERROR(E390/E444, "NA")</f>
        <v>NA</v>
      </c>
      <c r="G390" s="9"/>
      <c r="H390" s="10">
        <f t="shared" si="96"/>
        <v>11441.380000000001</v>
      </c>
      <c r="I390" s="8" t="str">
        <f>IFERROR(H390/H444, "NA")</f>
        <v>NA</v>
      </c>
      <c r="J390" s="9"/>
      <c r="K390" s="7">
        <v>15064.2</v>
      </c>
      <c r="L390" s="8" t="str">
        <f>IFERROR(K390/K444, "NA")</f>
        <v>NA</v>
      </c>
      <c r="M390" s="9"/>
      <c r="N390" s="10">
        <f t="shared" si="97"/>
        <v>13280.730000000001</v>
      </c>
      <c r="O390" s="8" t="str">
        <f>IFERROR(N390/N444, "NA")</f>
        <v>NA</v>
      </c>
      <c r="P390" s="9"/>
      <c r="Q390" s="7">
        <v>58167.74</v>
      </c>
      <c r="R390" s="8" t="str">
        <f>IFERROR(Q390/Q444, "NA")</f>
        <v>NA</v>
      </c>
      <c r="S390" s="9"/>
      <c r="T390" s="7">
        <v>106662.76</v>
      </c>
      <c r="U390" s="8" t="str">
        <f>IFERROR(T390/T444, "NA")</f>
        <v>NA</v>
      </c>
      <c r="V390" s="9"/>
      <c r="W390" s="10">
        <f t="shared" si="98"/>
        <v>48495.02</v>
      </c>
      <c r="X390" s="8" t="str">
        <f>IFERROR(W390/W444, "NA")</f>
        <v>NA</v>
      </c>
      <c r="Y390" s="9"/>
      <c r="Z390" s="7">
        <v>114470.9</v>
      </c>
      <c r="AA390" s="8" t="str">
        <f>IFERROR(Z390/Z444, "NA")</f>
        <v>NA</v>
      </c>
      <c r="AB390" s="9"/>
      <c r="AC390" s="10">
        <f t="shared" si="99"/>
        <v>56303.159999999996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3277.7</v>
      </c>
      <c r="C392" s="8" t="str">
        <f>IFERROR(B392/B444, "NA")</f>
        <v>NA</v>
      </c>
      <c r="D392" s="9"/>
      <c r="E392" s="7">
        <v>2031.65</v>
      </c>
      <c r="F392" s="8" t="str">
        <f>IFERROR(E392/E444, "NA")</f>
        <v>NA</v>
      </c>
      <c r="G392" s="9"/>
      <c r="H392" s="10">
        <f t="shared" si="96"/>
        <v>-1246.0499999999997</v>
      </c>
      <c r="I392" s="8" t="str">
        <f>IFERROR(H392/H444, "NA")</f>
        <v>NA</v>
      </c>
      <c r="J392" s="9"/>
      <c r="K392" s="7">
        <v>3835.98</v>
      </c>
      <c r="L392" s="8" t="str">
        <f>IFERROR(K392/K444, "NA")</f>
        <v>NA</v>
      </c>
      <c r="M392" s="9"/>
      <c r="N392" s="10">
        <f t="shared" si="97"/>
        <v>558.2800000000002</v>
      </c>
      <c r="O392" s="8" t="str">
        <f>IFERROR(N392/N444, "NA")</f>
        <v>NA</v>
      </c>
      <c r="P392" s="9"/>
      <c r="Q392" s="7">
        <v>36489.43</v>
      </c>
      <c r="R392" s="8" t="str">
        <f>IFERROR(Q392/Q444, "NA")</f>
        <v>NA</v>
      </c>
      <c r="S392" s="9"/>
      <c r="T392" s="7">
        <v>16385.95</v>
      </c>
      <c r="U392" s="8" t="str">
        <f>IFERROR(T392/T444, "NA")</f>
        <v>NA</v>
      </c>
      <c r="V392" s="9"/>
      <c r="W392" s="10">
        <f t="shared" si="98"/>
        <v>-20103.48</v>
      </c>
      <c r="X392" s="8" t="str">
        <f>IFERROR(W392/W444, "NA")</f>
        <v>NA</v>
      </c>
      <c r="Y392" s="9"/>
      <c r="Z392" s="7">
        <v>26409.03</v>
      </c>
      <c r="AA392" s="8" t="str">
        <f>IFERROR(Z392/Z444, "NA")</f>
        <v>NA</v>
      </c>
      <c r="AB392" s="9"/>
      <c r="AC392" s="10">
        <f t="shared" si="99"/>
        <v>-10080.400000000001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8273.36</v>
      </c>
      <c r="C393" s="15" t="str">
        <f>IFERROR(B393/B444, "NA")</f>
        <v>NA</v>
      </c>
      <c r="D393" s="2"/>
      <c r="E393" s="14">
        <f>IFERROR(E388+E389+E390+E391+E392, "NA")</f>
        <v>17978.16</v>
      </c>
      <c r="F393" s="15" t="str">
        <f>IFERROR(E393/E444, "NA")</f>
        <v>NA</v>
      </c>
      <c r="G393" s="2"/>
      <c r="H393" s="14">
        <f t="shared" si="96"/>
        <v>9704.7999999999993</v>
      </c>
      <c r="I393" s="15" t="str">
        <f>IFERROR(H393/H444, "NA")</f>
        <v>NA</v>
      </c>
      <c r="J393" s="2"/>
      <c r="K393" s="14">
        <f>IFERROR(K388+K389+K390+K391+K392, "NA")</f>
        <v>21124.98</v>
      </c>
      <c r="L393" s="15" t="str">
        <f>IFERROR(K393/K444, "NA")</f>
        <v>NA</v>
      </c>
      <c r="M393" s="2"/>
      <c r="N393" s="14">
        <f t="shared" si="97"/>
        <v>12851.619999999999</v>
      </c>
      <c r="O393" s="15" t="str">
        <f>IFERROR(N393/N444, "NA")</f>
        <v>NA</v>
      </c>
      <c r="P393" s="2"/>
      <c r="Q393" s="14">
        <f>IFERROR(Q388+Q389+Q390+Q391+Q392, "NA")</f>
        <v>131424.21</v>
      </c>
      <c r="R393" s="15" t="str">
        <f>IFERROR(Q393/Q444, "NA")</f>
        <v>NA</v>
      </c>
      <c r="S393" s="2"/>
      <c r="T393" s="14">
        <f>IFERROR(T388+T389+T390+T391+T392, "NA")</f>
        <v>144999.78</v>
      </c>
      <c r="U393" s="15" t="str">
        <f>IFERROR(T393/T444, "NA")</f>
        <v>NA</v>
      </c>
      <c r="V393" s="2"/>
      <c r="W393" s="14">
        <f t="shared" si="98"/>
        <v>13575.570000000007</v>
      </c>
      <c r="X393" s="15" t="str">
        <f>IFERROR(W393/W444, "NA")</f>
        <v>NA</v>
      </c>
      <c r="Y393" s="2"/>
      <c r="Z393" s="14">
        <f>IFERROR(Z388+Z389+Z390+Z391+Z392, "NA")</f>
        <v>152325.88999999998</v>
      </c>
      <c r="AA393" s="15" t="str">
        <f>IFERROR(Z393/Z444, "NA")</f>
        <v>NA</v>
      </c>
      <c r="AB393" s="2"/>
      <c r="AC393" s="14">
        <f t="shared" si="99"/>
        <v>20901.679999999993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5822.82</v>
      </c>
      <c r="F394" s="8" t="str">
        <f>IFERROR(E394/E444, "NA")</f>
        <v>NA</v>
      </c>
      <c r="G394" s="9"/>
      <c r="H394" s="10">
        <f t="shared" si="96"/>
        <v>5822.82</v>
      </c>
      <c r="I394" s="8" t="str">
        <f>IFERROR(H394/H444, "NA")</f>
        <v>NA</v>
      </c>
      <c r="J394" s="9"/>
      <c r="K394" s="7">
        <v>2193.96</v>
      </c>
      <c r="L394" s="8" t="str">
        <f>IFERROR(K394/K444, "NA")</f>
        <v>NA</v>
      </c>
      <c r="M394" s="9"/>
      <c r="N394" s="10">
        <f t="shared" si="97"/>
        <v>2193.96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38313.14</v>
      </c>
      <c r="U394" s="8" t="str">
        <f>IFERROR(T394/T444, "NA")</f>
        <v>NA</v>
      </c>
      <c r="V394" s="9"/>
      <c r="W394" s="10">
        <f t="shared" si="98"/>
        <v>31701.079999999998</v>
      </c>
      <c r="X394" s="8" t="str">
        <f>IFERROR(W394/W444, "NA")</f>
        <v>NA</v>
      </c>
      <c r="Y394" s="9"/>
      <c r="Z394" s="7">
        <v>40233.39</v>
      </c>
      <c r="AA394" s="8" t="str">
        <f>IFERROR(Z394/Z444, "NA")</f>
        <v>NA</v>
      </c>
      <c r="AB394" s="9"/>
      <c r="AC394" s="10">
        <f t="shared" si="99"/>
        <v>33621.33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9177.2200000000012</v>
      </c>
      <c r="C396" s="15" t="str">
        <f>IFERROR(B396/B444, "NA")</f>
        <v>NA</v>
      </c>
      <c r="D396" s="2"/>
      <c r="E396" s="14">
        <f>IFERROR(E385+E386+E388+E389+E390+E391+E392+E394+E395, "NA")</f>
        <v>24965.54</v>
      </c>
      <c r="F396" s="15" t="str">
        <f>IFERROR(E396/E444, "NA")</f>
        <v>NA</v>
      </c>
      <c r="G396" s="2"/>
      <c r="H396" s="14">
        <f t="shared" si="96"/>
        <v>15788.32</v>
      </c>
      <c r="I396" s="15" t="str">
        <f>IFERROR(H396/H444, "NA")</f>
        <v>NA</v>
      </c>
      <c r="J396" s="2"/>
      <c r="K396" s="14">
        <f>IFERROR(K385+K386+K388+K389+K390+K391+K392+K394+K395, "NA")</f>
        <v>26362.45</v>
      </c>
      <c r="L396" s="15" t="str">
        <f>IFERROR(K396/K444, "NA")</f>
        <v>NA</v>
      </c>
      <c r="M396" s="2"/>
      <c r="N396" s="14">
        <f t="shared" si="97"/>
        <v>17185.23</v>
      </c>
      <c r="O396" s="15" t="str">
        <f>IFERROR(N396/N444, "NA")</f>
        <v>NA</v>
      </c>
      <c r="P396" s="2"/>
      <c r="Q396" s="14">
        <f>IFERROR(Q385+Q386+Q388+Q389+Q390+Q391+Q392+Q394+Q395, "NA")</f>
        <v>160137.44</v>
      </c>
      <c r="R396" s="15" t="str">
        <f>IFERROR(Q396/Q444, "NA")</f>
        <v>NA</v>
      </c>
      <c r="S396" s="2"/>
      <c r="T396" s="14">
        <f>IFERROR(T385+T386+T388+T389+T390+T391+T392+T394+T395, "NA")</f>
        <v>200685.47000000003</v>
      </c>
      <c r="U396" s="15" t="str">
        <f>IFERROR(T396/T444, "NA")</f>
        <v>NA</v>
      </c>
      <c r="V396" s="2"/>
      <c r="W396" s="14">
        <f t="shared" si="98"/>
        <v>40548.030000000028</v>
      </c>
      <c r="X396" s="15" t="str">
        <f>IFERROR(W396/W444, "NA")</f>
        <v>NA</v>
      </c>
      <c r="Y396" s="2"/>
      <c r="Z396" s="14">
        <f>IFERROR(Z385+Z386+Z388+Z389+Z390+Z391+Z392+Z394+Z395, "NA")</f>
        <v>215219.26</v>
      </c>
      <c r="AA396" s="15" t="str">
        <f>IFERROR(Z396/Z444, "NA")</f>
        <v>NA</v>
      </c>
      <c r="AB396" s="2"/>
      <c r="AC396" s="14">
        <f t="shared" si="99"/>
        <v>55081.820000000007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11909.19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8315.0500000000011</v>
      </c>
      <c r="I397" s="8" t="str">
        <f>IFERROR(H397/H444, "NA")</f>
        <v>NA</v>
      </c>
      <c r="J397" s="9"/>
      <c r="K397" s="7">
        <v>11409.13</v>
      </c>
      <c r="L397" s="8" t="str">
        <f>IFERROR(K397/K444, "NA")</f>
        <v>NA</v>
      </c>
      <c r="M397" s="9"/>
      <c r="N397" s="10">
        <f t="shared" si="97"/>
        <v>-500.06000000000131</v>
      </c>
      <c r="O397" s="8" t="str">
        <f>IFERROR(N397/N444, "NA")</f>
        <v>NA</v>
      </c>
      <c r="P397" s="9"/>
      <c r="Q397" s="7">
        <v>71924.429999999993</v>
      </c>
      <c r="R397" s="8" t="str">
        <f>IFERROR(Q397/Q444, "NA")</f>
        <v>NA</v>
      </c>
      <c r="S397" s="9"/>
      <c r="T397" s="7">
        <v>144203.01</v>
      </c>
      <c r="U397" s="8" t="str">
        <f>IFERROR(T397/T444, "NA")</f>
        <v>NA</v>
      </c>
      <c r="V397" s="9"/>
      <c r="W397" s="10">
        <f t="shared" si="98"/>
        <v>72278.580000000016</v>
      </c>
      <c r="X397" s="8" t="str">
        <f>IFERROR(W397/W444, "NA")</f>
        <v>NA</v>
      </c>
      <c r="Y397" s="9"/>
      <c r="Z397" s="7">
        <v>67327.22</v>
      </c>
      <c r="AA397" s="8" t="str">
        <f>IFERROR(Z397/Z444, "NA")</f>
        <v>NA</v>
      </c>
      <c r="AB397" s="9"/>
      <c r="AC397" s="10">
        <f t="shared" si="99"/>
        <v>-4597.2099999999919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224.36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-149.36000000000001</v>
      </c>
      <c r="I398" s="8" t="str">
        <f>IFERROR(H398/H444, "NA")</f>
        <v>NA</v>
      </c>
      <c r="J398" s="9"/>
      <c r="K398" s="7">
        <v>31.44</v>
      </c>
      <c r="L398" s="8" t="str">
        <f>IFERROR(K398/K444, "NA")</f>
        <v>NA</v>
      </c>
      <c r="M398" s="9"/>
      <c r="N398" s="10">
        <f t="shared" si="97"/>
        <v>-192.92000000000002</v>
      </c>
      <c r="O398" s="8" t="str">
        <f>IFERROR(N398/N444, "NA")</f>
        <v>NA</v>
      </c>
      <c r="P398" s="9"/>
      <c r="Q398" s="7">
        <v>1234.97</v>
      </c>
      <c r="R398" s="8" t="str">
        <f>IFERROR(Q398/Q444, "NA")</f>
        <v>NA</v>
      </c>
      <c r="S398" s="9"/>
      <c r="T398" s="7">
        <v>600</v>
      </c>
      <c r="U398" s="8" t="str">
        <f>IFERROR(T398/T444, "NA")</f>
        <v>NA</v>
      </c>
      <c r="V398" s="9"/>
      <c r="W398" s="10">
        <f t="shared" si="98"/>
        <v>-634.97</v>
      </c>
      <c r="X398" s="8" t="str">
        <f>IFERROR(W398/W444, "NA")</f>
        <v>NA</v>
      </c>
      <c r="Y398" s="9"/>
      <c r="Z398" s="7">
        <v>806.63</v>
      </c>
      <c r="AA398" s="8" t="str">
        <f>IFERROR(Z398/Z444, "NA")</f>
        <v>NA</v>
      </c>
      <c r="AB398" s="9"/>
      <c r="AC398" s="10">
        <f t="shared" si="99"/>
        <v>-428.34000000000003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0</v>
      </c>
      <c r="L399" s="8" t="str">
        <f>IFERROR(K399/K444, "NA")</f>
        <v>NA</v>
      </c>
      <c r="M399" s="9"/>
      <c r="N399" s="10">
        <f t="shared" si="97"/>
        <v>0</v>
      </c>
      <c r="O399" s="8" t="str">
        <f>IFERROR(N399/N444, "NA")</f>
        <v>NA</v>
      </c>
      <c r="P399" s="9"/>
      <c r="Q399" s="7">
        <v>1487</v>
      </c>
      <c r="R399" s="8" t="str">
        <f>IFERROR(Q399/Q444, "NA")</f>
        <v>NA</v>
      </c>
      <c r="S399" s="9"/>
      <c r="T399" s="7">
        <v>5600</v>
      </c>
      <c r="U399" s="8" t="str">
        <f>IFERROR(T399/T444, "NA")</f>
        <v>NA</v>
      </c>
      <c r="V399" s="9"/>
      <c r="W399" s="10">
        <f t="shared" si="98"/>
        <v>4113</v>
      </c>
      <c r="X399" s="8" t="str">
        <f>IFERROR(W399/W444, "NA")</f>
        <v>NA</v>
      </c>
      <c r="Y399" s="9"/>
      <c r="Z399" s="7">
        <v>5570.95</v>
      </c>
      <c r="AA399" s="8" t="str">
        <f>IFERROR(Z399/Z444, "NA")</f>
        <v>NA</v>
      </c>
      <c r="AB399" s="9"/>
      <c r="AC399" s="10">
        <f t="shared" si="99"/>
        <v>4083.95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66666.66</v>
      </c>
      <c r="AA401" s="8" t="str">
        <f>IFERROR(Z401/Z444, "NA")</f>
        <v>NA</v>
      </c>
      <c r="AB401" s="9"/>
      <c r="AC401" s="10">
        <f t="shared" si="99"/>
        <v>66666.66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118397.74000000002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163367.04999999999</v>
      </c>
      <c r="F403" s="15" t="str">
        <f>IFERROR(E403/E444, "NA")</f>
        <v>NA</v>
      </c>
      <c r="G403" s="2"/>
      <c r="H403" s="14">
        <f t="shared" si="96"/>
        <v>44969.309999999969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149205.04999999996</v>
      </c>
      <c r="L403" s="15" t="str">
        <f>IFERROR(K403/K444, "NA")</f>
        <v>NA</v>
      </c>
      <c r="M403" s="2"/>
      <c r="N403" s="14">
        <f t="shared" si="97"/>
        <v>30807.309999999939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1049639.1799999997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1300608.3799999999</v>
      </c>
      <c r="U403" s="15" t="str">
        <f>IFERROR(T403/T444, "NA")</f>
        <v>NA</v>
      </c>
      <c r="V403" s="2"/>
      <c r="W403" s="14">
        <f t="shared" si="98"/>
        <v>250969.20000000019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1222054.1499999997</v>
      </c>
      <c r="AA403" s="15" t="str">
        <f>IFERROR(Z403/Z444, "NA")</f>
        <v>NA</v>
      </c>
      <c r="AB403" s="2"/>
      <c r="AC403" s="14">
        <f t="shared" si="99"/>
        <v>172414.96999999997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-118397.74000000002</v>
      </c>
      <c r="C404" s="24" t="str">
        <f>IFERROR(B404/B444, "NA")</f>
        <v>NA</v>
      </c>
      <c r="D404" s="25"/>
      <c r="E404" s="23">
        <f>IFERROR(E345-E403, "NA")</f>
        <v>-163367.04999999999</v>
      </c>
      <c r="F404" s="24" t="str">
        <f>IFERROR(E404/E444, "NA")</f>
        <v>NA</v>
      </c>
      <c r="G404" s="25"/>
      <c r="H404" s="23">
        <f>IFERROR(B404-E404, "NA")</f>
        <v>44969.309999999969</v>
      </c>
      <c r="I404" s="24" t="str">
        <f>IFERROR(H404/H444, "NA")</f>
        <v>NA</v>
      </c>
      <c r="J404" s="25"/>
      <c r="K404" s="23">
        <f>IFERROR(K345-K403, "NA")</f>
        <v>-149205.04999999996</v>
      </c>
      <c r="L404" s="24" t="str">
        <f>IFERROR(K404/K444, "NA")</f>
        <v>NA</v>
      </c>
      <c r="M404" s="25"/>
      <c r="N404" s="23">
        <f>IFERROR(B404-K404, "NA")</f>
        <v>30807.309999999939</v>
      </c>
      <c r="O404" s="24" t="str">
        <f>IFERROR(N404/N444, "NA")</f>
        <v>NA</v>
      </c>
      <c r="P404" s="25"/>
      <c r="Q404" s="23">
        <f>IFERROR(Q345-Q403, "NA")</f>
        <v>-1049639.1799999997</v>
      </c>
      <c r="R404" s="24" t="str">
        <f>IFERROR(Q404/Q444, "NA")</f>
        <v>NA</v>
      </c>
      <c r="S404" s="25"/>
      <c r="T404" s="23">
        <f>IFERROR(T345-T403, "NA")</f>
        <v>-1300608.3799999999</v>
      </c>
      <c r="U404" s="24" t="str">
        <f>IFERROR(T404/T444, "NA")</f>
        <v>NA</v>
      </c>
      <c r="V404" s="25"/>
      <c r="W404" s="23">
        <f>IFERROR(Q404-T404, "NA")</f>
        <v>250969.20000000019</v>
      </c>
      <c r="X404" s="24" t="str">
        <f>IFERROR(W404/W444, "NA")</f>
        <v>NA</v>
      </c>
      <c r="Y404" s="25"/>
      <c r="Z404" s="23">
        <f>IFERROR(Z345-Z403, "NA")</f>
        <v>-1222054.1499999997</v>
      </c>
      <c r="AA404" s="24" t="str">
        <f>IFERROR(Z404/Z444, "NA")</f>
        <v>NA</v>
      </c>
      <c r="AB404" s="25"/>
      <c r="AC404" s="23">
        <f>IFERROR(Q404-Z404, "NA")</f>
        <v>172414.96999999997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602.79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-602.79</v>
      </c>
      <c r="X410" s="8" t="str">
        <f>IFERROR(W410/W444, "NA")</f>
        <v>NA</v>
      </c>
      <c r="Y410" s="9"/>
      <c r="Z410" s="7">
        <v>1479.12</v>
      </c>
      <c r="AA410" s="8" t="str">
        <f>IFERROR(Z410/Z444, "NA")</f>
        <v>NA</v>
      </c>
      <c r="AB410" s="9"/>
      <c r="AC410" s="10">
        <f t="shared" si="103"/>
        <v>876.32999999999993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1878.59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-1878.59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-1878.59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1447</v>
      </c>
      <c r="AD418" s="8" t="str">
        <f>IFERROR(AC418/AC444, "NA")</f>
        <v>NA</v>
      </c>
    </row>
    <row r="419" spans="1:30" ht="16.5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56.25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-56.25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-56.25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0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</v>
      </c>
      <c r="O423" s="8" t="str">
        <f>IFERROR(N423/N444, "NA")</f>
        <v>NA</v>
      </c>
      <c r="P423" s="9"/>
      <c r="Q423" s="7">
        <v>-6.72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6.72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6.72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-17110.52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17110.52</v>
      </c>
      <c r="I426" s="8" t="str">
        <f>IFERROR(H426/H444, "NA")</f>
        <v>NA</v>
      </c>
      <c r="J426" s="9"/>
      <c r="K426" s="7">
        <v>-4.12</v>
      </c>
      <c r="L426" s="8" t="str">
        <f>IFERROR(K426/K444, "NA")</f>
        <v>NA</v>
      </c>
      <c r="M426" s="9"/>
      <c r="N426" s="10">
        <f t="shared" si="101"/>
        <v>17106.400000000001</v>
      </c>
      <c r="O426" s="8" t="str">
        <f>IFERROR(N426/N444, "NA")</f>
        <v>NA</v>
      </c>
      <c r="P426" s="9"/>
      <c r="Q426" s="7">
        <v>-96489.59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96489.59</v>
      </c>
      <c r="X426" s="8" t="str">
        <f>IFERROR(W426/W444, "NA")</f>
        <v>NA</v>
      </c>
      <c r="Y426" s="9"/>
      <c r="Z426" s="7">
        <v>-2876.02</v>
      </c>
      <c r="AA426" s="8" t="str">
        <f>IFERROR(Z426/Z444, "NA")</f>
        <v>NA</v>
      </c>
      <c r="AB426" s="9"/>
      <c r="AC426" s="10">
        <f t="shared" si="103"/>
        <v>93613.569999999992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-16782.45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16782.45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180.76999999999998</v>
      </c>
      <c r="L428" s="15" t="str">
        <f>IFERROR(K428/K444, "NA")</f>
        <v>NA</v>
      </c>
      <c r="M428" s="2"/>
      <c r="N428" s="14">
        <f t="shared" si="101"/>
        <v>16963.22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-97684.37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97684.37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-3675.59</v>
      </c>
      <c r="AA428" s="15" t="str">
        <f>IFERROR(Z428/Z444, "NA")</f>
        <v>NA</v>
      </c>
      <c r="AB428" s="2"/>
      <c r="AC428" s="14">
        <f t="shared" si="103"/>
        <v>94008.78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-16782.45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16782.45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180.76999999999998</v>
      </c>
      <c r="L429" s="15" t="str">
        <f>IFERROR(K429/K444, "NA")</f>
        <v>NA</v>
      </c>
      <c r="M429" s="2"/>
      <c r="N429" s="14">
        <f t="shared" si="101"/>
        <v>16963.22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-97684.37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97684.37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-3675.59</v>
      </c>
      <c r="AA429" s="15" t="str">
        <f>IFERROR(Z429/Z444, "NA")</f>
        <v>NA</v>
      </c>
      <c r="AB429" s="2"/>
      <c r="AC429" s="14">
        <f t="shared" si="103"/>
        <v>94008.78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-101615.29000000002</v>
      </c>
      <c r="C443" s="24" t="str">
        <f>IFERROR(B443/B444, "NA")</f>
        <v>NA</v>
      </c>
      <c r="D443" s="25"/>
      <c r="E443" s="23">
        <f>IFERROR(E404-E429-E442, "NA")</f>
        <v>-163367.04999999999</v>
      </c>
      <c r="F443" s="24" t="str">
        <f>IFERROR(E443/E444, "NA")</f>
        <v>NA</v>
      </c>
      <c r="G443" s="25"/>
      <c r="H443" s="23">
        <f>IFERROR(B443-E443, "NA")</f>
        <v>61751.759999999966</v>
      </c>
      <c r="I443" s="24" t="str">
        <f>IFERROR(H443/H444, "NA")</f>
        <v>NA</v>
      </c>
      <c r="J443" s="25"/>
      <c r="K443" s="23">
        <f>IFERROR(K404-K429-K442, "NA")</f>
        <v>-149385.81999999995</v>
      </c>
      <c r="L443" s="24" t="str">
        <f>IFERROR(K443/K444, "NA")</f>
        <v>NA</v>
      </c>
      <c r="M443" s="25"/>
      <c r="N443" s="23">
        <f>IFERROR(B443-K443, "NA")</f>
        <v>47770.529999999926</v>
      </c>
      <c r="O443" s="24" t="str">
        <f>IFERROR(N443/N444, "NA")</f>
        <v>NA</v>
      </c>
      <c r="P443" s="25"/>
      <c r="Q443" s="23">
        <f>IFERROR(Q404-Q429-Q442, "NA")</f>
        <v>-951954.80999999971</v>
      </c>
      <c r="R443" s="24" t="str">
        <f>IFERROR(Q443/Q444, "NA")</f>
        <v>NA</v>
      </c>
      <c r="S443" s="25"/>
      <c r="T443" s="23">
        <f>IFERROR(T404-T429-T442, "NA")</f>
        <v>-1300608.3799999999</v>
      </c>
      <c r="U443" s="24" t="str">
        <f>IFERROR(T443/T444, "NA")</f>
        <v>NA</v>
      </c>
      <c r="V443" s="25"/>
      <c r="W443" s="23">
        <f>IFERROR(Q443-T443, "NA")</f>
        <v>348653.57000000018</v>
      </c>
      <c r="X443" s="24" t="str">
        <f>IFERROR(W443/W444, "NA")</f>
        <v>NA</v>
      </c>
      <c r="Y443" s="25"/>
      <c r="Z443" s="23">
        <f>IFERROR(Z404-Z429-Z442, "NA")</f>
        <v>-1218378.5599999996</v>
      </c>
      <c r="AA443" s="24" t="str">
        <f>IFERROR(Z443/Z444, "NA")</f>
        <v>NA</v>
      </c>
      <c r="AB443" s="25"/>
      <c r="AC443" s="23">
        <f>IFERROR(Q443-Z443, "NA")</f>
        <v>266423.74999999988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47734.22</v>
      </c>
      <c r="F10" s="8">
        <f>IFERROR(E10/E444, "NA")</f>
        <v>0.56399994564905953</v>
      </c>
      <c r="G10" s="9"/>
      <c r="H10" s="10">
        <f t="shared" ref="H10:H19" si="0">IFERROR(B10-E10, "NA")</f>
        <v>-47734.22</v>
      </c>
      <c r="I10" s="8">
        <f>IFERROR(H10/H444, "NA")</f>
        <v>5.6998193365963479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406885.3</v>
      </c>
      <c r="U10" s="8">
        <f>IFERROR(T10/T444, "NA")</f>
        <v>0.56399998974256405</v>
      </c>
      <c r="V10" s="9"/>
      <c r="W10" s="10">
        <f t="shared" ref="W10:W19" si="2">IFERROR(Q10-T10, "NA")</f>
        <v>-406885.3</v>
      </c>
      <c r="X10" s="8">
        <f>IFERROR(W10/W444, "NA")</f>
        <v>7.7161730116103309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38172.870000000003</v>
      </c>
      <c r="C11" s="8">
        <f>IFERROR(B11/B444, "NA")</f>
        <v>0.5005591364122377</v>
      </c>
      <c r="D11" s="9"/>
      <c r="E11" s="7">
        <v>0</v>
      </c>
      <c r="F11" s="8">
        <f>IFERROR(E11/E444, "NA")</f>
        <v>0</v>
      </c>
      <c r="G11" s="9"/>
      <c r="H11" s="10">
        <f t="shared" si="0"/>
        <v>38172.870000000003</v>
      </c>
      <c r="I11" s="8">
        <f>IFERROR(H11/H444, "NA")</f>
        <v>-4.5581233454611523</v>
      </c>
      <c r="J11" s="9"/>
      <c r="K11" s="7">
        <v>43356.77</v>
      </c>
      <c r="L11" s="8">
        <f>IFERROR(K11/K444, "NA")</f>
        <v>0.5865589262358023</v>
      </c>
      <c r="M11" s="9"/>
      <c r="N11" s="10">
        <f t="shared" si="1"/>
        <v>-5183.8999999999942</v>
      </c>
      <c r="O11" s="8">
        <f>IFERROR(N11/N444, "NA")</f>
        <v>-2.2122220799726828</v>
      </c>
      <c r="P11" s="9"/>
      <c r="Q11" s="7">
        <v>312412.33</v>
      </c>
      <c r="R11" s="8">
        <f>IFERROR(Q11/Q444, "NA")</f>
        <v>0.4671960977924271</v>
      </c>
      <c r="S11" s="9"/>
      <c r="T11" s="7">
        <v>0</v>
      </c>
      <c r="U11" s="8">
        <f>IFERROR(T11/T444, "NA")</f>
        <v>0</v>
      </c>
      <c r="V11" s="9"/>
      <c r="W11" s="10">
        <f t="shared" si="2"/>
        <v>312412.33</v>
      </c>
      <c r="X11" s="8">
        <f>IFERROR(W11/W444, "NA")</f>
        <v>-5.9245875661772516</v>
      </c>
      <c r="Y11" s="9"/>
      <c r="Z11" s="7">
        <v>350181.02</v>
      </c>
      <c r="AA11" s="8">
        <f>IFERROR(Z11/Z444, "NA")</f>
        <v>0.54537702585178938</v>
      </c>
      <c r="AB11" s="9"/>
      <c r="AC11" s="10">
        <f t="shared" si="3"/>
        <v>-37768.69</v>
      </c>
      <c r="AD11" s="8">
        <f>IFERROR(AC11/AC444, "NA")</f>
        <v>-1.419524951919773</v>
      </c>
    </row>
    <row r="12" spans="1:30" ht="16.5" customHeight="1" x14ac:dyDescent="0.45">
      <c r="A12" s="12" t="s">
        <v>14</v>
      </c>
      <c r="B12" s="7">
        <v>4016.1</v>
      </c>
      <c r="C12" s="8">
        <f>IFERROR(B12/B444, "NA")</f>
        <v>5.2662939615103287E-2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4016.1</v>
      </c>
      <c r="I12" s="8">
        <f>IFERROR(H12/H444, "NA")</f>
        <v>-0.47955207894262425</v>
      </c>
      <c r="J12" s="9"/>
      <c r="K12" s="7">
        <v>4450.2</v>
      </c>
      <c r="L12" s="8">
        <f>IFERROR(K12/K444, "NA")</f>
        <v>6.0205235157844261E-2</v>
      </c>
      <c r="M12" s="9"/>
      <c r="N12" s="10">
        <f t="shared" si="1"/>
        <v>-434.09999999999991</v>
      </c>
      <c r="O12" s="8">
        <f>IFERROR(N12/N444, "NA")</f>
        <v>-0.18525156830111356</v>
      </c>
      <c r="P12" s="9"/>
      <c r="Q12" s="7">
        <v>33486</v>
      </c>
      <c r="R12" s="8">
        <f>IFERROR(Q12/Q444, "NA")</f>
        <v>5.0076539970996703E-2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33486</v>
      </c>
      <c r="X12" s="8">
        <f>IFERROR(W12/W444, "NA")</f>
        <v>-0.63502851901207436</v>
      </c>
      <c r="Y12" s="9"/>
      <c r="Z12" s="7">
        <v>32850.5</v>
      </c>
      <c r="AA12" s="8">
        <f>IFERROR(Z12/Z444, "NA")</f>
        <v>5.116184762881839E-2</v>
      </c>
      <c r="AB12" s="9"/>
      <c r="AC12" s="10">
        <f t="shared" si="3"/>
        <v>635.5</v>
      </c>
      <c r="AD12" s="8">
        <f>IFERROR(AC12/AC444, "NA")</f>
        <v>2.3885078008927915E-2</v>
      </c>
    </row>
    <row r="13" spans="1:30" ht="16.5" customHeight="1" x14ac:dyDescent="0.45">
      <c r="A13" s="12" t="s">
        <v>15</v>
      </c>
      <c r="B13" s="7">
        <v>198</v>
      </c>
      <c r="C13" s="8">
        <f>IFERROR(B13/B444, "NA")</f>
        <v>2.5963651412540651E-3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198</v>
      </c>
      <c r="I13" s="8">
        <f>IFERROR(H13/H444, "NA")</f>
        <v>-2.364266617630029E-2</v>
      </c>
      <c r="J13" s="9"/>
      <c r="K13" s="7">
        <v>203.5</v>
      </c>
      <c r="L13" s="8">
        <f>IFERROR(K13/K444, "NA")</f>
        <v>2.7530819636468716E-3</v>
      </c>
      <c r="M13" s="9"/>
      <c r="N13" s="10">
        <f t="shared" si="1"/>
        <v>-5.5</v>
      </c>
      <c r="O13" s="8">
        <f>IFERROR(N13/N444, "NA")</f>
        <v>-2.3471173131907963E-3</v>
      </c>
      <c r="P13" s="9"/>
      <c r="Q13" s="7">
        <v>1727.5</v>
      </c>
      <c r="R13" s="8">
        <f>IFERROR(Q13/Q444, "NA")</f>
        <v>2.5833847816967332E-3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1727.5</v>
      </c>
      <c r="X13" s="8">
        <f>IFERROR(W13/W444, "NA")</f>
        <v>-3.2760310774453752E-2</v>
      </c>
      <c r="Y13" s="9"/>
      <c r="Z13" s="7">
        <v>1688.27</v>
      </c>
      <c r="AA13" s="8">
        <f>IFERROR(Z13/Z444, "NA")</f>
        <v>2.6293363113591944E-3</v>
      </c>
      <c r="AB13" s="9"/>
      <c r="AC13" s="10">
        <f t="shared" si="3"/>
        <v>39.230000000000018</v>
      </c>
      <c r="AD13" s="8">
        <f>IFERROR(AC13/AC444, "NA")</f>
        <v>1.4744478525416877E-3</v>
      </c>
    </row>
    <row r="14" spans="1:30" ht="16.5" customHeight="1" x14ac:dyDescent="0.45">
      <c r="A14" s="12" t="s">
        <v>16</v>
      </c>
      <c r="B14" s="7">
        <v>50</v>
      </c>
      <c r="C14" s="8">
        <f>IFERROR(B14/B444, "NA")</f>
        <v>6.5564776294294578E-4</v>
      </c>
      <c r="D14" s="9"/>
      <c r="E14" s="7">
        <v>0</v>
      </c>
      <c r="F14" s="8">
        <f>IFERROR(E14/E444, "NA")</f>
        <v>0</v>
      </c>
      <c r="G14" s="9"/>
      <c r="H14" s="10">
        <f t="shared" si="0"/>
        <v>50</v>
      </c>
      <c r="I14" s="8">
        <f>IFERROR(H14/H444, "NA")</f>
        <v>-5.9703702465404773E-3</v>
      </c>
      <c r="J14" s="9"/>
      <c r="K14" s="7">
        <v>405</v>
      </c>
      <c r="L14" s="8">
        <f>IFERROR(K14/K444, "NA")</f>
        <v>5.4791066106977052E-3</v>
      </c>
      <c r="M14" s="9"/>
      <c r="N14" s="10">
        <f t="shared" si="1"/>
        <v>-355</v>
      </c>
      <c r="O14" s="8">
        <f>IFERROR(N14/N444, "NA")</f>
        <v>-0.15149575385140596</v>
      </c>
      <c r="P14" s="9"/>
      <c r="Q14" s="7">
        <v>1785</v>
      </c>
      <c r="R14" s="8">
        <f>IFERROR(Q14/Q444, "NA")</f>
        <v>2.6693729871656549E-3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1785</v>
      </c>
      <c r="X14" s="8">
        <f>IFERROR(W14/W444, "NA")</f>
        <v>-3.3850740800231517E-2</v>
      </c>
      <c r="Y14" s="9"/>
      <c r="Z14" s="7">
        <v>3069.99</v>
      </c>
      <c r="AA14" s="8">
        <f>IFERROR(Z14/Z444, "NA")</f>
        <v>4.7812471835130717E-3</v>
      </c>
      <c r="AB14" s="9"/>
      <c r="AC14" s="10">
        <f t="shared" si="3"/>
        <v>-1284.9899999999998</v>
      </c>
      <c r="AD14" s="8">
        <f>IFERROR(AC14/AC444, "NA")</f>
        <v>-4.8295965996368651E-2</v>
      </c>
    </row>
    <row r="15" spans="1:30" ht="16.5" customHeight="1" x14ac:dyDescent="0.45">
      <c r="A15" s="12" t="s">
        <v>17</v>
      </c>
      <c r="B15" s="7">
        <v>36</v>
      </c>
      <c r="C15" s="8">
        <f>IFERROR(B15/B444, "NA")</f>
        <v>4.7206638931892095E-4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36</v>
      </c>
      <c r="I15" s="8">
        <f>IFERROR(H15/H444, "NA")</f>
        <v>-4.2986665775091443E-3</v>
      </c>
      <c r="J15" s="9"/>
      <c r="K15" s="7">
        <v>57</v>
      </c>
      <c r="L15" s="8">
        <f>IFERROR(K15/K444, "NA")</f>
        <v>7.7113352298708443E-4</v>
      </c>
      <c r="M15" s="9"/>
      <c r="N15" s="10">
        <f t="shared" si="1"/>
        <v>-21</v>
      </c>
      <c r="O15" s="8">
        <f>IFERROR(N15/N444, "NA")</f>
        <v>-8.9617206503648586E-3</v>
      </c>
      <c r="P15" s="9"/>
      <c r="Q15" s="7">
        <v>335</v>
      </c>
      <c r="R15" s="8">
        <f>IFERROR(Q15/Q444, "NA")</f>
        <v>5.0097476229719569E-4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335</v>
      </c>
      <c r="X15" s="8">
        <f>IFERROR(W15/W444, "NA")</f>
        <v>-6.3529401501835059E-3</v>
      </c>
      <c r="Y15" s="9"/>
      <c r="Z15" s="7">
        <v>358</v>
      </c>
      <c r="AA15" s="8">
        <f>IFERROR(Z15/Z444, "NA")</f>
        <v>5.5755441929702693E-4</v>
      </c>
      <c r="AB15" s="9"/>
      <c r="AC15" s="10">
        <f t="shared" si="3"/>
        <v>-23</v>
      </c>
      <c r="AD15" s="8">
        <f>IFERROR(AC15/AC444, "NA")</f>
        <v>-8.6444814194388999E-4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2.0188535197051171E-6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-2.5601400605217118E-5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5.0739347461923982E-5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42472.97</v>
      </c>
      <c r="C18" s="15">
        <f>IFERROR(B18/B444, "NA")</f>
        <v>0.55694615532085689</v>
      </c>
      <c r="D18" s="2"/>
      <c r="E18" s="14">
        <f>IFERROR(E10+E11+E12+E13+E14+E15+E16+E17, "NA")</f>
        <v>47734.22</v>
      </c>
      <c r="F18" s="15">
        <f>IFERROR(E18/E444, "NA")</f>
        <v>0.56399994564905953</v>
      </c>
      <c r="G18" s="2"/>
      <c r="H18" s="14">
        <f t="shared" si="0"/>
        <v>-5261.25</v>
      </c>
      <c r="I18" s="15">
        <f>IFERROR(H18/H444, "NA")</f>
        <v>0.62823220919222178</v>
      </c>
      <c r="J18" s="2"/>
      <c r="K18" s="14">
        <f>IFERROR(K10+K11+K12+K13+K14+K15+K16+K17, "NA")</f>
        <v>48472.469999999994</v>
      </c>
      <c r="L18" s="15">
        <f>IFERROR(K18/K444, "NA")</f>
        <v>0.65576748349097813</v>
      </c>
      <c r="M18" s="2"/>
      <c r="N18" s="14">
        <f t="shared" si="1"/>
        <v>-5999.4999999999927</v>
      </c>
      <c r="O18" s="15">
        <f>IFERROR(N18/N444, "NA")</f>
        <v>-2.5602782400887576</v>
      </c>
      <c r="P18" s="2"/>
      <c r="Q18" s="14">
        <f>IFERROR(Q10+Q11+Q12+Q13+Q14+Q15+Q16+Q17, "NA")</f>
        <v>349747.18</v>
      </c>
      <c r="R18" s="15">
        <f>IFERROR(Q18/Q444, "NA")</f>
        <v>0.52302838914810301</v>
      </c>
      <c r="S18" s="2"/>
      <c r="T18" s="14">
        <f>IFERROR(T10+T11+T12+T13+T14+T15+T16+T17, "NA")</f>
        <v>406885.3</v>
      </c>
      <c r="U18" s="15">
        <f>IFERROR(T18/T444, "NA")</f>
        <v>0.56399998974256405</v>
      </c>
      <c r="V18" s="2"/>
      <c r="W18" s="14">
        <f t="shared" si="2"/>
        <v>-57138.119999999995</v>
      </c>
      <c r="X18" s="15">
        <f>IFERROR(W18/W444, "NA")</f>
        <v>1.0835673332955318</v>
      </c>
      <c r="Y18" s="2"/>
      <c r="Z18" s="14">
        <f>IFERROR(Z10+Z11+Z12+Z13+Z14+Z15+Z16+Z17, "NA")</f>
        <v>388147.78</v>
      </c>
      <c r="AA18" s="15">
        <f>IFERROR(Z18/Z444, "NA")</f>
        <v>0.60450701139477703</v>
      </c>
      <c r="AB18" s="2"/>
      <c r="AC18" s="14">
        <f t="shared" si="3"/>
        <v>-38400.600000000035</v>
      </c>
      <c r="AD18" s="15">
        <f>IFERROR(AC18/AC444, "NA")</f>
        <v>-1.4432751008491553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8971.33</v>
      </c>
      <c r="F21" s="8">
        <f>IFERROR(E21/E444, "NA")</f>
        <v>0.10600004844322956</v>
      </c>
      <c r="G21" s="9"/>
      <c r="H21" s="10">
        <f t="shared" ref="H21:H29" si="4">IFERROR(B21-E21, "NA")</f>
        <v>-8971.33</v>
      </c>
      <c r="I21" s="8">
        <f>IFERROR(H21/H444, "NA")</f>
        <v>1.0712432340779197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76471.350000000006</v>
      </c>
      <c r="U21" s="8">
        <f>IFERROR(T21/T444, "NA")</f>
        <v>0.10599999708910601</v>
      </c>
      <c r="V21" s="9"/>
      <c r="W21" s="10">
        <f t="shared" ref="W21:W29" si="6">IFERROR(Q21-T21, "NA")</f>
        <v>-76471.350000000006</v>
      </c>
      <c r="X21" s="8">
        <f>IFERROR(W21/W444, "NA")</f>
        <v>1.4502027156827926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6032.9</v>
      </c>
      <c r="C22" s="8">
        <f>IFERROR(B22/B444, "NA")</f>
        <v>7.9109147781169939E-2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6032.9</v>
      </c>
      <c r="I22" s="8">
        <f>IFERROR(H22/H444, "NA")</f>
        <v>-0.72037293320708096</v>
      </c>
      <c r="J22" s="9"/>
      <c r="K22" s="7">
        <v>6871.54</v>
      </c>
      <c r="L22" s="8">
        <f>IFERROR(K22/K444, "NA")</f>
        <v>9.2962716641169646E-2</v>
      </c>
      <c r="M22" s="9"/>
      <c r="N22" s="10">
        <f t="shared" si="5"/>
        <v>-838.64000000000033</v>
      </c>
      <c r="O22" s="8">
        <f>IFERROR(N22/N444, "NA")</f>
        <v>-0.35788844791533275</v>
      </c>
      <c r="P22" s="9"/>
      <c r="Q22" s="7">
        <v>55981.5</v>
      </c>
      <c r="R22" s="8">
        <f>IFERROR(Q22/Q444, "NA")</f>
        <v>8.3717369121016308E-2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55981.5</v>
      </c>
      <c r="X22" s="8">
        <f>IFERROR(W22/W444, "NA")</f>
        <v>-1.0616331910970089</v>
      </c>
      <c r="Y22" s="9"/>
      <c r="Z22" s="7">
        <v>57036.22</v>
      </c>
      <c r="AA22" s="8">
        <f>IFERROR(Z22/Z444, "NA")</f>
        <v>8.8829040561445458E-2</v>
      </c>
      <c r="AB22" s="9"/>
      <c r="AC22" s="10">
        <f t="shared" si="7"/>
        <v>-1054.7200000000012</v>
      </c>
      <c r="AD22" s="8">
        <f>IFERROR(AC22/AC444, "NA")</f>
        <v>-3.964133670743742E-2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467.66</v>
      </c>
      <c r="C24" s="8">
        <f>IFERROR(B24/B444, "NA")</f>
        <v>6.1324046563579603E-3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467.66</v>
      </c>
      <c r="I24" s="8">
        <f>IFERROR(H24/H444, "NA")</f>
        <v>-5.5842066989942402E-2</v>
      </c>
      <c r="J24" s="9"/>
      <c r="K24" s="7">
        <v>454.26</v>
      </c>
      <c r="L24" s="8">
        <f>IFERROR(K24/K444, "NA")</f>
        <v>6.1455283184581218E-3</v>
      </c>
      <c r="M24" s="9"/>
      <c r="N24" s="10">
        <f t="shared" si="5"/>
        <v>13.400000000000034</v>
      </c>
      <c r="O24" s="8">
        <f>IFERROR(N24/N444, "NA")</f>
        <v>5.7184312721375915E-3</v>
      </c>
      <c r="P24" s="9"/>
      <c r="Q24" s="7">
        <v>4844.6499999999996</v>
      </c>
      <c r="R24" s="8">
        <f>IFERROR(Q24/Q444, "NA")</f>
        <v>7.2449175586958474E-3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4844.6499999999996</v>
      </c>
      <c r="X24" s="8">
        <f>IFERROR(W24/W444, "NA")</f>
        <v>-9.1873944771900057E-2</v>
      </c>
      <c r="Y24" s="9"/>
      <c r="Z24" s="7">
        <v>3007.41</v>
      </c>
      <c r="AA24" s="8">
        <f>IFERROR(Z24/Z444, "NA")</f>
        <v>4.6837841791566252E-3</v>
      </c>
      <c r="AB24" s="9"/>
      <c r="AC24" s="10">
        <f t="shared" si="7"/>
        <v>1837.2399999999998</v>
      </c>
      <c r="AD24" s="8">
        <f>IFERROR(AC24/AC444, "NA")</f>
        <v>6.9052117578477928E-2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286.99</v>
      </c>
      <c r="L27" s="8">
        <f>IFERROR(K27/K444, "NA")</f>
        <v>3.8825896449484801E-3</v>
      </c>
      <c r="M27" s="9"/>
      <c r="N27" s="10">
        <f t="shared" si="5"/>
        <v>-286.99</v>
      </c>
      <c r="O27" s="8">
        <f>IFERROR(N27/N444, "NA")</f>
        <v>-0.12247258140229576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2954.4</v>
      </c>
      <c r="AA27" s="8">
        <f>IFERROR(Z27/Z444, "NA")</f>
        <v>4.6012256323216105E-3</v>
      </c>
      <c r="AB27" s="9"/>
      <c r="AC27" s="10">
        <f t="shared" si="7"/>
        <v>-2954.4</v>
      </c>
      <c r="AD27" s="8">
        <f>IFERROR(AC27/AC444, "NA")</f>
        <v>-0.11104024306778384</v>
      </c>
    </row>
    <row r="28" spans="1:30" ht="16.5" customHeight="1" x14ac:dyDescent="0.45">
      <c r="A28" s="12" t="s">
        <v>29</v>
      </c>
      <c r="B28" s="7">
        <v>874.54</v>
      </c>
      <c r="C28" s="8">
        <f>IFERROR(B28/B444, "NA")</f>
        <v>1.1467803892082474E-2</v>
      </c>
      <c r="D28" s="9"/>
      <c r="E28" s="7">
        <v>0</v>
      </c>
      <c r="F28" s="8">
        <f>IFERROR(E28/E444, "NA")</f>
        <v>0</v>
      </c>
      <c r="G28" s="9"/>
      <c r="H28" s="10">
        <f t="shared" si="4"/>
        <v>874.54</v>
      </c>
      <c r="I28" s="8">
        <f>IFERROR(H28/H444, "NA")</f>
        <v>-0.10442655190819018</v>
      </c>
      <c r="J28" s="9"/>
      <c r="K28" s="7">
        <v>904.63</v>
      </c>
      <c r="L28" s="8">
        <f>IFERROR(K28/K444, "NA")</f>
        <v>1.223843015613695E-2</v>
      </c>
      <c r="M28" s="9"/>
      <c r="N28" s="10">
        <f t="shared" si="5"/>
        <v>-30.090000000000032</v>
      </c>
      <c r="O28" s="8">
        <f>IFERROR(N28/N444, "NA")</f>
        <v>-1.2840865446165662E-2</v>
      </c>
      <c r="P28" s="9"/>
      <c r="Q28" s="7">
        <v>6726.77</v>
      </c>
      <c r="R28" s="8">
        <f>IFERROR(Q28/Q444, "NA")</f>
        <v>1.0059528363516141E-2</v>
      </c>
      <c r="S28" s="9"/>
      <c r="T28" s="7">
        <v>0</v>
      </c>
      <c r="U28" s="8">
        <f>IFERROR(T28/T444, "NA")</f>
        <v>0</v>
      </c>
      <c r="V28" s="9"/>
      <c r="W28" s="10">
        <f t="shared" si="6"/>
        <v>6726.77</v>
      </c>
      <c r="X28" s="8">
        <f>IFERROR(W28/W444, "NA")</f>
        <v>-0.12756646929567136</v>
      </c>
      <c r="Y28" s="9"/>
      <c r="Z28" s="7">
        <v>6781.7</v>
      </c>
      <c r="AA28" s="8">
        <f>IFERROR(Z28/Z444, "NA")</f>
        <v>1.056191845068896E-2</v>
      </c>
      <c r="AB28" s="9"/>
      <c r="AC28" s="10">
        <f t="shared" si="7"/>
        <v>-54.929999999999382</v>
      </c>
      <c r="AD28" s="8">
        <f>IFERROR(AC28/AC444, "NA")</f>
        <v>-2.064527671172928E-3</v>
      </c>
    </row>
    <row r="29" spans="1:30" ht="16.5" customHeight="1" x14ac:dyDescent="0.45">
      <c r="A29" s="13" t="s">
        <v>30</v>
      </c>
      <c r="B29" s="14">
        <f>IFERROR(B21+B22+B23+B24+B25+B26+B27+B28, "NA")</f>
        <v>7375.0999999999995</v>
      </c>
      <c r="C29" s="15">
        <f>IFERROR(B29/B444, "NA")</f>
        <v>9.6709356329610377E-2</v>
      </c>
      <c r="D29" s="2"/>
      <c r="E29" s="14">
        <f>IFERROR(E21+E22+E23+E24+E25+E26+E27+E28, "NA")</f>
        <v>8971.33</v>
      </c>
      <c r="F29" s="15">
        <f>IFERROR(E29/E444, "NA")</f>
        <v>0.10600004844322956</v>
      </c>
      <c r="G29" s="2"/>
      <c r="H29" s="14">
        <f t="shared" si="4"/>
        <v>-1596.2300000000005</v>
      </c>
      <c r="I29" s="15">
        <f>IFERROR(H29/H444, "NA")</f>
        <v>0.19060168197270619</v>
      </c>
      <c r="J29" s="2"/>
      <c r="K29" s="14">
        <f>IFERROR(K21+K22+K23+K24+K25+K26+K27+K28, "NA")</f>
        <v>8517.42</v>
      </c>
      <c r="L29" s="15">
        <f>IFERROR(K29/K444, "NA")</f>
        <v>0.1152292647607132</v>
      </c>
      <c r="M29" s="2"/>
      <c r="N29" s="14">
        <f t="shared" si="5"/>
        <v>-1142.3200000000006</v>
      </c>
      <c r="O29" s="15">
        <f>IFERROR(N29/N444, "NA")</f>
        <v>-0.48748346349165672</v>
      </c>
      <c r="P29" s="2"/>
      <c r="Q29" s="14">
        <f>IFERROR(Q21+Q22+Q23+Q24+Q25+Q26+Q27+Q28, "NA")</f>
        <v>67552.92</v>
      </c>
      <c r="R29" s="15">
        <f>IFERROR(Q29/Q444, "NA")</f>
        <v>0.10102181504322828</v>
      </c>
      <c r="S29" s="2"/>
      <c r="T29" s="14">
        <f>IFERROR(T21+T22+T23+T24+T25+T26+T27+T28, "NA")</f>
        <v>76471.350000000006</v>
      </c>
      <c r="U29" s="15">
        <f>IFERROR(T29/T444, "NA")</f>
        <v>0.10599999708910601</v>
      </c>
      <c r="V29" s="2"/>
      <c r="W29" s="14">
        <f t="shared" si="6"/>
        <v>-8918.4300000000076</v>
      </c>
      <c r="X29" s="15">
        <f>IFERROR(W29/W444, "NA")</f>
        <v>0.16912911051821233</v>
      </c>
      <c r="Y29" s="2"/>
      <c r="Z29" s="14">
        <f>IFERROR(Z21+Z22+Z23+Z24+Z25+Z26+Z27+Z28, "NA")</f>
        <v>69779.73000000001</v>
      </c>
      <c r="AA29" s="15">
        <f>IFERROR(Z29/Z444, "NA")</f>
        <v>0.10867596882361268</v>
      </c>
      <c r="AB29" s="2"/>
      <c r="AC29" s="14">
        <f t="shared" si="7"/>
        <v>-2226.8100000000122</v>
      </c>
      <c r="AD29" s="15">
        <f>IFERROR(AC29/AC444, "NA")</f>
        <v>-8.3693989867916707E-2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18196.560000000001</v>
      </c>
      <c r="F31" s="8">
        <f>IFERROR(E31/E444, "NA")</f>
        <v>0.21500003249241009</v>
      </c>
      <c r="G31" s="9"/>
      <c r="H31" s="10">
        <f t="shared" ref="H31:H40" si="8">IFERROR(B31-E31, "NA")</f>
        <v>-18196.560000000001</v>
      </c>
      <c r="I31" s="8">
        <f>IFERROR(H31/H444, "NA")</f>
        <v>2.172804008267772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155106.99</v>
      </c>
      <c r="U31" s="8">
        <f>IFERROR(T31/T444, "NA")</f>
        <v>0.21500000311881498</v>
      </c>
      <c r="V31" s="9"/>
      <c r="W31" s="10">
        <f t="shared" ref="W31:W40" si="10">IFERROR(Q31-T31, "NA")</f>
        <v>-155106.99</v>
      </c>
      <c r="X31" s="8">
        <f>IFERROR(W31/W444, "NA")</f>
        <v>2.9414490278958554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3287.81</v>
      </c>
      <c r="C33" s="8">
        <f>IFERROR(B33/B444, "NA")</f>
        <v>4.311290542962893E-2</v>
      </c>
      <c r="D33" s="9"/>
      <c r="E33" s="7">
        <v>0</v>
      </c>
      <c r="F33" s="8">
        <f>IFERROR(E33/E444, "NA")</f>
        <v>0</v>
      </c>
      <c r="G33" s="9"/>
      <c r="H33" s="10">
        <f t="shared" si="8"/>
        <v>3287.81</v>
      </c>
      <c r="I33" s="8">
        <f>IFERROR(H33/H444, "NA")</f>
        <v>-0.39258886000556498</v>
      </c>
      <c r="J33" s="9"/>
      <c r="K33" s="7">
        <v>3723.92</v>
      </c>
      <c r="L33" s="8">
        <f>IFERROR(K33/K444, "NA")</f>
        <v>5.0379641209159005E-2</v>
      </c>
      <c r="M33" s="9"/>
      <c r="N33" s="10">
        <f t="shared" si="9"/>
        <v>-436.11000000000013</v>
      </c>
      <c r="O33" s="8">
        <f>IFERROR(N33/N444, "NA")</f>
        <v>-0.18610933299193427</v>
      </c>
      <c r="P33" s="9"/>
      <c r="Q33" s="7">
        <v>42404.41</v>
      </c>
      <c r="R33" s="8">
        <f>IFERROR(Q33/Q444, "NA")</f>
        <v>6.3413549910754721E-2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42404.41</v>
      </c>
      <c r="X33" s="8">
        <f>IFERROR(W33/W444, "NA")</f>
        <v>-0.80415725025027762</v>
      </c>
      <c r="Y33" s="9"/>
      <c r="Z33" s="7">
        <v>33251.89</v>
      </c>
      <c r="AA33" s="8">
        <f>IFERROR(Z33/Z444, "NA")</f>
        <v>5.1786978266700048E-2</v>
      </c>
      <c r="AB33" s="9"/>
      <c r="AC33" s="10">
        <f t="shared" si="11"/>
        <v>9152.5200000000041</v>
      </c>
      <c r="AD33" s="8">
        <f>IFERROR(AC33/AC444, "NA")</f>
        <v>0.34399473513496936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590.91</v>
      </c>
      <c r="C35" s="8">
        <f>IFERROR(B35/B444, "NA")</f>
        <v>7.7485763920123211E-3</v>
      </c>
      <c r="D35" s="9"/>
      <c r="E35" s="7">
        <v>0</v>
      </c>
      <c r="F35" s="8">
        <f>IFERROR(E35/E444, "NA")</f>
        <v>0</v>
      </c>
      <c r="G35" s="9"/>
      <c r="H35" s="10">
        <f t="shared" si="8"/>
        <v>590.91</v>
      </c>
      <c r="I35" s="8">
        <f>IFERROR(H35/H444, "NA")</f>
        <v>-7.0559029647664667E-2</v>
      </c>
      <c r="J35" s="9"/>
      <c r="K35" s="7">
        <v>777.13</v>
      </c>
      <c r="L35" s="8">
        <f>IFERROR(K35/K444, "NA")</f>
        <v>1.0513526223139525E-2</v>
      </c>
      <c r="M35" s="9"/>
      <c r="N35" s="10">
        <f t="shared" si="9"/>
        <v>-186.22000000000003</v>
      </c>
      <c r="O35" s="8">
        <f>IFERROR(N35/N444, "NA")</f>
        <v>-7.9469124738616392E-2</v>
      </c>
      <c r="P35" s="9"/>
      <c r="Q35" s="7">
        <v>4721.7299999999996</v>
      </c>
      <c r="R35" s="8">
        <f>IFERROR(Q35/Q444, "NA")</f>
        <v>7.0610972071090674E-3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4721.7299999999996</v>
      </c>
      <c r="X35" s="8">
        <f>IFERROR(W35/W444, "NA")</f>
        <v>-8.9542889836793926E-2</v>
      </c>
      <c r="Y35" s="9"/>
      <c r="Z35" s="7">
        <v>894.9</v>
      </c>
      <c r="AA35" s="8">
        <f>IFERROR(Z35/Z444, "NA")</f>
        <v>1.3937303067846631E-3</v>
      </c>
      <c r="AB35" s="9"/>
      <c r="AC35" s="10">
        <f t="shared" si="11"/>
        <v>3826.8299999999995</v>
      </c>
      <c r="AD35" s="8">
        <f>IFERROR(AC35/AC444, "NA")</f>
        <v>0.14383026447978853</v>
      </c>
    </row>
    <row r="36" spans="1:30" ht="16.5" customHeight="1" x14ac:dyDescent="0.45">
      <c r="A36" s="12" t="s">
        <v>36</v>
      </c>
      <c r="B36" s="7">
        <v>4497.05</v>
      </c>
      <c r="C36" s="8">
        <f>IFERROR(B36/B444, "NA")</f>
        <v>5.8969615446851482E-2</v>
      </c>
      <c r="D36" s="9"/>
      <c r="E36" s="7">
        <v>0</v>
      </c>
      <c r="F36" s="8">
        <f>IFERROR(E36/E444, "NA")</f>
        <v>0</v>
      </c>
      <c r="G36" s="9"/>
      <c r="H36" s="10">
        <f t="shared" si="8"/>
        <v>4497.05</v>
      </c>
      <c r="I36" s="8">
        <f>IFERROR(H36/H444, "NA")</f>
        <v>-0.53698107034409714</v>
      </c>
      <c r="J36" s="9"/>
      <c r="K36" s="7">
        <v>12606.91</v>
      </c>
      <c r="L36" s="8">
        <f>IFERROR(K36/K444, "NA")</f>
        <v>0.17055457758387901</v>
      </c>
      <c r="M36" s="9"/>
      <c r="N36" s="10">
        <f t="shared" si="9"/>
        <v>-8109.86</v>
      </c>
      <c r="O36" s="8">
        <f>IFERROR(N36/N444, "NA")</f>
        <v>-3.4608714206460931</v>
      </c>
      <c r="P36" s="9"/>
      <c r="Q36" s="7">
        <v>75202.94</v>
      </c>
      <c r="R36" s="8">
        <f>IFERROR(Q36/Q444, "NA")</f>
        <v>0.11246201489716499</v>
      </c>
      <c r="S36" s="9"/>
      <c r="T36" s="7">
        <v>0</v>
      </c>
      <c r="U36" s="8">
        <f>IFERROR(T36/T444, "NA")</f>
        <v>0</v>
      </c>
      <c r="V36" s="9"/>
      <c r="W36" s="10">
        <f t="shared" si="10"/>
        <v>75202.94</v>
      </c>
      <c r="X36" s="8">
        <f>IFERROR(W36/W444, "NA")</f>
        <v>-1.4261485878741529</v>
      </c>
      <c r="Y36" s="9"/>
      <c r="Z36" s="7">
        <v>74461.279999999999</v>
      </c>
      <c r="AA36" s="8">
        <f>IFERROR(Z36/Z444, "NA")</f>
        <v>0.11596708304612661</v>
      </c>
      <c r="AB36" s="9"/>
      <c r="AC36" s="10">
        <f t="shared" si="11"/>
        <v>741.66000000000349</v>
      </c>
      <c r="AD36" s="8">
        <f>IFERROR(AC36/AC444, "NA")</f>
        <v>2.7875069954526453E-2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403.2</v>
      </c>
      <c r="C39" s="8">
        <f>IFERROR(B39/B444, "NA")</f>
        <v>5.287143560371914E-3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403.2</v>
      </c>
      <c r="I39" s="8">
        <f>IFERROR(H39/H444, "NA")</f>
        <v>-4.8145065668102408E-2</v>
      </c>
      <c r="J39" s="9"/>
      <c r="K39" s="7">
        <v>724.03</v>
      </c>
      <c r="L39" s="8">
        <f>IFERROR(K39/K444, "NA")</f>
        <v>9.7951544675147148E-3</v>
      </c>
      <c r="M39" s="9"/>
      <c r="N39" s="10">
        <f t="shared" si="9"/>
        <v>-320.83</v>
      </c>
      <c r="O39" s="8">
        <f>IFERROR(N39/N444, "NA")</f>
        <v>-0.13691375410745513</v>
      </c>
      <c r="P39" s="9"/>
      <c r="Q39" s="7">
        <v>4961.88</v>
      </c>
      <c r="R39" s="8">
        <f>IFERROR(Q39/Q444, "NA")</f>
        <v>7.4202288165588345E-3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4961.88</v>
      </c>
      <c r="X39" s="8">
        <f>IFERROR(W39/W444, "NA")</f>
        <v>-9.4097094544455334E-2</v>
      </c>
      <c r="Y39" s="9"/>
      <c r="Z39" s="7">
        <v>7977.84</v>
      </c>
      <c r="AA39" s="8">
        <f>IFERROR(Z39/Z444, "NA")</f>
        <v>1.2424804325264228E-2</v>
      </c>
      <c r="AB39" s="9"/>
      <c r="AC39" s="10">
        <f t="shared" si="11"/>
        <v>-3015.96</v>
      </c>
      <c r="AD39" s="8">
        <f>IFERROR(AC39/AC444, "NA")</f>
        <v>-0.11335395731204759</v>
      </c>
    </row>
    <row r="40" spans="1:30" ht="16.5" customHeight="1" x14ac:dyDescent="0.45">
      <c r="A40" s="13" t="s">
        <v>40</v>
      </c>
      <c r="B40" s="14">
        <f>IFERROR(B31+B32+B33+B34+B35+B36+B37+B38+B39, "NA")</f>
        <v>8778.9700000000012</v>
      </c>
      <c r="C40" s="15">
        <f>IFERROR(B40/B444, "NA")</f>
        <v>0.11511824082886467</v>
      </c>
      <c r="D40" s="2"/>
      <c r="E40" s="14">
        <f>IFERROR(E31+E32+E33+E34+E35+E36+E37+E38+E39, "NA")</f>
        <v>18196.560000000001</v>
      </c>
      <c r="F40" s="15">
        <f>IFERROR(E40/E444, "NA")</f>
        <v>0.21500003249241009</v>
      </c>
      <c r="G40" s="2"/>
      <c r="H40" s="14">
        <f t="shared" si="8"/>
        <v>-9417.59</v>
      </c>
      <c r="I40" s="15">
        <f>IFERROR(H40/H444, "NA")</f>
        <v>1.1245299826023427</v>
      </c>
      <c r="J40" s="2"/>
      <c r="K40" s="14">
        <f>IFERROR(K31+K32+K33+K34+K35+K36+K37+K38+K39, "NA")</f>
        <v>17831.989999999998</v>
      </c>
      <c r="L40" s="15">
        <f>IFERROR(K40/K444, "NA")</f>
        <v>0.24124289948369224</v>
      </c>
      <c r="M40" s="2"/>
      <c r="N40" s="14">
        <f t="shared" si="9"/>
        <v>-9053.0199999999968</v>
      </c>
      <c r="O40" s="15">
        <f>IFERROR(N40/N444, "NA")</f>
        <v>-3.8633636324840976</v>
      </c>
      <c r="P40" s="2"/>
      <c r="Q40" s="14">
        <f>IFERROR(Q31+Q32+Q33+Q34+Q35+Q36+Q37+Q38+Q39, "NA")</f>
        <v>127290.96</v>
      </c>
      <c r="R40" s="15">
        <f>IFERROR(Q40/Q444, "NA")</f>
        <v>0.19035689083158761</v>
      </c>
      <c r="S40" s="2"/>
      <c r="T40" s="14">
        <f>IFERROR(T31+T32+T33+T34+T35+T36+T37+T38+T39, "NA")</f>
        <v>155106.99</v>
      </c>
      <c r="U40" s="15">
        <f>IFERROR(T40/T444, "NA")</f>
        <v>0.21500000311881498</v>
      </c>
      <c r="V40" s="2"/>
      <c r="W40" s="14">
        <f t="shared" si="10"/>
        <v>-27816.029999999984</v>
      </c>
      <c r="X40" s="15">
        <f>IFERROR(W40/W444, "NA")</f>
        <v>0.52750320539017559</v>
      </c>
      <c r="Y40" s="2"/>
      <c r="Z40" s="14">
        <f>IFERROR(Z31+Z32+Z33+Z34+Z35+Z36+Z37+Z38+Z39, "NA")</f>
        <v>116585.91</v>
      </c>
      <c r="AA40" s="15">
        <f>IFERROR(Z40/Z444, "NA")</f>
        <v>0.18157259594487554</v>
      </c>
      <c r="AB40" s="2"/>
      <c r="AC40" s="14">
        <f t="shared" si="11"/>
        <v>10705.050000000003</v>
      </c>
      <c r="AD40" s="15">
        <f>IFERROR(AC40/AC444, "NA")</f>
        <v>0.4023461122572366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408.06</v>
      </c>
      <c r="C43" s="8">
        <f>IFERROR(B43/B444, "NA")</f>
        <v>5.3508725229299689E-3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408.06</v>
      </c>
      <c r="I43" s="8">
        <f>IFERROR(H43/H444, "NA")</f>
        <v>-4.8725385656066149E-2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408.06</v>
      </c>
      <c r="O43" s="8">
        <f>IFERROR(N43/N444, "NA")</f>
        <v>0.17413903469466116</v>
      </c>
      <c r="P43" s="9"/>
      <c r="Q43" s="7">
        <v>39093.980000000003</v>
      </c>
      <c r="R43" s="8">
        <f>IFERROR(Q43/Q444, "NA")</f>
        <v>5.8462977127615896E-2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39093.980000000003</v>
      </c>
      <c r="X43" s="8">
        <f>IFERROR(W43/W444, "NA")</f>
        <v>-0.74137825424618209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39093.980000000003</v>
      </c>
      <c r="AD43" s="8">
        <f>IFERROR(AC43/AC444, "NA")</f>
        <v>1.4693355813996347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12441.37</v>
      </c>
      <c r="F46" s="8">
        <f>IFERROR(E46/E444, "NA")</f>
        <v>0.14700003485549445</v>
      </c>
      <c r="G46" s="9"/>
      <c r="H46" s="10">
        <f t="shared" ref="H46:H62" si="12">IFERROR(B46-E46, "NA")</f>
        <v>-12441.37</v>
      </c>
      <c r="I46" s="8">
        <f>IFERROR(H46/H444, "NA")</f>
        <v>1.4855917054840262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106049.9</v>
      </c>
      <c r="U46" s="8">
        <f>IFERROR(T46/T444, "NA")</f>
        <v>0.14700000838614699</v>
      </c>
      <c r="V46" s="9"/>
      <c r="W46" s="10">
        <f t="shared" ref="W46:W62" si="14">IFERROR(Q46-T46, "NA")</f>
        <v>-106049.9</v>
      </c>
      <c r="X46" s="8">
        <f>IFERROR(W46/W444, "NA")</f>
        <v>2.0111303511431218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156.09</v>
      </c>
      <c r="C47" s="8">
        <f>IFERROR(B47/B444, "NA")</f>
        <v>2.046801186355288E-3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156.09</v>
      </c>
      <c r="I47" s="8">
        <f>IFERROR(H47/H444, "NA")</f>
        <v>-1.8638301835650063E-2</v>
      </c>
      <c r="J47" s="9"/>
      <c r="K47" s="7">
        <v>655.25</v>
      </c>
      <c r="L47" s="8">
        <f>IFERROR(K47/K444, "NA")</f>
        <v>8.8646533497769662E-3</v>
      </c>
      <c r="M47" s="9"/>
      <c r="N47" s="10">
        <f t="shared" si="13"/>
        <v>-499.15999999999997</v>
      </c>
      <c r="O47" s="8">
        <f>IFERROR(N47/N444, "NA")</f>
        <v>-0.21301583237314869</v>
      </c>
      <c r="P47" s="9"/>
      <c r="Q47" s="7">
        <v>6511.84</v>
      </c>
      <c r="R47" s="8">
        <f>IFERROR(Q47/Q444, "NA")</f>
        <v>9.7381119287085708E-3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6511.84</v>
      </c>
      <c r="X47" s="8">
        <f>IFERROR(W47/W444, "NA")</f>
        <v>-0.12349053667931631</v>
      </c>
      <c r="Y47" s="9"/>
      <c r="Z47" s="7">
        <v>4473.6000000000004</v>
      </c>
      <c r="AA47" s="8">
        <f>IFERROR(Z47/Z444, "NA")</f>
        <v>6.9672498608021787E-3</v>
      </c>
      <c r="AB47" s="9"/>
      <c r="AC47" s="10">
        <f t="shared" si="15"/>
        <v>2038.2399999999998</v>
      </c>
      <c r="AD47" s="8">
        <f>IFERROR(AC47/AC444, "NA")</f>
        <v>7.6606642645031045E-2</v>
      </c>
    </row>
    <row r="48" spans="1:30" ht="16.5" customHeight="1" x14ac:dyDescent="0.45">
      <c r="A48" s="17" t="s">
        <v>46</v>
      </c>
      <c r="B48" s="7">
        <v>2082.4699999999998</v>
      </c>
      <c r="C48" s="8">
        <f>IFERROR(B48/B444, "NA")</f>
        <v>2.7307335937915921E-2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2082.4699999999998</v>
      </c>
      <c r="I48" s="8">
        <f>IFERROR(H48/H444, "NA")</f>
        <v>-0.24866233854626293</v>
      </c>
      <c r="J48" s="9"/>
      <c r="K48" s="7">
        <v>2172.09</v>
      </c>
      <c r="L48" s="8">
        <f>IFERROR(K48/K444, "NA")</f>
        <v>2.9385463402544144E-2</v>
      </c>
      <c r="M48" s="9"/>
      <c r="N48" s="10">
        <f t="shared" si="13"/>
        <v>-89.620000000000346</v>
      </c>
      <c r="O48" s="8">
        <f>IFERROR(N48/N444, "NA")</f>
        <v>-3.824520974693818E-2</v>
      </c>
      <c r="P48" s="9"/>
      <c r="Q48" s="7">
        <v>39422.1</v>
      </c>
      <c r="R48" s="8">
        <f>IFERROR(Q48/Q444, "NA")</f>
        <v>5.8953663214197843E-2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39422.1</v>
      </c>
      <c r="X48" s="8">
        <f>IFERROR(W48/W444, "NA")</f>
        <v>-0.74760072207328121</v>
      </c>
      <c r="Y48" s="9"/>
      <c r="Z48" s="7">
        <v>52221.23</v>
      </c>
      <c r="AA48" s="8">
        <f>IFERROR(Z48/Z444, "NA")</f>
        <v>8.1330104937504144E-2</v>
      </c>
      <c r="AB48" s="9"/>
      <c r="AC48" s="10">
        <f t="shared" si="15"/>
        <v>-12799.130000000005</v>
      </c>
      <c r="AD48" s="8">
        <f>IFERROR(AC48/AC444, "NA")</f>
        <v>-0.48105148465210018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27.5</v>
      </c>
      <c r="R49" s="8">
        <f>IFERROR(Q49/Q444, "NA")</f>
        <v>4.1124793919919052E-5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-5.2151001232849682E-4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27.5</v>
      </c>
      <c r="AD49" s="8">
        <f>IFERROR(AC49/AC444, "NA")</f>
        <v>1.0335793001503032E-3</v>
      </c>
    </row>
    <row r="50" spans="1:30" ht="16.5" customHeight="1" x14ac:dyDescent="0.45">
      <c r="A50" s="17" t="s">
        <v>48</v>
      </c>
      <c r="B50" s="7">
        <v>4241</v>
      </c>
      <c r="C50" s="8">
        <f>IFERROR(B50/B444, "NA")</f>
        <v>5.561204325282066E-2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4241</v>
      </c>
      <c r="I50" s="8">
        <f>IFERROR(H50/H444, "NA")</f>
        <v>-0.50640680431156326</v>
      </c>
      <c r="J50" s="9"/>
      <c r="K50" s="7">
        <v>2581.8000000000002</v>
      </c>
      <c r="L50" s="8">
        <f>IFERROR(K50/K444, "NA")</f>
        <v>3.4928289993825523E-2</v>
      </c>
      <c r="M50" s="9"/>
      <c r="N50" s="10">
        <f t="shared" si="13"/>
        <v>1659.1999999999998</v>
      </c>
      <c r="O50" s="8">
        <f>IFERROR(N50/N444, "NA")</f>
        <v>0.70806128109930344</v>
      </c>
      <c r="P50" s="9"/>
      <c r="Q50" s="7">
        <v>15729.07</v>
      </c>
      <c r="R50" s="8">
        <f>IFERROR(Q50/Q444, "NA")</f>
        <v>2.3521991356435679E-2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15729.07</v>
      </c>
      <c r="X50" s="8">
        <f>IFERROR(W50/W444, "NA")</f>
        <v>-0.29828609053148325</v>
      </c>
      <c r="Y50" s="9"/>
      <c r="Z50" s="7">
        <v>23465.09</v>
      </c>
      <c r="AA50" s="8">
        <f>IFERROR(Z50/Z444, "NA")</f>
        <v>3.6544873264532048E-2</v>
      </c>
      <c r="AB50" s="9"/>
      <c r="AC50" s="10">
        <f t="shared" si="15"/>
        <v>-7736.02</v>
      </c>
      <c r="AD50" s="8">
        <f>IFERROR(AC50/AC444, "NA")</f>
        <v>-0.29075600500177268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1377.7</v>
      </c>
      <c r="AA54" s="8">
        <f>IFERROR(Z54/Z444, "NA")</f>
        <v>2.1456500655461287E-3</v>
      </c>
      <c r="AB54" s="9"/>
      <c r="AC54" s="10">
        <f t="shared" si="15"/>
        <v>-1377.7</v>
      </c>
      <c r="AD54" s="8">
        <f>IFERROR(AC54/AC444, "NA")</f>
        <v>-5.1780443702439012E-2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334.29</v>
      </c>
      <c r="R55" s="8">
        <f>IFERROR(Q55/Q444, "NA")</f>
        <v>4.9991299489053598E-4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-6.3394757098652072E-3</v>
      </c>
      <c r="Y55" s="9"/>
      <c r="Z55" s="7">
        <v>2934</v>
      </c>
      <c r="AA55" s="8">
        <f>IFERROR(Z55/Z444, "NA")</f>
        <v>4.5694543749091538E-3</v>
      </c>
      <c r="AB55" s="9"/>
      <c r="AC55" s="10">
        <f t="shared" si="15"/>
        <v>-2599.71</v>
      </c>
      <c r="AD55" s="8">
        <f>IFERROR(AC55/AC444, "NA")</f>
        <v>-9.7709325177954359E-2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54.95</v>
      </c>
      <c r="R56" s="8">
        <f>IFERROR(Q56/Q444, "NA")</f>
        <v>8.2174815487256434E-5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-1.0420718246345782E-3</v>
      </c>
      <c r="Y56" s="9"/>
      <c r="Z56" s="7">
        <v>1022.05</v>
      </c>
      <c r="AA56" s="8">
        <f>IFERROR(Z56/Z444, "NA")</f>
        <v>1.5917555705098501E-3</v>
      </c>
      <c r="AB56" s="9"/>
      <c r="AC56" s="10">
        <f t="shared" si="15"/>
        <v>-967.09999999999991</v>
      </c>
      <c r="AD56" s="8">
        <f>IFERROR(AC56/AC444, "NA")</f>
        <v>-3.6348165133649385E-2</v>
      </c>
    </row>
    <row r="57" spans="1:30" ht="16.5" customHeight="1" x14ac:dyDescent="0.45">
      <c r="A57" s="17" t="s">
        <v>55</v>
      </c>
      <c r="B57" s="7">
        <v>1940.28</v>
      </c>
      <c r="C57" s="8">
        <f>IFERROR(B57/B444, "NA")</f>
        <v>2.5442804829658775E-2</v>
      </c>
      <c r="D57" s="9"/>
      <c r="E57" s="7">
        <v>0</v>
      </c>
      <c r="F57" s="8">
        <f>IFERROR(E57/E444, "NA")</f>
        <v>0</v>
      </c>
      <c r="G57" s="9"/>
      <c r="H57" s="10">
        <f t="shared" si="12"/>
        <v>1940.28</v>
      </c>
      <c r="I57" s="8">
        <f>IFERROR(H57/H444, "NA")</f>
        <v>-0.23168379963915114</v>
      </c>
      <c r="J57" s="9"/>
      <c r="K57" s="7">
        <v>0</v>
      </c>
      <c r="L57" s="8">
        <f>IFERROR(K57/K444, "NA")</f>
        <v>0</v>
      </c>
      <c r="M57" s="9"/>
      <c r="N57" s="10">
        <f t="shared" si="13"/>
        <v>1940.28</v>
      </c>
      <c r="O57" s="8">
        <f>IFERROR(N57/N444, "NA")</f>
        <v>0.82801177826142514</v>
      </c>
      <c r="P57" s="9"/>
      <c r="Q57" s="7">
        <v>7448.54</v>
      </c>
      <c r="R57" s="8">
        <f>IFERROR(Q57/Q444, "NA")</f>
        <v>1.1138897181973594E-2</v>
      </c>
      <c r="S57" s="9"/>
      <c r="T57" s="7">
        <v>0</v>
      </c>
      <c r="U57" s="8">
        <f>IFERROR(T57/T444, "NA")</f>
        <v>0</v>
      </c>
      <c r="V57" s="9"/>
      <c r="W57" s="10">
        <f t="shared" si="14"/>
        <v>7448.54</v>
      </c>
      <c r="X57" s="8">
        <f>IFERROR(W57/W444, "NA")</f>
        <v>-0.14125411589924733</v>
      </c>
      <c r="Y57" s="9"/>
      <c r="Z57" s="7">
        <v>14356.41</v>
      </c>
      <c r="AA57" s="8">
        <f>IFERROR(Z57/Z444, "NA")</f>
        <v>2.2358882236703997E-2</v>
      </c>
      <c r="AB57" s="9"/>
      <c r="AC57" s="10">
        <f t="shared" si="15"/>
        <v>-6907.87</v>
      </c>
      <c r="AD57" s="8">
        <f>IFERROR(AC57/AC444, "NA")</f>
        <v>-0.25963023418651909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8419.84</v>
      </c>
      <c r="C61" s="15">
        <f>IFERROR(B61/B444, "NA")</f>
        <v>0.11040898520675065</v>
      </c>
      <c r="D61" s="2"/>
      <c r="E61" s="14">
        <f>IFERROR(E46+E47+E48+E49+E50+E51+E52+E53+E54+E55+E56+E57+E58+E59+E60, "NA")</f>
        <v>12441.37</v>
      </c>
      <c r="F61" s="15">
        <f>IFERROR(E61/E444, "NA")</f>
        <v>0.14700003485549445</v>
      </c>
      <c r="G61" s="2"/>
      <c r="H61" s="14">
        <f t="shared" si="12"/>
        <v>-4021.5300000000007</v>
      </c>
      <c r="I61" s="15">
        <f>IFERROR(H61/H444, "NA")</f>
        <v>0.48020046115139864</v>
      </c>
      <c r="J61" s="2"/>
      <c r="K61" s="14">
        <f>IFERROR(K46+K47+K48+K49+K50+K51+K52+K53+K54+K55+K56+K57+K58+K59+K60, "NA")</f>
        <v>5409.14</v>
      </c>
      <c r="L61" s="15">
        <f>IFERROR(K61/K444, "NA")</f>
        <v>7.3178406746146632E-2</v>
      </c>
      <c r="M61" s="2"/>
      <c r="N61" s="14">
        <f t="shared" si="13"/>
        <v>3010.7</v>
      </c>
      <c r="O61" s="15">
        <f>IFERROR(N61/N444, "NA")</f>
        <v>1.2848120172406419</v>
      </c>
      <c r="P61" s="2"/>
      <c r="Q61" s="14">
        <f>IFERROR(Q46+Q47+Q48+Q49+Q50+Q51+Q52+Q53+Q54+Q55+Q56+Q57+Q58+Q59+Q60, "NA")</f>
        <v>69528.289999999994</v>
      </c>
      <c r="R61" s="15">
        <f>IFERROR(Q61/Q444, "NA")</f>
        <v>0.10397587628561339</v>
      </c>
      <c r="S61" s="2"/>
      <c r="T61" s="14">
        <f>IFERROR(T46+T47+T48+T49+T50+T51+T52+T53+T54+T55+T56+T57+T58+T59+T60, "NA")</f>
        <v>106049.9</v>
      </c>
      <c r="U61" s="15">
        <f>IFERROR(T61/T444, "NA")</f>
        <v>0.14700000838614699</v>
      </c>
      <c r="V61" s="2"/>
      <c r="W61" s="14">
        <f t="shared" si="14"/>
        <v>-36521.61</v>
      </c>
      <c r="X61" s="15">
        <f>IFERROR(W61/W444, "NA")</f>
        <v>0.69259582841296552</v>
      </c>
      <c r="Y61" s="2"/>
      <c r="Z61" s="14">
        <f>IFERROR(Z46+Z47+Z48+Z49+Z50+Z51+Z52+Z53+Z54+Z55+Z56+Z57+Z58+Z59+Z60, "NA")</f>
        <v>99850.08</v>
      </c>
      <c r="AA61" s="15">
        <f>IFERROR(Z61/Z444, "NA")</f>
        <v>0.1555079703105075</v>
      </c>
      <c r="AB61" s="2"/>
      <c r="AC61" s="14">
        <f t="shared" si="15"/>
        <v>-30321.790000000008</v>
      </c>
      <c r="AD61" s="15">
        <f>IFERROR(AC61/AC444, "NA")</f>
        <v>-1.1396354359092535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8827.9</v>
      </c>
      <c r="C62" s="15">
        <f>IFERROR(B62/B444, "NA")</f>
        <v>0.11575985772968062</v>
      </c>
      <c r="D62" s="2"/>
      <c r="E62" s="14">
        <f>IFERROR(E42+E43+E44+E46+E47+E48+E49+E50+E51+E52+E53+E54+E55+E56+E57+E58+E59+E60, "NA")</f>
        <v>12441.37</v>
      </c>
      <c r="F62" s="15">
        <f>IFERROR(E62/E444, "NA")</f>
        <v>0.14700003485549445</v>
      </c>
      <c r="G62" s="2"/>
      <c r="H62" s="14">
        <f t="shared" si="12"/>
        <v>-3613.4700000000012</v>
      </c>
      <c r="I62" s="15">
        <f>IFERROR(H62/H444, "NA")</f>
        <v>0.43147507549533254</v>
      </c>
      <c r="J62" s="2"/>
      <c r="K62" s="14">
        <f>IFERROR(K42+K43+K44+K46+K47+K48+K49+K50+K51+K52+K53+K54+K55+K56+K57+K58+K59+K60, "NA")</f>
        <v>5409.14</v>
      </c>
      <c r="L62" s="15">
        <f>IFERROR(K62/K444, "NA")</f>
        <v>7.3178406746146632E-2</v>
      </c>
      <c r="M62" s="2"/>
      <c r="N62" s="14">
        <f t="shared" si="13"/>
        <v>3418.7599999999993</v>
      </c>
      <c r="O62" s="15">
        <f>IFERROR(N62/N444, "NA")</f>
        <v>1.4589510519353028</v>
      </c>
      <c r="P62" s="2"/>
      <c r="Q62" s="14">
        <f>IFERROR(Q42+Q43+Q44+Q46+Q47+Q48+Q49+Q50+Q51+Q52+Q53+Q54+Q55+Q56+Q57+Q58+Q59+Q60, "NA")</f>
        <v>108622.27</v>
      </c>
      <c r="R62" s="15">
        <f>IFERROR(Q62/Q444, "NA")</f>
        <v>0.16243885341322931</v>
      </c>
      <c r="S62" s="2"/>
      <c r="T62" s="14">
        <f>IFERROR(T42+T43+T44+T46+T47+T48+T49+T50+T51+T52+T53+T54+T55+T56+T57+T58+T59+T60, "NA")</f>
        <v>106049.9</v>
      </c>
      <c r="U62" s="15">
        <f>IFERROR(T62/T444, "NA")</f>
        <v>0.14700000838614699</v>
      </c>
      <c r="V62" s="2"/>
      <c r="W62" s="14">
        <f t="shared" si="14"/>
        <v>2572.3700000000099</v>
      </c>
      <c r="X62" s="15">
        <f>IFERROR(W62/W444, "NA")</f>
        <v>-4.8782425833216743E-2</v>
      </c>
      <c r="Y62" s="2"/>
      <c r="Z62" s="14">
        <f>IFERROR(Z42+Z43+Z44+Z46+Z47+Z48+Z49+Z50+Z51+Z52+Z53+Z54+Z55+Z56+Z57+Z58+Z59+Z60, "NA")</f>
        <v>99850.08</v>
      </c>
      <c r="AA62" s="15">
        <f>IFERROR(Z62/Z444, "NA")</f>
        <v>0.1555079703105075</v>
      </c>
      <c r="AB62" s="2"/>
      <c r="AC62" s="14">
        <f t="shared" si="15"/>
        <v>8772.1900000000023</v>
      </c>
      <c r="AD62" s="15">
        <f>IFERROR(AC62/AC444, "NA")</f>
        <v>0.32970014549038146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7681.21</v>
      </c>
      <c r="C65" s="8">
        <f>IFERROR(B65/B444, "NA")</f>
        <v>0.10072336306389969</v>
      </c>
      <c r="D65" s="9"/>
      <c r="E65" s="7">
        <v>0</v>
      </c>
      <c r="F65" s="8">
        <f>IFERROR(E65/E444, "NA")</f>
        <v>0</v>
      </c>
      <c r="G65" s="9"/>
      <c r="H65" s="10">
        <f t="shared" si="16"/>
        <v>7681.21</v>
      </c>
      <c r="I65" s="8">
        <f>IFERROR(H65/H444, "NA")</f>
        <v>-0.91719335282858361</v>
      </c>
      <c r="J65" s="9"/>
      <c r="K65" s="7">
        <v>0</v>
      </c>
      <c r="L65" s="8">
        <f>IFERROR(K65/K444, "NA")</f>
        <v>0</v>
      </c>
      <c r="M65" s="9"/>
      <c r="N65" s="10">
        <f t="shared" si="17"/>
        <v>7681.21</v>
      </c>
      <c r="O65" s="8">
        <f>IFERROR(N65/N444, "NA")</f>
        <v>3.2779456322280502</v>
      </c>
      <c r="P65" s="9"/>
      <c r="Q65" s="7">
        <v>30621.65</v>
      </c>
      <c r="R65" s="8">
        <f>IFERROR(Q65/Q444, "NA")</f>
        <v>4.5793056208650519E-2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30621.65</v>
      </c>
      <c r="X65" s="8">
        <f>IFERROR(W65/W444, "NA")</f>
        <v>-0.58070898432796048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30621.65</v>
      </c>
      <c r="AD65" s="8">
        <f>IFERROR(AC65/AC444, "NA")</f>
        <v>1.1509055845980922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6889.38</v>
      </c>
      <c r="R66" s="8">
        <f>IFERROR(Q66/Q444, "NA")</f>
        <v>1.0302703008582251E-2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6889.38</v>
      </c>
      <c r="X66" s="8">
        <f>IFERROR(W66/W444, "NA")</f>
        <v>-0.13065020540857089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6889.38</v>
      </c>
      <c r="AD66" s="8">
        <f>IFERROR(AC66/AC444, "NA")</f>
        <v>0.25893529304979984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5128.05</v>
      </c>
      <c r="C68" s="8">
        <f>IFERROR(B68/B444, "NA")</f>
        <v>6.7243890215191462E-2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5128.05</v>
      </c>
      <c r="I68" s="8">
        <f>IFERROR(H68/H444, "NA")</f>
        <v>-0.61232714285543799</v>
      </c>
      <c r="J68" s="9"/>
      <c r="K68" s="7">
        <v>0</v>
      </c>
      <c r="L68" s="8">
        <f>IFERROR(K68/K444, "NA")</f>
        <v>0</v>
      </c>
      <c r="M68" s="9"/>
      <c r="N68" s="10">
        <f t="shared" si="17"/>
        <v>5128.05</v>
      </c>
      <c r="O68" s="8">
        <f>IFERROR(N68/N444, "NA")</f>
        <v>2.1883881705287389</v>
      </c>
      <c r="P68" s="9"/>
      <c r="Q68" s="7">
        <v>11908.35</v>
      </c>
      <c r="R68" s="8">
        <f>IFERROR(Q68/Q444, "NA")</f>
        <v>1.7808306897318837E-2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11908.35</v>
      </c>
      <c r="X68" s="8">
        <f>IFERROR(W68/W444, "NA")</f>
        <v>-0.22582995473862016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11908.35</v>
      </c>
      <c r="AD68" s="8">
        <f>IFERROR(AC68/AC444, "NA")</f>
        <v>0.44757178396163139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12809.26</v>
      </c>
      <c r="C73" s="15">
        <f>IFERROR(B73/B444, "NA")</f>
        <v>0.16796725327909115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12809.26</v>
      </c>
      <c r="I73" s="15">
        <f>IFERROR(H73/H444, "NA")</f>
        <v>-1.5295204956840216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12809.26</v>
      </c>
      <c r="O73" s="15">
        <f>IFERROR(N73/N444, "NA")</f>
        <v>5.4663338027567896</v>
      </c>
      <c r="P73" s="2"/>
      <c r="Q73" s="14">
        <f>IFERROR(Q64+Q65+Q66+Q67+Q68+Q69+Q70+Q71+Q72, "NA")</f>
        <v>49419.38</v>
      </c>
      <c r="R73" s="15">
        <f>IFERROR(Q73/Q444, "NA")</f>
        <v>7.3904066114551595E-2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49419.38</v>
      </c>
      <c r="X73" s="15">
        <f>IFERROR(W73/W444, "NA")</f>
        <v>-0.93718914447515145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49419.38</v>
      </c>
      <c r="AD73" s="15">
        <f>IFERROR(AC73/AC444, "NA")</f>
        <v>1.8574126616095232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677.08</v>
      </c>
      <c r="F75" s="8">
        <f>IFERROR(E75/E444, "NA")</f>
        <v>7.999985821493789E-3</v>
      </c>
      <c r="G75" s="9"/>
      <c r="H75" s="10">
        <f t="shared" ref="H75:H92" si="20">IFERROR(B75-E75, "NA")</f>
        <v>-677.08</v>
      </c>
      <c r="I75" s="8">
        <f>IFERROR(H75/H444, "NA")</f>
        <v>8.084836573055254E-2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5771.43</v>
      </c>
      <c r="U75" s="8">
        <f>IFERROR(T75/T444, "NA")</f>
        <v>8.0000099802080005E-3</v>
      </c>
      <c r="V75" s="9"/>
      <c r="W75" s="10">
        <f t="shared" ref="W75:W92" si="22">IFERROR(Q75-T75, "NA")</f>
        <v>-5771.43</v>
      </c>
      <c r="X75" s="8">
        <f>IFERROR(W75/W444, "NA")</f>
        <v>0.10944940110738387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74.94</v>
      </c>
      <c r="C77" s="8">
        <f>IFERROR(B77/B444, "NA")</f>
        <v>9.8268486709888699E-4</v>
      </c>
      <c r="D77" s="9"/>
      <c r="E77" s="7">
        <v>0</v>
      </c>
      <c r="F77" s="8">
        <f>IFERROR(E77/E444, "NA")</f>
        <v>0</v>
      </c>
      <c r="G77" s="9"/>
      <c r="H77" s="10">
        <f t="shared" si="20"/>
        <v>74.94</v>
      </c>
      <c r="I77" s="8">
        <f>IFERROR(H77/H444, "NA")</f>
        <v>-8.9483909255148684E-3</v>
      </c>
      <c r="J77" s="9"/>
      <c r="K77" s="7">
        <v>56.81</v>
      </c>
      <c r="L77" s="8">
        <f>IFERROR(K77/K444, "NA")</f>
        <v>7.6856307791046085E-4</v>
      </c>
      <c r="M77" s="9"/>
      <c r="N77" s="10">
        <f t="shared" si="21"/>
        <v>18.129999999999995</v>
      </c>
      <c r="O77" s="8">
        <f>IFERROR(N77/N444, "NA")</f>
        <v>7.7369521614816597E-3</v>
      </c>
      <c r="P77" s="9"/>
      <c r="Q77" s="7">
        <v>1549.42</v>
      </c>
      <c r="R77" s="8">
        <f>IFERROR(Q77/Q444, "NA")</f>
        <v>2.3170755707418536E-3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1549.42</v>
      </c>
      <c r="X77" s="8">
        <f>IFERROR(W77/W444, "NA")</f>
        <v>-2.9383201574618892E-2</v>
      </c>
      <c r="Y77" s="9"/>
      <c r="Z77" s="7">
        <v>541.19000000000005</v>
      </c>
      <c r="AA77" s="8">
        <f>IFERROR(Z77/Z444, "NA")</f>
        <v>8.4285719603172636E-4</v>
      </c>
      <c r="AB77" s="9"/>
      <c r="AC77" s="10">
        <f t="shared" si="23"/>
        <v>1008.23</v>
      </c>
      <c r="AD77" s="8">
        <f>IFERROR(AC77/AC444, "NA")</f>
        <v>3.789402391965601E-2</v>
      </c>
    </row>
    <row r="78" spans="1:30" ht="16.5" customHeight="1" x14ac:dyDescent="0.45">
      <c r="A78" s="12" t="s">
        <v>74</v>
      </c>
      <c r="B78" s="7">
        <v>25</v>
      </c>
      <c r="C78" s="8">
        <f>IFERROR(B78/B444, "NA")</f>
        <v>3.2782388147147289E-4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25</v>
      </c>
      <c r="I78" s="8">
        <f>IFERROR(H78/H444, "NA")</f>
        <v>-2.9851851232702386E-3</v>
      </c>
      <c r="J78" s="9"/>
      <c r="K78" s="7">
        <v>25</v>
      </c>
      <c r="L78" s="8">
        <f>IFERROR(K78/K444, "NA")</f>
        <v>3.3821645745047563E-4</v>
      </c>
      <c r="M78" s="9"/>
      <c r="N78" s="10">
        <f t="shared" si="21"/>
        <v>0</v>
      </c>
      <c r="O78" s="8">
        <f>IFERROR(N78/N444, "NA")</f>
        <v>0</v>
      </c>
      <c r="P78" s="9"/>
      <c r="Q78" s="7">
        <v>400</v>
      </c>
      <c r="R78" s="8">
        <f>IFERROR(Q78/Q444, "NA")</f>
        <v>5.9817882065336806E-4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400</v>
      </c>
      <c r="X78" s="8">
        <f>IFERROR(W78/W444, "NA")</f>
        <v>-7.5856001793235895E-3</v>
      </c>
      <c r="Y78" s="9"/>
      <c r="Z78" s="7">
        <v>300</v>
      </c>
      <c r="AA78" s="8">
        <f>IFERROR(Z78/Z444, "NA")</f>
        <v>4.6722437371259242E-4</v>
      </c>
      <c r="AB78" s="9"/>
      <c r="AC78" s="10">
        <f t="shared" si="23"/>
        <v>100</v>
      </c>
      <c r="AD78" s="8">
        <f>IFERROR(AC78/AC444, "NA")</f>
        <v>3.7584701823647391E-3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50.83</v>
      </c>
      <c r="AA79" s="8">
        <f>IFERROR(Z79/Z444, "NA")</f>
        <v>7.9163383052703571E-5</v>
      </c>
      <c r="AB79" s="9"/>
      <c r="AC79" s="10">
        <f t="shared" si="23"/>
        <v>-50.83</v>
      </c>
      <c r="AD79" s="8">
        <f>IFERROR(AC79/AC444, "NA")</f>
        <v>-1.9104303936959967E-3</v>
      </c>
    </row>
    <row r="80" spans="1:30" ht="16.5" customHeight="1" x14ac:dyDescent="0.45">
      <c r="A80" s="12" t="s">
        <v>76</v>
      </c>
      <c r="B80" s="7">
        <v>208.25</v>
      </c>
      <c r="C80" s="8">
        <f>IFERROR(B80/B444, "NA")</f>
        <v>2.7307729326573691E-3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208.25</v>
      </c>
      <c r="I80" s="8">
        <f>IFERROR(H80/H444, "NA")</f>
        <v>-2.4866592076841089E-2</v>
      </c>
      <c r="J80" s="9"/>
      <c r="K80" s="7">
        <v>200.04</v>
      </c>
      <c r="L80" s="8">
        <f>IFERROR(K80/K444, "NA")</f>
        <v>2.7062728059357257E-3</v>
      </c>
      <c r="M80" s="9"/>
      <c r="N80" s="10">
        <f t="shared" si="21"/>
        <v>8.210000000000008</v>
      </c>
      <c r="O80" s="8">
        <f>IFERROR(N80/N444, "NA")</f>
        <v>3.5036060256902648E-3</v>
      </c>
      <c r="P80" s="9"/>
      <c r="Q80" s="7">
        <v>3723.5</v>
      </c>
      <c r="R80" s="8">
        <f>IFERROR(Q80/Q444, "NA")</f>
        <v>5.5682970967570397E-3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3723.5</v>
      </c>
      <c r="X80" s="8">
        <f>IFERROR(W80/W444, "NA")</f>
        <v>-7.0612455669278471E-2</v>
      </c>
      <c r="Y80" s="9"/>
      <c r="Z80" s="7">
        <v>4274.2</v>
      </c>
      <c r="AA80" s="8">
        <f>IFERROR(Z80/Z444, "NA")</f>
        <v>6.6567013937412082E-3</v>
      </c>
      <c r="AB80" s="9"/>
      <c r="AC80" s="10">
        <f t="shared" si="23"/>
        <v>-550.69999999999982</v>
      </c>
      <c r="AD80" s="8">
        <f>IFERROR(AC80/AC444, "NA")</f>
        <v>-2.069789529428261E-2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3.3821645745047563E-4</v>
      </c>
      <c r="M82" s="9"/>
      <c r="N82" s="10">
        <f t="shared" si="21"/>
        <v>-25</v>
      </c>
      <c r="O82" s="8">
        <f>IFERROR(N82/N444, "NA")</f>
        <v>-1.0668715059958166E-2</v>
      </c>
      <c r="P82" s="9"/>
      <c r="Q82" s="7">
        <v>25</v>
      </c>
      <c r="R82" s="8">
        <f>IFERROR(Q82/Q444, "NA")</f>
        <v>3.7386176290835504E-5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-4.7410001120772434E-4</v>
      </c>
      <c r="Y82" s="9"/>
      <c r="Z82" s="7">
        <v>100</v>
      </c>
      <c r="AA82" s="8">
        <f>IFERROR(Z82/Z444, "NA")</f>
        <v>1.5574145790419748E-4</v>
      </c>
      <c r="AB82" s="9"/>
      <c r="AC82" s="10">
        <f t="shared" si="23"/>
        <v>-75</v>
      </c>
      <c r="AD82" s="8">
        <f>IFERROR(AC82/AC444, "NA")</f>
        <v>-2.8188526367735542E-3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4.0585974894057075E-4</v>
      </c>
      <c r="M85" s="9"/>
      <c r="N85" s="10">
        <f t="shared" si="21"/>
        <v>-30</v>
      </c>
      <c r="O85" s="8">
        <f>IFERROR(N85/N444, "NA")</f>
        <v>-1.2802458071949798E-2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145.97999999999999</v>
      </c>
      <c r="AA85" s="8">
        <f>IFERROR(Z85/Z444, "NA")</f>
        <v>2.2735138024854745E-4</v>
      </c>
      <c r="AB85" s="9"/>
      <c r="AC85" s="10">
        <f t="shared" si="23"/>
        <v>-145.97999999999999</v>
      </c>
      <c r="AD85" s="8">
        <f>IFERROR(AC85/AC444, "NA")</f>
        <v>-5.4866147722160453E-3</v>
      </c>
    </row>
    <row r="86" spans="1:30" ht="16.5" customHeight="1" x14ac:dyDescent="0.45">
      <c r="A86" s="12" t="s">
        <v>82</v>
      </c>
      <c r="B86" s="7">
        <v>25</v>
      </c>
      <c r="C86" s="8">
        <f>IFERROR(B86/B444, "NA")</f>
        <v>3.2782388147147289E-4</v>
      </c>
      <c r="D86" s="9"/>
      <c r="E86" s="7">
        <v>0</v>
      </c>
      <c r="F86" s="8">
        <f>IFERROR(E86/E444, "NA")</f>
        <v>0</v>
      </c>
      <c r="G86" s="9"/>
      <c r="H86" s="10">
        <f t="shared" si="20"/>
        <v>25</v>
      </c>
      <c r="I86" s="8">
        <f>IFERROR(H86/H444, "NA")</f>
        <v>-2.9851851232702386E-3</v>
      </c>
      <c r="J86" s="9"/>
      <c r="K86" s="7">
        <v>0</v>
      </c>
      <c r="L86" s="8">
        <f>IFERROR(K86/K444, "NA")</f>
        <v>0</v>
      </c>
      <c r="M86" s="9"/>
      <c r="N86" s="10">
        <f t="shared" si="21"/>
        <v>25</v>
      </c>
      <c r="O86" s="8">
        <f>IFERROR(N86/N444, "NA")</f>
        <v>1.0668715059958166E-2</v>
      </c>
      <c r="P86" s="9"/>
      <c r="Q86" s="7">
        <v>125</v>
      </c>
      <c r="R86" s="8">
        <f>IFERROR(Q86/Q444, "NA")</f>
        <v>1.869308814541775E-4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125</v>
      </c>
      <c r="X86" s="8">
        <f>IFERROR(W86/W444, "NA")</f>
        <v>-2.3705000560386219E-3</v>
      </c>
      <c r="Y86" s="9"/>
      <c r="Z86" s="7">
        <v>820</v>
      </c>
      <c r="AA86" s="8">
        <f>IFERROR(Z86/Z444, "NA")</f>
        <v>1.2770799548144193E-3</v>
      </c>
      <c r="AB86" s="9"/>
      <c r="AC86" s="10">
        <f t="shared" si="23"/>
        <v>-695</v>
      </c>
      <c r="AD86" s="8">
        <f>IFERROR(AC86/AC444, "NA")</f>
        <v>-2.6121367767434935E-2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333.19</v>
      </c>
      <c r="C88" s="15">
        <f>IFERROR(B88/B444, "NA")</f>
        <v>4.3691055626992022E-3</v>
      </c>
      <c r="D88" s="2"/>
      <c r="E88" s="14">
        <f>IFERROR(E75+E76+E77+E78+E79+E80+E81+E82+E83+E84+E85+E86+E87, "NA")</f>
        <v>677.08</v>
      </c>
      <c r="F88" s="15">
        <f>IFERROR(E88/E444, "NA")</f>
        <v>7.999985821493789E-3</v>
      </c>
      <c r="G88" s="2"/>
      <c r="H88" s="14">
        <f t="shared" si="20"/>
        <v>-343.89000000000004</v>
      </c>
      <c r="I88" s="15">
        <f>IFERROR(H88/H444, "NA")</f>
        <v>4.10630124816561E-2</v>
      </c>
      <c r="J88" s="2"/>
      <c r="K88" s="14">
        <f>IFERROR(K75+K76+K77+K78+K79+K80+K81+K82+K83+K84+K85+K86+K87, "NA")</f>
        <v>336.85</v>
      </c>
      <c r="L88" s="15">
        <f>IFERROR(K88/K444, "NA")</f>
        <v>4.5571285476877091E-3</v>
      </c>
      <c r="M88" s="2"/>
      <c r="N88" s="14">
        <f t="shared" si="21"/>
        <v>-3.660000000000025</v>
      </c>
      <c r="O88" s="15">
        <f>IFERROR(N88/N444, "NA")</f>
        <v>-1.561899884777886E-3</v>
      </c>
      <c r="P88" s="2"/>
      <c r="Q88" s="14">
        <f>IFERROR(Q75+Q76+Q77+Q78+Q79+Q80+Q81+Q82+Q83+Q84+Q85+Q86+Q87, "NA")</f>
        <v>5822.92</v>
      </c>
      <c r="R88" s="15">
        <f>IFERROR(Q88/Q444, "NA")</f>
        <v>8.7078685458972741E-3</v>
      </c>
      <c r="S88" s="2"/>
      <c r="T88" s="14">
        <f>IFERROR(T75+T76+T77+T78+T79+T80+T81+T82+T83+T84+T85+T86+T87, "NA")</f>
        <v>5771.43</v>
      </c>
      <c r="U88" s="15">
        <f>IFERROR(T88/T444, "NA")</f>
        <v>8.0000099802080005E-3</v>
      </c>
      <c r="V88" s="2"/>
      <c r="W88" s="14">
        <f t="shared" si="22"/>
        <v>51.489999999999782</v>
      </c>
      <c r="X88" s="15">
        <f>IFERROR(W88/W444, "NA")</f>
        <v>-9.764563830834249E-4</v>
      </c>
      <c r="Y88" s="2"/>
      <c r="Z88" s="14">
        <f>IFERROR(Z75+Z76+Z77+Z78+Z79+Z80+Z81+Z82+Z83+Z84+Z85+Z86+Z87, "NA")</f>
        <v>6232.2</v>
      </c>
      <c r="AA88" s="15">
        <f>IFERROR(Z88/Z444, "NA")</f>
        <v>9.7061191395053942E-3</v>
      </c>
      <c r="AB88" s="2"/>
      <c r="AC88" s="14">
        <f t="shared" si="23"/>
        <v>-409.27999999999975</v>
      </c>
      <c r="AD88" s="15">
        <f>IFERROR(AC88/AC444, "NA")</f>
        <v>-1.5382666762382395E-2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-385.07</v>
      </c>
      <c r="L89" s="8">
        <f>IFERROR(K89/K444, "NA")</f>
        <v>-5.2094804508181856E-3</v>
      </c>
      <c r="M89" s="9"/>
      <c r="N89" s="10">
        <f t="shared" si="21"/>
        <v>385.07</v>
      </c>
      <c r="O89" s="8">
        <f>IFERROR(N89/N444, "NA")</f>
        <v>0.16432808432552362</v>
      </c>
      <c r="P89" s="9"/>
      <c r="Q89" s="7">
        <v>-668.01</v>
      </c>
      <c r="R89" s="8">
        <f>IFERROR(Q89/Q444, "NA")</f>
        <v>-9.9897358496164098E-4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-668.01</v>
      </c>
      <c r="X89" s="8">
        <f>IFERROR(W89/W444, "NA")</f>
        <v>1.2668141939474877E-2</v>
      </c>
      <c r="Y89" s="9"/>
      <c r="Z89" s="7">
        <v>-2214.86</v>
      </c>
      <c r="AA89" s="8">
        <f>IFERROR(Z89/Z444, "NA")</f>
        <v>-3.4494552545369082E-3</v>
      </c>
      <c r="AB89" s="9"/>
      <c r="AC89" s="10">
        <f t="shared" si="23"/>
        <v>1546.8500000000001</v>
      </c>
      <c r="AD89" s="8">
        <f>IFERROR(AC89/AC444, "NA")</f>
        <v>5.813789601590897E-2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-3385.41</v>
      </c>
      <c r="F94" s="8">
        <f>IFERROR(E94/E444, "NA")</f>
        <v>-4.000004726168737E-2</v>
      </c>
      <c r="G94" s="9"/>
      <c r="H94" s="10">
        <f t="shared" ref="H94:H124" si="24">IFERROR(B94-E94, "NA")</f>
        <v>3385.41</v>
      </c>
      <c r="I94" s="8">
        <f>IFERROR(H94/H444, "NA")</f>
        <v>-0.40424302272681195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-28857.119999999999</v>
      </c>
      <c r="U94" s="8">
        <f>IFERROR(T94/T444, "NA")</f>
        <v>-4.0000008316840002E-2</v>
      </c>
      <c r="V94" s="9"/>
      <c r="W94" s="10">
        <f t="shared" ref="W94:W124" si="26">IFERROR(Q94-T94, "NA")</f>
        <v>28857.119999999999</v>
      </c>
      <c r="X94" s="8">
        <f>IFERROR(W94/W444, "NA")</f>
        <v>-0.54724643661690586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-1169.8499999999999</v>
      </c>
      <c r="C96" s="8">
        <f>IFERROR(B96/B444, "NA")</f>
        <v>-1.5340190709576101E-2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-1169.8499999999999</v>
      </c>
      <c r="I96" s="8">
        <f>IFERROR(H96/H444, "NA")</f>
        <v>0.13968875265830755</v>
      </c>
      <c r="J96" s="9"/>
      <c r="K96" s="7">
        <v>-891.55</v>
      </c>
      <c r="L96" s="8">
        <f>IFERROR(K96/K444, "NA")</f>
        <v>-1.2061475305598861E-2</v>
      </c>
      <c r="M96" s="9"/>
      <c r="N96" s="10">
        <f t="shared" si="25"/>
        <v>-278.29999999999995</v>
      </c>
      <c r="O96" s="8">
        <f>IFERROR(N96/N444, "NA")</f>
        <v>-0.11876413604745428</v>
      </c>
      <c r="P96" s="9"/>
      <c r="Q96" s="7">
        <v>-9280.81</v>
      </c>
      <c r="R96" s="8">
        <f>IFERROR(Q96/Q444, "NA")</f>
        <v>-1.387895995126996E-2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-9280.81</v>
      </c>
      <c r="X96" s="8">
        <f>IFERROR(W96/W444, "NA")</f>
        <v>0.17600128500067039</v>
      </c>
      <c r="Y96" s="9"/>
      <c r="Z96" s="7">
        <v>-8210.59</v>
      </c>
      <c r="AA96" s="8">
        <f>IFERROR(Z96/Z444, "NA")</f>
        <v>-1.2787292568536248E-2</v>
      </c>
      <c r="AB96" s="9"/>
      <c r="AC96" s="10">
        <f t="shared" si="27"/>
        <v>-1070.2199999999993</v>
      </c>
      <c r="AD96" s="8">
        <f>IFERROR(AC96/AC444, "NA")</f>
        <v>-4.0223899585703882E-2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-1746.72</v>
      </c>
      <c r="C98" s="8">
        <f>IFERROR(B98/B444, "NA")</f>
        <v>-2.2904661209754044E-2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-1746.72</v>
      </c>
      <c r="I98" s="8">
        <f>IFERROR(H98/H444, "NA")</f>
        <v>0.20857130234074367</v>
      </c>
      <c r="J98" s="9"/>
      <c r="K98" s="7">
        <v>-2969.25</v>
      </c>
      <c r="L98" s="8">
        <f>IFERROR(K98/K444, "NA")</f>
        <v>-4.0169968651392989E-2</v>
      </c>
      <c r="M98" s="9"/>
      <c r="N98" s="10">
        <f t="shared" si="25"/>
        <v>1222.53</v>
      </c>
      <c r="O98" s="8">
        <f>IFERROR(N98/N444, "NA")</f>
        <v>0.52171296889002627</v>
      </c>
      <c r="P98" s="9"/>
      <c r="Q98" s="7">
        <v>-15599.19</v>
      </c>
      <c r="R98" s="8">
        <f>IFERROR(Q98/Q444, "NA")</f>
        <v>-2.332776269336953E-2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-15599.19</v>
      </c>
      <c r="X98" s="8">
        <f>IFERROR(W98/W444, "NA")</f>
        <v>0.29582304615325689</v>
      </c>
      <c r="Y98" s="9"/>
      <c r="Z98" s="7">
        <v>-15514.23</v>
      </c>
      <c r="AA98" s="8">
        <f>IFERROR(Z98/Z444, "NA")</f>
        <v>-2.4162087984610375E-2</v>
      </c>
      <c r="AB98" s="9"/>
      <c r="AC98" s="10">
        <f t="shared" si="27"/>
        <v>-84.960000000000946</v>
      </c>
      <c r="AD98" s="8">
        <f>IFERROR(AC98/AC444, "NA")</f>
        <v>-3.193196266937118E-3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-18.7</v>
      </c>
      <c r="C100" s="8">
        <f>IFERROR(B100/B444, "NA")</f>
        <v>-2.4521226334066169E-4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-18.7</v>
      </c>
      <c r="I100" s="8">
        <f>IFERROR(H100/H444, "NA")</f>
        <v>2.2329184722061387E-3</v>
      </c>
      <c r="J100" s="9"/>
      <c r="K100" s="7">
        <v>-867.63</v>
      </c>
      <c r="L100" s="8">
        <f>IFERROR(K100/K444, "NA")</f>
        <v>-1.1737869799110246E-2</v>
      </c>
      <c r="M100" s="9"/>
      <c r="N100" s="10">
        <f t="shared" si="25"/>
        <v>848.93</v>
      </c>
      <c r="O100" s="8">
        <f>IFERROR(N100/N444, "NA")</f>
        <v>0.36227969103401142</v>
      </c>
      <c r="P100" s="9"/>
      <c r="Q100" s="7">
        <v>-2113.7399999999998</v>
      </c>
      <c r="R100" s="8">
        <f>IFERROR(Q100/Q444, "NA")</f>
        <v>-3.1609862509196251E-3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-2113.7399999999998</v>
      </c>
      <c r="X100" s="8">
        <f>IFERROR(W100/W444, "NA")</f>
        <v>4.0084966307608605E-2</v>
      </c>
      <c r="Y100" s="9"/>
      <c r="Z100" s="7">
        <v>-1039.1500000000001</v>
      </c>
      <c r="AA100" s="8">
        <f>IFERROR(Z100/Z444, "NA")</f>
        <v>-1.6183873598114682E-3</v>
      </c>
      <c r="AB100" s="9"/>
      <c r="AC100" s="10">
        <f t="shared" si="27"/>
        <v>-1074.5899999999997</v>
      </c>
      <c r="AD100" s="8">
        <f>IFERROR(AC100/AC444, "NA")</f>
        <v>-4.0388144732673235E-2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-915.58</v>
      </c>
      <c r="C102" s="8">
        <f>IFERROR(B102/B444, "NA")</f>
        <v>-1.2005959575906045E-2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-915.58</v>
      </c>
      <c r="I102" s="8">
        <f>IFERROR(H102/H444, "NA")</f>
        <v>0.10932703180655061</v>
      </c>
      <c r="J102" s="9"/>
      <c r="K102" s="7">
        <v>-707.82</v>
      </c>
      <c r="L102" s="8">
        <f>IFERROR(K102/K444, "NA")</f>
        <v>-9.5758549165038277E-3</v>
      </c>
      <c r="M102" s="9"/>
      <c r="N102" s="10">
        <f t="shared" si="25"/>
        <v>-207.76</v>
      </c>
      <c r="O102" s="8">
        <f>IFERROR(N102/N444, "NA")</f>
        <v>-8.866128963427633E-2</v>
      </c>
      <c r="P102" s="9"/>
      <c r="Q102" s="7">
        <v>-7310.71</v>
      </c>
      <c r="R102" s="8">
        <f>IFERROR(Q102/Q444, "NA")</f>
        <v>-1.093277971484696E-2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-7310.71</v>
      </c>
      <c r="X102" s="8">
        <f>IFERROR(W102/W444, "NA")</f>
        <v>0.13864030771745689</v>
      </c>
      <c r="Y102" s="9"/>
      <c r="Z102" s="7">
        <v>-2222.96</v>
      </c>
      <c r="AA102" s="8">
        <f>IFERROR(Z102/Z444, "NA")</f>
        <v>-3.4620703126271479E-3</v>
      </c>
      <c r="AB102" s="9"/>
      <c r="AC102" s="10">
        <f t="shared" si="27"/>
        <v>-5087.75</v>
      </c>
      <c r="AD102" s="8">
        <f>IFERROR(AC102/AC444, "NA")</f>
        <v>-0.19122156670326201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-486.08</v>
      </c>
      <c r="C104" s="8">
        <f>IFERROR(B104/B444, "NA")</f>
        <v>-6.3739452922261415E-3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-486.08</v>
      </c>
      <c r="I104" s="8">
        <f>IFERROR(H104/H444, "NA")</f>
        <v>5.8041551388767904E-2</v>
      </c>
      <c r="J104" s="9"/>
      <c r="K104" s="7">
        <v>-813.33</v>
      </c>
      <c r="L104" s="8">
        <f>IFERROR(K104/K444, "NA")</f>
        <v>-1.1003263653527814E-2</v>
      </c>
      <c r="M104" s="9"/>
      <c r="N104" s="10">
        <f t="shared" si="25"/>
        <v>327.25000000000006</v>
      </c>
      <c r="O104" s="8">
        <f>IFERROR(N104/N444, "NA")</f>
        <v>0.1396534801348524</v>
      </c>
      <c r="P104" s="9"/>
      <c r="Q104" s="7">
        <v>-3718.73</v>
      </c>
      <c r="R104" s="8">
        <f>IFERROR(Q104/Q444, "NA")</f>
        <v>-5.561163814320748E-3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-3718.73</v>
      </c>
      <c r="X104" s="8">
        <f>IFERROR(W104/W444, "NA")</f>
        <v>7.0521997387140031E-2</v>
      </c>
      <c r="Y104" s="9"/>
      <c r="Z104" s="7">
        <v>-3523.24</v>
      </c>
      <c r="AA104" s="8">
        <f>IFERROR(Z104/Z444, "NA")</f>
        <v>-5.4871453414638465E-3</v>
      </c>
      <c r="AB104" s="9"/>
      <c r="AC104" s="10">
        <f t="shared" si="27"/>
        <v>-195.49000000000024</v>
      </c>
      <c r="AD104" s="8">
        <f>IFERROR(AC104/AC444, "NA")</f>
        <v>-7.3474333595048369E-3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-1068.08</v>
      </c>
      <c r="R106" s="8">
        <f>IFERROR(Q106/Q444, "NA")</f>
        <v>-1.5972570869086232E-3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-1068.08</v>
      </c>
      <c r="X106" s="8">
        <f>IFERROR(W106/W444, "NA")</f>
        <v>2.0255069598829847E-2</v>
      </c>
      <c r="Y106" s="9"/>
      <c r="Z106" s="7">
        <v>-5623.68</v>
      </c>
      <c r="AA106" s="8">
        <f>IFERROR(Z106/Z444, "NA")</f>
        <v>-8.7584012198667731E-3</v>
      </c>
      <c r="AB106" s="9"/>
      <c r="AC106" s="10">
        <f t="shared" si="27"/>
        <v>4555.6000000000004</v>
      </c>
      <c r="AD106" s="8">
        <f>IFERROR(AC106/AC444, "NA")</f>
        <v>0.17122086762780805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-16.059999999999999</v>
      </c>
      <c r="L108" s="8">
        <f>IFERROR(K108/K444, "NA")</f>
        <v>-2.1727025226618552E-4</v>
      </c>
      <c r="M108" s="9"/>
      <c r="N108" s="10">
        <f t="shared" si="25"/>
        <v>16.059999999999999</v>
      </c>
      <c r="O108" s="8">
        <f>IFERROR(N108/N444, "NA")</f>
        <v>6.8535825545171245E-3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-157.19999999999999</v>
      </c>
      <c r="AA108" s="8">
        <f>IFERROR(Z108/Z444, "NA")</f>
        <v>-2.4482557182539839E-4</v>
      </c>
      <c r="AB108" s="9"/>
      <c r="AC108" s="10">
        <f t="shared" si="27"/>
        <v>157.19999999999999</v>
      </c>
      <c r="AD108" s="8">
        <f>IFERROR(AC108/AC444, "NA")</f>
        <v>5.908315126677369E-3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-4336.9299999999994</v>
      </c>
      <c r="C118" s="15">
        <f>IFERROR(B118/B444, "NA")</f>
        <v>-5.6869969050802986E-2</v>
      </c>
      <c r="D118" s="2"/>
      <c r="E118" s="14">
        <f>IFERROR(E94+E95+E96+E97+E98+E99+E100+E101+E102+E103+E104+E105+E106+E107+E108+E109+E110+E111+E112+E113+E114+E115+E116+E117, "NA")</f>
        <v>-3385.41</v>
      </c>
      <c r="F118" s="15">
        <f>IFERROR(E118/E444, "NA")</f>
        <v>-4.000004726168737E-2</v>
      </c>
      <c r="G118" s="2"/>
      <c r="H118" s="14">
        <f t="shared" si="24"/>
        <v>-951.51999999999953</v>
      </c>
      <c r="I118" s="15">
        <f>IFERROR(H118/H444, "NA")</f>
        <v>0.11361853393976384</v>
      </c>
      <c r="J118" s="2"/>
      <c r="K118" s="14">
        <f>IFERROR(K94+K95+K96+K97+K98+K99+K100+K101+K102+K103+K104+K105+K106+K107+K108+K109+K110+K111+K112+K113+K114+K115+K116+K117, "NA")</f>
        <v>-6265.64</v>
      </c>
      <c r="L118" s="15">
        <f>IFERROR(K118/K444, "NA")</f>
        <v>-8.4765702578399924E-2</v>
      </c>
      <c r="M118" s="2"/>
      <c r="N118" s="14">
        <f t="shared" si="25"/>
        <v>1928.7100000000009</v>
      </c>
      <c r="O118" s="15">
        <f>IFERROR(N118/N444, "NA")</f>
        <v>0.82307429693167689</v>
      </c>
      <c r="P118" s="2"/>
      <c r="Q118" s="14">
        <f>IFERROR(Q94+Q95+Q96+Q97+Q98+Q99+Q100+Q101+Q102+Q103+Q104+Q105+Q106+Q107+Q108+Q109+Q110+Q111+Q112+Q113+Q114+Q115+Q116+Q117, "NA")</f>
        <v>-39091.26</v>
      </c>
      <c r="R118" s="15">
        <f>IFERROR(Q118/Q444, "NA")</f>
        <v>-5.8458909511635453E-2</v>
      </c>
      <c r="S118" s="2"/>
      <c r="T118" s="14">
        <f>IFERROR(T94+T95+T96+T97+T98+T99+T100+T101+T102+T103+T104+T105+T106+T107+T108+T109+T110+T111+T112+T113+T114+T115+T116+T117, "NA")</f>
        <v>-28857.119999999999</v>
      </c>
      <c r="U118" s="15">
        <f>IFERROR(T118/T444, "NA")</f>
        <v>-4.0000008316840002E-2</v>
      </c>
      <c r="V118" s="2"/>
      <c r="W118" s="14">
        <f t="shared" si="26"/>
        <v>-10234.140000000003</v>
      </c>
      <c r="X118" s="15">
        <f>IFERROR(W118/W444, "NA")</f>
        <v>0.19408023554805687</v>
      </c>
      <c r="Y118" s="2"/>
      <c r="Z118" s="14">
        <f>IFERROR(Z94+Z95+Z96+Z97+Z98+Z99+Z100+Z101+Z102+Z103+Z104+Z105+Z106+Z107+Z108+Z109+Z110+Z111+Z112+Z113+Z114+Z115+Z116+Z117, "NA")</f>
        <v>-36291.049999999996</v>
      </c>
      <c r="AA118" s="15">
        <f>IFERROR(Z118/Z444, "NA")</f>
        <v>-5.6520210358741246E-2</v>
      </c>
      <c r="AB118" s="2"/>
      <c r="AC118" s="14">
        <f t="shared" si="27"/>
        <v>-2800.2100000000064</v>
      </c>
      <c r="AD118" s="15">
        <f>IFERROR(AC118/AC444, "NA")</f>
        <v>-0.10524505789359589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76260.460000000006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84635.15</v>
      </c>
      <c r="F122" s="15">
        <f>IFERROR(E122/E444, "NA")</f>
        <v>1</v>
      </c>
      <c r="G122" s="2"/>
      <c r="H122" s="14">
        <f t="shared" si="24"/>
        <v>-8374.6899999999878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73917.15999999996</v>
      </c>
      <c r="L122" s="15">
        <f>IFERROR(K122/K444, "NA")</f>
        <v>0.99999999999999944</v>
      </c>
      <c r="M122" s="2"/>
      <c r="N122" s="14">
        <f t="shared" si="25"/>
        <v>2343.3000000000466</v>
      </c>
      <c r="O122" s="15">
        <f>IFERROR(N122/N444, "NA")</f>
        <v>1.0000000000000187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668696.36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721427.85000000009</v>
      </c>
      <c r="U122" s="15">
        <f>IFERROR(T122/T444, "NA")</f>
        <v>1.0000000000000002</v>
      </c>
      <c r="V122" s="2"/>
      <c r="W122" s="14">
        <f t="shared" si="26"/>
        <v>-52731.490000000107</v>
      </c>
      <c r="X122" s="15">
        <f>IFERROR(W122/W444, "NA")</f>
        <v>1.0000000000000022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642089.78999999992</v>
      </c>
      <c r="AA122" s="15">
        <f>IFERROR(Z122/Z444, "NA")</f>
        <v>0.99999999999999978</v>
      </c>
      <c r="AB122" s="2"/>
      <c r="AC122" s="14">
        <f t="shared" si="27"/>
        <v>26606.570000000065</v>
      </c>
      <c r="AD122" s="15">
        <f>IFERROR(AC122/AC444, "NA")</f>
        <v>1.0000000000000044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76260.460000000006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84635.15</v>
      </c>
      <c r="F124" s="15">
        <f>IFERROR(E124/E444, "NA")</f>
        <v>1</v>
      </c>
      <c r="G124" s="2"/>
      <c r="H124" s="14">
        <f t="shared" si="24"/>
        <v>-8374.6899999999878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73917.15999999996</v>
      </c>
      <c r="L124" s="15">
        <f>IFERROR(K124/K444, "NA")</f>
        <v>0.99999999999999944</v>
      </c>
      <c r="M124" s="2"/>
      <c r="N124" s="14">
        <f t="shared" si="25"/>
        <v>2343.3000000000466</v>
      </c>
      <c r="O124" s="15">
        <f>IFERROR(N124/N444, "NA")</f>
        <v>1.0000000000000187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668696.36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721427.85000000009</v>
      </c>
      <c r="U124" s="15">
        <f>IFERROR(T124/T444, "NA")</f>
        <v>1.0000000000000002</v>
      </c>
      <c r="V124" s="2"/>
      <c r="W124" s="14">
        <f t="shared" si="26"/>
        <v>-52731.490000000107</v>
      </c>
      <c r="X124" s="15">
        <f>IFERROR(W124/W444, "NA")</f>
        <v>1.0000000000000022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642089.78999999992</v>
      </c>
      <c r="AA124" s="15">
        <f>IFERROR(Z124/Z444, "NA")</f>
        <v>0.99999999999999978</v>
      </c>
      <c r="AB124" s="2"/>
      <c r="AC124" s="14">
        <f t="shared" si="27"/>
        <v>26606.570000000065</v>
      </c>
      <c r="AD124" s="15">
        <f>IFERROR(AC124/AC444, "NA")</f>
        <v>1.0000000000000044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20735.61</v>
      </c>
      <c r="F129" s="8">
        <f>IFERROR(E129/E444, "NA")</f>
        <v>0.24499997932301179</v>
      </c>
      <c r="G129" s="9"/>
      <c r="H129" s="10">
        <f t="shared" ref="H129:H141" si="28">IFERROR(-(B129-E129), "NA")</f>
        <v>20735.61</v>
      </c>
      <c r="I129" s="8">
        <f>IFERROR(H129/H444, "NA")</f>
        <v>-2.4759853797573439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182286.79</v>
      </c>
      <c r="U129" s="8">
        <f>IFERROR(T129/T444, "NA")</f>
        <v>0.25267501109085272</v>
      </c>
      <c r="V129" s="9"/>
      <c r="W129" s="10">
        <f t="shared" ref="W129:W141" si="30">IFERROR(-(Q129-T129), "NA")</f>
        <v>182286.79</v>
      </c>
      <c r="X129" s="8">
        <f>IFERROR(W129/W444, "NA")</f>
        <v>-3.4568867672808041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3686.4</v>
      </c>
      <c r="C130" s="8">
        <f>IFERROR(B130/B444, "NA")</f>
        <v>4.8339598266257507E-2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-3686.4</v>
      </c>
      <c r="I130" s="8">
        <f>IFERROR(H130/H444, "NA")</f>
        <v>0.44018345753693633</v>
      </c>
      <c r="J130" s="9"/>
      <c r="K130" s="7">
        <v>5134.8</v>
      </c>
      <c r="L130" s="8">
        <f>IFERROR(K130/K444, "NA")</f>
        <v>6.9466954628668087E-2</v>
      </c>
      <c r="M130" s="9"/>
      <c r="N130" s="10">
        <f t="shared" si="29"/>
        <v>1448.4</v>
      </c>
      <c r="O130" s="8">
        <f>IFERROR(N130/N444, "NA")</f>
        <v>0.61810267571373634</v>
      </c>
      <c r="P130" s="9"/>
      <c r="Q130" s="7">
        <v>35950.69</v>
      </c>
      <c r="R130" s="8">
        <f>IFERROR(Q130/Q444, "NA")</f>
        <v>5.3762353364687078E-2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-35950.69</v>
      </c>
      <c r="X130" s="8">
        <f>IFERROR(W130/W444, "NA")</f>
        <v>0.68176890127701695</v>
      </c>
      <c r="Y130" s="9"/>
      <c r="Z130" s="7">
        <v>42271</v>
      </c>
      <c r="AA130" s="8">
        <f>IFERROR(Z130/Z444, "NA")</f>
        <v>6.5833471670683319E-2</v>
      </c>
      <c r="AB130" s="9"/>
      <c r="AC130" s="10">
        <f t="shared" si="31"/>
        <v>6320.3099999999977</v>
      </c>
      <c r="AD130" s="8">
        <f>IFERROR(AC130/AC444, "NA")</f>
        <v>0.23754696678301673</v>
      </c>
    </row>
    <row r="131" spans="1:30" ht="16.5" customHeight="1" x14ac:dyDescent="0.45">
      <c r="A131" s="12" t="s">
        <v>123</v>
      </c>
      <c r="B131" s="7">
        <v>2163.64</v>
      </c>
      <c r="C131" s="8">
        <f>IFERROR(B131/B444, "NA")</f>
        <v>2.8371714516277499E-2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-2163.64</v>
      </c>
      <c r="I131" s="8">
        <f>IFERROR(H131/H444, "NA")</f>
        <v>0.25835463760449678</v>
      </c>
      <c r="J131" s="9"/>
      <c r="K131" s="7">
        <v>2491.9299999999998</v>
      </c>
      <c r="L131" s="8">
        <f>IFERROR(K131/K444, "NA")</f>
        <v>3.3712469472582544E-2</v>
      </c>
      <c r="M131" s="9"/>
      <c r="N131" s="10">
        <f t="shared" si="29"/>
        <v>328.28999999999996</v>
      </c>
      <c r="O131" s="8">
        <f>IFERROR(N131/N444, "NA")</f>
        <v>0.14009729868134663</v>
      </c>
      <c r="P131" s="9"/>
      <c r="Q131" s="7">
        <v>20259.23</v>
      </c>
      <c r="R131" s="8">
        <f>IFERROR(Q131/Q444, "NA")</f>
        <v>3.0296605771863331E-2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-20259.23</v>
      </c>
      <c r="X131" s="8">
        <f>IFERROR(W131/W444, "NA")</f>
        <v>0.38419604680239461</v>
      </c>
      <c r="Y131" s="9"/>
      <c r="Z131" s="7">
        <v>20541.32</v>
      </c>
      <c r="AA131" s="8">
        <f>IFERROR(Z131/Z444, "NA")</f>
        <v>3.1991351240766498E-2</v>
      </c>
      <c r="AB131" s="9"/>
      <c r="AC131" s="10">
        <f t="shared" si="31"/>
        <v>282.09000000000015</v>
      </c>
      <c r="AD131" s="8">
        <f>IFERROR(AC131/AC444, "NA")</f>
        <v>1.0602268537432697E-2</v>
      </c>
    </row>
    <row r="132" spans="1:30" ht="16.5" customHeight="1" x14ac:dyDescent="0.45">
      <c r="A132" s="12" t="s">
        <v>124</v>
      </c>
      <c r="B132" s="7">
        <v>4436.26</v>
      </c>
      <c r="C132" s="8">
        <f>IFERROR(B132/B444, "NA")</f>
        <v>5.817247889666545E-2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-4436.26</v>
      </c>
      <c r="I132" s="8">
        <f>IFERROR(H132/H444, "NA")</f>
        <v>0.52972229419835326</v>
      </c>
      <c r="J132" s="9"/>
      <c r="K132" s="7">
        <v>2786.31</v>
      </c>
      <c r="L132" s="8">
        <f>IFERROR(K132/K444, "NA")</f>
        <v>3.7695035902353388E-2</v>
      </c>
      <c r="M132" s="9"/>
      <c r="N132" s="10">
        <f t="shared" si="29"/>
        <v>-1649.9500000000003</v>
      </c>
      <c r="O132" s="8">
        <f>IFERROR(N132/N444, "NA")</f>
        <v>-0.70411385652711911</v>
      </c>
      <c r="P132" s="9"/>
      <c r="Q132" s="7">
        <v>32405.94</v>
      </c>
      <c r="R132" s="8">
        <f>IFERROR(Q132/Q444, "NA")</f>
        <v>4.8461367428409508E-2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-32405.94</v>
      </c>
      <c r="X132" s="8">
        <f>IFERROR(W132/W444, "NA")</f>
        <v>0.61454626068787366</v>
      </c>
      <c r="Y132" s="9"/>
      <c r="Z132" s="7">
        <v>23521.66</v>
      </c>
      <c r="AA132" s="8">
        <f>IFERROR(Z132/Z444, "NA")</f>
        <v>3.6632976207268457E-2</v>
      </c>
      <c r="AB132" s="9"/>
      <c r="AC132" s="10">
        <f t="shared" si="31"/>
        <v>-8884.2799999999988</v>
      </c>
      <c r="AD132" s="8">
        <f>IFERROR(AC132/AC444, "NA")</f>
        <v>-0.333913014717794</v>
      </c>
    </row>
    <row r="133" spans="1:30" ht="16.5" customHeight="1" x14ac:dyDescent="0.45">
      <c r="A133" s="12" t="s">
        <v>125</v>
      </c>
      <c r="B133" s="7">
        <v>1693.45</v>
      </c>
      <c r="C133" s="8">
        <f>IFERROR(B133/B444, "NA")</f>
        <v>2.2206134083114629E-2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-1693.45</v>
      </c>
      <c r="I133" s="8">
        <f>IFERROR(H133/H444, "NA")</f>
        <v>0.20221046988007946</v>
      </c>
      <c r="J133" s="9"/>
      <c r="K133" s="7">
        <v>1609.24</v>
      </c>
      <c r="L133" s="8">
        <f>IFERROR(K133/K444, "NA")</f>
        <v>2.1770858079504136E-2</v>
      </c>
      <c r="M133" s="9"/>
      <c r="N133" s="10">
        <f t="shared" si="29"/>
        <v>-84.210000000000036</v>
      </c>
      <c r="O133" s="8">
        <f>IFERROR(N133/N444, "NA")</f>
        <v>-3.5936499807963103E-2</v>
      </c>
      <c r="P133" s="9"/>
      <c r="Q133" s="7">
        <v>14550.88</v>
      </c>
      <c r="R133" s="8">
        <f>IFERROR(Q133/Q444, "NA")</f>
        <v>2.1760070594671697E-2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-14550.88</v>
      </c>
      <c r="X133" s="8">
        <f>IFERROR(W133/W444, "NA")</f>
        <v>0.27594289484329004</v>
      </c>
      <c r="Y133" s="9"/>
      <c r="Z133" s="7">
        <v>12973.71</v>
      </c>
      <c r="AA133" s="8">
        <f>IFERROR(Z133/Z444, "NA")</f>
        <v>2.0205445098262657E-2</v>
      </c>
      <c r="AB133" s="9"/>
      <c r="AC133" s="10">
        <f t="shared" si="31"/>
        <v>-1577.17</v>
      </c>
      <c r="AD133" s="8">
        <f>IFERROR(AC133/AC444, "NA")</f>
        <v>-5.9277464175201959E-2</v>
      </c>
    </row>
    <row r="134" spans="1:30" ht="16.5" customHeight="1" x14ac:dyDescent="0.45">
      <c r="A134" s="12" t="s">
        <v>126</v>
      </c>
      <c r="B134" s="7">
        <v>489.2</v>
      </c>
      <c r="C134" s="8">
        <f>IFERROR(B134/B444, "NA")</f>
        <v>6.4148577126337814E-3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-489.2</v>
      </c>
      <c r="I134" s="8">
        <f>IFERROR(H134/H444, "NA")</f>
        <v>5.841410249215203E-2</v>
      </c>
      <c r="J134" s="9"/>
      <c r="K134" s="7">
        <v>751.22</v>
      </c>
      <c r="L134" s="8">
        <f>IFERROR(K134/K444, "NA")</f>
        <v>1.0162998686637852E-2</v>
      </c>
      <c r="M134" s="9"/>
      <c r="N134" s="10">
        <f t="shared" si="29"/>
        <v>262.02000000000004</v>
      </c>
      <c r="O134" s="8">
        <f>IFERROR(N134/N444, "NA")</f>
        <v>0.11181666880040955</v>
      </c>
      <c r="P134" s="9"/>
      <c r="Q134" s="7">
        <v>5348.49</v>
      </c>
      <c r="R134" s="8">
        <f>IFERROR(Q134/Q444, "NA")</f>
        <v>7.998383601190831E-3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-5348.49</v>
      </c>
      <c r="X134" s="8">
        <f>IFERROR(W134/W444, "NA")</f>
        <v>0.10142876675777605</v>
      </c>
      <c r="Y134" s="9"/>
      <c r="Z134" s="7">
        <v>7067.51</v>
      </c>
      <c r="AA134" s="8">
        <f>IFERROR(Z134/Z444, "NA")</f>
        <v>1.1007043111524947E-2</v>
      </c>
      <c r="AB134" s="9"/>
      <c r="AC134" s="10">
        <f t="shared" si="31"/>
        <v>1719.0200000000004</v>
      </c>
      <c r="AD134" s="8">
        <f>IFERROR(AC134/AC444, "NA")</f>
        <v>6.4608854128886353E-2</v>
      </c>
    </row>
    <row r="135" spans="1:30" ht="16.5" customHeight="1" x14ac:dyDescent="0.45">
      <c r="A135" s="12" t="s">
        <v>127</v>
      </c>
      <c r="B135" s="7">
        <v>684.29</v>
      </c>
      <c r="C135" s="8">
        <f>IFERROR(B135/B444, "NA")</f>
        <v>8.9730641540845656E-3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-684.29</v>
      </c>
      <c r="I135" s="8">
        <f>IFERROR(H135/H444, "NA")</f>
        <v>8.1709293120103665E-2</v>
      </c>
      <c r="J135" s="9"/>
      <c r="K135" s="7">
        <v>686.13</v>
      </c>
      <c r="L135" s="8">
        <f>IFERROR(K135/K444, "NA")</f>
        <v>9.2824183180197934E-3</v>
      </c>
      <c r="M135" s="9"/>
      <c r="N135" s="10">
        <f t="shared" si="29"/>
        <v>1.8400000000000318</v>
      </c>
      <c r="O135" s="8">
        <f>IFERROR(N135/N444, "NA")</f>
        <v>7.8521742841293452E-4</v>
      </c>
      <c r="P135" s="9"/>
      <c r="Q135" s="7">
        <v>5273.81</v>
      </c>
      <c r="R135" s="8">
        <f>IFERROR(Q135/Q444, "NA")</f>
        <v>7.8867036153748467E-3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-5273.81</v>
      </c>
      <c r="X135" s="8">
        <f>IFERROR(W135/W444, "NA")</f>
        <v>0.10001253520429636</v>
      </c>
      <c r="Y135" s="9"/>
      <c r="Z135" s="7">
        <v>6144.36</v>
      </c>
      <c r="AA135" s="8">
        <f>IFERROR(Z135/Z444, "NA")</f>
        <v>9.5693158428823474E-3</v>
      </c>
      <c r="AB135" s="9"/>
      <c r="AC135" s="10">
        <f t="shared" si="31"/>
        <v>870.54999999999927</v>
      </c>
      <c r="AD135" s="8">
        <f>IFERROR(AC135/AC444, "NA")</f>
        <v>3.2719362172576205E-2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900.41</v>
      </c>
      <c r="L136" s="8">
        <f>IFERROR(K136/K444, "NA")</f>
        <v>1.218133921811931E-2</v>
      </c>
      <c r="M136" s="9"/>
      <c r="N136" s="10">
        <f t="shared" si="29"/>
        <v>900.41</v>
      </c>
      <c r="O136" s="8">
        <f>IFERROR(N136/N444, "NA")</f>
        <v>0.38424870908547726</v>
      </c>
      <c r="P136" s="9"/>
      <c r="Q136" s="7">
        <v>4916.55</v>
      </c>
      <c r="R136" s="8">
        <f>IFERROR(Q136/Q444, "NA")</f>
        <v>7.3524402017082916E-3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-4916.55</v>
      </c>
      <c r="X136" s="8">
        <f>IFERROR(W136/W444, "NA")</f>
        <v>9.3237456404133487E-2</v>
      </c>
      <c r="Y136" s="9"/>
      <c r="Z136" s="7">
        <v>8493.09</v>
      </c>
      <c r="AA136" s="8">
        <f>IFERROR(Z136/Z444, "NA")</f>
        <v>1.3227262187115606E-2</v>
      </c>
      <c r="AB136" s="9"/>
      <c r="AC136" s="10">
        <f t="shared" si="31"/>
        <v>3576.54</v>
      </c>
      <c r="AD136" s="8">
        <f>IFERROR(AC136/AC444, "NA")</f>
        <v>0.13442318946034784</v>
      </c>
    </row>
    <row r="137" spans="1:30" ht="16.5" customHeight="1" x14ac:dyDescent="0.45">
      <c r="A137" s="12" t="s">
        <v>129</v>
      </c>
      <c r="B137" s="7">
        <v>405.01</v>
      </c>
      <c r="C137" s="8">
        <f>IFERROR(B137/B444, "NA")</f>
        <v>5.3108780093904491E-3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-405.01</v>
      </c>
      <c r="I137" s="8">
        <f>IFERROR(H137/H444, "NA")</f>
        <v>4.8361193071027174E-2</v>
      </c>
      <c r="J137" s="9"/>
      <c r="K137" s="7">
        <v>416.4</v>
      </c>
      <c r="L137" s="8">
        <f>IFERROR(K137/K444, "NA")</f>
        <v>5.6333333152951215E-3</v>
      </c>
      <c r="M137" s="9"/>
      <c r="N137" s="10">
        <f t="shared" si="29"/>
        <v>11.389999999999986</v>
      </c>
      <c r="O137" s="8">
        <f>IFERROR(N137/N444, "NA")</f>
        <v>4.8606665813169343E-3</v>
      </c>
      <c r="P137" s="9"/>
      <c r="Q137" s="7">
        <v>3819.25</v>
      </c>
      <c r="R137" s="8">
        <f>IFERROR(Q137/Q444, "NA")</f>
        <v>5.7114861519509397E-3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-3819.25</v>
      </c>
      <c r="X137" s="8">
        <f>IFERROR(W137/W444, "NA")</f>
        <v>7.2428258712204055E-2</v>
      </c>
      <c r="Y137" s="9"/>
      <c r="Z137" s="7">
        <v>3604.17</v>
      </c>
      <c r="AA137" s="8">
        <f>IFERROR(Z137/Z444, "NA")</f>
        <v>5.6131869033457142E-3</v>
      </c>
      <c r="AB137" s="9"/>
      <c r="AC137" s="10">
        <f t="shared" si="31"/>
        <v>-215.07999999999993</v>
      </c>
      <c r="AD137" s="8">
        <f>IFERROR(AC137/AC444, "NA")</f>
        <v>-8.0837176682300779E-3</v>
      </c>
    </row>
    <row r="138" spans="1:30" ht="16.5" customHeight="1" x14ac:dyDescent="0.45">
      <c r="A138" s="12" t="s">
        <v>130</v>
      </c>
      <c r="B138" s="7">
        <v>4591.7</v>
      </c>
      <c r="C138" s="8">
        <f>IFERROR(B138/B444, "NA")</f>
        <v>6.0210756662102474E-2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-4591.7</v>
      </c>
      <c r="I138" s="8">
        <f>IFERROR(H138/H444, "NA")</f>
        <v>0.54828298122079822</v>
      </c>
      <c r="J138" s="9"/>
      <c r="K138" s="7">
        <v>4135.96</v>
      </c>
      <c r="L138" s="8">
        <f>IFERROR(K138/K444, "NA")</f>
        <v>5.5953989574274769E-2</v>
      </c>
      <c r="M138" s="9"/>
      <c r="N138" s="10">
        <f t="shared" si="29"/>
        <v>-455.73999999999978</v>
      </c>
      <c r="O138" s="8">
        <f>IFERROR(N138/N444, "NA")</f>
        <v>-0.19448640805701328</v>
      </c>
      <c r="P138" s="9"/>
      <c r="Q138" s="7">
        <v>37963</v>
      </c>
      <c r="R138" s="8">
        <f>IFERROR(Q138/Q444, "NA")</f>
        <v>5.6771656421159528E-2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-37963</v>
      </c>
      <c r="X138" s="8">
        <f>IFERROR(W138/W444, "NA")</f>
        <v>0.71993034901915354</v>
      </c>
      <c r="Y138" s="9"/>
      <c r="Z138" s="7">
        <v>32620.9</v>
      </c>
      <c r="AA138" s="8">
        <f>IFERROR(Z138/Z444, "NA")</f>
        <v>5.0804265241470352E-2</v>
      </c>
      <c r="AB138" s="9"/>
      <c r="AC138" s="10">
        <f t="shared" si="31"/>
        <v>-5342.0999999999985</v>
      </c>
      <c r="AD138" s="8">
        <f>IFERROR(AC138/AC444, "NA")</f>
        <v>-0.20078123561210667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18149.95</v>
      </c>
      <c r="C141" s="15">
        <f>IFERROR(B141/B444, "NA")</f>
        <v>0.23799948230052637</v>
      </c>
      <c r="D141" s="2"/>
      <c r="E141" s="14">
        <f>IFERROR(E129+E130+E131+E132+E133+E134+E135+E136+E137+E138+E139+E140, "NA")</f>
        <v>20735.61</v>
      </c>
      <c r="F141" s="15">
        <f>IFERROR(E141/E444, "NA")</f>
        <v>0.24499997932301179</v>
      </c>
      <c r="G141" s="2"/>
      <c r="H141" s="14">
        <f t="shared" si="28"/>
        <v>2585.66</v>
      </c>
      <c r="I141" s="15">
        <f>IFERROR(H141/H444, "NA")</f>
        <v>-0.30874695063339702</v>
      </c>
      <c r="J141" s="2"/>
      <c r="K141" s="14">
        <f>IFERROR(K129+K130+K131+K132+K133+K134+K135+K136+K137+K138+K139+K140, "NA")</f>
        <v>18912.399999999998</v>
      </c>
      <c r="L141" s="15">
        <f>IFERROR(K141/K444, "NA")</f>
        <v>0.25585939719545497</v>
      </c>
      <c r="M141" s="2"/>
      <c r="N141" s="14">
        <f t="shared" si="29"/>
        <v>762.44999999999709</v>
      </c>
      <c r="O141" s="15">
        <f>IFERROR(N141/N444, "NA")</f>
        <v>0.32537447189860291</v>
      </c>
      <c r="P141" s="2"/>
      <c r="Q141" s="14">
        <f>IFERROR(Q129+Q130+Q131+Q132+Q133+Q134+Q135+Q136+Q137+Q138+Q139+Q140, "NA")</f>
        <v>160487.84000000003</v>
      </c>
      <c r="R141" s="15">
        <f>IFERROR(Q141/Q444, "NA")</f>
        <v>0.2400010671510161</v>
      </c>
      <c r="S141" s="2"/>
      <c r="T141" s="14">
        <f>IFERROR(T129+T130+T131+T132+T133+T134+T135+T136+T137+T138+T139+T140, "NA")</f>
        <v>182286.79</v>
      </c>
      <c r="U141" s="15">
        <f>IFERROR(T141/T444, "NA")</f>
        <v>0.25267501109085272</v>
      </c>
      <c r="V141" s="2"/>
      <c r="W141" s="14">
        <f t="shared" si="30"/>
        <v>21798.949999999983</v>
      </c>
      <c r="X141" s="15">
        <f>IFERROR(W141/W444, "NA")</f>
        <v>-0.41339529757266458</v>
      </c>
      <c r="Y141" s="2"/>
      <c r="Z141" s="14">
        <f>IFERROR(Z129+Z130+Z131+Z132+Z133+Z134+Z135+Z136+Z137+Z138+Z139+Z140, "NA")</f>
        <v>157237.72</v>
      </c>
      <c r="AA141" s="15">
        <f>IFERROR(Z141/Z444, "NA")</f>
        <v>0.24488431750331988</v>
      </c>
      <c r="AB141" s="2"/>
      <c r="AC141" s="14">
        <f t="shared" si="31"/>
        <v>-3250.1200000000244</v>
      </c>
      <c r="AD141" s="15">
        <f>IFERROR(AC141/AC444, "NA")</f>
        <v>-0.12215479109107377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977.94</v>
      </c>
      <c r="C144" s="8">
        <f>IFERROR(B144/B444, "NA")</f>
        <v>1.2823683465848487E-2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-977.94</v>
      </c>
      <c r="I144" s="8">
        <f>IFERROR(H144/H444, "NA")</f>
        <v>0.11677327757803591</v>
      </c>
      <c r="J144" s="9"/>
      <c r="K144" s="7">
        <v>957.19</v>
      </c>
      <c r="L144" s="8">
        <f>IFERROR(K144/K444, "NA")</f>
        <v>1.294949643628083E-2</v>
      </c>
      <c r="M144" s="9"/>
      <c r="N144" s="10">
        <f t="shared" si="33"/>
        <v>-20.75</v>
      </c>
      <c r="O144" s="8">
        <f>IFERROR(N144/N444, "NA")</f>
        <v>-8.8550334997652778E-3</v>
      </c>
      <c r="P144" s="9"/>
      <c r="Q144" s="7">
        <v>9449.42</v>
      </c>
      <c r="R144" s="8">
        <f>IFERROR(Q144/Q444, "NA")</f>
        <v>1.4131107278645872E-2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-9449.42</v>
      </c>
      <c r="X144" s="8">
        <f>IFERROR(W144/W444, "NA")</f>
        <v>0.1791988051162598</v>
      </c>
      <c r="Y144" s="9"/>
      <c r="Z144" s="7">
        <v>7911.46</v>
      </c>
      <c r="AA144" s="8">
        <f>IFERROR(Z144/Z444, "NA")</f>
        <v>1.2321423145507422E-2</v>
      </c>
      <c r="AB144" s="9"/>
      <c r="AC144" s="10">
        <f t="shared" si="35"/>
        <v>-1537.96</v>
      </c>
      <c r="AD144" s="8">
        <f>IFERROR(AC144/AC444, "NA")</f>
        <v>-5.780376801669674E-2</v>
      </c>
    </row>
    <row r="145" spans="1:30" ht="16.5" customHeight="1" x14ac:dyDescent="0.45">
      <c r="A145" s="12" t="s">
        <v>136</v>
      </c>
      <c r="B145" s="7">
        <v>166.36</v>
      </c>
      <c r="C145" s="8">
        <f>IFERROR(B145/B444, "NA")</f>
        <v>2.1814712368637694E-3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-166.36</v>
      </c>
      <c r="I145" s="8">
        <f>IFERROR(H145/H444, "NA")</f>
        <v>1.9864615884289481E-2</v>
      </c>
      <c r="J145" s="9"/>
      <c r="K145" s="7">
        <v>201.24</v>
      </c>
      <c r="L145" s="8">
        <f>IFERROR(K145/K444, "NA")</f>
        <v>2.7225071958933487E-3</v>
      </c>
      <c r="M145" s="9"/>
      <c r="N145" s="10">
        <f t="shared" si="33"/>
        <v>34.879999999999995</v>
      </c>
      <c r="O145" s="8">
        <f>IFERROR(N145/N444, "NA")</f>
        <v>1.488499125165363E-2</v>
      </c>
      <c r="P145" s="9"/>
      <c r="Q145" s="7">
        <v>1127.54</v>
      </c>
      <c r="R145" s="8">
        <f>IFERROR(Q145/Q444, "NA")</f>
        <v>1.6861763685987463E-3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-1127.54</v>
      </c>
      <c r="X145" s="8">
        <f>IFERROR(W145/W444, "NA")</f>
        <v>2.13826690654863E-2</v>
      </c>
      <c r="Y145" s="9"/>
      <c r="Z145" s="7">
        <v>1191.21</v>
      </c>
      <c r="AA145" s="8">
        <f>IFERROR(Z145/Z444, "NA")</f>
        <v>1.8552078207005908E-3</v>
      </c>
      <c r="AB145" s="9"/>
      <c r="AC145" s="10">
        <f t="shared" si="35"/>
        <v>63.670000000000073</v>
      </c>
      <c r="AD145" s="8">
        <f>IFERROR(AC145/AC444, "NA")</f>
        <v>2.393017965111632E-3</v>
      </c>
    </row>
    <row r="146" spans="1:30" ht="16.5" customHeight="1" x14ac:dyDescent="0.45">
      <c r="A146" s="12" t="s">
        <v>137</v>
      </c>
      <c r="B146" s="7">
        <v>33.33</v>
      </c>
      <c r="C146" s="8">
        <f>IFERROR(B146/B444, "NA")</f>
        <v>4.370547987777676E-4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-33.33</v>
      </c>
      <c r="I146" s="8">
        <f>IFERROR(H146/H444, "NA")</f>
        <v>3.9798488063438825E-3</v>
      </c>
      <c r="J146" s="9"/>
      <c r="K146" s="7">
        <v>70.430000000000007</v>
      </c>
      <c r="L146" s="8">
        <f>IFERROR(K146/K444, "NA")</f>
        <v>9.5282340392948003E-4</v>
      </c>
      <c r="M146" s="9"/>
      <c r="N146" s="10">
        <f t="shared" si="33"/>
        <v>37.100000000000009</v>
      </c>
      <c r="O146" s="8">
        <f>IFERROR(N146/N444, "NA")</f>
        <v>1.5832373148977921E-2</v>
      </c>
      <c r="P146" s="9"/>
      <c r="Q146" s="7">
        <v>587.55999999999995</v>
      </c>
      <c r="R146" s="8">
        <f>IFERROR(Q146/Q444, "NA")</f>
        <v>8.7866486965773214E-4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-587.55999999999995</v>
      </c>
      <c r="X146" s="8">
        <f>IFERROR(W146/W444, "NA")</f>
        <v>1.114248810340842E-2</v>
      </c>
      <c r="Y146" s="9"/>
      <c r="Z146" s="7">
        <v>2593.7399999999998</v>
      </c>
      <c r="AA146" s="8">
        <f>IFERROR(Z146/Z444, "NA")</f>
        <v>4.0395284902443309E-3</v>
      </c>
      <c r="AB146" s="9"/>
      <c r="AC146" s="10">
        <f t="shared" si="35"/>
        <v>2006.1799999999998</v>
      </c>
      <c r="AD146" s="8">
        <f>IFERROR(AC146/AC444, "NA")</f>
        <v>7.5401677104564913E-2</v>
      </c>
    </row>
    <row r="147" spans="1:30" ht="16.5" customHeight="1" x14ac:dyDescent="0.45">
      <c r="A147" s="12" t="s">
        <v>138</v>
      </c>
      <c r="B147" s="7">
        <v>15.7</v>
      </c>
      <c r="C147" s="8">
        <f>IFERROR(B147/B444, "NA")</f>
        <v>2.0587339756408495E-4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-15.7</v>
      </c>
      <c r="I147" s="8">
        <f>IFERROR(H147/H444, "NA")</f>
        <v>1.8746962574137098E-3</v>
      </c>
      <c r="J147" s="9"/>
      <c r="K147" s="7">
        <v>28.37</v>
      </c>
      <c r="L147" s="8">
        <f>IFERROR(K147/K444, "NA")</f>
        <v>3.8380803591479975E-4</v>
      </c>
      <c r="M147" s="9"/>
      <c r="N147" s="10">
        <f t="shared" si="33"/>
        <v>12.670000000000002</v>
      </c>
      <c r="O147" s="8">
        <f>IFERROR(N147/N444, "NA")</f>
        <v>5.4069047923867991E-3</v>
      </c>
      <c r="P147" s="9"/>
      <c r="Q147" s="7">
        <v>254.6</v>
      </c>
      <c r="R147" s="8">
        <f>IFERROR(Q147/Q444, "NA")</f>
        <v>3.8074081934586873E-4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-254.6</v>
      </c>
      <c r="X147" s="8">
        <f>IFERROR(W147/W444, "NA")</f>
        <v>4.8282345141394643E-3</v>
      </c>
      <c r="Y147" s="9"/>
      <c r="Z147" s="7">
        <v>187.46</v>
      </c>
      <c r="AA147" s="8">
        <f>IFERROR(Z147/Z444, "NA")</f>
        <v>2.9195293698720858E-4</v>
      </c>
      <c r="AB147" s="9"/>
      <c r="AC147" s="10">
        <f t="shared" si="35"/>
        <v>-67.139999999999986</v>
      </c>
      <c r="AD147" s="8">
        <f>IFERROR(AC147/AC444, "NA")</f>
        <v>-2.5234368804396851E-3</v>
      </c>
    </row>
    <row r="148" spans="1:30" ht="16.5" customHeight="1" x14ac:dyDescent="0.45">
      <c r="A148" s="13" t="s">
        <v>139</v>
      </c>
      <c r="B148" s="14">
        <f>IFERROR(B143+B144+B145+B146+B147, "NA")</f>
        <v>1193.3300000000002</v>
      </c>
      <c r="C148" s="15">
        <f>IFERROR(B148/B444, "NA")</f>
        <v>1.564808289905411E-2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-1193.3300000000002</v>
      </c>
      <c r="I148" s="15">
        <f>IFERROR(H148/H444, "NA")</f>
        <v>0.14249243852608298</v>
      </c>
      <c r="J148" s="2"/>
      <c r="K148" s="14">
        <f>IFERROR(K143+K144+K145+K146+K147, "NA")</f>
        <v>1257.23</v>
      </c>
      <c r="L148" s="15">
        <f>IFERROR(K148/K444, "NA")</f>
        <v>1.7008635072018458E-2</v>
      </c>
      <c r="M148" s="2"/>
      <c r="N148" s="14">
        <f t="shared" si="33"/>
        <v>63.899999999999864</v>
      </c>
      <c r="O148" s="15">
        <f>IFERROR(N148/N444, "NA")</f>
        <v>2.7269235693253013E-2</v>
      </c>
      <c r="P148" s="2"/>
      <c r="Q148" s="14">
        <f>IFERROR(Q143+Q144+Q145+Q146+Q147, "NA")</f>
        <v>11419.119999999999</v>
      </c>
      <c r="R148" s="15">
        <f>IFERROR(Q148/Q444, "NA")</f>
        <v>1.7076689336248219E-2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-11419.119999999999</v>
      </c>
      <c r="X148" s="15">
        <f>IFERROR(W148/W444, "NA")</f>
        <v>0.21655219679929394</v>
      </c>
      <c r="Y148" s="2"/>
      <c r="Z148" s="14">
        <f>IFERROR(Z143+Z144+Z145+Z146+Z147, "NA")</f>
        <v>11883.869999999999</v>
      </c>
      <c r="AA148" s="15">
        <f>IFERROR(Z148/Z444, "NA")</f>
        <v>1.8508112393439552E-2</v>
      </c>
      <c r="AB148" s="2"/>
      <c r="AC148" s="14">
        <f t="shared" si="35"/>
        <v>464.75</v>
      </c>
      <c r="AD148" s="15">
        <f>IFERROR(AC148/AC444, "NA")</f>
        <v>1.7467490172540123E-2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19343.280000000002</v>
      </c>
      <c r="C149" s="15">
        <f>IFERROR(B149/B444, "NA")</f>
        <v>0.25364756519958048</v>
      </c>
      <c r="D149" s="2"/>
      <c r="E149" s="14">
        <f>IFERROR(E127+E129+E130+E131+E132+E133+E134+E135+E136+E137+E138+E139+E140+E143+E144+E145+E146+E147, "NA")</f>
        <v>20735.61</v>
      </c>
      <c r="F149" s="15">
        <f>IFERROR(E149/E444, "NA")</f>
        <v>0.24499997932301179</v>
      </c>
      <c r="G149" s="2"/>
      <c r="H149" s="14">
        <f t="shared" si="32"/>
        <v>1392.3299999999981</v>
      </c>
      <c r="I149" s="15">
        <f>IFERROR(H149/H444, "NA")</f>
        <v>-0.16625451210731385</v>
      </c>
      <c r="J149" s="2"/>
      <c r="K149" s="14">
        <f>IFERROR(K127+K129+K130+K131+K132+K133+K134+K135+K136+K137+K138+K139+K140+K143+K144+K145+K146+K147, "NA")</f>
        <v>20169.629999999997</v>
      </c>
      <c r="L149" s="15">
        <f>IFERROR(K149/K444, "NA")</f>
        <v>0.27286803226747341</v>
      </c>
      <c r="M149" s="2"/>
      <c r="N149" s="14">
        <f t="shared" si="33"/>
        <v>826.34999999999491</v>
      </c>
      <c r="O149" s="15">
        <f>IFERROR(N149/N444, "NA")</f>
        <v>0.35264370759185504</v>
      </c>
      <c r="P149" s="2"/>
      <c r="Q149" s="14">
        <f>IFERROR(Q127+Q129+Q130+Q131+Q132+Q133+Q134+Q135+Q136+Q137+Q138+Q139+Q140+Q143+Q144+Q145+Q146+Q147, "NA")</f>
        <v>171906.96000000005</v>
      </c>
      <c r="R149" s="15">
        <f>IFERROR(Q149/Q444, "NA")</f>
        <v>0.25707775648726433</v>
      </c>
      <c r="S149" s="2"/>
      <c r="T149" s="14">
        <f>IFERROR(T127+T129+T130+T131+T132+T133+T134+T135+T136+T137+T138+T139+T140+T143+T144+T145+T146+T147, "NA")</f>
        <v>182286.79</v>
      </c>
      <c r="U149" s="15">
        <f>IFERROR(T149/T444, "NA")</f>
        <v>0.25267501109085272</v>
      </c>
      <c r="V149" s="2"/>
      <c r="W149" s="14">
        <f t="shared" si="34"/>
        <v>10379.829999999958</v>
      </c>
      <c r="X149" s="15">
        <f>IFERROR(W149/W444, "NA")</f>
        <v>-0.19684310077337014</v>
      </c>
      <c r="Y149" s="2"/>
      <c r="Z149" s="14">
        <f>IFERROR(Z127+Z129+Z130+Z131+Z132+Z133+Z134+Z135+Z136+Z137+Z138+Z139+Z140+Z143+Z144+Z145+Z146+Z147, "NA")</f>
        <v>169121.58999999997</v>
      </c>
      <c r="AA149" s="15">
        <f>IFERROR(Z149/Z444, "NA")</f>
        <v>0.26339242989675937</v>
      </c>
      <c r="AB149" s="2"/>
      <c r="AC149" s="14">
        <f t="shared" si="35"/>
        <v>-2785.3700000000827</v>
      </c>
      <c r="AD149" s="15">
        <f>IFERROR(AC149/AC444, "NA")</f>
        <v>-0.10468730091853584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1269.53</v>
      </c>
      <c r="F153" s="8">
        <f>IFERROR(E153/E444, "NA")</f>
        <v>1.5000032492410069E-2</v>
      </c>
      <c r="G153" s="9"/>
      <c r="H153" s="10">
        <f t="shared" ref="H153:H158" si="36">IFERROR(-(B153-E153), "NA")</f>
        <v>1269.53</v>
      </c>
      <c r="I153" s="8">
        <f>IFERROR(H153/H444, "NA")</f>
        <v>-0.15159128278181064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11388.77</v>
      </c>
      <c r="U153" s="8">
        <f>IFERROR(T153/T444, "NA")</f>
        <v>1.5786429647815788E-2</v>
      </c>
      <c r="V153" s="9"/>
      <c r="W153" s="10">
        <f t="shared" ref="W153:W158" si="38">IFERROR(-(Q153-T153), "NA")</f>
        <v>11388.77</v>
      </c>
      <c r="X153" s="8">
        <f>IFERROR(W153/W444, "NA")</f>
        <v>-0.21597663938568781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2846.77</v>
      </c>
      <c r="C154" s="8">
        <f>IFERROR(B154/B444, "NA")</f>
        <v>3.7329567642261793E-2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-2846.77</v>
      </c>
      <c r="I154" s="8">
        <f>IFERROR(H154/H444, "NA")</f>
        <v>0.3399254181348807</v>
      </c>
      <c r="J154" s="9"/>
      <c r="K154" s="7">
        <v>2814.34</v>
      </c>
      <c r="L154" s="8">
        <f>IFERROR(K154/K444, "NA")</f>
        <v>3.8074244194446862E-2</v>
      </c>
      <c r="M154" s="9"/>
      <c r="N154" s="10">
        <f t="shared" si="37"/>
        <v>-32.429999999999836</v>
      </c>
      <c r="O154" s="8">
        <f>IFERROR(N154/N444, "NA")</f>
        <v>-1.3839457175777663E-2</v>
      </c>
      <c r="P154" s="9"/>
      <c r="Q154" s="7">
        <v>23222.19</v>
      </c>
      <c r="R154" s="8">
        <f>IFERROR(Q154/Q444, "NA")</f>
        <v>3.4727555567971087E-2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-23222.19</v>
      </c>
      <c r="X154" s="8">
        <f>IFERROR(W154/W444, "NA")</f>
        <v>0.44038562157071615</v>
      </c>
      <c r="Y154" s="9"/>
      <c r="Z154" s="7">
        <v>24778.83</v>
      </c>
      <c r="AA154" s="8">
        <f>IFERROR(Z154/Z444, "NA")</f>
        <v>3.8590911093602659E-2</v>
      </c>
      <c r="AB154" s="9"/>
      <c r="AC154" s="10">
        <f t="shared" si="39"/>
        <v>1556.6400000000031</v>
      </c>
      <c r="AD154" s="8">
        <f>IFERROR(AC154/AC444, "NA")</f>
        <v>5.8505850246762588E-2</v>
      </c>
    </row>
    <row r="155" spans="1:30" ht="16.5" customHeight="1" x14ac:dyDescent="0.45">
      <c r="A155" s="12" t="s">
        <v>144</v>
      </c>
      <c r="B155" s="7">
        <v>655.92</v>
      </c>
      <c r="C155" s="8">
        <f>IFERROR(B155/B444, "NA")</f>
        <v>8.6010496133907387E-3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-655.92</v>
      </c>
      <c r="I155" s="8">
        <f>IFERROR(H155/H444, "NA")</f>
        <v>7.8321705042216597E-2</v>
      </c>
      <c r="J155" s="9"/>
      <c r="K155" s="7">
        <v>260.61</v>
      </c>
      <c r="L155" s="8">
        <f>IFERROR(K155/K444, "NA")</f>
        <v>3.5257036390467381E-3</v>
      </c>
      <c r="M155" s="9"/>
      <c r="N155" s="10">
        <f t="shared" si="37"/>
        <v>-395.30999999999995</v>
      </c>
      <c r="O155" s="8">
        <f>IFERROR(N155/N444, "NA")</f>
        <v>-0.16869799001408248</v>
      </c>
      <c r="P155" s="9"/>
      <c r="Q155" s="7">
        <v>5268.8</v>
      </c>
      <c r="R155" s="8">
        <f>IFERROR(Q155/Q444, "NA")</f>
        <v>7.879211425646163E-3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-5268.8</v>
      </c>
      <c r="X155" s="8">
        <f>IFERROR(W155/W444, "NA")</f>
        <v>9.991752556205033E-2</v>
      </c>
      <c r="Y155" s="9"/>
      <c r="Z155" s="7">
        <v>4099.51</v>
      </c>
      <c r="AA155" s="8">
        <f>IFERROR(Z155/Z444, "NA")</f>
        <v>6.3846366409283659E-3</v>
      </c>
      <c r="AB155" s="9"/>
      <c r="AC155" s="10">
        <f t="shared" si="39"/>
        <v>-1169.29</v>
      </c>
      <c r="AD155" s="8">
        <f>IFERROR(AC155/AC444, "NA")</f>
        <v>-4.3947415995372656E-2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3502.69</v>
      </c>
      <c r="C158" s="15">
        <f>IFERROR(B158/B444, "NA")</f>
        <v>4.5930617255652534E-2</v>
      </c>
      <c r="D158" s="2"/>
      <c r="E158" s="14">
        <f>IFERROR(E153+E154+E155+E156+E157, "NA")</f>
        <v>1269.53</v>
      </c>
      <c r="F158" s="15">
        <f>IFERROR(E158/E444, "NA")</f>
        <v>1.5000032492410069E-2</v>
      </c>
      <c r="G158" s="2"/>
      <c r="H158" s="14">
        <f t="shared" si="36"/>
        <v>-2233.16</v>
      </c>
      <c r="I158" s="15">
        <f>IFERROR(H158/H444, "NA")</f>
        <v>0.26665584039528667</v>
      </c>
      <c r="J158" s="2"/>
      <c r="K158" s="14">
        <f>IFERROR(K153+K154+K155+K156+K157, "NA")</f>
        <v>3074.9500000000003</v>
      </c>
      <c r="L158" s="15">
        <f>IFERROR(K158/K444, "NA")</f>
        <v>4.1599947833493606E-2</v>
      </c>
      <c r="M158" s="2"/>
      <c r="N158" s="14">
        <f t="shared" si="37"/>
        <v>-427.73999999999978</v>
      </c>
      <c r="O158" s="15">
        <f>IFERROR(N158/N444, "NA")</f>
        <v>-0.18253744718986015</v>
      </c>
      <c r="P158" s="2"/>
      <c r="Q158" s="14">
        <f>IFERROR(Q153+Q154+Q155+Q156+Q157, "NA")</f>
        <v>28490.989999999998</v>
      </c>
      <c r="R158" s="15">
        <f>IFERROR(Q158/Q444, "NA")</f>
        <v>4.2606766993617248E-2</v>
      </c>
      <c r="S158" s="2"/>
      <c r="T158" s="14">
        <f>IFERROR(T153+T154+T155+T156+T157, "NA")</f>
        <v>11388.77</v>
      </c>
      <c r="U158" s="15">
        <f>IFERROR(T158/T444, "NA")</f>
        <v>1.5786429647815788E-2</v>
      </c>
      <c r="V158" s="2"/>
      <c r="W158" s="14">
        <f t="shared" si="38"/>
        <v>-17102.219999999998</v>
      </c>
      <c r="X158" s="15">
        <f>IFERROR(W158/W444, "NA")</f>
        <v>0.32432650774707866</v>
      </c>
      <c r="Y158" s="2"/>
      <c r="Z158" s="14">
        <f>IFERROR(Z153+Z154+Z155+Z156+Z157, "NA")</f>
        <v>28878.340000000004</v>
      </c>
      <c r="AA158" s="15">
        <f>IFERROR(Z158/Z444, "NA")</f>
        <v>4.4975547734531024E-2</v>
      </c>
      <c r="AB158" s="2"/>
      <c r="AC158" s="14">
        <f t="shared" si="39"/>
        <v>387.35000000000582</v>
      </c>
      <c r="AD158" s="15">
        <f>IFERROR(AC158/AC444, "NA")</f>
        <v>1.4558434251390036E-2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191.57</v>
      </c>
      <c r="C161" s="8">
        <f>IFERROR(B161/B444, "NA")</f>
        <v>2.512048838939602E-3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-191.57</v>
      </c>
      <c r="I161" s="8">
        <f>IFERROR(H161/H444, "NA")</f>
        <v>2.2874876562595185E-2</v>
      </c>
      <c r="J161" s="9"/>
      <c r="K161" s="7">
        <v>174.89</v>
      </c>
      <c r="L161" s="8">
        <f>IFERROR(K161/K444, "NA")</f>
        <v>2.3660270497405469E-3</v>
      </c>
      <c r="M161" s="9"/>
      <c r="N161" s="10">
        <f t="shared" si="41"/>
        <v>-16.680000000000007</v>
      </c>
      <c r="O161" s="8">
        <f>IFERROR(N161/N444, "NA")</f>
        <v>-7.1181666880040908E-3</v>
      </c>
      <c r="P161" s="9"/>
      <c r="Q161" s="7">
        <v>2179.2800000000002</v>
      </c>
      <c r="R161" s="8">
        <f>IFERROR(Q161/Q444, "NA")</f>
        <v>3.2589978506836798E-3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-2179.2800000000002</v>
      </c>
      <c r="X161" s="8">
        <f>IFERROR(W161/W444, "NA")</f>
        <v>4.1327866896990785E-2</v>
      </c>
      <c r="Y161" s="9"/>
      <c r="Z161" s="7">
        <v>1700.85</v>
      </c>
      <c r="AA161" s="8">
        <f>IFERROR(Z161/Z444, "NA")</f>
        <v>2.6489285867635427E-3</v>
      </c>
      <c r="AB161" s="9"/>
      <c r="AC161" s="10">
        <f t="shared" si="43"/>
        <v>-478.43000000000029</v>
      </c>
      <c r="AD161" s="8">
        <f>IFERROR(AC161/AC444, "NA")</f>
        <v>-1.798164889348763E-2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191.57</v>
      </c>
      <c r="C166" s="15">
        <f>IFERROR(B166/B444, "NA")</f>
        <v>2.512048838939602E-3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-191.57</v>
      </c>
      <c r="I166" s="15">
        <f>IFERROR(H166/H444, "NA")</f>
        <v>2.2874876562595185E-2</v>
      </c>
      <c r="J166" s="2"/>
      <c r="K166" s="14">
        <f>IFERROR(K160+K161+K162+K163+K164+K165, "NA")</f>
        <v>174.89</v>
      </c>
      <c r="L166" s="15">
        <f>IFERROR(K166/K444, "NA")</f>
        <v>2.3660270497405469E-3</v>
      </c>
      <c r="M166" s="2"/>
      <c r="N166" s="14">
        <f t="shared" si="41"/>
        <v>-16.680000000000007</v>
      </c>
      <c r="O166" s="15">
        <f>IFERROR(N166/N444, "NA")</f>
        <v>-7.1181666880040908E-3</v>
      </c>
      <c r="P166" s="2"/>
      <c r="Q166" s="14">
        <f>IFERROR(Q160+Q161+Q162+Q163+Q164+Q165, "NA")</f>
        <v>2179.2800000000002</v>
      </c>
      <c r="R166" s="15">
        <f>IFERROR(Q166/Q444, "NA")</f>
        <v>3.2589978506836798E-3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-2179.2800000000002</v>
      </c>
      <c r="X166" s="15">
        <f>IFERROR(W166/W444, "NA")</f>
        <v>4.1327866896990785E-2</v>
      </c>
      <c r="Y166" s="2"/>
      <c r="Z166" s="14">
        <f>IFERROR(Z160+Z161+Z162+Z163+Z164+Z165, "NA")</f>
        <v>1700.85</v>
      </c>
      <c r="AA166" s="15">
        <f>IFERROR(Z166/Z444, "NA")</f>
        <v>2.6489285867635427E-3</v>
      </c>
      <c r="AB166" s="2"/>
      <c r="AC166" s="14">
        <f t="shared" si="43"/>
        <v>-478.43000000000029</v>
      </c>
      <c r="AD166" s="15">
        <f>IFERROR(AC166/AC444, "NA")</f>
        <v>-1.798164889348763E-2</v>
      </c>
    </row>
    <row r="167" spans="1:30" ht="16.5" customHeight="1" x14ac:dyDescent="0.45">
      <c r="A167" s="6" t="s">
        <v>155</v>
      </c>
      <c r="B167" s="7">
        <v>99.08</v>
      </c>
      <c r="C167" s="8">
        <f>IFERROR(B167/B444, "NA")</f>
        <v>1.2992316070477412E-3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-99.08</v>
      </c>
      <c r="I167" s="8">
        <f>IFERROR(H167/H444, "NA")</f>
        <v>1.183088568054461E-2</v>
      </c>
      <c r="J167" s="9"/>
      <c r="K167" s="7">
        <v>88.06</v>
      </c>
      <c r="L167" s="8">
        <f>IFERROR(K167/K444, "NA")</f>
        <v>1.1913336497235553E-3</v>
      </c>
      <c r="M167" s="9"/>
      <c r="N167" s="10">
        <f t="shared" si="41"/>
        <v>-11.019999999999996</v>
      </c>
      <c r="O167" s="8">
        <f>IFERROR(N167/N444, "NA")</f>
        <v>-4.7027695984295575E-3</v>
      </c>
      <c r="P167" s="9"/>
      <c r="Q167" s="7">
        <v>692.46</v>
      </c>
      <c r="R167" s="8">
        <f>IFERROR(Q167/Q444, "NA")</f>
        <v>1.0355372653740782E-3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-692.46</v>
      </c>
      <c r="X167" s="8">
        <f>IFERROR(W167/W444, "NA")</f>
        <v>1.3131811750436033E-2</v>
      </c>
      <c r="Y167" s="9"/>
      <c r="Z167" s="7">
        <v>956.38</v>
      </c>
      <c r="AA167" s="8">
        <f>IFERROR(Z167/Z444, "NA")</f>
        <v>1.4894801551041637E-3</v>
      </c>
      <c r="AB167" s="9"/>
      <c r="AC167" s="10">
        <f t="shared" si="43"/>
        <v>263.91999999999996</v>
      </c>
      <c r="AD167" s="8">
        <f>IFERROR(AC167/AC444, "NA")</f>
        <v>9.9193545052970178E-3</v>
      </c>
    </row>
    <row r="168" spans="1:30" ht="16.5" customHeight="1" x14ac:dyDescent="0.45">
      <c r="A168" s="6" t="s">
        <v>156</v>
      </c>
      <c r="B168" s="7">
        <v>24.31</v>
      </c>
      <c r="C168" s="8">
        <f>IFERROR(B168/B444, "NA")</f>
        <v>3.1877594234286019E-4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-24.31</v>
      </c>
      <c r="I168" s="8">
        <f>IFERROR(H168/H444, "NA")</f>
        <v>2.9027940138679799E-3</v>
      </c>
      <c r="J168" s="9"/>
      <c r="K168" s="7">
        <v>41.6</v>
      </c>
      <c r="L168" s="8">
        <f>IFERROR(K168/K444, "NA")</f>
        <v>5.6279218519759142E-4</v>
      </c>
      <c r="M168" s="9"/>
      <c r="N168" s="10">
        <f t="shared" si="41"/>
        <v>17.290000000000003</v>
      </c>
      <c r="O168" s="8">
        <f>IFERROR(N168/N444, "NA")</f>
        <v>7.3784833354670681E-3</v>
      </c>
      <c r="P168" s="9"/>
      <c r="Q168" s="7">
        <v>212.33</v>
      </c>
      <c r="R168" s="8">
        <f>IFERROR(Q168/Q444, "NA")</f>
        <v>3.175282724733241E-4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-212.33</v>
      </c>
      <c r="X168" s="8">
        <f>IFERROR(W168/W444, "NA")</f>
        <v>4.0266262151894446E-3</v>
      </c>
      <c r="Y168" s="9"/>
      <c r="Z168" s="7">
        <v>350.69</v>
      </c>
      <c r="AA168" s="8">
        <f>IFERROR(Z168/Z444, "NA")</f>
        <v>5.4616971872423008E-4</v>
      </c>
      <c r="AB168" s="9"/>
      <c r="AC168" s="10">
        <f t="shared" si="43"/>
        <v>138.35999999999999</v>
      </c>
      <c r="AD168" s="8">
        <f>IFERROR(AC168/AC444, "NA")</f>
        <v>5.200219344319852E-3</v>
      </c>
    </row>
    <row r="169" spans="1:30" ht="16.5" customHeight="1" x14ac:dyDescent="0.45">
      <c r="A169" s="6" t="s">
        <v>157</v>
      </c>
      <c r="B169" s="7">
        <v>-1080.81</v>
      </c>
      <c r="C169" s="8">
        <f>IFERROR(B169/B444, "NA")</f>
        <v>-1.4172613173327303E-2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1080.81</v>
      </c>
      <c r="I169" s="8">
        <f>IFERROR(H169/H444, "NA")</f>
        <v>-0.12905671732326826</v>
      </c>
      <c r="J169" s="9"/>
      <c r="K169" s="7">
        <v>-3641.41</v>
      </c>
      <c r="L169" s="8">
        <f>IFERROR(K169/K444, "NA")</f>
        <v>-4.9263391612989454E-2</v>
      </c>
      <c r="M169" s="9"/>
      <c r="N169" s="10">
        <f t="shared" si="41"/>
        <v>-2560.6</v>
      </c>
      <c r="O169" s="8">
        <f>IFERROR(N169/N444, "NA")</f>
        <v>-1.092732471301155</v>
      </c>
      <c r="P169" s="9"/>
      <c r="Q169" s="7">
        <v>-12604.45</v>
      </c>
      <c r="R169" s="8">
        <f>IFERROR(Q169/Q444, "NA")</f>
        <v>-1.8849287589960861E-2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12604.45</v>
      </c>
      <c r="X169" s="8">
        <f>IFERROR(W169/W444, "NA")</f>
        <v>-0.23903079545068806</v>
      </c>
      <c r="Y169" s="9"/>
      <c r="Z169" s="7">
        <v>-17649.23</v>
      </c>
      <c r="AA169" s="8">
        <f>IFERROR(Z169/Z444, "NA")</f>
        <v>-2.748716811086499E-2</v>
      </c>
      <c r="AB169" s="9"/>
      <c r="AC169" s="10">
        <f t="shared" si="43"/>
        <v>-5044.7799999999988</v>
      </c>
      <c r="AD169" s="8">
        <f>IFERROR(AC169/AC444, "NA")</f>
        <v>-0.18960655206589982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2736.84</v>
      </c>
      <c r="C170" s="15">
        <f>IFERROR(B170/B444, "NA")</f>
        <v>3.5888060470655438E-2</v>
      </c>
      <c r="D170" s="2"/>
      <c r="E170" s="14">
        <f>IFERROR(E151+E153+E154+E155+E156+E157+E160+E161+E162+E163+E164+E165+E167+E168+E169, "NA")</f>
        <v>1269.53</v>
      </c>
      <c r="F170" s="15">
        <f>IFERROR(E170/E444, "NA")</f>
        <v>1.5000032492410069E-2</v>
      </c>
      <c r="G170" s="2"/>
      <c r="H170" s="14">
        <f t="shared" si="40"/>
        <v>-1467.3100000000002</v>
      </c>
      <c r="I170" s="15">
        <f>IFERROR(H170/H444, "NA")</f>
        <v>0.1752076793290262</v>
      </c>
      <c r="J170" s="2"/>
      <c r="K170" s="14">
        <f>IFERROR(K151+K153+K154+K155+K156+K157+K160+K161+K162+K163+K164+K165+K167+K168+K169, "NA")</f>
        <v>-261.90999999999985</v>
      </c>
      <c r="L170" s="15">
        <f>IFERROR(K170/K444, "NA")</f>
        <v>-3.5432908948341609E-3</v>
      </c>
      <c r="M170" s="2"/>
      <c r="N170" s="14">
        <f t="shared" si="41"/>
        <v>-2998.75</v>
      </c>
      <c r="O170" s="15">
        <f>IFERROR(N170/N444, "NA")</f>
        <v>-1.279712371441982</v>
      </c>
      <c r="P170" s="2"/>
      <c r="Q170" s="14">
        <f>IFERROR(Q151+Q153+Q154+Q155+Q156+Q157+Q160+Q161+Q162+Q163+Q164+Q165+Q167+Q168+Q169, "NA")</f>
        <v>18970.609999999997</v>
      </c>
      <c r="R170" s="15">
        <f>IFERROR(Q170/Q444, "NA")</f>
        <v>2.8369542792187469E-2</v>
      </c>
      <c r="S170" s="2"/>
      <c r="T170" s="14">
        <f>IFERROR(T151+T153+T154+T155+T156+T157+T160+T161+T162+T163+T164+T165+T167+T168+T169, "NA")</f>
        <v>11388.77</v>
      </c>
      <c r="U170" s="15">
        <f>IFERROR(T170/T444, "NA")</f>
        <v>1.5786429647815788E-2</v>
      </c>
      <c r="V170" s="2"/>
      <c r="W170" s="14">
        <f t="shared" si="42"/>
        <v>-7581.8399999999965</v>
      </c>
      <c r="X170" s="15">
        <f>IFERROR(W170/W444, "NA")</f>
        <v>0.14378201715900685</v>
      </c>
      <c r="Y170" s="2"/>
      <c r="Z170" s="14">
        <f>IFERROR(Z151+Z153+Z154+Z155+Z156+Z157+Z160+Z161+Z162+Z163+Z164+Z165+Z167+Z168+Z169, "NA")</f>
        <v>14237.030000000002</v>
      </c>
      <c r="AA170" s="15">
        <f>IFERROR(Z170/Z444, "NA")</f>
        <v>2.2172958084257968E-2</v>
      </c>
      <c r="AB170" s="2"/>
      <c r="AC170" s="14">
        <f t="shared" si="43"/>
        <v>-4733.5799999999945</v>
      </c>
      <c r="AD170" s="15">
        <f>IFERROR(AC170/AC444, "NA")</f>
        <v>-0.17791019285838061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22080.120000000003</v>
      </c>
      <c r="C171" s="15">
        <f>IFERROR(B171/B444, "NA")</f>
        <v>0.28953562567023594</v>
      </c>
      <c r="D171" s="2"/>
      <c r="E171" s="14">
        <f>IFERROR(E127+E129+E130+E131+E132+E133+E134+E135+E136+E137+E138+E139+E140+E143+E144+E145+E146+E147+E151+E153+E154+E155+E156+E157+E160+E161+E162+E163+E164+E165+E167+E168+E169, "NA")</f>
        <v>22005.14</v>
      </c>
      <c r="F171" s="15">
        <f>IFERROR(E171/E444, "NA")</f>
        <v>0.26000001181542187</v>
      </c>
      <c r="G171" s="2"/>
      <c r="H171" s="14">
        <f t="shared" si="40"/>
        <v>-74.980000000003201</v>
      </c>
      <c r="I171" s="15">
        <f>IFERROR(H171/H444, "NA")</f>
        <v>8.9531672217124832E-3</v>
      </c>
      <c r="J171" s="2"/>
      <c r="K171" s="14">
        <f>IFERROR(K127+K129+K130+K131+K132+K133+K134+K135+K136+K137+K138+K139+K140+K143+K144+K145+K146+K147+K151+K153+K154+K155+K156+K157+K160+K161+K162+K163+K164+K165+K167+K168+K169, "NA")</f>
        <v>19907.719999999998</v>
      </c>
      <c r="L171" s="15">
        <f>IFERROR(K171/K444, "NA")</f>
        <v>0.26932474137263929</v>
      </c>
      <c r="M171" s="2"/>
      <c r="N171" s="14">
        <f t="shared" si="41"/>
        <v>-2172.4000000000051</v>
      </c>
      <c r="O171" s="15">
        <f>IFERROR(N171/N444, "NA")</f>
        <v>-0.92706866385012687</v>
      </c>
      <c r="P171" s="2"/>
      <c r="Q171" s="14">
        <f>IFERROR(Q127+Q129+Q130+Q131+Q132+Q133+Q134+Q135+Q136+Q137+Q138+Q139+Q140+Q143+Q144+Q145+Q146+Q147+Q151+Q153+Q154+Q155+Q156+Q157+Q160+Q161+Q162+Q163+Q164+Q165+Q167+Q168+Q169, "NA")</f>
        <v>190877.57</v>
      </c>
      <c r="R171" s="15">
        <f>IFERROR(Q171/Q444, "NA")</f>
        <v>0.28544729927945173</v>
      </c>
      <c r="S171" s="2"/>
      <c r="T171" s="14">
        <f>IFERROR(T127+T129+T130+T131+T132+T133+T134+T135+T136+T137+T138+T139+T140+T143+T144+T145+T146+T147+T151+T153+T154+T155+T156+T157+T160+T161+T162+T163+T164+T165+T167+T168+T169, "NA")</f>
        <v>193675.56</v>
      </c>
      <c r="U171" s="15">
        <f>IFERROR(T171/T444, "NA")</f>
        <v>0.26846144073866846</v>
      </c>
      <c r="V171" s="2"/>
      <c r="W171" s="14">
        <f t="shared" si="42"/>
        <v>2797.9899999999907</v>
      </c>
      <c r="X171" s="15">
        <f>IFERROR(W171/W444, "NA")</f>
        <v>-5.3061083614363846E-2</v>
      </c>
      <c r="Y171" s="2"/>
      <c r="Z171" s="14">
        <f>IFERROR(Z127+Z129+Z130+Z131+Z132+Z133+Z134+Z135+Z136+Z137+Z138+Z139+Z140+Z143+Z144+Z145+Z146+Z147+Z151+Z153+Z154+Z155+Z156+Z157+Z160+Z161+Z162+Z163+Z164+Z165+Z167+Z168+Z169, "NA")</f>
        <v>183358.62</v>
      </c>
      <c r="AA171" s="15">
        <f>IFERROR(Z171/Z444, "NA")</f>
        <v>0.28556538798101738</v>
      </c>
      <c r="AB171" s="2"/>
      <c r="AC171" s="14">
        <f t="shared" si="43"/>
        <v>-7518.9500000000116</v>
      </c>
      <c r="AD171" s="15">
        <f>IFERROR(AC171/AC444, "NA")</f>
        <v>-0.28259749377691395</v>
      </c>
    </row>
    <row r="172" spans="1:30" ht="16.5" customHeight="1" x14ac:dyDescent="0.45">
      <c r="A172" s="22" t="s">
        <v>160</v>
      </c>
      <c r="B172" s="23">
        <f>IFERROR(B124-B171, "NA")</f>
        <v>54180.340000000004</v>
      </c>
      <c r="C172" s="24">
        <f>IFERROR(B172/B444, "NA")</f>
        <v>0.71046437432976406</v>
      </c>
      <c r="D172" s="25"/>
      <c r="E172" s="23">
        <f>IFERROR(E124-E171, "NA")</f>
        <v>62630.009999999995</v>
      </c>
      <c r="F172" s="24">
        <f>IFERROR(E172/E444, "NA")</f>
        <v>0.73999998818457813</v>
      </c>
      <c r="G172" s="25"/>
      <c r="H172" s="23">
        <f>IFERROR(B172-E172, "NA")</f>
        <v>-8449.669999999991</v>
      </c>
      <c r="I172" s="24">
        <f>IFERROR(H172/H444, "NA")</f>
        <v>1.0089531672217125</v>
      </c>
      <c r="J172" s="25"/>
      <c r="K172" s="23">
        <f>IFERROR(K124-K171, "NA")</f>
        <v>54009.439999999959</v>
      </c>
      <c r="L172" s="24">
        <f>IFERROR(K172/K444, "NA")</f>
        <v>0.73067525862736005</v>
      </c>
      <c r="M172" s="25"/>
      <c r="N172" s="23">
        <f>IFERROR(B172-K172, "NA")</f>
        <v>170.90000000004511</v>
      </c>
      <c r="O172" s="24">
        <f>IFERROR(N172/N444, "NA")</f>
        <v>7.2931336149893264E-2</v>
      </c>
      <c r="P172" s="25"/>
      <c r="Q172" s="23">
        <f>IFERROR(Q124-Q171, "NA")</f>
        <v>477818.79</v>
      </c>
      <c r="R172" s="24">
        <f>IFERROR(Q172/Q444, "NA")</f>
        <v>0.71455270072054822</v>
      </c>
      <c r="S172" s="25"/>
      <c r="T172" s="23">
        <f>IFERROR(T124-T171, "NA")</f>
        <v>527752.29</v>
      </c>
      <c r="U172" s="24">
        <f>IFERROR(T172/T444, "NA")</f>
        <v>0.7315385592613316</v>
      </c>
      <c r="V172" s="25"/>
      <c r="W172" s="23">
        <f>IFERROR(Q172-T172, "NA")</f>
        <v>-49933.500000000058</v>
      </c>
      <c r="X172" s="24">
        <f>IFERROR(W172/W444, "NA")</f>
        <v>0.94693891638563721</v>
      </c>
      <c r="Y172" s="25"/>
      <c r="Z172" s="23">
        <f>IFERROR(Z124-Z171, "NA")</f>
        <v>458731.16999999993</v>
      </c>
      <c r="AA172" s="24">
        <f>IFERROR(Z172/Z444, "NA")</f>
        <v>0.7144346120189824</v>
      </c>
      <c r="AB172" s="25"/>
      <c r="AC172" s="23">
        <f>IFERROR(Q172-Z172, "NA")</f>
        <v>19087.620000000054</v>
      </c>
      <c r="AD172" s="24">
        <f>IFERROR(AC172/AC444, "NA")</f>
        <v>0.71740250622309043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5076.92</v>
      </c>
      <c r="C178" s="8">
        <f>IFERROR(B178/B444, "NA")</f>
        <v>6.6573424812806009E-2</v>
      </c>
      <c r="D178" s="9"/>
      <c r="E178" s="7">
        <v>5000</v>
      </c>
      <c r="F178" s="8">
        <f>IFERROR(E178/E444, "NA")</f>
        <v>5.9077109215261041E-2</v>
      </c>
      <c r="G178" s="9"/>
      <c r="H178" s="10">
        <f t="shared" si="44"/>
        <v>-76.920000000000073</v>
      </c>
      <c r="I178" s="8">
        <f>IFERROR(H178/H444, "NA")</f>
        <v>9.1848175872778787E-3</v>
      </c>
      <c r="J178" s="9"/>
      <c r="K178" s="7">
        <v>5307.68</v>
      </c>
      <c r="L178" s="8">
        <f>IFERROR(K178/K444, "NA")</f>
        <v>7.1805789075229623E-2</v>
      </c>
      <c r="M178" s="9"/>
      <c r="N178" s="10">
        <f t="shared" si="45"/>
        <v>230.76000000000022</v>
      </c>
      <c r="O178" s="8">
        <f>IFERROR(N178/N444, "NA")</f>
        <v>9.8476507489437939E-2</v>
      </c>
      <c r="P178" s="9"/>
      <c r="Q178" s="7">
        <v>39878.94</v>
      </c>
      <c r="R178" s="8">
        <f>IFERROR(Q178/Q444, "NA")</f>
        <v>5.9636843245266059E-2</v>
      </c>
      <c r="S178" s="9"/>
      <c r="T178" s="7">
        <v>42500</v>
      </c>
      <c r="U178" s="8">
        <f>IFERROR(T178/T444, "NA")</f>
        <v>5.8910950000058915E-2</v>
      </c>
      <c r="V178" s="9"/>
      <c r="W178" s="10">
        <f t="shared" si="46"/>
        <v>2621.0599999999977</v>
      </c>
      <c r="X178" s="8">
        <f>IFERROR(W178/W444, "NA")</f>
        <v>-4.9705783015044677E-2</v>
      </c>
      <c r="Y178" s="9"/>
      <c r="Z178" s="7">
        <v>45115.28</v>
      </c>
      <c r="AA178" s="8">
        <f>IFERROR(Z178/Z444, "NA")</f>
        <v>7.0263194809560822E-2</v>
      </c>
      <c r="AB178" s="9"/>
      <c r="AC178" s="10">
        <f t="shared" si="47"/>
        <v>5236.3399999999965</v>
      </c>
      <c r="AD178" s="8">
        <f>IFERROR(AC178/AC444, "NA")</f>
        <v>0.19680627754723765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17744.849999999999</v>
      </c>
      <c r="C180" s="8">
        <f>IFERROR(B180/B444, "NA")</f>
        <v>0.23268742412516261</v>
      </c>
      <c r="D180" s="9"/>
      <c r="E180" s="7">
        <v>15065.06</v>
      </c>
      <c r="F180" s="8">
        <f>IFERROR(E180/E444, "NA")</f>
        <v>0.17800003899089209</v>
      </c>
      <c r="G180" s="9"/>
      <c r="H180" s="10">
        <f t="shared" si="44"/>
        <v>-2679.7899999999991</v>
      </c>
      <c r="I180" s="8">
        <f>IFERROR(H180/H444, "NA")</f>
        <v>0.31998676965953404</v>
      </c>
      <c r="J180" s="9"/>
      <c r="K180" s="7">
        <v>16140.14</v>
      </c>
      <c r="L180" s="8">
        <f>IFERROR(K180/K444, "NA")</f>
        <v>0.21835443894218878</v>
      </c>
      <c r="M180" s="9"/>
      <c r="N180" s="10">
        <f t="shared" si="45"/>
        <v>-1604.7099999999991</v>
      </c>
      <c r="O180" s="8">
        <f>IFERROR(N180/N444, "NA")</f>
        <v>-0.68480774975461833</v>
      </c>
      <c r="P180" s="9"/>
      <c r="Q180" s="7">
        <v>141733.53</v>
      </c>
      <c r="R180" s="8">
        <f>IFERROR(Q180/Q444, "NA")</f>
        <v>0.21195498955609687</v>
      </c>
      <c r="S180" s="9"/>
      <c r="T180" s="7">
        <v>136209.07999999999</v>
      </c>
      <c r="U180" s="8">
        <f>IFERROR(T180/T444, "NA")</f>
        <v>0.18880485415138878</v>
      </c>
      <c r="V180" s="9"/>
      <c r="W180" s="10">
        <f t="shared" si="46"/>
        <v>-5524.4500000000116</v>
      </c>
      <c r="X180" s="8">
        <f>IFERROR(W180/W444, "NA")</f>
        <v>0.10476567227666073</v>
      </c>
      <c r="Y180" s="9"/>
      <c r="Z180" s="7">
        <v>128271.41</v>
      </c>
      <c r="AA180" s="8">
        <f>IFERROR(Z180/Z444, "NA")</f>
        <v>0.19977176400827054</v>
      </c>
      <c r="AB180" s="9"/>
      <c r="AC180" s="10">
        <f t="shared" si="47"/>
        <v>-13462.119999999995</v>
      </c>
      <c r="AD180" s="8">
        <f>IFERROR(AC180/AC444, "NA")</f>
        <v>-0.50596976611415978</v>
      </c>
    </row>
    <row r="181" spans="1:30" ht="16.5" customHeight="1" x14ac:dyDescent="0.45">
      <c r="A181" s="12" t="s">
        <v>166</v>
      </c>
      <c r="B181" s="7">
        <v>376.11</v>
      </c>
      <c r="C181" s="8">
        <f>IFERROR(B181/B444, "NA")</f>
        <v>4.9319136024094266E-3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-376.11</v>
      </c>
      <c r="I181" s="8">
        <f>IFERROR(H181/H444, "NA")</f>
        <v>4.4910319068526786E-2</v>
      </c>
      <c r="J181" s="9"/>
      <c r="K181" s="7">
        <v>-180.94</v>
      </c>
      <c r="L181" s="8">
        <f>IFERROR(K181/K444, "NA")</f>
        <v>-2.4478754324435623E-3</v>
      </c>
      <c r="M181" s="9"/>
      <c r="N181" s="10">
        <f t="shared" si="45"/>
        <v>-557.04999999999995</v>
      </c>
      <c r="O181" s="8">
        <f>IFERROR(N181/N444, "NA")</f>
        <v>-0.23772030896598781</v>
      </c>
      <c r="P181" s="9"/>
      <c r="Q181" s="7">
        <v>341.44</v>
      </c>
      <c r="R181" s="8">
        <f>IFERROR(Q181/Q444, "NA")</f>
        <v>5.1060544130971492E-4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-341.44</v>
      </c>
      <c r="X181" s="8">
        <f>IFERROR(W181/W444, "NA")</f>
        <v>6.4750683130706159E-3</v>
      </c>
      <c r="Y181" s="9"/>
      <c r="Z181" s="7">
        <v>171.9</v>
      </c>
      <c r="AA181" s="8">
        <f>IFERROR(Z181/Z444, "NA")</f>
        <v>2.6771956613731544E-4</v>
      </c>
      <c r="AB181" s="9"/>
      <c r="AC181" s="10">
        <f t="shared" si="47"/>
        <v>-169.54</v>
      </c>
      <c r="AD181" s="8">
        <f>IFERROR(AC181/AC444, "NA")</f>
        <v>-6.3721103471811782E-3</v>
      </c>
    </row>
    <row r="182" spans="1:30" ht="16.5" customHeight="1" x14ac:dyDescent="0.45">
      <c r="A182" s="13" t="s">
        <v>167</v>
      </c>
      <c r="B182" s="14">
        <f>IFERROR(B177+B178+B179+B180+B181, "NA")</f>
        <v>23197.879999999997</v>
      </c>
      <c r="C182" s="15">
        <f>IFERROR(B182/B444, "NA")</f>
        <v>0.30419276254037803</v>
      </c>
      <c r="D182" s="2"/>
      <c r="E182" s="14">
        <f>IFERROR(E177+E178+E179+E180+E181, "NA")</f>
        <v>20065.059999999998</v>
      </c>
      <c r="F182" s="15">
        <f>IFERROR(E182/E444, "NA")</f>
        <v>0.23707714820615311</v>
      </c>
      <c r="G182" s="2"/>
      <c r="H182" s="14">
        <f t="shared" si="44"/>
        <v>-3132.8199999999997</v>
      </c>
      <c r="I182" s="15">
        <f>IFERROR(H182/H444, "NA")</f>
        <v>0.37408190631533877</v>
      </c>
      <c r="J182" s="2"/>
      <c r="K182" s="14">
        <f>IFERROR(K177+K178+K179+K180+K181, "NA")</f>
        <v>21266.880000000001</v>
      </c>
      <c r="L182" s="15">
        <f>IFERROR(K182/K444, "NA")</f>
        <v>0.28771235258497485</v>
      </c>
      <c r="M182" s="2"/>
      <c r="N182" s="14">
        <f t="shared" si="45"/>
        <v>-1930.9999999999964</v>
      </c>
      <c r="O182" s="15">
        <f>IFERROR(N182/N444, "NA")</f>
        <v>-0.82405155123116713</v>
      </c>
      <c r="P182" s="2"/>
      <c r="Q182" s="14">
        <f>IFERROR(Q177+Q178+Q179+Q180+Q181, "NA")</f>
        <v>181953.91</v>
      </c>
      <c r="R182" s="15">
        <f>IFERROR(Q182/Q444, "NA")</f>
        <v>0.27210243824267266</v>
      </c>
      <c r="S182" s="2"/>
      <c r="T182" s="14">
        <f>IFERROR(T177+T178+T179+T180+T181, "NA")</f>
        <v>178709.08</v>
      </c>
      <c r="U182" s="15">
        <f>IFERROR(T182/T444, "NA")</f>
        <v>0.2477158041514477</v>
      </c>
      <c r="V182" s="2"/>
      <c r="W182" s="14">
        <f t="shared" si="46"/>
        <v>-3244.8300000000163</v>
      </c>
      <c r="X182" s="15">
        <f>IFERROR(W182/W444, "NA")</f>
        <v>6.1534957574686716E-2</v>
      </c>
      <c r="Y182" s="2"/>
      <c r="Z182" s="14">
        <f>IFERROR(Z177+Z178+Z179+Z180+Z181, "NA")</f>
        <v>173558.59</v>
      </c>
      <c r="AA182" s="15">
        <f>IFERROR(Z182/Z444, "NA")</f>
        <v>0.27030267838396865</v>
      </c>
      <c r="AB182" s="2"/>
      <c r="AC182" s="14">
        <f t="shared" si="47"/>
        <v>-8395.320000000007</v>
      </c>
      <c r="AD182" s="15">
        <f>IFERROR(AC182/AC444, "NA")</f>
        <v>-0.31553559891410365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3.9338865776576745E-3</v>
      </c>
      <c r="D184" s="9"/>
      <c r="E184" s="7">
        <v>300</v>
      </c>
      <c r="F184" s="8">
        <f>IFERROR(E184/E444, "NA")</f>
        <v>3.5446265529156624E-3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50</v>
      </c>
      <c r="L184" s="8">
        <f>IFERROR(K184/K444, "NA")</f>
        <v>6.7643291490095125E-4</v>
      </c>
      <c r="M184" s="9"/>
      <c r="N184" s="10">
        <f t="shared" si="45"/>
        <v>-250</v>
      </c>
      <c r="O184" s="8">
        <f>IFERROR(N184/N444, "NA")</f>
        <v>-0.10668715059958166</v>
      </c>
      <c r="P184" s="9"/>
      <c r="Q184" s="7">
        <v>1400</v>
      </c>
      <c r="R184" s="8">
        <f>IFERROR(Q184/Q444, "NA")</f>
        <v>2.0936258722867879E-3</v>
      </c>
      <c r="S184" s="9"/>
      <c r="T184" s="7">
        <v>2400</v>
      </c>
      <c r="U184" s="8">
        <f>IFERROR(T184/T444, "NA")</f>
        <v>3.326736000003327E-3</v>
      </c>
      <c r="V184" s="9"/>
      <c r="W184" s="10">
        <f t="shared" si="46"/>
        <v>1000</v>
      </c>
      <c r="X184" s="8">
        <f>IFERROR(W184/W444, "NA")</f>
        <v>-1.8964000448308975E-2</v>
      </c>
      <c r="Y184" s="9"/>
      <c r="Z184" s="7">
        <v>1950</v>
      </c>
      <c r="AA184" s="8">
        <f>IFERROR(Z184/Z444, "NA")</f>
        <v>3.0369584291318505E-3</v>
      </c>
      <c r="AB184" s="9"/>
      <c r="AC184" s="10">
        <f t="shared" si="47"/>
        <v>550</v>
      </c>
      <c r="AD184" s="8">
        <f>IFERROR(AC184/AC444, "NA")</f>
        <v>2.0671586003006063E-2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2255.11</v>
      </c>
      <c r="C186" s="8">
        <f>IFERROR(B186/B444, "NA")</f>
        <v>2.9571156533805328E-2</v>
      </c>
      <c r="D186" s="9"/>
      <c r="E186" s="7">
        <v>2031.24</v>
      </c>
      <c r="F186" s="8">
        <f>IFERROR(E186/E444, "NA")</f>
        <v>2.3999957464481365E-2</v>
      </c>
      <c r="G186" s="9"/>
      <c r="H186" s="10">
        <f t="shared" ref="H186:H197" si="48">IFERROR(-(B186-E186), "NA")</f>
        <v>-223.87000000000012</v>
      </c>
      <c r="I186" s="8">
        <f>IFERROR(H186/H444, "NA")</f>
        <v>2.673173574186035E-2</v>
      </c>
      <c r="J186" s="9"/>
      <c r="K186" s="7">
        <v>2533.73</v>
      </c>
      <c r="L186" s="8">
        <f>IFERROR(K186/K444, "NA")</f>
        <v>3.4277967389439744E-2</v>
      </c>
      <c r="M186" s="9"/>
      <c r="N186" s="10">
        <f t="shared" ref="N186:N197" si="49">IFERROR(-(B186-K186), "NA")</f>
        <v>278.61999999999989</v>
      </c>
      <c r="O186" s="8">
        <f>IFERROR(N186/N444, "NA")</f>
        <v>0.11890069560022172</v>
      </c>
      <c r="P186" s="9"/>
      <c r="Q186" s="7">
        <v>21454.06</v>
      </c>
      <c r="R186" s="8">
        <f>IFERROR(Q186/Q444, "NA")</f>
        <v>3.208341077256649E-2</v>
      </c>
      <c r="S186" s="9"/>
      <c r="T186" s="7">
        <v>19950.78</v>
      </c>
      <c r="U186" s="8">
        <f>IFERROR(T186/T444, "NA")</f>
        <v>2.7654574189227652E-2</v>
      </c>
      <c r="V186" s="9"/>
      <c r="W186" s="10">
        <f t="shared" ref="W186:W197" si="50">IFERROR(-(Q186-T186), "NA")</f>
        <v>-1503.2800000000025</v>
      </c>
      <c r="X186" s="8">
        <f>IFERROR(W186/W444, "NA")</f>
        <v>2.8508202593933961E-2</v>
      </c>
      <c r="Y186" s="9"/>
      <c r="Z186" s="7">
        <v>21792.89</v>
      </c>
      <c r="AA186" s="8">
        <f>IFERROR(Z186/Z444, "NA")</f>
        <v>3.3940564605458058E-2</v>
      </c>
      <c r="AB186" s="9"/>
      <c r="AC186" s="10">
        <f t="shared" ref="AC186:AC197" si="51">IFERROR(-(Q186-Z186), "NA")</f>
        <v>338.82999999999811</v>
      </c>
      <c r="AD186" s="8">
        <f>IFERROR(AC186/AC444, "NA")</f>
        <v>1.2734824518906373E-2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7.7870728952098744E-8</v>
      </c>
      <c r="AB187" s="9"/>
      <c r="AC187" s="10">
        <f t="shared" si="51"/>
        <v>0.05</v>
      </c>
      <c r="AD187" s="8">
        <f>IFERROR(AC187/AC444, "NA")</f>
        <v>1.8792350911823697E-6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2255.11</v>
      </c>
      <c r="C193" s="15">
        <f>IFERROR(B193/B444, "NA")</f>
        <v>2.9571156533805328E-2</v>
      </c>
      <c r="D193" s="2"/>
      <c r="E193" s="14">
        <f>IFERROR(E186+E187+E188+E189+E190+E191+E192, "NA")</f>
        <v>2031.24</v>
      </c>
      <c r="F193" s="15">
        <f>IFERROR(E193/E444, "NA")</f>
        <v>2.3999957464481365E-2</v>
      </c>
      <c r="G193" s="2"/>
      <c r="H193" s="14">
        <f t="shared" si="48"/>
        <v>-223.87000000000012</v>
      </c>
      <c r="I193" s="15">
        <f>IFERROR(H193/H444, "NA")</f>
        <v>2.673173574186035E-2</v>
      </c>
      <c r="J193" s="2"/>
      <c r="K193" s="14">
        <f>IFERROR(K186+K187+K188+K189+K190+K191+K192, "NA")</f>
        <v>2533.73</v>
      </c>
      <c r="L193" s="15">
        <f>IFERROR(K193/K444, "NA")</f>
        <v>3.4277967389439744E-2</v>
      </c>
      <c r="M193" s="2"/>
      <c r="N193" s="14">
        <f t="shared" si="49"/>
        <v>278.61999999999989</v>
      </c>
      <c r="O193" s="15">
        <f>IFERROR(N193/N444, "NA")</f>
        <v>0.11890069560022172</v>
      </c>
      <c r="P193" s="2"/>
      <c r="Q193" s="14">
        <f>IFERROR(Q186+Q187+Q188+Q189+Q190+Q191+Q192, "NA")</f>
        <v>21454.06</v>
      </c>
      <c r="R193" s="15">
        <f>IFERROR(Q193/Q444, "NA")</f>
        <v>3.208341077256649E-2</v>
      </c>
      <c r="S193" s="2"/>
      <c r="T193" s="14">
        <f>IFERROR(T186+T187+T188+T189+T190+T191+T192, "NA")</f>
        <v>19950.78</v>
      </c>
      <c r="U193" s="15">
        <f>IFERROR(T193/T444, "NA")</f>
        <v>2.7654574189227652E-2</v>
      </c>
      <c r="V193" s="2"/>
      <c r="W193" s="14">
        <f t="shared" si="50"/>
        <v>-1503.2800000000025</v>
      </c>
      <c r="X193" s="15">
        <f>IFERROR(W193/W444, "NA")</f>
        <v>2.8508202593933961E-2</v>
      </c>
      <c r="Y193" s="2"/>
      <c r="Z193" s="14">
        <f>IFERROR(Z186+Z187+Z188+Z189+Z190+Z191+Z192, "NA")</f>
        <v>21792.94</v>
      </c>
      <c r="AA193" s="15">
        <f>IFERROR(Z193/Z444, "NA")</f>
        <v>3.3940642476187013E-2</v>
      </c>
      <c r="AB193" s="2"/>
      <c r="AC193" s="14">
        <f t="shared" si="51"/>
        <v>338.87999999999738</v>
      </c>
      <c r="AD193" s="15">
        <f>IFERROR(AC193/AC444, "NA")</f>
        <v>1.273670375399753E-2</v>
      </c>
    </row>
    <row r="194" spans="1:30" ht="16.5" customHeight="1" x14ac:dyDescent="0.45">
      <c r="A194" s="6" t="s">
        <v>178</v>
      </c>
      <c r="B194" s="7">
        <v>237.44</v>
      </c>
      <c r="C194" s="8">
        <f>IFERROR(B194/B444, "NA")</f>
        <v>3.1135400966634608E-3</v>
      </c>
      <c r="D194" s="9"/>
      <c r="E194" s="7">
        <v>162.91999999999999</v>
      </c>
      <c r="F194" s="8">
        <f>IFERROR(E194/E444, "NA")</f>
        <v>1.9249685266700656E-3</v>
      </c>
      <c r="G194" s="9"/>
      <c r="H194" s="10">
        <f t="shared" si="48"/>
        <v>-74.52000000000001</v>
      </c>
      <c r="I194" s="8">
        <f>IFERROR(H194/H444, "NA")</f>
        <v>8.8982398154439299E-3</v>
      </c>
      <c r="J194" s="9"/>
      <c r="K194" s="7">
        <v>250.16</v>
      </c>
      <c r="L194" s="8">
        <f>IFERROR(K194/K444, "NA")</f>
        <v>3.3843291598324391E-3</v>
      </c>
      <c r="M194" s="9"/>
      <c r="N194" s="10">
        <f t="shared" si="49"/>
        <v>12.719999999999999</v>
      </c>
      <c r="O194" s="8">
        <f>IFERROR(N194/N444, "NA")</f>
        <v>5.4282422225067142E-3</v>
      </c>
      <c r="P194" s="9"/>
      <c r="Q194" s="7">
        <v>1887.86</v>
      </c>
      <c r="R194" s="8">
        <f>IFERROR(Q194/Q444, "NA")</f>
        <v>2.8231946708966683E-3</v>
      </c>
      <c r="S194" s="9"/>
      <c r="T194" s="7">
        <v>1448.88</v>
      </c>
      <c r="U194" s="8">
        <f>IFERROR(T194/T444, "NA")</f>
        <v>2.0083505232020085E-3</v>
      </c>
      <c r="V194" s="9"/>
      <c r="W194" s="10">
        <f t="shared" si="50"/>
        <v>-438.97999999999979</v>
      </c>
      <c r="X194" s="8">
        <f>IFERROR(W194/W444, "NA")</f>
        <v>8.3248169167986687E-3</v>
      </c>
      <c r="Y194" s="9"/>
      <c r="Z194" s="7">
        <v>1646.18</v>
      </c>
      <c r="AA194" s="8">
        <f>IFERROR(Z194/Z444, "NA")</f>
        <v>2.563784731727318E-3</v>
      </c>
      <c r="AB194" s="9"/>
      <c r="AC194" s="10">
        <f t="shared" si="51"/>
        <v>-241.67999999999984</v>
      </c>
      <c r="AD194" s="8">
        <f>IFERROR(AC194/AC444, "NA")</f>
        <v>-9.0834707367390948E-3</v>
      </c>
    </row>
    <row r="195" spans="1:30" ht="16.5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142.56</v>
      </c>
      <c r="F195" s="8">
        <f>IFERROR(E195/E444, "NA")</f>
        <v>1.6844065379455228E-3</v>
      </c>
      <c r="G195" s="9"/>
      <c r="H195" s="10">
        <f t="shared" si="48"/>
        <v>142.56</v>
      </c>
      <c r="I195" s="8">
        <f>IFERROR(H195/H444, "NA")</f>
        <v>-1.7022719646936212E-2</v>
      </c>
      <c r="J195" s="9"/>
      <c r="K195" s="7">
        <v>202.75</v>
      </c>
      <c r="L195" s="8">
        <f>IFERROR(K195/K444, "NA")</f>
        <v>2.7429354699233573E-3</v>
      </c>
      <c r="M195" s="9"/>
      <c r="N195" s="10">
        <f t="shared" si="49"/>
        <v>202.75</v>
      </c>
      <c r="O195" s="8">
        <f>IFERROR(N195/N444, "NA")</f>
        <v>8.652327913626072E-2</v>
      </c>
      <c r="P195" s="9"/>
      <c r="Q195" s="7">
        <v>0</v>
      </c>
      <c r="R195" s="8">
        <f>IFERROR(Q195/Q444, "NA")</f>
        <v>0</v>
      </c>
      <c r="S195" s="9"/>
      <c r="T195" s="7">
        <v>1267.76</v>
      </c>
      <c r="U195" s="8">
        <f>IFERROR(T195/T444, "NA")</f>
        <v>1.7572928464017574E-3</v>
      </c>
      <c r="V195" s="9"/>
      <c r="W195" s="10">
        <f t="shared" si="50"/>
        <v>1267.76</v>
      </c>
      <c r="X195" s="8">
        <f>IFERROR(W195/W444, "NA")</f>
        <v>-2.4041801208348184E-2</v>
      </c>
      <c r="Y195" s="9"/>
      <c r="Z195" s="7">
        <v>1515.88</v>
      </c>
      <c r="AA195" s="8">
        <f>IFERROR(Z195/Z444, "NA")</f>
        <v>2.3608536120781486E-3</v>
      </c>
      <c r="AB195" s="9"/>
      <c r="AC195" s="10">
        <f t="shared" si="51"/>
        <v>1515.88</v>
      </c>
      <c r="AD195" s="8">
        <f>IFERROR(AC195/AC444, "NA")</f>
        <v>5.6973897800430606E-2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25990.429999999997</v>
      </c>
      <c r="C196" s="15">
        <f>IFERROR(B196/B444, "NA")</f>
        <v>0.34081134574850447</v>
      </c>
      <c r="D196" s="2"/>
      <c r="E196" s="14">
        <f>IFERROR(E175+E177+E178+E179+E180+E181+E183+E184+E186+E187+E188+E189+E190+E191+E192+E194+E195, "NA")</f>
        <v>22701.78</v>
      </c>
      <c r="F196" s="15">
        <f>IFERROR(E196/E444, "NA")</f>
        <v>0.26823110728816574</v>
      </c>
      <c r="G196" s="2"/>
      <c r="H196" s="14">
        <f t="shared" si="48"/>
        <v>-3288.6499999999978</v>
      </c>
      <c r="I196" s="15">
        <f>IFERROR(H196/H444, "NA")</f>
        <v>0.3926891622257066</v>
      </c>
      <c r="J196" s="2"/>
      <c r="K196" s="14">
        <f>IFERROR(K175+K177+K178+K179+K180+K181+K183+K184+K186+K187+K188+K189+K190+K191+K192+K194+K195, "NA")</f>
        <v>24303.52</v>
      </c>
      <c r="L196" s="15">
        <f>IFERROR(K196/K444, "NA")</f>
        <v>0.32879401751907134</v>
      </c>
      <c r="M196" s="2"/>
      <c r="N196" s="14">
        <f t="shared" si="49"/>
        <v>-1686.9099999999962</v>
      </c>
      <c r="O196" s="15">
        <f>IFERROR(N196/N444, "NA")</f>
        <v>-0.71988648487175955</v>
      </c>
      <c r="P196" s="2"/>
      <c r="Q196" s="14">
        <f>IFERROR(Q175+Q177+Q178+Q179+Q180+Q181+Q183+Q184+Q186+Q187+Q188+Q189+Q190+Q191+Q192+Q194+Q195, "NA")</f>
        <v>206695.83</v>
      </c>
      <c r="R196" s="15">
        <f>IFERROR(Q196/Q444, "NA")</f>
        <v>0.30910266955842258</v>
      </c>
      <c r="S196" s="2"/>
      <c r="T196" s="14">
        <f>IFERROR(T175+T177+T178+T179+T180+T181+T183+T184+T186+T187+T188+T189+T190+T191+T192+T194+T195, "NA")</f>
        <v>203776.5</v>
      </c>
      <c r="U196" s="15">
        <f>IFERROR(T196/T444, "NA")</f>
        <v>0.28246275771028245</v>
      </c>
      <c r="V196" s="2"/>
      <c r="W196" s="14">
        <f t="shared" si="50"/>
        <v>-2919.3299999999872</v>
      </c>
      <c r="X196" s="15">
        <f>IFERROR(W196/W444, "NA")</f>
        <v>5.5362175428761595E-2</v>
      </c>
      <c r="Y196" s="2"/>
      <c r="Z196" s="14">
        <f>IFERROR(Z175+Z177+Z178+Z179+Z180+Z181+Z183+Z184+Z186+Z187+Z188+Z189+Z190+Z191+Z192+Z194+Z195, "NA")</f>
        <v>200463.58999999997</v>
      </c>
      <c r="AA196" s="15">
        <f>IFERROR(Z196/Z444, "NA")</f>
        <v>0.31220491763309294</v>
      </c>
      <c r="AB196" s="2"/>
      <c r="AC196" s="14">
        <f t="shared" si="51"/>
        <v>-6232.2400000000198</v>
      </c>
      <c r="AD196" s="15">
        <f>IFERROR(AC196/AC444, "NA")</f>
        <v>-0.23423688209340895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25990.429999999997</v>
      </c>
      <c r="C197" s="15">
        <f>IFERROR(B197/B444, "NA")</f>
        <v>0.34081134574850447</v>
      </c>
      <c r="D197" s="2"/>
      <c r="E197" s="14">
        <f>IFERROR(E175+E177+E178+E179+E180+E181+E183+E184+E186+E187+E188+E189+E190+E191+E192+E194+E195, "NA")</f>
        <v>22701.78</v>
      </c>
      <c r="F197" s="15">
        <f>IFERROR(E197/E444, "NA")</f>
        <v>0.26823110728816574</v>
      </c>
      <c r="G197" s="2"/>
      <c r="H197" s="14">
        <f t="shared" si="48"/>
        <v>-3288.6499999999978</v>
      </c>
      <c r="I197" s="15">
        <f>IFERROR(H197/H444, "NA")</f>
        <v>0.3926891622257066</v>
      </c>
      <c r="J197" s="2"/>
      <c r="K197" s="14">
        <f>IFERROR(K175+K177+K178+K179+K180+K181+K183+K184+K186+K187+K188+K189+K190+K191+K192+K194+K195, "NA")</f>
        <v>24303.52</v>
      </c>
      <c r="L197" s="15">
        <f>IFERROR(K197/K444, "NA")</f>
        <v>0.32879401751907134</v>
      </c>
      <c r="M197" s="2"/>
      <c r="N197" s="14">
        <f t="shared" si="49"/>
        <v>-1686.9099999999962</v>
      </c>
      <c r="O197" s="15">
        <f>IFERROR(N197/N444, "NA")</f>
        <v>-0.71988648487175955</v>
      </c>
      <c r="P197" s="2"/>
      <c r="Q197" s="14">
        <f>IFERROR(Q175+Q177+Q178+Q179+Q180+Q181+Q183+Q184+Q186+Q187+Q188+Q189+Q190+Q191+Q192+Q194+Q195, "NA")</f>
        <v>206695.83</v>
      </c>
      <c r="R197" s="15">
        <f>IFERROR(Q197/Q444, "NA")</f>
        <v>0.30910266955842258</v>
      </c>
      <c r="S197" s="2"/>
      <c r="T197" s="14">
        <f>IFERROR(T175+T177+T178+T179+T180+T181+T183+T184+T186+T187+T188+T189+T190+T191+T192+T194+T195, "NA")</f>
        <v>203776.5</v>
      </c>
      <c r="U197" s="15">
        <f>IFERROR(T197/T444, "NA")</f>
        <v>0.28246275771028245</v>
      </c>
      <c r="V197" s="2"/>
      <c r="W197" s="14">
        <f t="shared" si="50"/>
        <v>-2919.3299999999872</v>
      </c>
      <c r="X197" s="15">
        <f>IFERROR(W197/W444, "NA")</f>
        <v>5.5362175428761595E-2</v>
      </c>
      <c r="Y197" s="2"/>
      <c r="Z197" s="14">
        <f>IFERROR(Z175+Z177+Z178+Z179+Z180+Z181+Z183+Z184+Z186+Z187+Z188+Z189+Z190+Z191+Z192+Z194+Z195, "NA")</f>
        <v>200463.58999999997</v>
      </c>
      <c r="AA197" s="15">
        <f>IFERROR(Z197/Z444, "NA")</f>
        <v>0.31220491763309294</v>
      </c>
      <c r="AB197" s="2"/>
      <c r="AC197" s="14">
        <f t="shared" si="51"/>
        <v>-6232.2400000000198</v>
      </c>
      <c r="AD197" s="15">
        <f>IFERROR(AC197/AC444, "NA")</f>
        <v>-0.23423688209340895</v>
      </c>
    </row>
    <row r="198" spans="1:30" ht="16.5" customHeight="1" x14ac:dyDescent="0.45">
      <c r="A198" s="22" t="s">
        <v>181</v>
      </c>
      <c r="B198" s="23">
        <f>IFERROR(B172-B197, "NA")</f>
        <v>28189.910000000007</v>
      </c>
      <c r="C198" s="24">
        <f>IFERROR(B198/B444, "NA")</f>
        <v>0.36965302858125959</v>
      </c>
      <c r="D198" s="25"/>
      <c r="E198" s="23">
        <f>IFERROR(E172-E197, "NA")</f>
        <v>39928.229999999996</v>
      </c>
      <c r="F198" s="24">
        <f>IFERROR(E198/E444, "NA")</f>
        <v>0.47176888089641239</v>
      </c>
      <c r="G198" s="25"/>
      <c r="H198" s="23">
        <f>IFERROR(B198-E198, "NA")</f>
        <v>-11738.319999999989</v>
      </c>
      <c r="I198" s="24">
        <f>IFERROR(H198/H444, "NA")</f>
        <v>1.401642329447419</v>
      </c>
      <c r="J198" s="25"/>
      <c r="K198" s="23">
        <f>IFERROR(K172-K197, "NA")</f>
        <v>29705.919999999958</v>
      </c>
      <c r="L198" s="24">
        <f>IFERROR(K198/K444, "NA")</f>
        <v>0.40188124110828877</v>
      </c>
      <c r="M198" s="25"/>
      <c r="N198" s="23">
        <f>IFERROR(B198-K198, "NA")</f>
        <v>-1516.0099999999511</v>
      </c>
      <c r="O198" s="24">
        <f>IFERROR(N198/N444, "NA")</f>
        <v>-0.64695514872186621</v>
      </c>
      <c r="P198" s="25"/>
      <c r="Q198" s="23">
        <f>IFERROR(Q172-Q197, "NA")</f>
        <v>271122.95999999996</v>
      </c>
      <c r="R198" s="24">
        <f>IFERROR(Q198/Q444, "NA")</f>
        <v>0.40545003116212563</v>
      </c>
      <c r="S198" s="25"/>
      <c r="T198" s="23">
        <f>IFERROR(T172-T197, "NA")</f>
        <v>323975.79000000004</v>
      </c>
      <c r="U198" s="24">
        <f>IFERROR(T198/T444, "NA")</f>
        <v>0.44907580155104915</v>
      </c>
      <c r="V198" s="25"/>
      <c r="W198" s="23">
        <f>IFERROR(Q198-T198, "NA")</f>
        <v>-52852.830000000075</v>
      </c>
      <c r="X198" s="24">
        <f>IFERROR(W198/W444, "NA")</f>
        <v>1.0023010918143993</v>
      </c>
      <c r="Y198" s="25"/>
      <c r="Z198" s="23">
        <f>IFERROR(Z172-Z197, "NA")</f>
        <v>258267.57999999996</v>
      </c>
      <c r="AA198" s="24">
        <f>IFERROR(Z198/Z444, "NA")</f>
        <v>0.40222969438588946</v>
      </c>
      <c r="AB198" s="25"/>
      <c r="AC198" s="23">
        <f>IFERROR(Q198-Z198, "NA")</f>
        <v>12855.380000000005</v>
      </c>
      <c r="AD198" s="24">
        <f>IFERROR(AC198/AC444, "NA")</f>
        <v>0.48316562412968034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1861.97</v>
      </c>
      <c r="F201" s="8">
        <f>IFERROR(E201/E444, "NA")</f>
        <v>2.1999961009107921E-2</v>
      </c>
      <c r="G201" s="9"/>
      <c r="H201" s="10">
        <f t="shared" ref="H201:H209" si="52">IFERROR(-(B201-E201), "NA")</f>
        <v>1861.97</v>
      </c>
      <c r="I201" s="8">
        <f>IFERROR(H201/H444, "NA")</f>
        <v>-0.22233300575901946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16098.34</v>
      </c>
      <c r="U201" s="8">
        <f>IFERROR(T201/T444, "NA")</f>
        <v>2.2314553007622317E-2</v>
      </c>
      <c r="V201" s="9"/>
      <c r="W201" s="10">
        <f t="shared" ref="W201:W209" si="54">IFERROR(-(Q201-T201), "NA")</f>
        <v>16098.34</v>
      </c>
      <c r="X201" s="8">
        <f>IFERROR(W201/W444, "NA")</f>
        <v>-0.30528892697703031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452.7</v>
      </c>
      <c r="C202" s="8">
        <f>IFERROR(B202/B444, "NA")</f>
        <v>5.9362348456854308E-3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-452.7</v>
      </c>
      <c r="I202" s="8">
        <f>IFERROR(H202/H444, "NA")</f>
        <v>5.4055732212177486E-2</v>
      </c>
      <c r="J202" s="9"/>
      <c r="K202" s="7">
        <v>490.47</v>
      </c>
      <c r="L202" s="8">
        <f>IFERROR(K202/K444, "NA")</f>
        <v>6.6354010354293912E-3</v>
      </c>
      <c r="M202" s="9"/>
      <c r="N202" s="10">
        <f t="shared" si="53"/>
        <v>37.770000000000039</v>
      </c>
      <c r="O202" s="8">
        <f>IFERROR(N202/N444, "NA")</f>
        <v>1.6118294712584812E-2</v>
      </c>
      <c r="P202" s="9"/>
      <c r="Q202" s="7">
        <v>5487.56</v>
      </c>
      <c r="R202" s="8">
        <f>IFERROR(Q202/Q444, "NA")</f>
        <v>8.2063554226614911E-3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-5487.56</v>
      </c>
      <c r="X202" s="8">
        <f>IFERROR(W202/W444, "NA")</f>
        <v>0.1040660903001224</v>
      </c>
      <c r="Y202" s="9"/>
      <c r="Z202" s="7">
        <v>6760.9</v>
      </c>
      <c r="AA202" s="8">
        <f>IFERROR(Z202/Z444, "NA")</f>
        <v>1.0529524227444886E-2</v>
      </c>
      <c r="AB202" s="9"/>
      <c r="AC202" s="10">
        <f t="shared" si="55"/>
        <v>1273.3399999999992</v>
      </c>
      <c r="AD202" s="8">
        <f>IFERROR(AC202/AC444, "NA")</f>
        <v>4.785810422012314E-2</v>
      </c>
    </row>
    <row r="203" spans="1:30" ht="16.5" customHeight="1" x14ac:dyDescent="0.45">
      <c r="A203" s="6" t="s">
        <v>185</v>
      </c>
      <c r="B203" s="7">
        <v>878.24</v>
      </c>
      <c r="C203" s="8">
        <f>IFERROR(B203/B444, "NA")</f>
        <v>1.1516321826540254E-2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-878.24</v>
      </c>
      <c r="I203" s="8">
        <f>IFERROR(H203/H444, "NA")</f>
        <v>0.10486835930643418</v>
      </c>
      <c r="J203" s="9"/>
      <c r="K203" s="7">
        <v>748.3</v>
      </c>
      <c r="L203" s="8">
        <f>IFERROR(K203/K444, "NA")</f>
        <v>1.0123495004407635E-2</v>
      </c>
      <c r="M203" s="9"/>
      <c r="N203" s="10">
        <f t="shared" si="53"/>
        <v>-129.94000000000005</v>
      </c>
      <c r="O203" s="8">
        <f>IFERROR(N203/N444, "NA")</f>
        <v>-5.5451713395638584E-2</v>
      </c>
      <c r="P203" s="9"/>
      <c r="Q203" s="7">
        <v>6984.79</v>
      </c>
      <c r="R203" s="8">
        <f>IFERROR(Q203/Q444, "NA")</f>
        <v>1.0445383611778596E-2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-6984.79</v>
      </c>
      <c r="X203" s="8">
        <f>IFERROR(W203/W444, "NA")</f>
        <v>0.13245956069134404</v>
      </c>
      <c r="Y203" s="9"/>
      <c r="Z203" s="7">
        <v>6587.29</v>
      </c>
      <c r="AA203" s="8">
        <f>IFERROR(Z203/Z444, "NA")</f>
        <v>1.025914148237741E-2</v>
      </c>
      <c r="AB203" s="9"/>
      <c r="AC203" s="10">
        <f t="shared" si="55"/>
        <v>-397.5</v>
      </c>
      <c r="AD203" s="8">
        <f>IFERROR(AC203/AC444, "NA")</f>
        <v>-1.4939918974899838E-2</v>
      </c>
    </row>
    <row r="204" spans="1:30" ht="16.5" customHeight="1" x14ac:dyDescent="0.45">
      <c r="A204" s="6" t="s">
        <v>186</v>
      </c>
      <c r="B204" s="7">
        <v>478.73</v>
      </c>
      <c r="C204" s="8">
        <f>IFERROR(B204/B444, "NA")</f>
        <v>6.2775650710735287E-3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-478.73</v>
      </c>
      <c r="I204" s="8">
        <f>IFERROR(H204/H444, "NA")</f>
        <v>5.7163906962526462E-2</v>
      </c>
      <c r="J204" s="9"/>
      <c r="K204" s="7">
        <v>42.06</v>
      </c>
      <c r="L204" s="8">
        <f>IFERROR(K204/K444, "NA")</f>
        <v>5.6901536801468023E-4</v>
      </c>
      <c r="M204" s="9"/>
      <c r="N204" s="10">
        <f t="shared" si="53"/>
        <v>-436.67</v>
      </c>
      <c r="O204" s="8">
        <f>IFERROR(N204/N444, "NA")</f>
        <v>-0.18634831220927728</v>
      </c>
      <c r="P204" s="9"/>
      <c r="Q204" s="7">
        <v>2070.34</v>
      </c>
      <c r="R204" s="8">
        <f>IFERROR(Q204/Q444, "NA")</f>
        <v>3.096083848878735E-3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-2070.34</v>
      </c>
      <c r="X204" s="8">
        <f>IFERROR(W204/W444, "NA")</f>
        <v>3.9261928688152002E-2</v>
      </c>
      <c r="Y204" s="9"/>
      <c r="Z204" s="7">
        <v>1620.84</v>
      </c>
      <c r="AA204" s="8">
        <f>IFERROR(Z204/Z444, "NA")</f>
        <v>2.5243198462943941E-3</v>
      </c>
      <c r="AB204" s="9"/>
      <c r="AC204" s="10">
        <f t="shared" si="55"/>
        <v>-449.50000000000023</v>
      </c>
      <c r="AD204" s="8">
        <f>IFERROR(AC204/AC444, "NA")</f>
        <v>-1.6894323469729512E-2</v>
      </c>
    </row>
    <row r="205" spans="1:30" ht="16.5" customHeight="1" x14ac:dyDescent="0.45">
      <c r="A205" s="6" t="s">
        <v>187</v>
      </c>
      <c r="B205" s="7">
        <v>258.37</v>
      </c>
      <c r="C205" s="8">
        <f>IFERROR(B205/B444, "NA")</f>
        <v>3.3879942502313778E-3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-258.37</v>
      </c>
      <c r="I205" s="8">
        <f>IFERROR(H205/H444, "NA")</f>
        <v>3.0851291211973265E-2</v>
      </c>
      <c r="J205" s="9"/>
      <c r="K205" s="7">
        <v>378.27</v>
      </c>
      <c r="L205" s="8">
        <f>IFERROR(K205/K444, "NA")</f>
        <v>5.1174855743916564E-3</v>
      </c>
      <c r="M205" s="9"/>
      <c r="N205" s="10">
        <f t="shared" si="53"/>
        <v>119.89999999999998</v>
      </c>
      <c r="O205" s="8">
        <f>IFERROR(N205/N444, "NA")</f>
        <v>5.1167157427559354E-2</v>
      </c>
      <c r="P205" s="9"/>
      <c r="Q205" s="7">
        <v>2836.8</v>
      </c>
      <c r="R205" s="8">
        <f>IFERROR(Q205/Q444, "NA")</f>
        <v>4.2422841960736866E-3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-2836.8</v>
      </c>
      <c r="X205" s="8">
        <f>IFERROR(W205/W444, "NA")</f>
        <v>5.3797076471762899E-2</v>
      </c>
      <c r="Y205" s="9"/>
      <c r="Z205" s="7">
        <v>3543.79</v>
      </c>
      <c r="AA205" s="8">
        <f>IFERROR(Z205/Z444, "NA")</f>
        <v>5.5191502110631596E-3</v>
      </c>
      <c r="AB205" s="9"/>
      <c r="AC205" s="10">
        <f t="shared" si="55"/>
        <v>706.98999999999978</v>
      </c>
      <c r="AD205" s="8">
        <f>IFERROR(AC205/AC444, "NA")</f>
        <v>2.657200834230046E-2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490.44</v>
      </c>
      <c r="R206" s="8">
        <f>IFERROR(Q206/Q444, "NA")</f>
        <v>7.3342705200309447E-4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-490.44</v>
      </c>
      <c r="X206" s="8">
        <f>IFERROR(W206/W444, "NA")</f>
        <v>9.3007043798686538E-3</v>
      </c>
      <c r="Y206" s="9"/>
      <c r="Z206" s="7">
        <v>382.66</v>
      </c>
      <c r="AA206" s="8">
        <f>IFERROR(Z206/Z444, "NA")</f>
        <v>5.9596026281620205E-4</v>
      </c>
      <c r="AB206" s="9"/>
      <c r="AC206" s="10">
        <f t="shared" si="55"/>
        <v>-107.77999999999997</v>
      </c>
      <c r="AD206" s="8">
        <f>IFERROR(AC206/AC444, "NA")</f>
        <v>-4.0508791625527146E-3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762.97</v>
      </c>
      <c r="R207" s="8">
        <f>IFERROR(Q207/Q444, "NA")</f>
        <v>1.1409812369847505E-3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-762.97</v>
      </c>
      <c r="X207" s="8">
        <f>IFERROR(W207/W444, "NA")</f>
        <v>1.4468963422046299E-2</v>
      </c>
      <c r="Y207" s="9"/>
      <c r="Z207" s="7">
        <v>308.3</v>
      </c>
      <c r="AA207" s="8">
        <f>IFERROR(Z207/Z444, "NA")</f>
        <v>4.8015091471864083E-4</v>
      </c>
      <c r="AB207" s="9"/>
      <c r="AC207" s="10">
        <f t="shared" si="55"/>
        <v>-454.67</v>
      </c>
      <c r="AD207" s="8">
        <f>IFERROR(AC207/AC444, "NA")</f>
        <v>-1.7088636378157759E-2</v>
      </c>
    </row>
    <row r="208" spans="1:30" ht="16.5" customHeight="1" x14ac:dyDescent="0.45">
      <c r="A208" s="6" t="s">
        <v>190</v>
      </c>
      <c r="B208" s="7">
        <v>122.84</v>
      </c>
      <c r="C208" s="8">
        <f>IFERROR(B208/B444, "NA")</f>
        <v>1.610795423998229E-3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-122.84</v>
      </c>
      <c r="I208" s="8">
        <f>IFERROR(H208/H444, "NA")</f>
        <v>1.4668005621700645E-2</v>
      </c>
      <c r="J208" s="9"/>
      <c r="K208" s="7">
        <v>290.60000000000002</v>
      </c>
      <c r="L208" s="8">
        <f>IFERROR(K208/K444, "NA")</f>
        <v>3.9314281014043292E-3</v>
      </c>
      <c r="M208" s="9"/>
      <c r="N208" s="10">
        <f t="shared" si="53"/>
        <v>167.76000000000002</v>
      </c>
      <c r="O208" s="8">
        <f>IFERROR(N208/N444, "NA")</f>
        <v>7.1591345538343287E-2</v>
      </c>
      <c r="P208" s="9"/>
      <c r="Q208" s="7">
        <v>1434.13</v>
      </c>
      <c r="R208" s="8">
        <f>IFERROR(Q208/Q444, "NA")</f>
        <v>2.1446654801590367E-3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-1434.13</v>
      </c>
      <c r="X208" s="8">
        <f>IFERROR(W208/W444, "NA")</f>
        <v>2.719684196293335E-2</v>
      </c>
      <c r="Y208" s="9"/>
      <c r="Z208" s="7">
        <v>909.24</v>
      </c>
      <c r="AA208" s="8">
        <f>IFERROR(Z208/Z444, "NA")</f>
        <v>1.416063631848125E-3</v>
      </c>
      <c r="AB208" s="9"/>
      <c r="AC208" s="10">
        <f t="shared" si="55"/>
        <v>-524.8900000000001</v>
      </c>
      <c r="AD208" s="8">
        <f>IFERROR(AC208/AC444, "NA")</f>
        <v>-1.9727834140214281E-2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2190.88</v>
      </c>
      <c r="C209" s="15">
        <f>IFERROR(B209/B444, "NA")</f>
        <v>2.872891141752882E-2</v>
      </c>
      <c r="D209" s="2"/>
      <c r="E209" s="14">
        <f>IFERROR(E201+E202+E203+E204+E205+E206+E207+E208, "NA")</f>
        <v>1861.97</v>
      </c>
      <c r="F209" s="15">
        <f>IFERROR(E209/E444, "NA")</f>
        <v>2.1999961009107921E-2</v>
      </c>
      <c r="G209" s="2"/>
      <c r="H209" s="14">
        <f t="shared" si="52"/>
        <v>-328.91000000000008</v>
      </c>
      <c r="I209" s="15">
        <f>IFERROR(H209/H444, "NA")</f>
        <v>3.9274289555792583E-2</v>
      </c>
      <c r="J209" s="2"/>
      <c r="K209" s="14">
        <f>IFERROR(K201+K202+K203+K204+K205+K206+K207+K208, "NA")</f>
        <v>1949.6999999999998</v>
      </c>
      <c r="L209" s="15">
        <f>IFERROR(K209/K444, "NA")</f>
        <v>2.6376825083647689E-2</v>
      </c>
      <c r="M209" s="2"/>
      <c r="N209" s="14">
        <f t="shared" si="53"/>
        <v>-241.18000000000029</v>
      </c>
      <c r="O209" s="15">
        <f>IFERROR(N209/N444, "NA")</f>
        <v>-0.10292322792642854</v>
      </c>
      <c r="P209" s="2"/>
      <c r="Q209" s="14">
        <f>IFERROR(Q201+Q202+Q203+Q204+Q205+Q206+Q207+Q208, "NA")</f>
        <v>20067.030000000002</v>
      </c>
      <c r="R209" s="15">
        <f>IFERROR(Q209/Q444, "NA")</f>
        <v>3.0009180848539391E-2</v>
      </c>
      <c r="S209" s="2"/>
      <c r="T209" s="14">
        <f>IFERROR(T201+T202+T203+T204+T205+T206+T207+T208, "NA")</f>
        <v>16098.34</v>
      </c>
      <c r="U209" s="15">
        <f>IFERROR(T209/T444, "NA")</f>
        <v>2.2314553007622317E-2</v>
      </c>
      <c r="V209" s="2"/>
      <c r="W209" s="14">
        <f t="shared" si="54"/>
        <v>-3968.6900000000023</v>
      </c>
      <c r="X209" s="15">
        <f>IFERROR(W209/W444, "NA")</f>
        <v>7.526223893919938E-2</v>
      </c>
      <c r="Y209" s="2"/>
      <c r="Z209" s="14">
        <f>IFERROR(Z201+Z202+Z203+Z204+Z205+Z206+Z207+Z208, "NA")</f>
        <v>20113.02</v>
      </c>
      <c r="AA209" s="15">
        <f>IFERROR(Z209/Z444, "NA")</f>
        <v>3.1324310576562819E-2</v>
      </c>
      <c r="AB209" s="2"/>
      <c r="AC209" s="14">
        <f t="shared" si="55"/>
        <v>45.989999999997963</v>
      </c>
      <c r="AD209" s="15">
        <f>IFERROR(AC209/AC444, "NA")</f>
        <v>1.7285204368694669E-3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2780.59</v>
      </c>
      <c r="F213" s="8">
        <f>IFERROR(E213/E444, "NA")</f>
        <v>3.2853843822572538E-2</v>
      </c>
      <c r="G213" s="9"/>
      <c r="H213" s="10">
        <f t="shared" ref="H213:H227" si="56">IFERROR(-(B213-E213), "NA")</f>
        <v>2780.59</v>
      </c>
      <c r="I213" s="8">
        <f>IFERROR(H213/H444, "NA")</f>
        <v>-0.33202303607655975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24153.88</v>
      </c>
      <c r="U213" s="8">
        <f>IFERROR(T213/T444, "NA")</f>
        <v>3.3480659223233483E-2</v>
      </c>
      <c r="V213" s="9"/>
      <c r="W213" s="10">
        <f t="shared" ref="W213:W227" si="58">IFERROR(-(Q213-T213), "NA")</f>
        <v>24153.88</v>
      </c>
      <c r="X213" s="8">
        <f>IFERROR(W213/W444, "NA")</f>
        <v>-0.45805419114840118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292.98</v>
      </c>
      <c r="C214" s="8">
        <f>IFERROR(B214/B444, "NA")</f>
        <v>3.8418336317404852E-3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-292.98</v>
      </c>
      <c r="I214" s="8">
        <f>IFERROR(H214/H444, "NA")</f>
        <v>3.4983981496628583E-2</v>
      </c>
      <c r="J214" s="9"/>
      <c r="K214" s="7">
        <v>438.54</v>
      </c>
      <c r="L214" s="8">
        <f>IFERROR(K214/K444, "NA")</f>
        <v>5.9328578100132636E-3</v>
      </c>
      <c r="M214" s="9"/>
      <c r="N214" s="10">
        <f t="shared" si="57"/>
        <v>145.56</v>
      </c>
      <c r="O214" s="8">
        <f>IFERROR(N214/N444, "NA")</f>
        <v>6.2117526565100424E-2</v>
      </c>
      <c r="P214" s="9"/>
      <c r="Q214" s="7">
        <v>8720.0300000000007</v>
      </c>
      <c r="R214" s="8">
        <f>IFERROR(Q214/Q444, "NA")</f>
        <v>1.3040343153654972E-2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-8720.0300000000007</v>
      </c>
      <c r="X214" s="8">
        <f>IFERROR(W214/W444, "NA")</f>
        <v>0.16536665282926771</v>
      </c>
      <c r="Y214" s="9"/>
      <c r="Z214" s="7">
        <v>2704.54</v>
      </c>
      <c r="AA214" s="8">
        <f>IFERROR(Z214/Z444, "NA")</f>
        <v>4.2120900256021826E-3</v>
      </c>
      <c r="AB214" s="9"/>
      <c r="AC214" s="10">
        <f t="shared" si="59"/>
        <v>-6015.4900000000007</v>
      </c>
      <c r="AD214" s="8">
        <f>IFERROR(AC214/AC444, "NA")</f>
        <v>-0.22609039797313266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27.8</v>
      </c>
      <c r="L216" s="8">
        <f>IFERROR(K216/K444, "NA")</f>
        <v>3.7609670068492889E-4</v>
      </c>
      <c r="M216" s="9"/>
      <c r="N216" s="10">
        <f t="shared" si="57"/>
        <v>27.8</v>
      </c>
      <c r="O216" s="8">
        <f>IFERROR(N216/N444, "NA")</f>
        <v>1.186361114667348E-2</v>
      </c>
      <c r="P216" s="9"/>
      <c r="Q216" s="7">
        <v>61.09</v>
      </c>
      <c r="R216" s="8">
        <f>IFERROR(Q216/Q444, "NA")</f>
        <v>9.1356860384285638E-5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1.1585107873871953E-3</v>
      </c>
      <c r="Y216" s="9"/>
      <c r="Z216" s="7">
        <v>27.8</v>
      </c>
      <c r="AA216" s="8">
        <f>IFERROR(Z216/Z444, "NA")</f>
        <v>4.3296125297366897E-5</v>
      </c>
      <c r="AB216" s="9"/>
      <c r="AC216" s="10">
        <f t="shared" si="59"/>
        <v>-33.290000000000006</v>
      </c>
      <c r="AD216" s="8">
        <f>IFERROR(AC216/AC444, "NA")</f>
        <v>-1.2511947237092219E-3</v>
      </c>
    </row>
    <row r="217" spans="1:30" ht="16.5" customHeight="1" x14ac:dyDescent="0.45">
      <c r="A217" s="12" t="s">
        <v>197</v>
      </c>
      <c r="B217" s="7">
        <v>278.94</v>
      </c>
      <c r="C217" s="8">
        <f>IFERROR(B217/B444, "NA")</f>
        <v>3.6577277399061055E-3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-278.94</v>
      </c>
      <c r="I217" s="8">
        <f>IFERROR(H217/H444, "NA")</f>
        <v>3.3307501531400018E-2</v>
      </c>
      <c r="J217" s="9"/>
      <c r="K217" s="7">
        <v>3501.25</v>
      </c>
      <c r="L217" s="8">
        <f>IFERROR(K217/K444, "NA")</f>
        <v>4.736721486593911E-2</v>
      </c>
      <c r="M217" s="9"/>
      <c r="N217" s="10">
        <f t="shared" si="57"/>
        <v>3222.31</v>
      </c>
      <c r="O217" s="8">
        <f>IFERROR(N217/N444, "NA")</f>
        <v>1.3751162889941517</v>
      </c>
      <c r="P217" s="9"/>
      <c r="Q217" s="7">
        <v>13933.16</v>
      </c>
      <c r="R217" s="8">
        <f>IFERROR(Q217/Q444, "NA")</f>
        <v>2.0836303041936701E-2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-13933.16</v>
      </c>
      <c r="X217" s="8">
        <f>IFERROR(W217/W444, "NA")</f>
        <v>0.26422845248636068</v>
      </c>
      <c r="Y217" s="9"/>
      <c r="Z217" s="7">
        <v>5238.6899999999996</v>
      </c>
      <c r="AA217" s="8">
        <f>IFERROR(Z217/Z444, "NA")</f>
        <v>8.1588121810814013E-3</v>
      </c>
      <c r="AB217" s="9"/>
      <c r="AC217" s="10">
        <f t="shared" si="59"/>
        <v>-8694.4700000000012</v>
      </c>
      <c r="AD217" s="8">
        <f>IFERROR(AC217/AC444, "NA")</f>
        <v>-0.32677906246464755</v>
      </c>
    </row>
    <row r="218" spans="1:30" ht="16.5" customHeight="1" x14ac:dyDescent="0.45">
      <c r="A218" s="13" t="s">
        <v>198</v>
      </c>
      <c r="B218" s="14">
        <f>IFERROR(B213+B214+B215+B216+B217, "NA")</f>
        <v>571.92000000000007</v>
      </c>
      <c r="C218" s="15">
        <f>IFERROR(B218/B444, "NA")</f>
        <v>7.4995613716465912E-3</v>
      </c>
      <c r="D218" s="2"/>
      <c r="E218" s="14">
        <f>IFERROR(E213+E214+E215+E216+E217, "NA")</f>
        <v>2780.59</v>
      </c>
      <c r="F218" s="15">
        <f>IFERROR(E218/E444, "NA")</f>
        <v>3.2853843822572538E-2</v>
      </c>
      <c r="G218" s="2"/>
      <c r="H218" s="14">
        <f t="shared" si="56"/>
        <v>2208.67</v>
      </c>
      <c r="I218" s="15">
        <f>IFERROR(H218/H444, "NA")</f>
        <v>-0.26373155304853113</v>
      </c>
      <c r="J218" s="2"/>
      <c r="K218" s="14">
        <f>IFERROR(K213+K214+K215+K216+K217, "NA")</f>
        <v>3967.59</v>
      </c>
      <c r="L218" s="15">
        <f>IFERROR(K218/K444, "NA")</f>
        <v>5.3676169376637307E-2</v>
      </c>
      <c r="M218" s="2"/>
      <c r="N218" s="14">
        <f t="shared" si="57"/>
        <v>3395.67</v>
      </c>
      <c r="O218" s="15">
        <f>IFERROR(N218/N444, "NA")</f>
        <v>1.4490974267059258</v>
      </c>
      <c r="P218" s="2"/>
      <c r="Q218" s="14">
        <f>IFERROR(Q213+Q214+Q215+Q216+Q217, "NA")</f>
        <v>22714.28</v>
      </c>
      <c r="R218" s="15">
        <f>IFERROR(Q218/Q444, "NA")</f>
        <v>3.3968003055975957E-2</v>
      </c>
      <c r="S218" s="2"/>
      <c r="T218" s="14">
        <f>IFERROR(T213+T214+T215+T216+T217, "NA")</f>
        <v>24153.88</v>
      </c>
      <c r="U218" s="15">
        <f>IFERROR(T218/T444, "NA")</f>
        <v>3.3480659223233483E-2</v>
      </c>
      <c r="V218" s="2"/>
      <c r="W218" s="14">
        <f t="shared" si="58"/>
        <v>1439.6000000000022</v>
      </c>
      <c r="X218" s="15">
        <f>IFERROR(W218/W444, "NA")</f>
        <v>-2.730057504538564E-2</v>
      </c>
      <c r="Y218" s="2"/>
      <c r="Z218" s="14">
        <f>IFERROR(Z213+Z214+Z215+Z216+Z217, "NA")</f>
        <v>7971.03</v>
      </c>
      <c r="AA218" s="15">
        <f>IFERROR(Z218/Z444, "NA")</f>
        <v>1.2414198331980951E-2</v>
      </c>
      <c r="AB218" s="2"/>
      <c r="AC218" s="14">
        <f t="shared" si="59"/>
        <v>-14743.25</v>
      </c>
      <c r="AD218" s="15">
        <f>IFERROR(AC218/AC444, "NA")</f>
        <v>-0.55412065516148934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62.5</v>
      </c>
      <c r="C222" s="8">
        <f>IFERROR(B222/B444, "NA")</f>
        <v>8.1955970367868214E-4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-62.5</v>
      </c>
      <c r="I222" s="8">
        <f>IFERROR(H222/H444, "NA")</f>
        <v>7.4629628081755968E-3</v>
      </c>
      <c r="J222" s="9"/>
      <c r="K222" s="7">
        <v>62.5</v>
      </c>
      <c r="L222" s="8">
        <f>IFERROR(K222/K444, "NA")</f>
        <v>8.4554114362618907E-4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1289.1199999999999</v>
      </c>
      <c r="R222" s="8">
        <f>IFERROR(Q222/Q444, "NA")</f>
        <v>1.9278107032016743E-3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-1289.1199999999999</v>
      </c>
      <c r="X222" s="8">
        <f>IFERROR(W222/W444, "NA")</f>
        <v>2.4446872257924062E-2</v>
      </c>
      <c r="Y222" s="9"/>
      <c r="Z222" s="7">
        <v>500</v>
      </c>
      <c r="AA222" s="8">
        <f>IFERROR(Z222/Z444, "NA")</f>
        <v>7.7870728952098738E-4</v>
      </c>
      <c r="AB222" s="9"/>
      <c r="AC222" s="10">
        <f t="shared" si="59"/>
        <v>-789.11999999999989</v>
      </c>
      <c r="AD222" s="8">
        <f>IFERROR(AC222/AC444, "NA")</f>
        <v>-2.9658839903076623E-2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84.64</v>
      </c>
      <c r="F226" s="8">
        <f>IFERROR(E226/E444, "NA")</f>
        <v>1.0000573047959389E-3</v>
      </c>
      <c r="G226" s="9"/>
      <c r="H226" s="10">
        <f t="shared" si="56"/>
        <v>84.64</v>
      </c>
      <c r="I226" s="8">
        <f>IFERROR(H226/H444, "NA")</f>
        <v>-1.0106642753343721E-2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721.43</v>
      </c>
      <c r="U226" s="8">
        <f>IFERROR(T226/T444, "NA")</f>
        <v>1.0000029802010001E-3</v>
      </c>
      <c r="V226" s="9"/>
      <c r="W226" s="10">
        <f t="shared" si="58"/>
        <v>721.43</v>
      </c>
      <c r="X226" s="8">
        <f>IFERROR(W226/W444, "NA")</f>
        <v>-1.3681198843423541E-2</v>
      </c>
      <c r="Y226" s="9"/>
      <c r="Z226" s="7">
        <v>1554.17</v>
      </c>
      <c r="AA226" s="8">
        <f>IFERROR(Z226/Z444, "NA")</f>
        <v>2.4204870163096661E-3</v>
      </c>
      <c r="AB226" s="9"/>
      <c r="AC226" s="10">
        <f t="shared" si="59"/>
        <v>1554.17</v>
      </c>
      <c r="AD226" s="8">
        <f>IFERROR(AC226/AC444, "NA")</f>
        <v>5.8413016033258068E-2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634.42000000000007</v>
      </c>
      <c r="C227" s="15">
        <f>IFERROR(B227/B444, "NA")</f>
        <v>8.3191210753252743E-3</v>
      </c>
      <c r="D227" s="2"/>
      <c r="E227" s="14">
        <f>IFERROR(E211+E213+E214+E215+E216+E217+E219+E220+E221+E222+E223+E224+E225+E226, "NA")</f>
        <v>2865.23</v>
      </c>
      <c r="F227" s="15">
        <f>IFERROR(E227/E444, "NA")</f>
        <v>3.3853901127368476E-2</v>
      </c>
      <c r="G227" s="2"/>
      <c r="H227" s="14">
        <f t="shared" si="56"/>
        <v>2230.81</v>
      </c>
      <c r="I227" s="15">
        <f>IFERROR(H227/H444, "NA")</f>
        <v>-0.26637523299369925</v>
      </c>
      <c r="J227" s="2"/>
      <c r="K227" s="14">
        <f>IFERROR(K211+K213+K214+K215+K216+K217+K219+K220+K221+K222+K223+K224+K225+K226, "NA")</f>
        <v>4030.09</v>
      </c>
      <c r="L227" s="15">
        <f>IFERROR(K227/K444, "NA")</f>
        <v>5.4521710520263493E-2</v>
      </c>
      <c r="M227" s="2"/>
      <c r="N227" s="14">
        <f t="shared" si="57"/>
        <v>3395.67</v>
      </c>
      <c r="O227" s="15">
        <f>IFERROR(N227/N444, "NA")</f>
        <v>1.4490974267059258</v>
      </c>
      <c r="P227" s="2"/>
      <c r="Q227" s="14">
        <f>IFERROR(Q211+Q213+Q214+Q215+Q216+Q217+Q219+Q220+Q221+Q222+Q223+Q224+Q225+Q226, "NA")</f>
        <v>24003.399999999998</v>
      </c>
      <c r="R227" s="15">
        <f>IFERROR(Q227/Q444, "NA")</f>
        <v>3.5895813759177629E-2</v>
      </c>
      <c r="S227" s="2"/>
      <c r="T227" s="14">
        <f>IFERROR(T211+T213+T214+T215+T216+T217+T219+T220+T221+T222+T223+T224+T225+T226, "NA")</f>
        <v>24875.31</v>
      </c>
      <c r="U227" s="15">
        <f>IFERROR(T227/T444, "NA")</f>
        <v>3.4480662203434487E-2</v>
      </c>
      <c r="V227" s="2"/>
      <c r="W227" s="14">
        <f t="shared" si="58"/>
        <v>871.91000000000349</v>
      </c>
      <c r="X227" s="15">
        <f>IFERROR(W227/W444, "NA")</f>
        <v>-1.6534901630885144E-2</v>
      </c>
      <c r="Y227" s="2"/>
      <c r="Z227" s="14">
        <f>IFERROR(Z211+Z213+Z214+Z215+Z216+Z217+Z219+Z220+Z221+Z222+Z223+Z224+Z225+Z226, "NA")</f>
        <v>10025.199999999999</v>
      </c>
      <c r="AA227" s="15">
        <f>IFERROR(Z227/Z444, "NA")</f>
        <v>1.5613392637811602E-2</v>
      </c>
      <c r="AB227" s="2"/>
      <c r="AC227" s="14">
        <f t="shared" si="59"/>
        <v>-13978.199999999999</v>
      </c>
      <c r="AD227" s="15">
        <f>IFERROR(AC227/AC444, "NA")</f>
        <v>-0.52536647903130795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693.16</v>
      </c>
      <c r="F229" s="8">
        <f>IFERROR(E229/E444, "NA")</f>
        <v>8.1899778047300684E-3</v>
      </c>
      <c r="G229" s="9"/>
      <c r="H229" s="10">
        <f t="shared" ref="H229:H236" si="60">IFERROR(-(B229-E229), "NA")</f>
        <v>693.16</v>
      </c>
      <c r="I229" s="8">
        <f>IFERROR(H229/H444, "NA")</f>
        <v>-8.2768436801839942E-2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5908.5</v>
      </c>
      <c r="U229" s="8">
        <f>IFERROR(T229/T444, "NA")</f>
        <v>8.1900081900081901E-3</v>
      </c>
      <c r="V229" s="9"/>
      <c r="W229" s="10">
        <f t="shared" ref="W229:W236" si="62">IFERROR(-(Q229-T229), "NA")</f>
        <v>5908.5</v>
      </c>
      <c r="X229" s="8">
        <f>IFERROR(W229/W444, "NA")</f>
        <v>-0.11204879664883358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1.2554277998462561E-4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1.5920278376355384E-3</v>
      </c>
      <c r="Y230" s="9"/>
      <c r="Z230" s="7">
        <v>730</v>
      </c>
      <c r="AA230" s="8">
        <f>IFERROR(Z230/Z444, "NA")</f>
        <v>1.1369126427006415E-3</v>
      </c>
      <c r="AB230" s="9"/>
      <c r="AC230" s="10">
        <f t="shared" si="63"/>
        <v>646.04999999999995</v>
      </c>
      <c r="AD230" s="8">
        <f>IFERROR(AC230/AC444, "NA")</f>
        <v>2.4281596613167394E-2</v>
      </c>
    </row>
    <row r="231" spans="1:30" ht="16.5" customHeight="1" x14ac:dyDescent="0.45">
      <c r="A231" s="6" t="s">
        <v>210</v>
      </c>
      <c r="B231" s="7">
        <v>91</v>
      </c>
      <c r="C231" s="8">
        <f>IFERROR(B231/B444, "NA")</f>
        <v>1.1932789285561613E-3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-91</v>
      </c>
      <c r="I231" s="8">
        <f>IFERROR(H231/H444, "NA")</f>
        <v>1.0866073848703669E-2</v>
      </c>
      <c r="J231" s="9"/>
      <c r="K231" s="7">
        <v>224.68</v>
      </c>
      <c r="L231" s="8">
        <f>IFERROR(K231/K444, "NA")</f>
        <v>3.0396189463989145E-3</v>
      </c>
      <c r="M231" s="9"/>
      <c r="N231" s="10">
        <f t="shared" si="61"/>
        <v>133.68</v>
      </c>
      <c r="O231" s="8">
        <f>IFERROR(N231/N444, "NA")</f>
        <v>5.7047753168608308E-2</v>
      </c>
      <c r="P231" s="9"/>
      <c r="Q231" s="7">
        <v>888.05</v>
      </c>
      <c r="R231" s="8">
        <f>IFERROR(Q231/Q444, "NA")</f>
        <v>1.3280317542030586E-3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-888.05</v>
      </c>
      <c r="X231" s="8">
        <f>IFERROR(W231/W444, "NA")</f>
        <v>1.6840980598120784E-2</v>
      </c>
      <c r="Y231" s="9"/>
      <c r="Z231" s="7">
        <v>1767.71</v>
      </c>
      <c r="AA231" s="8">
        <f>IFERROR(Z231/Z444, "NA")</f>
        <v>2.7530573255182891E-3</v>
      </c>
      <c r="AB231" s="9"/>
      <c r="AC231" s="10">
        <f t="shared" si="63"/>
        <v>879.66000000000008</v>
      </c>
      <c r="AD231" s="8">
        <f>IFERROR(AC231/AC444, "NA")</f>
        <v>3.3061758806189667E-2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2.6476047843713571E-5</v>
      </c>
      <c r="AB233" s="9"/>
      <c r="AC233" s="10">
        <f t="shared" si="63"/>
        <v>17</v>
      </c>
      <c r="AD233" s="8">
        <f>IFERROR(AC233/AC444, "NA")</f>
        <v>6.3893993100200568E-4</v>
      </c>
    </row>
    <row r="234" spans="1:30" ht="16.5" customHeight="1" x14ac:dyDescent="0.45">
      <c r="A234" s="6" t="s">
        <v>213</v>
      </c>
      <c r="B234" s="7">
        <v>176.68</v>
      </c>
      <c r="C234" s="8">
        <f>IFERROR(B234/B444, "NA")</f>
        <v>2.3167969351351931E-3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-176.68</v>
      </c>
      <c r="I234" s="8">
        <f>IFERROR(H234/H444, "NA")</f>
        <v>2.1096900303175434E-2</v>
      </c>
      <c r="J234" s="9"/>
      <c r="K234" s="7">
        <v>220.74</v>
      </c>
      <c r="L234" s="8">
        <f>IFERROR(K234/K444, "NA")</f>
        <v>2.9863160327047197E-3</v>
      </c>
      <c r="M234" s="9"/>
      <c r="N234" s="10">
        <f t="shared" si="61"/>
        <v>44.06</v>
      </c>
      <c r="O234" s="8">
        <f>IFERROR(N234/N444, "NA")</f>
        <v>1.8802543421670273E-2</v>
      </c>
      <c r="P234" s="9"/>
      <c r="Q234" s="7">
        <v>4417.45</v>
      </c>
      <c r="R234" s="8">
        <f>IFERROR(Q234/Q444, "NA")</f>
        <v>6.6060625782380514E-3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-4417.45</v>
      </c>
      <c r="X234" s="8">
        <f>IFERROR(W234/W444, "NA")</f>
        <v>8.3772523780382468E-2</v>
      </c>
      <c r="Y234" s="9"/>
      <c r="Z234" s="7">
        <v>5002.2700000000004</v>
      </c>
      <c r="AA234" s="8">
        <f>IFERROR(Z234/Z444, "NA")</f>
        <v>7.7906082263042992E-3</v>
      </c>
      <c r="AB234" s="9"/>
      <c r="AC234" s="10">
        <f t="shared" si="63"/>
        <v>584.82000000000062</v>
      </c>
      <c r="AD234" s="8">
        <f>IFERROR(AC234/AC444, "NA")</f>
        <v>2.1980285320505489E-2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267.68</v>
      </c>
      <c r="C236" s="15">
        <f>IFERROR(B236/B444, "NA")</f>
        <v>3.5100758636913542E-3</v>
      </c>
      <c r="D236" s="2"/>
      <c r="E236" s="14">
        <f>IFERROR(E229+E230+E231+E232+E233+E234+E235, "NA")</f>
        <v>693.16</v>
      </c>
      <c r="F236" s="15">
        <f>IFERROR(E236/E444, "NA")</f>
        <v>8.1899778047300684E-3</v>
      </c>
      <c r="G236" s="2"/>
      <c r="H236" s="14">
        <f t="shared" si="60"/>
        <v>425.47999999999996</v>
      </c>
      <c r="I236" s="15">
        <f>IFERROR(H236/H444, "NA")</f>
        <v>-5.0805462649960845E-2</v>
      </c>
      <c r="J236" s="2"/>
      <c r="K236" s="14">
        <f>IFERROR(K229+K230+K231+K232+K233+K234+K235, "NA")</f>
        <v>445.42</v>
      </c>
      <c r="L236" s="15">
        <f>IFERROR(K236/K444, "NA")</f>
        <v>6.0259349791036343E-3</v>
      </c>
      <c r="M236" s="2"/>
      <c r="N236" s="14">
        <f t="shared" si="61"/>
        <v>177.74</v>
      </c>
      <c r="O236" s="15">
        <f>IFERROR(N236/N444, "NA")</f>
        <v>7.5850296590278574E-2</v>
      </c>
      <c r="P236" s="2"/>
      <c r="Q236" s="14">
        <f>IFERROR(Q229+Q230+Q231+Q232+Q233+Q234+Q235, "NA")</f>
        <v>5389.45</v>
      </c>
      <c r="R236" s="15">
        <f>IFERROR(Q236/Q444, "NA")</f>
        <v>8.0596371124257351E-3</v>
      </c>
      <c r="S236" s="2"/>
      <c r="T236" s="14">
        <f>IFERROR(T229+T230+T231+T232+T233+T234+T235, "NA")</f>
        <v>5908.5</v>
      </c>
      <c r="U236" s="15">
        <f>IFERROR(T236/T444, "NA")</f>
        <v>8.1900081900081901E-3</v>
      </c>
      <c r="V236" s="2"/>
      <c r="W236" s="14">
        <f t="shared" si="62"/>
        <v>519.05000000000018</v>
      </c>
      <c r="X236" s="15">
        <f>IFERROR(W236/W444, "NA")</f>
        <v>-9.8432644326947767E-3</v>
      </c>
      <c r="Y236" s="2"/>
      <c r="Z236" s="14">
        <f>IFERROR(Z229+Z230+Z231+Z232+Z233+Z234+Z235, "NA")</f>
        <v>7516.9800000000005</v>
      </c>
      <c r="AA236" s="15">
        <f>IFERROR(Z236/Z444, "NA")</f>
        <v>1.1707054242366944E-2</v>
      </c>
      <c r="AB236" s="2"/>
      <c r="AC236" s="14">
        <f t="shared" si="63"/>
        <v>2127.5300000000007</v>
      </c>
      <c r="AD236" s="15">
        <f>IFERROR(AC236/AC444, "NA")</f>
        <v>7.996258067086455E-2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4236.5</v>
      </c>
      <c r="F240" s="8">
        <f>IFERROR(E240/E444, "NA")</f>
        <v>5.0056034638090677E-2</v>
      </c>
      <c r="G240" s="9"/>
      <c r="H240" s="10">
        <f t="shared" ref="H240:H263" si="64">IFERROR(-(B240-E240), "NA")</f>
        <v>4236.5</v>
      </c>
      <c r="I240" s="8">
        <f>IFERROR(H240/H444, "NA")</f>
        <v>-0.50586947098937463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36249.89</v>
      </c>
      <c r="U240" s="8">
        <f>IFERROR(T240/T444, "NA")</f>
        <v>5.0247422524650247E-2</v>
      </c>
      <c r="V240" s="9"/>
      <c r="W240" s="10">
        <f t="shared" ref="W240:W263" si="66">IFERROR(-(Q240-T240), "NA")</f>
        <v>36249.89</v>
      </c>
      <c r="X240" s="8">
        <f>IFERROR(W240/W444, "NA")</f>
        <v>-0.68744293021115099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29.88</v>
      </c>
      <c r="C241" s="8">
        <f>IFERROR(B241/B444, "NA")</f>
        <v>3.9181510313470434E-4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-29.88</v>
      </c>
      <c r="I241" s="8">
        <f>IFERROR(H241/H444, "NA")</f>
        <v>3.5678932593325892E-3</v>
      </c>
      <c r="J241" s="9"/>
      <c r="K241" s="7">
        <v>52.88</v>
      </c>
      <c r="L241" s="8">
        <f>IFERROR(K241/K444, "NA")</f>
        <v>7.1539545079924609E-4</v>
      </c>
      <c r="M241" s="9"/>
      <c r="N241" s="10">
        <f t="shared" si="65"/>
        <v>23.000000000000004</v>
      </c>
      <c r="O241" s="8">
        <f>IFERROR(N241/N444, "NA")</f>
        <v>9.8152178551615139E-3</v>
      </c>
      <c r="P241" s="9"/>
      <c r="Q241" s="7">
        <v>976.18</v>
      </c>
      <c r="R241" s="8">
        <f>IFERROR(Q241/Q444, "NA")</f>
        <v>1.4598255028635118E-3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-976.18</v>
      </c>
      <c r="X241" s="8">
        <f>IFERROR(W241/W444, "NA")</f>
        <v>1.8512277957630253E-2</v>
      </c>
      <c r="Y241" s="9"/>
      <c r="Z241" s="7">
        <v>759.99</v>
      </c>
      <c r="AA241" s="8">
        <f>IFERROR(Z241/Z444, "NA")</f>
        <v>1.1836195059261104E-3</v>
      </c>
      <c r="AB241" s="9"/>
      <c r="AC241" s="10">
        <f t="shared" si="67"/>
        <v>-216.18999999999994</v>
      </c>
      <c r="AD241" s="8">
        <f>IFERROR(AC241/AC444, "NA")</f>
        <v>-8.1254366872543261E-3</v>
      </c>
    </row>
    <row r="242" spans="1:30" ht="16.5" customHeight="1" x14ac:dyDescent="0.45">
      <c r="A242" s="12" t="s">
        <v>219</v>
      </c>
      <c r="B242" s="7">
        <v>410.5</v>
      </c>
      <c r="C242" s="8">
        <f>IFERROR(B242/B444, "NA")</f>
        <v>5.3828681337615841E-3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-410.5</v>
      </c>
      <c r="I242" s="8">
        <f>IFERROR(H242/H444, "NA")</f>
        <v>4.901673972409732E-2</v>
      </c>
      <c r="J242" s="9"/>
      <c r="K242" s="7">
        <v>410.08</v>
      </c>
      <c r="L242" s="8">
        <f>IFERROR(K242/K444, "NA")</f>
        <v>5.5478321948516417E-3</v>
      </c>
      <c r="M242" s="9"/>
      <c r="N242" s="10">
        <f t="shared" si="65"/>
        <v>-0.42000000000001592</v>
      </c>
      <c r="O242" s="8">
        <f>IFERROR(N242/N444, "NA")</f>
        <v>-1.7923441300730396E-4</v>
      </c>
      <c r="P242" s="9"/>
      <c r="Q242" s="7">
        <v>4630.46</v>
      </c>
      <c r="R242" s="8">
        <f>IFERROR(Q242/Q444, "NA")</f>
        <v>6.9246077547064858E-3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-4630.46</v>
      </c>
      <c r="X242" s="8">
        <f>IFERROR(W242/W444, "NA")</f>
        <v>8.7812045515876777E-2</v>
      </c>
      <c r="Y242" s="9"/>
      <c r="Z242" s="7">
        <v>4023.66</v>
      </c>
      <c r="AA242" s="8">
        <f>IFERROR(Z242/Z444, "NA")</f>
        <v>6.2665067451080315E-3</v>
      </c>
      <c r="AB242" s="9"/>
      <c r="AC242" s="10">
        <f t="shared" si="67"/>
        <v>-606.80000000000018</v>
      </c>
      <c r="AD242" s="8">
        <f>IFERROR(AC242/AC444, "NA")</f>
        <v>-2.2806397066589244E-2</v>
      </c>
    </row>
    <row r="243" spans="1:30" ht="16.5" customHeight="1" x14ac:dyDescent="0.45">
      <c r="A243" s="12" t="s">
        <v>220</v>
      </c>
      <c r="B243" s="7">
        <v>343.61</v>
      </c>
      <c r="C243" s="8">
        <f>IFERROR(B243/B444, "NA")</f>
        <v>4.5057425564965121E-3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-343.61</v>
      </c>
      <c r="I243" s="8">
        <f>IFERROR(H243/H444, "NA")</f>
        <v>4.1029578408275473E-2</v>
      </c>
      <c r="J243" s="9"/>
      <c r="K243" s="7">
        <v>348.89</v>
      </c>
      <c r="L243" s="8">
        <f>IFERROR(K243/K444, "NA")</f>
        <v>4.7200135935958577E-3</v>
      </c>
      <c r="M243" s="9"/>
      <c r="N243" s="10">
        <f t="shared" si="65"/>
        <v>5.2799999999999727</v>
      </c>
      <c r="O243" s="8">
        <f>IFERROR(N243/N444, "NA")</f>
        <v>2.2532326206631528E-3</v>
      </c>
      <c r="P243" s="9"/>
      <c r="Q243" s="7">
        <v>6348.56</v>
      </c>
      <c r="R243" s="8">
        <f>IFERROR(Q243/Q444, "NA")</f>
        <v>9.4939353341178655E-3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-6348.56</v>
      </c>
      <c r="X243" s="8">
        <f>IFERROR(W243/W444, "NA")</f>
        <v>0.12039409468611642</v>
      </c>
      <c r="Y243" s="9"/>
      <c r="Z243" s="7">
        <v>6236.48</v>
      </c>
      <c r="AA243" s="8">
        <f>IFERROR(Z243/Z444, "NA")</f>
        <v>9.7127848739036945E-3</v>
      </c>
      <c r="AB243" s="9"/>
      <c r="AC243" s="10">
        <f t="shared" si="67"/>
        <v>-112.08000000000084</v>
      </c>
      <c r="AD243" s="8">
        <f>IFERROR(AC243/AC444, "NA")</f>
        <v>-4.2124933803944307E-3</v>
      </c>
    </row>
    <row r="244" spans="1:30" ht="16.5" customHeight="1" x14ac:dyDescent="0.45">
      <c r="A244" s="12" t="s">
        <v>221</v>
      </c>
      <c r="B244" s="7">
        <v>1581.25</v>
      </c>
      <c r="C244" s="8">
        <f>IFERROR(B244/B444, "NA")</f>
        <v>2.0734860503070659E-2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-1581.25</v>
      </c>
      <c r="I244" s="8">
        <f>IFERROR(H244/H444, "NA")</f>
        <v>0.18881295904684262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-1581.25</v>
      </c>
      <c r="O244" s="8">
        <f>IFERROR(N244/N444, "NA")</f>
        <v>-0.67479622754235391</v>
      </c>
      <c r="P244" s="9"/>
      <c r="Q244" s="7">
        <v>6292.44</v>
      </c>
      <c r="R244" s="8">
        <f>IFERROR(Q244/Q444, "NA")</f>
        <v>9.410010845580196E-3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-6292.44</v>
      </c>
      <c r="X244" s="8">
        <f>IFERROR(W244/W444, "NA")</f>
        <v>0.11932983498095731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-6292.44</v>
      </c>
      <c r="AD244" s="8">
        <f>IFERROR(AC244/AC444, "NA")</f>
        <v>-0.23649948114319178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159.68</v>
      </c>
      <c r="C246" s="8">
        <f>IFERROR(B246/B444, "NA")</f>
        <v>2.0938766957345916E-3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-159.68</v>
      </c>
      <c r="I246" s="8">
        <f>IFERROR(H246/H444, "NA")</f>
        <v>1.9066974419351672E-2</v>
      </c>
      <c r="J246" s="9"/>
      <c r="K246" s="7">
        <v>129.59</v>
      </c>
      <c r="L246" s="8">
        <f>IFERROR(K246/K444, "NA")</f>
        <v>1.7531788288402855E-3</v>
      </c>
      <c r="M246" s="9"/>
      <c r="N246" s="10">
        <f t="shared" si="65"/>
        <v>-30.090000000000003</v>
      </c>
      <c r="O246" s="8">
        <f>IFERROR(N246/N444, "NA")</f>
        <v>-1.2840865446165649E-2</v>
      </c>
      <c r="P246" s="9"/>
      <c r="Q246" s="7">
        <v>1279.8900000000001</v>
      </c>
      <c r="R246" s="8">
        <f>IFERROR(Q246/Q444, "NA")</f>
        <v>1.9140077269150981E-3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-1279.8900000000001</v>
      </c>
      <c r="X246" s="8">
        <f>IFERROR(W246/W444, "NA")</f>
        <v>2.4271834533786174E-2</v>
      </c>
      <c r="Y246" s="9"/>
      <c r="Z246" s="7">
        <v>177.97</v>
      </c>
      <c r="AA246" s="8">
        <f>IFERROR(Z246/Z444, "NA")</f>
        <v>2.7717307263210023E-4</v>
      </c>
      <c r="AB246" s="9"/>
      <c r="AC246" s="10">
        <f t="shared" si="67"/>
        <v>-1101.92</v>
      </c>
      <c r="AD246" s="8">
        <f>IFERROR(AC246/AC444, "NA")</f>
        <v>-4.1415334633513531E-2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28.42</v>
      </c>
      <c r="L247" s="8">
        <f>IFERROR(K247/K444, "NA")</f>
        <v>3.8448446882970069E-4</v>
      </c>
      <c r="M247" s="9"/>
      <c r="N247" s="10">
        <f t="shared" si="65"/>
        <v>28.42</v>
      </c>
      <c r="O247" s="8">
        <f>IFERROR(N247/N444, "NA")</f>
        <v>1.2128195280160443E-2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293.07</v>
      </c>
      <c r="AA247" s="8">
        <f>IFERROR(Z247/Z444, "NA")</f>
        <v>4.5643149067983149E-4</v>
      </c>
      <c r="AB247" s="9"/>
      <c r="AC247" s="10">
        <f t="shared" si="67"/>
        <v>293.07</v>
      </c>
      <c r="AD247" s="8">
        <f>IFERROR(AC247/AC444, "NA")</f>
        <v>1.1014948563456341E-2</v>
      </c>
    </row>
    <row r="248" spans="1:30" ht="16.5" customHeight="1" x14ac:dyDescent="0.45">
      <c r="A248" s="12" t="s">
        <v>225</v>
      </c>
      <c r="B248" s="7">
        <v>202.94</v>
      </c>
      <c r="C248" s="8">
        <f>IFERROR(B248/B444, "NA")</f>
        <v>2.6611431402328283E-3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-202.94</v>
      </c>
      <c r="I248" s="8">
        <f>IFERROR(H248/H444, "NA")</f>
        <v>2.4232538756658491E-2</v>
      </c>
      <c r="J248" s="9"/>
      <c r="K248" s="7">
        <v>209.89</v>
      </c>
      <c r="L248" s="8">
        <f>IFERROR(K248/K444, "NA")</f>
        <v>2.8395300901712128E-3</v>
      </c>
      <c r="M248" s="9"/>
      <c r="N248" s="10">
        <f t="shared" si="65"/>
        <v>6.9499999999999886</v>
      </c>
      <c r="O248" s="8">
        <f>IFERROR(N248/N444, "NA")</f>
        <v>2.9659027866683653E-3</v>
      </c>
      <c r="P248" s="9"/>
      <c r="Q248" s="7">
        <v>1619.97</v>
      </c>
      <c r="R248" s="8">
        <f>IFERROR(Q248/Q444, "NA")</f>
        <v>2.4225793602345915E-3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-1619.97</v>
      </c>
      <c r="X248" s="8">
        <f>IFERROR(W248/W444, "NA")</f>
        <v>3.0721111806247089E-2</v>
      </c>
      <c r="Y248" s="9"/>
      <c r="Z248" s="7">
        <v>1644.28</v>
      </c>
      <c r="AA248" s="8">
        <f>IFERROR(Z248/Z444, "NA")</f>
        <v>2.5608256440271381E-3</v>
      </c>
      <c r="AB248" s="9"/>
      <c r="AC248" s="10">
        <f t="shared" si="67"/>
        <v>24.309999999999945</v>
      </c>
      <c r="AD248" s="8">
        <f>IFERROR(AC248/AC444, "NA")</f>
        <v>9.1368410133286604E-4</v>
      </c>
    </row>
    <row r="249" spans="1:30" ht="16.5" customHeight="1" x14ac:dyDescent="0.45">
      <c r="A249" s="12" t="s">
        <v>226</v>
      </c>
      <c r="B249" s="7">
        <v>748.37</v>
      </c>
      <c r="C249" s="8">
        <f>IFERROR(B249/B444, "NA")</f>
        <v>9.813342327072247E-3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-748.37</v>
      </c>
      <c r="I249" s="8">
        <f>IFERROR(H249/H444, "NA")</f>
        <v>8.936091962806994E-2</v>
      </c>
      <c r="J249" s="9"/>
      <c r="K249" s="7">
        <v>1367.98</v>
      </c>
      <c r="L249" s="8">
        <f>IFERROR(K249/K444, "NA")</f>
        <v>1.8506933978524067E-2</v>
      </c>
      <c r="M249" s="9"/>
      <c r="N249" s="10">
        <f t="shared" si="65"/>
        <v>619.61</v>
      </c>
      <c r="O249" s="8">
        <f>IFERROR(N249/N444, "NA")</f>
        <v>0.26441770153202715</v>
      </c>
      <c r="P249" s="9"/>
      <c r="Q249" s="7">
        <v>10778.78</v>
      </c>
      <c r="R249" s="8">
        <f>IFERROR(Q249/Q444, "NA")</f>
        <v>1.6119094771205277E-2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-10778.78</v>
      </c>
      <c r="X249" s="8">
        <f>IFERROR(W249/W444, "NA")</f>
        <v>0.20440878875222382</v>
      </c>
      <c r="Y249" s="9"/>
      <c r="Z249" s="7">
        <v>12049.83</v>
      </c>
      <c r="AA249" s="8">
        <f>IFERROR(Z249/Z444, "NA")</f>
        <v>1.8766580916977357E-2</v>
      </c>
      <c r="AB249" s="9"/>
      <c r="AC249" s="10">
        <f t="shared" si="67"/>
        <v>1271.0499999999993</v>
      </c>
      <c r="AD249" s="8">
        <f>IFERROR(AC249/AC444, "NA")</f>
        <v>4.7772035252946987E-2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7.0550880430601456E-6</v>
      </c>
      <c r="AB250" s="9"/>
      <c r="AC250" s="10">
        <f t="shared" si="67"/>
        <v>4.53</v>
      </c>
      <c r="AD250" s="8">
        <f>IFERROR(AC250/AC444, "NA")</f>
        <v>1.7025869926112267E-4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87.04</v>
      </c>
      <c r="L251" s="8">
        <f>IFERROR(K251/K444, "NA")</f>
        <v>1.1775344182595761E-3</v>
      </c>
      <c r="M251" s="9"/>
      <c r="N251" s="10">
        <f t="shared" si="65"/>
        <v>87.04</v>
      </c>
      <c r="O251" s="8">
        <f>IFERROR(N251/N444, "NA")</f>
        <v>3.7144198352750353E-2</v>
      </c>
      <c r="P251" s="9"/>
      <c r="Q251" s="7">
        <v>29.09</v>
      </c>
      <c r="R251" s="8">
        <f>IFERROR(Q251/Q444, "NA")</f>
        <v>4.3502554732016187E-5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5.5166277304130801E-4</v>
      </c>
      <c r="Y251" s="9"/>
      <c r="Z251" s="7">
        <v>262.81</v>
      </c>
      <c r="AA251" s="8">
        <f>IFERROR(Z251/Z444, "NA")</f>
        <v>4.0930412551802136E-4</v>
      </c>
      <c r="AB251" s="9"/>
      <c r="AC251" s="10">
        <f t="shared" si="67"/>
        <v>233.72</v>
      </c>
      <c r="AD251" s="8">
        <f>IFERROR(AC251/AC444, "NA")</f>
        <v>8.7842965102228679E-3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24.52</v>
      </c>
      <c r="L252" s="8">
        <f>IFERROR(K252/K444, "NA")</f>
        <v>3.3172270146742647E-4</v>
      </c>
      <c r="M252" s="9"/>
      <c r="N252" s="10">
        <f t="shared" si="65"/>
        <v>24.52</v>
      </c>
      <c r="O252" s="8">
        <f>IFERROR(N252/N444, "NA")</f>
        <v>1.0463875730806968E-2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142.11000000000001</v>
      </c>
      <c r="AA252" s="8">
        <f>IFERROR(Z252/Z444, "NA")</f>
        <v>2.2132418582765506E-4</v>
      </c>
      <c r="AB252" s="9"/>
      <c r="AC252" s="10">
        <f t="shared" si="67"/>
        <v>142.11000000000001</v>
      </c>
      <c r="AD252" s="8">
        <f>IFERROR(AC252/AC444, "NA")</f>
        <v>5.3411619761585313E-3</v>
      </c>
    </row>
    <row r="253" spans="1:30" ht="16.5" customHeight="1" x14ac:dyDescent="0.45">
      <c r="A253" s="12" t="s">
        <v>230</v>
      </c>
      <c r="B253" s="7">
        <v>485.07</v>
      </c>
      <c r="C253" s="8">
        <f>IFERROR(B253/B444, "NA")</f>
        <v>6.3607012074146938E-3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-485.07</v>
      </c>
      <c r="I253" s="8">
        <f>IFERROR(H253/H444, "NA")</f>
        <v>5.7920949909787786E-2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-485.07</v>
      </c>
      <c r="O253" s="8">
        <f>IFERROR(N253/N444, "NA")</f>
        <v>-0.20700294456535628</v>
      </c>
      <c r="P253" s="9"/>
      <c r="Q253" s="7">
        <v>1859.24</v>
      </c>
      <c r="R253" s="8">
        <f>IFERROR(Q253/Q444, "NA")</f>
        <v>2.78039497627892E-3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-1859.24</v>
      </c>
      <c r="X253" s="8">
        <f>IFERROR(W253/W444, "NA")</f>
        <v>3.5258628193513976E-2</v>
      </c>
      <c r="Y253" s="9"/>
      <c r="Z253" s="7">
        <v>3664.95</v>
      </c>
      <c r="AA253" s="8">
        <f>IFERROR(Z253/Z444, "NA")</f>
        <v>5.7078465614598846E-3</v>
      </c>
      <c r="AB253" s="9"/>
      <c r="AC253" s="10">
        <f t="shared" si="67"/>
        <v>1805.7099999999998</v>
      </c>
      <c r="AD253" s="8">
        <f>IFERROR(AC253/AC444, "NA")</f>
        <v>6.7867071929978318E-2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721.84</v>
      </c>
      <c r="R254" s="8">
        <f>IFERROR(Q254/Q444, "NA")</f>
        <v>1.0794734997510678E-3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-721.84</v>
      </c>
      <c r="X254" s="8">
        <f>IFERROR(W254/W444, "NA")</f>
        <v>1.368897408360735E-2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-721.84</v>
      </c>
      <c r="AD254" s="8">
        <f>IFERROR(AC254/AC444, "NA")</f>
        <v>-2.7130141164381633E-2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419.39</v>
      </c>
      <c r="C258" s="8">
        <f>IFERROR(B258/B444, "NA")</f>
        <v>5.4994423060128403E-3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-419.39</v>
      </c>
      <c r="I258" s="8">
        <f>IFERROR(H258/H444, "NA")</f>
        <v>5.007827155393222E-2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-419.39</v>
      </c>
      <c r="O258" s="8">
        <f>IFERROR(N258/N444, "NA")</f>
        <v>-0.17897409635983419</v>
      </c>
      <c r="P258" s="9"/>
      <c r="Q258" s="7">
        <v>2088.66</v>
      </c>
      <c r="R258" s="8">
        <f>IFERROR(Q258/Q444, "NA")</f>
        <v>3.1234804388646587E-3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-2088.66</v>
      </c>
      <c r="X258" s="8">
        <f>IFERROR(W258/W444, "NA")</f>
        <v>3.9609349176365022E-2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-2088.66</v>
      </c>
      <c r="AD258" s="8">
        <f>IFERROR(AC258/AC444, "NA")</f>
        <v>-7.8501663310979353E-2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4380.6899999999996</v>
      </c>
      <c r="C262" s="15">
        <f>IFERROR(B262/B444, "NA")</f>
        <v>5.7443791972930654E-2</v>
      </c>
      <c r="D262" s="2"/>
      <c r="E262" s="14">
        <f>IFERROR(E240+E241+E242+E243+E244+E245+E246+E247+E248+E249+E250+E251+E252+E253+E254+E255+E256+E257+E258+E259+E260+E261, "NA")</f>
        <v>4236.5</v>
      </c>
      <c r="F262" s="15">
        <f>IFERROR(E262/E444, "NA")</f>
        <v>5.0056034638090677E-2</v>
      </c>
      <c r="G262" s="2"/>
      <c r="H262" s="14">
        <f t="shared" si="64"/>
        <v>-144.1899999999996</v>
      </c>
      <c r="I262" s="15">
        <f>IFERROR(H262/H444, "NA")</f>
        <v>1.7217353716973381E-2</v>
      </c>
      <c r="J262" s="2"/>
      <c r="K262" s="14">
        <f>IFERROR(K240+K241+K242+K243+K244+K245+K246+K247+K248+K249+K250+K251+K252+K253+K254+K255+K256+K257+K258+K259+K260+K261, "NA")</f>
        <v>2659.29</v>
      </c>
      <c r="L262" s="15">
        <f>IFERROR(K262/K444, "NA")</f>
        <v>3.5976625725339009E-2</v>
      </c>
      <c r="M262" s="2"/>
      <c r="N262" s="14">
        <f t="shared" si="65"/>
        <v>-1721.3999999999996</v>
      </c>
      <c r="O262" s="15">
        <f>IFERROR(N262/N444, "NA")</f>
        <v>-0.73460504416847927</v>
      </c>
      <c r="P262" s="2"/>
      <c r="Q262" s="14">
        <f>IFERROR(Q240+Q241+Q242+Q243+Q244+Q245+Q246+Q247+Q248+Q249+Q250+Q251+Q252+Q253+Q254+Q255+Q256+Q257+Q258+Q259+Q260+Q261, "NA")</f>
        <v>36625.11</v>
      </c>
      <c r="R262" s="15">
        <f>IFERROR(Q262/Q444, "NA")</f>
        <v>5.4770912765249688E-2</v>
      </c>
      <c r="S262" s="2"/>
      <c r="T262" s="14">
        <f>IFERROR(T240+T241+T242+T243+T244+T245+T246+T247+T248+T249+T250+T251+T252+T253+T254+T255+T256+T257+T258+T259+T260+T261, "NA")</f>
        <v>36249.89</v>
      </c>
      <c r="U262" s="15">
        <f>IFERROR(T262/T444, "NA")</f>
        <v>5.0247422524650247E-2</v>
      </c>
      <c r="V262" s="2"/>
      <c r="W262" s="14">
        <f t="shared" si="66"/>
        <v>-375.22000000000116</v>
      </c>
      <c r="X262" s="15">
        <f>IFERROR(W262/W444, "NA")</f>
        <v>7.1156722482145149E-3</v>
      </c>
      <c r="Y262" s="2"/>
      <c r="Z262" s="14">
        <f>IFERROR(Z240+Z241+Z242+Z243+Z244+Z245+Z246+Z247+Z248+Z249+Z250+Z251+Z252+Z253+Z254+Z255+Z256+Z257+Z258+Z259+Z260+Z261, "NA")</f>
        <v>29259.68</v>
      </c>
      <c r="AA262" s="15">
        <f>IFERROR(Z262/Z444, "NA")</f>
        <v>4.556945221010289E-2</v>
      </c>
      <c r="AB262" s="2"/>
      <c r="AC262" s="14">
        <f t="shared" si="67"/>
        <v>-7365.43</v>
      </c>
      <c r="AD262" s="15">
        <f>IFERROR(AC262/AC444, "NA")</f>
        <v>-0.27682749035294718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4380.6899999999996</v>
      </c>
      <c r="C263" s="15">
        <f>IFERROR(B263/B444, "NA")</f>
        <v>5.7443791972930654E-2</v>
      </c>
      <c r="D263" s="2"/>
      <c r="E263" s="14">
        <f>IFERROR(E238+E240+E241+E242+E243+E244+E245+E246+E247+E248+E249+E250+E251+E252+E253+E254+E255+E256+E257+E258+E259+E260+E261, "NA")</f>
        <v>4236.5</v>
      </c>
      <c r="F263" s="15">
        <f>IFERROR(E263/E444, "NA")</f>
        <v>5.0056034638090677E-2</v>
      </c>
      <c r="G263" s="2"/>
      <c r="H263" s="14">
        <f t="shared" si="64"/>
        <v>-144.1899999999996</v>
      </c>
      <c r="I263" s="15">
        <f>IFERROR(H263/H444, "NA")</f>
        <v>1.7217353716973381E-2</v>
      </c>
      <c r="J263" s="2"/>
      <c r="K263" s="14">
        <f>IFERROR(K238+K240+K241+K242+K243+K244+K245+K246+K247+K248+K249+K250+K251+K252+K253+K254+K255+K256+K257+K258+K259+K260+K261, "NA")</f>
        <v>2659.29</v>
      </c>
      <c r="L263" s="15">
        <f>IFERROR(K263/K444, "NA")</f>
        <v>3.5976625725339009E-2</v>
      </c>
      <c r="M263" s="2"/>
      <c r="N263" s="14">
        <f t="shared" si="65"/>
        <v>-1721.3999999999996</v>
      </c>
      <c r="O263" s="15">
        <f>IFERROR(N263/N444, "NA")</f>
        <v>-0.73460504416847927</v>
      </c>
      <c r="P263" s="2"/>
      <c r="Q263" s="14">
        <f>IFERROR(Q238+Q240+Q241+Q242+Q243+Q244+Q245+Q246+Q247+Q248+Q249+Q250+Q251+Q252+Q253+Q254+Q255+Q256+Q257+Q258+Q259+Q260+Q261, "NA")</f>
        <v>36625.11</v>
      </c>
      <c r="R263" s="15">
        <f>IFERROR(Q263/Q444, "NA")</f>
        <v>5.4770912765249688E-2</v>
      </c>
      <c r="S263" s="2"/>
      <c r="T263" s="14">
        <f>IFERROR(T238+T240+T241+T242+T243+T244+T245+T246+T247+T248+T249+T250+T251+T252+T253+T254+T255+T256+T257+T258+T259+T260+T261, "NA")</f>
        <v>36249.89</v>
      </c>
      <c r="U263" s="15">
        <f>IFERROR(T263/T444, "NA")</f>
        <v>5.0247422524650247E-2</v>
      </c>
      <c r="V263" s="2"/>
      <c r="W263" s="14">
        <f t="shared" si="66"/>
        <v>-375.22000000000116</v>
      </c>
      <c r="X263" s="15">
        <f>IFERROR(W263/W444, "NA")</f>
        <v>7.1156722482145149E-3</v>
      </c>
      <c r="Y263" s="2"/>
      <c r="Z263" s="14">
        <f>IFERROR(Z238+Z240+Z241+Z242+Z243+Z244+Z245+Z246+Z247+Z248+Z249+Z250+Z251+Z252+Z253+Z254+Z255+Z256+Z257+Z258+Z259+Z260+Z261, "NA")</f>
        <v>29259.68</v>
      </c>
      <c r="AA263" s="15">
        <f>IFERROR(Z263/Z444, "NA")</f>
        <v>4.556945221010289E-2</v>
      </c>
      <c r="AB263" s="2"/>
      <c r="AC263" s="14">
        <f t="shared" si="67"/>
        <v>-7365.43</v>
      </c>
      <c r="AD263" s="15">
        <f>IFERROR(AC263/AC444, "NA")</f>
        <v>-0.27682749035294718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2238.41</v>
      </c>
      <c r="C265" s="8">
        <f>IFERROR(B265/B444, "NA")</f>
        <v>2.9352170180982382E-2</v>
      </c>
      <c r="D265" s="9"/>
      <c r="E265" s="7">
        <v>2369.7800000000002</v>
      </c>
      <c r="F265" s="8">
        <f>IFERROR(E265/E444, "NA")</f>
        <v>2.7999950375228264E-2</v>
      </c>
      <c r="G265" s="9"/>
      <c r="H265" s="10">
        <f>IFERROR(-(B265-E265), "NA")</f>
        <v>131.37000000000035</v>
      </c>
      <c r="I265" s="8">
        <f>IFERROR(H265/H444, "NA")</f>
        <v>-1.5686550785760492E-2</v>
      </c>
      <c r="J265" s="9"/>
      <c r="K265" s="7">
        <v>2122.2800000000002</v>
      </c>
      <c r="L265" s="8">
        <f>IFERROR(K265/K444, "NA")</f>
        <v>2.8711600932719818E-2</v>
      </c>
      <c r="M265" s="9"/>
      <c r="N265" s="10">
        <f>IFERROR(-(B265-K265), "NA")</f>
        <v>-116.12999999999965</v>
      </c>
      <c r="O265" s="8">
        <f>IFERROR(N265/N444, "NA")</f>
        <v>-4.9558315196517523E-2</v>
      </c>
      <c r="P265" s="9"/>
      <c r="Q265" s="7">
        <v>18536.38</v>
      </c>
      <c r="R265" s="8">
        <f>IFERROR(Q265/Q444, "NA")</f>
        <v>2.7720174818956694E-2</v>
      </c>
      <c r="S265" s="9"/>
      <c r="T265" s="7">
        <v>20313.46</v>
      </c>
      <c r="U265" s="8">
        <f>IFERROR(T265/T444, "NA")</f>
        <v>2.8157299444428158E-2</v>
      </c>
      <c r="V265" s="9"/>
      <c r="W265" s="10">
        <f>IFERROR(-(Q265-T265), "NA")</f>
        <v>1777.0799999999981</v>
      </c>
      <c r="X265" s="8">
        <f>IFERROR(W265/W444, "NA")</f>
        <v>-3.3700545916680875E-2</v>
      </c>
      <c r="Y265" s="9"/>
      <c r="Z265" s="7">
        <v>18229.740000000002</v>
      </c>
      <c r="AA265" s="8">
        <f>IFERROR(Z265/Z444, "NA")</f>
        <v>2.8391262848144652E-2</v>
      </c>
      <c r="AB265" s="9"/>
      <c r="AC265" s="10">
        <f>IFERROR(-(Q265-Z265), "NA")</f>
        <v>-306.63999999999942</v>
      </c>
      <c r="AD265" s="8">
        <f>IFERROR(AC265/AC444, "NA")</f>
        <v>-1.1524972967203213E-2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441.97</v>
      </c>
      <c r="R266" s="8">
        <f>IFERROR(Q266/Q444, "NA")</f>
        <v>6.6094273341042265E-4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-441.97</v>
      </c>
      <c r="X266" s="8">
        <f>IFERROR(W266/W444, "NA")</f>
        <v>8.3815192781391181E-3</v>
      </c>
      <c r="Y266" s="9"/>
      <c r="Z266" s="7">
        <v>328.93</v>
      </c>
      <c r="AA266" s="8">
        <f>IFERROR(Z266/Z444, "NA")</f>
        <v>5.1228037748427674E-4</v>
      </c>
      <c r="AB266" s="9"/>
      <c r="AC266" s="10">
        <f>IFERROR(-(Q266-Z266), "NA")</f>
        <v>-113.04000000000002</v>
      </c>
      <c r="AD266" s="8">
        <f>IFERROR(AC266/AC444, "NA")</f>
        <v>-4.2485746941451014E-3</v>
      </c>
    </row>
    <row r="267" spans="1:30" ht="16.5" customHeight="1" x14ac:dyDescent="0.45">
      <c r="A267" s="19" t="s">
        <v>243</v>
      </c>
      <c r="B267" s="14">
        <f>IFERROR(B265+B266, "NA")</f>
        <v>2238.41</v>
      </c>
      <c r="C267" s="15">
        <f>IFERROR(B267/B444, "NA")</f>
        <v>2.9352170180982382E-2</v>
      </c>
      <c r="D267" s="2"/>
      <c r="E267" s="14">
        <f>IFERROR(E265+E266, "NA")</f>
        <v>2369.7800000000002</v>
      </c>
      <c r="F267" s="15">
        <f>IFERROR(E267/E444, "NA")</f>
        <v>2.7999950375228264E-2</v>
      </c>
      <c r="G267" s="2"/>
      <c r="H267" s="14">
        <f>IFERROR(-(B267-E267), "NA")</f>
        <v>131.37000000000035</v>
      </c>
      <c r="I267" s="15">
        <f>IFERROR(H267/H444, "NA")</f>
        <v>-1.5686550785760492E-2</v>
      </c>
      <c r="J267" s="2"/>
      <c r="K267" s="14">
        <f>IFERROR(K265+K266, "NA")</f>
        <v>2122.2800000000002</v>
      </c>
      <c r="L267" s="15">
        <f>IFERROR(K267/K444, "NA")</f>
        <v>2.8711600932719818E-2</v>
      </c>
      <c r="M267" s="2"/>
      <c r="N267" s="14">
        <f>IFERROR(-(B267-K267), "NA")</f>
        <v>-116.12999999999965</v>
      </c>
      <c r="O267" s="15">
        <f>IFERROR(N267/N444, "NA")</f>
        <v>-4.9558315196517523E-2</v>
      </c>
      <c r="P267" s="2"/>
      <c r="Q267" s="14">
        <f>IFERROR(Q265+Q266, "NA")</f>
        <v>18978.350000000002</v>
      </c>
      <c r="R267" s="15">
        <f>IFERROR(Q267/Q444, "NA")</f>
        <v>2.8381117552367122E-2</v>
      </c>
      <c r="S267" s="2"/>
      <c r="T267" s="14">
        <f>IFERROR(T265+T266, "NA")</f>
        <v>20313.46</v>
      </c>
      <c r="U267" s="15">
        <f>IFERROR(T267/T444, "NA")</f>
        <v>2.8157299444428158E-2</v>
      </c>
      <c r="V267" s="2"/>
      <c r="W267" s="14">
        <f>IFERROR(-(Q267-T267), "NA")</f>
        <v>1335.1099999999969</v>
      </c>
      <c r="X267" s="15">
        <f>IFERROR(W267/W444, "NA")</f>
        <v>-2.5319026638541735E-2</v>
      </c>
      <c r="Y267" s="2"/>
      <c r="Z267" s="14">
        <f>IFERROR(Z265+Z266, "NA")</f>
        <v>18558.670000000002</v>
      </c>
      <c r="AA267" s="15">
        <f>IFERROR(Z267/Z444, "NA")</f>
        <v>2.8903543225628929E-2</v>
      </c>
      <c r="AB267" s="2"/>
      <c r="AC267" s="14">
        <f>IFERROR(-(Q267-Z267), "NA")</f>
        <v>-419.68000000000029</v>
      </c>
      <c r="AD267" s="15">
        <f>IFERROR(AC267/AC444, "NA")</f>
        <v>-1.5773547661348346E-2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2.864787335402907E-3</v>
      </c>
      <c r="D270" s="9"/>
      <c r="E270" s="7">
        <v>122.19</v>
      </c>
      <c r="F270" s="8">
        <f>IFERROR(E270/E444, "NA")</f>
        <v>1.4437263950025493E-3</v>
      </c>
      <c r="G270" s="9"/>
      <c r="H270" s="10">
        <f>IFERROR(-(B270-E270), "NA")</f>
        <v>-96.28</v>
      </c>
      <c r="I270" s="8">
        <f>IFERROR(H270/H444, "NA")</f>
        <v>1.1496544946738343E-2</v>
      </c>
      <c r="J270" s="9"/>
      <c r="K270" s="7">
        <v>182.93</v>
      </c>
      <c r="L270" s="8">
        <f>IFERROR(K270/K444, "NA")</f>
        <v>2.4747974624566202E-3</v>
      </c>
      <c r="M270" s="9"/>
      <c r="N270" s="10">
        <f>IFERROR(-(B270-K270), "NA")</f>
        <v>-35.539999999999992</v>
      </c>
      <c r="O270" s="8">
        <f>IFERROR(N270/N444, "NA")</f>
        <v>-1.5166645329236525E-2</v>
      </c>
      <c r="P270" s="9"/>
      <c r="Q270" s="7">
        <v>1747.76</v>
      </c>
      <c r="R270" s="8">
        <f>IFERROR(Q270/Q444, "NA")</f>
        <v>2.6136825389628262E-3</v>
      </c>
      <c r="S270" s="9"/>
      <c r="T270" s="7">
        <v>1217.71</v>
      </c>
      <c r="U270" s="8">
        <f>IFERROR(T270/T444, "NA")</f>
        <v>1.6879165394016881E-3</v>
      </c>
      <c r="V270" s="9"/>
      <c r="W270" s="10">
        <f>IFERROR(-(Q270-T270), "NA")</f>
        <v>-530.04999999999995</v>
      </c>
      <c r="X270" s="8">
        <f>IFERROR(W270/W444, "NA")</f>
        <v>1.005186843762617E-2</v>
      </c>
      <c r="Y270" s="9"/>
      <c r="Z270" s="7">
        <v>1463.44</v>
      </c>
      <c r="AA270" s="8">
        <f>IFERROR(Z270/Z444, "NA")</f>
        <v>2.2791827915531874E-3</v>
      </c>
      <c r="AB270" s="9"/>
      <c r="AC270" s="10">
        <f>IFERROR(-(Q270-Z270), "NA")</f>
        <v>-284.31999999999994</v>
      </c>
      <c r="AD270" s="8">
        <f>IFERROR(AC270/AC444, "NA")</f>
        <v>-1.0686082422499424E-2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1.568401239646338E-2</v>
      </c>
      <c r="D271" s="9"/>
      <c r="E271" s="7">
        <v>1015.62</v>
      </c>
      <c r="F271" s="8">
        <f>IFERROR(E271/E444, "NA")</f>
        <v>1.1999978732240683E-2</v>
      </c>
      <c r="G271" s="9"/>
      <c r="H271" s="10">
        <f>IFERROR(-(B271-E271), "NA")</f>
        <v>-180.44999999999993</v>
      </c>
      <c r="I271" s="8">
        <f>IFERROR(H271/H444, "NA")</f>
        <v>2.1547066219764575E-2</v>
      </c>
      <c r="J271" s="9"/>
      <c r="K271" s="7">
        <v>1086.1400000000001</v>
      </c>
      <c r="L271" s="8">
        <f>IFERROR(K271/K444, "NA")</f>
        <v>1.4694016923810385E-2</v>
      </c>
      <c r="M271" s="9"/>
      <c r="N271" s="10">
        <f>IFERROR(-(B271-K271), "NA")</f>
        <v>-109.92999999999984</v>
      </c>
      <c r="O271" s="8">
        <f>IFERROR(N271/N444, "NA")</f>
        <v>-4.6912473861647978E-2</v>
      </c>
      <c r="P271" s="9"/>
      <c r="Q271" s="7">
        <v>9612.82</v>
      </c>
      <c r="R271" s="8">
        <f>IFERROR(Q271/Q444, "NA")</f>
        <v>1.4375463326882772E-2</v>
      </c>
      <c r="S271" s="9"/>
      <c r="T271" s="7">
        <v>8657.14</v>
      </c>
      <c r="U271" s="8">
        <f>IFERROR(T271/T444, "NA")</f>
        <v>1.2000008039611999E-2</v>
      </c>
      <c r="V271" s="9"/>
      <c r="W271" s="10">
        <f>IFERROR(-(Q271-T271), "NA")</f>
        <v>-955.68000000000029</v>
      </c>
      <c r="X271" s="8">
        <f>IFERROR(W271/W444, "NA")</f>
        <v>1.8123515948439927E-2</v>
      </c>
      <c r="Y271" s="9"/>
      <c r="Z271" s="7">
        <v>8689.1200000000008</v>
      </c>
      <c r="AA271" s="8">
        <f>IFERROR(Z271/Z444, "NA")</f>
        <v>1.3532562167045204E-2</v>
      </c>
      <c r="AB271" s="9"/>
      <c r="AC271" s="10">
        <f>IFERROR(-(Q271-Z271), "NA")</f>
        <v>-923.69999999999891</v>
      </c>
      <c r="AD271" s="8">
        <f>IFERROR(AC271/AC444, "NA")</f>
        <v>-3.4716989074503053E-2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1.8548799731866288E-2</v>
      </c>
      <c r="D273" s="2"/>
      <c r="E273" s="14">
        <f>IFERROR(E269+E270+E271+E272, "NA")</f>
        <v>1137.81</v>
      </c>
      <c r="F273" s="15">
        <f>IFERROR(E273/E444, "NA")</f>
        <v>1.3443705127243232E-2</v>
      </c>
      <c r="G273" s="2"/>
      <c r="H273" s="14">
        <f>IFERROR(-(B273-E273), "NA")</f>
        <v>-276.73</v>
      </c>
      <c r="I273" s="15">
        <f>IFERROR(H273/H444, "NA")</f>
        <v>3.304361116650293E-2</v>
      </c>
      <c r="J273" s="2"/>
      <c r="K273" s="14">
        <f>IFERROR(K269+K270+K271+K272, "NA")</f>
        <v>1269.0700000000002</v>
      </c>
      <c r="L273" s="15">
        <f>IFERROR(K273/K444, "NA")</f>
        <v>1.7168814386267005E-2</v>
      </c>
      <c r="M273" s="2"/>
      <c r="N273" s="14">
        <f>IFERROR(-(B273-K273), "NA")</f>
        <v>-145.4699999999998</v>
      </c>
      <c r="O273" s="15">
        <f>IFERROR(N273/N444, "NA")</f>
        <v>-6.2079119190884491E-2</v>
      </c>
      <c r="P273" s="2"/>
      <c r="Q273" s="14">
        <f>IFERROR(Q269+Q270+Q271+Q272, "NA")</f>
        <v>11360.58</v>
      </c>
      <c r="R273" s="15">
        <f>IFERROR(Q273/Q444, "NA")</f>
        <v>1.6989145865845597E-2</v>
      </c>
      <c r="S273" s="2"/>
      <c r="T273" s="14">
        <f>IFERROR(T269+T270+T271+T272, "NA")</f>
        <v>9874.8499999999985</v>
      </c>
      <c r="U273" s="15">
        <f>IFERROR(T273/T444, "NA")</f>
        <v>1.3687924579013687E-2</v>
      </c>
      <c r="V273" s="2"/>
      <c r="W273" s="14">
        <f>IFERROR(-(Q273-T273), "NA")</f>
        <v>-1485.7300000000014</v>
      </c>
      <c r="X273" s="15">
        <f>IFERROR(W273/W444, "NA")</f>
        <v>2.8175384386066118E-2</v>
      </c>
      <c r="Y273" s="2"/>
      <c r="Z273" s="14">
        <f>IFERROR(Z269+Z270+Z271+Z272, "NA")</f>
        <v>10152.560000000001</v>
      </c>
      <c r="AA273" s="15">
        <f>IFERROR(Z273/Z444, "NA")</f>
        <v>1.5811744958598394E-2</v>
      </c>
      <c r="AB273" s="2"/>
      <c r="AC273" s="14">
        <f>IFERROR(-(Q273-Z273), "NA")</f>
        <v>-1208.0199999999986</v>
      </c>
      <c r="AD273" s="15">
        <f>IFERROR(AC273/AC444, "NA")</f>
        <v>-4.540307149700247E-2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1.2726516467380343E-2</v>
      </c>
      <c r="D287" s="9"/>
      <c r="E287" s="7">
        <v>1350</v>
      </c>
      <c r="F287" s="8">
        <f>IFERROR(E287/E444, "NA")</f>
        <v>1.595081948812048E-2</v>
      </c>
      <c r="G287" s="9"/>
      <c r="H287" s="10">
        <f t="shared" si="72"/>
        <v>379.47</v>
      </c>
      <c r="I287" s="8">
        <f>IFERROR(H287/H444, "NA")</f>
        <v>-4.5311527949094307E-2</v>
      </c>
      <c r="J287" s="9"/>
      <c r="K287" s="7">
        <v>970.53</v>
      </c>
      <c r="L287" s="8">
        <f>IFERROR(K287/K444, "NA")</f>
        <v>1.3129968737976404E-2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7764.24</v>
      </c>
      <c r="R287" s="8">
        <f>IFERROR(Q287/Q444, "NA")</f>
        <v>1.1611009816174266E-2</v>
      </c>
      <c r="S287" s="9"/>
      <c r="T287" s="7">
        <v>10800</v>
      </c>
      <c r="U287" s="8">
        <f>IFERROR(T287/T444, "NA")</f>
        <v>1.497031200001497E-2</v>
      </c>
      <c r="V287" s="9"/>
      <c r="W287" s="10">
        <f t="shared" si="74"/>
        <v>3035.76</v>
      </c>
      <c r="X287" s="8">
        <f>IFERROR(W287/W444, "NA")</f>
        <v>-5.7570154000958454E-2</v>
      </c>
      <c r="Y287" s="9"/>
      <c r="Z287" s="7">
        <v>7764.24</v>
      </c>
      <c r="AA287" s="8">
        <f>IFERROR(Z287/Z444, "NA")</f>
        <v>1.2092140571180861E-2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185.81</v>
      </c>
      <c r="C288" s="8">
        <f>IFERROR(B288/B444, "NA")</f>
        <v>2.4365182166485749E-3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-185.81</v>
      </c>
      <c r="I288" s="8">
        <f>IFERROR(H288/H444, "NA")</f>
        <v>2.2187089910193723E-2</v>
      </c>
      <c r="J288" s="9"/>
      <c r="K288" s="7">
        <v>165.98</v>
      </c>
      <c r="L288" s="8">
        <f>IFERROR(K288/K444, "NA")</f>
        <v>2.2454867043051976E-3</v>
      </c>
      <c r="M288" s="9"/>
      <c r="N288" s="10">
        <f t="shared" si="73"/>
        <v>-19.830000000000013</v>
      </c>
      <c r="O288" s="8">
        <f>IFERROR(N288/N444, "NA")</f>
        <v>-8.4624247855588225E-3</v>
      </c>
      <c r="P288" s="9"/>
      <c r="Q288" s="7">
        <v>2415.4899999999998</v>
      </c>
      <c r="R288" s="8">
        <f>IFERROR(Q288/Q444, "NA")</f>
        <v>3.6122373987500095E-3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-2415.4899999999998</v>
      </c>
      <c r="X288" s="8">
        <f>IFERROR(W288/W444, "NA")</f>
        <v>4.5807353442885841E-2</v>
      </c>
      <c r="Y288" s="9"/>
      <c r="Z288" s="7">
        <v>866.89</v>
      </c>
      <c r="AA288" s="8">
        <f>IFERROR(Z288/Z444, "NA")</f>
        <v>1.3501071244256975E-3</v>
      </c>
      <c r="AB288" s="9"/>
      <c r="AC288" s="10">
        <f t="shared" si="75"/>
        <v>-1548.6</v>
      </c>
      <c r="AD288" s="8">
        <f>IFERROR(AC288/AC444, "NA")</f>
        <v>-5.8203669244100344E-2</v>
      </c>
    </row>
    <row r="289" spans="1:30" ht="16.5" customHeight="1" x14ac:dyDescent="0.45">
      <c r="A289" s="6" t="s">
        <v>262</v>
      </c>
      <c r="B289" s="7">
        <v>218.66</v>
      </c>
      <c r="C289" s="8">
        <f>IFERROR(B289/B444, "NA")</f>
        <v>2.8672787969020903E-3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-218.66</v>
      </c>
      <c r="I289" s="8">
        <f>IFERROR(H289/H444, "NA")</f>
        <v>2.6109623162170817E-2</v>
      </c>
      <c r="J289" s="9"/>
      <c r="K289" s="7">
        <v>201.24</v>
      </c>
      <c r="L289" s="8">
        <f>IFERROR(K289/K444, "NA")</f>
        <v>2.7225071958933487E-3</v>
      </c>
      <c r="M289" s="9"/>
      <c r="N289" s="10">
        <f t="shared" si="73"/>
        <v>-17.419999999999987</v>
      </c>
      <c r="O289" s="8">
        <f>IFERROR(N289/N444, "NA")</f>
        <v>-7.4339606537788443E-3</v>
      </c>
      <c r="P289" s="9"/>
      <c r="Q289" s="7">
        <v>1884.16</v>
      </c>
      <c r="R289" s="8">
        <f>IFERROR(Q289/Q444, "NA")</f>
        <v>2.8176615168056247E-3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-1884.16</v>
      </c>
      <c r="X289" s="8">
        <f>IFERROR(W289/W444, "NA")</f>
        <v>3.5731211084685841E-2</v>
      </c>
      <c r="Y289" s="9"/>
      <c r="Z289" s="7">
        <v>1890.6</v>
      </c>
      <c r="AA289" s="8">
        <f>IFERROR(Z289/Z444, "NA")</f>
        <v>2.944448003136757E-3</v>
      </c>
      <c r="AB289" s="9"/>
      <c r="AC289" s="10">
        <f t="shared" si="75"/>
        <v>6.4399999999998272</v>
      </c>
      <c r="AD289" s="8">
        <f>IFERROR(AC289/AC444, "NA")</f>
        <v>2.4204547974428269E-4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450.92</v>
      </c>
      <c r="L290" s="8">
        <f>IFERROR(K290/K444, "NA")</f>
        <v>6.1003425997427389E-3</v>
      </c>
      <c r="M290" s="9"/>
      <c r="N290" s="10">
        <f t="shared" si="73"/>
        <v>450.92</v>
      </c>
      <c r="O290" s="8">
        <f>IFERROR(N290/N444, "NA")</f>
        <v>0.19242947979345346</v>
      </c>
      <c r="P290" s="9"/>
      <c r="Q290" s="7">
        <v>3783.03</v>
      </c>
      <c r="R290" s="8">
        <f>IFERROR(Q290/Q444, "NA")</f>
        <v>5.6573210597407773E-3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-3783.03</v>
      </c>
      <c r="X290" s="8">
        <f>IFERROR(W290/W444, "NA")</f>
        <v>7.1741382615966298E-2</v>
      </c>
      <c r="Y290" s="9"/>
      <c r="Z290" s="7">
        <v>7194.89</v>
      </c>
      <c r="AA290" s="8">
        <f>IFERROR(Z290/Z444, "NA")</f>
        <v>1.1205426580603315E-2</v>
      </c>
      <c r="AB290" s="9"/>
      <c r="AC290" s="10">
        <f t="shared" si="75"/>
        <v>3411.86</v>
      </c>
      <c r="AD290" s="8">
        <f>IFERROR(AC290/AC444, "NA")</f>
        <v>0.12823374076402957</v>
      </c>
    </row>
    <row r="291" spans="1:30" ht="16.5" customHeight="1" x14ac:dyDescent="0.45">
      <c r="A291" s="6" t="s">
        <v>264</v>
      </c>
      <c r="B291" s="7">
        <v>286.2</v>
      </c>
      <c r="C291" s="8">
        <f>IFERROR(B291/B444, "NA")</f>
        <v>3.7529277950854212E-3</v>
      </c>
      <c r="D291" s="9"/>
      <c r="E291" s="7">
        <v>1269.53</v>
      </c>
      <c r="F291" s="8">
        <f>IFERROR(E291/E444, "NA")</f>
        <v>1.5000032492410069E-2</v>
      </c>
      <c r="G291" s="9"/>
      <c r="H291" s="10">
        <f t="shared" si="72"/>
        <v>983.32999999999993</v>
      </c>
      <c r="I291" s="8">
        <f>IFERROR(H291/H444, "NA")</f>
        <v>-0.11741688349061295</v>
      </c>
      <c r="J291" s="9"/>
      <c r="K291" s="7">
        <v>94.89</v>
      </c>
      <c r="L291" s="8">
        <f>IFERROR(K291/K444, "NA")</f>
        <v>1.2837343858990253E-3</v>
      </c>
      <c r="M291" s="9"/>
      <c r="N291" s="10">
        <f t="shared" si="73"/>
        <v>-191.31</v>
      </c>
      <c r="O291" s="8">
        <f>IFERROR(N291/N444, "NA")</f>
        <v>-8.1641275124823859E-2</v>
      </c>
      <c r="P291" s="9"/>
      <c r="Q291" s="7">
        <v>3653.1</v>
      </c>
      <c r="R291" s="8">
        <f>IFERROR(Q291/Q444, "NA")</f>
        <v>5.4630176243220469E-3</v>
      </c>
      <c r="S291" s="9"/>
      <c r="T291" s="7">
        <v>10821.41</v>
      </c>
      <c r="U291" s="8">
        <f>IFERROR(T291/T444, "NA")</f>
        <v>1.4999989257415001E-2</v>
      </c>
      <c r="V291" s="9"/>
      <c r="W291" s="10">
        <f t="shared" si="74"/>
        <v>7168.3099999999995</v>
      </c>
      <c r="X291" s="8">
        <f>IFERROR(W291/W444, "NA")</f>
        <v>-0.1359398340536177</v>
      </c>
      <c r="Y291" s="9"/>
      <c r="Z291" s="7">
        <v>6148.25</v>
      </c>
      <c r="AA291" s="8">
        <f>IFERROR(Z291/Z444, "NA")</f>
        <v>9.5753741855948218E-3</v>
      </c>
      <c r="AB291" s="9"/>
      <c r="AC291" s="10">
        <f t="shared" si="75"/>
        <v>2495.15</v>
      </c>
      <c r="AD291" s="8">
        <f>IFERROR(AC291/AC444, "NA")</f>
        <v>9.3779468755273793E-2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578.4</v>
      </c>
      <c r="L292" s="8">
        <f>IFERROR(K292/K444, "NA")</f>
        <v>7.8249759595742045E-3</v>
      </c>
      <c r="M292" s="9"/>
      <c r="N292" s="10">
        <f t="shared" si="73"/>
        <v>578.4</v>
      </c>
      <c r="O292" s="8">
        <f>IFERROR(N292/N444, "NA")</f>
        <v>0.24683139162719211</v>
      </c>
      <c r="P292" s="9"/>
      <c r="Q292" s="7">
        <v>2330.66</v>
      </c>
      <c r="R292" s="8">
        <f>IFERROR(Q292/Q444, "NA")</f>
        <v>3.4853786253599465E-3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-2330.66</v>
      </c>
      <c r="X292" s="8">
        <f>IFERROR(W292/W444, "NA")</f>
        <v>4.4198637284855791E-2</v>
      </c>
      <c r="Y292" s="9"/>
      <c r="Z292" s="7">
        <v>3594.02</v>
      </c>
      <c r="AA292" s="8">
        <f>IFERROR(Z292/Z444, "NA")</f>
        <v>5.5973791453684382E-3</v>
      </c>
      <c r="AB292" s="9"/>
      <c r="AC292" s="10">
        <f t="shared" si="75"/>
        <v>1263.3600000000001</v>
      </c>
      <c r="AD292" s="8">
        <f>IFERROR(AC292/AC444, "NA")</f>
        <v>4.7483008895923169E-2</v>
      </c>
    </row>
    <row r="293" spans="1:30" ht="16.5" customHeight="1" x14ac:dyDescent="0.45">
      <c r="A293" s="6" t="s">
        <v>266</v>
      </c>
      <c r="B293" s="7">
        <v>2441.6</v>
      </c>
      <c r="C293" s="8">
        <f>IFERROR(B293/B444, "NA")</f>
        <v>3.2016591560029922E-2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-2441.6</v>
      </c>
      <c r="I293" s="8">
        <f>IFERROR(H293/H444, "NA")</f>
        <v>0.29154511987906462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-2441.6</v>
      </c>
      <c r="O293" s="8">
        <f>IFERROR(N293/N444, "NA")</f>
        <v>-1.0419493876157542</v>
      </c>
      <c r="P293" s="9"/>
      <c r="Q293" s="7">
        <v>2724.85</v>
      </c>
      <c r="R293" s="8">
        <f>IFERROR(Q293/Q444, "NA")</f>
        <v>4.0748688986433244E-3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-2724.85</v>
      </c>
      <c r="X293" s="8">
        <f>IFERROR(W293/W444, "NA")</f>
        <v>5.1674056621574704E-2</v>
      </c>
      <c r="Y293" s="9"/>
      <c r="Z293" s="7">
        <v>343.94</v>
      </c>
      <c r="AA293" s="8">
        <f>IFERROR(Z293/Z444, "NA")</f>
        <v>5.3565717031569681E-4</v>
      </c>
      <c r="AB293" s="9"/>
      <c r="AC293" s="10">
        <f t="shared" si="75"/>
        <v>-2380.91</v>
      </c>
      <c r="AD293" s="8">
        <f>IFERROR(AC293/AC444, "NA")</f>
        <v>-8.9485792418940308E-2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4.2617104591291472E-3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3.8807406602513105E-2</v>
      </c>
      <c r="J294" s="9"/>
      <c r="K294" s="7">
        <v>108.33</v>
      </c>
      <c r="L294" s="8">
        <f>IFERROR(K294/K444, "NA")</f>
        <v>1.4655595534244009E-3</v>
      </c>
      <c r="M294" s="9"/>
      <c r="N294" s="10">
        <f t="shared" si="73"/>
        <v>-216.67000000000002</v>
      </c>
      <c r="O294" s="8">
        <f>IFERROR(N294/N444, "NA")</f>
        <v>-9.2463619681645431E-2</v>
      </c>
      <c r="P294" s="9"/>
      <c r="Q294" s="7">
        <v>2855.59</v>
      </c>
      <c r="R294" s="8">
        <f>IFERROR(Q294/Q444, "NA")</f>
        <v>4.2703836461738783E-3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-2855.59</v>
      </c>
      <c r="X294" s="8">
        <f>IFERROR(W294/W444, "NA")</f>
        <v>5.4153410040186624E-2</v>
      </c>
      <c r="Y294" s="9"/>
      <c r="Z294" s="7">
        <v>634.14</v>
      </c>
      <c r="AA294" s="8">
        <f>IFERROR(Z294/Z444, "NA")</f>
        <v>9.876188811536778E-4</v>
      </c>
      <c r="AB294" s="9"/>
      <c r="AC294" s="10">
        <f t="shared" si="75"/>
        <v>-2221.4500000000003</v>
      </c>
      <c r="AD294" s="8">
        <f>IFERROR(AC294/AC444, "NA")</f>
        <v>-8.3492535866141498E-2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4427.8</v>
      </c>
      <c r="C295" s="15">
        <f>IFERROR(B295/B444, "NA")</f>
        <v>5.8061543295175502E-2</v>
      </c>
      <c r="D295" s="2"/>
      <c r="E295" s="14">
        <f>IFERROR(E286+E287+E288+E289+E290+E291+E292+E293+E294, "NA")</f>
        <v>2619.5299999999997</v>
      </c>
      <c r="F295" s="15">
        <f>IFERROR(E295/E444, "NA")</f>
        <v>3.0950851980530547E-2</v>
      </c>
      <c r="G295" s="2"/>
      <c r="H295" s="14">
        <f t="shared" si="72"/>
        <v>-1808.2700000000004</v>
      </c>
      <c r="I295" s="15">
        <f>IFERROR(H295/H444, "NA")</f>
        <v>0.21592082811423505</v>
      </c>
      <c r="J295" s="2"/>
      <c r="K295" s="14">
        <f>IFERROR(K286+K287+K288+K289+K290+K291+K292+K293+K294, "NA")</f>
        <v>2570.29</v>
      </c>
      <c r="L295" s="15">
        <f>IFERROR(K295/K444, "NA")</f>
        <v>3.4772575136815316E-2</v>
      </c>
      <c r="M295" s="2"/>
      <c r="N295" s="14">
        <f t="shared" si="73"/>
        <v>-1857.5100000000002</v>
      </c>
      <c r="O295" s="15">
        <f>IFERROR(N295/N444, "NA")</f>
        <v>-0.79268979644091575</v>
      </c>
      <c r="P295" s="2"/>
      <c r="Q295" s="14">
        <f>IFERROR(Q286+Q287+Q288+Q289+Q290+Q291+Q292+Q293+Q294, "NA")</f>
        <v>27411.119999999999</v>
      </c>
      <c r="R295" s="15">
        <f>IFERROR(Q295/Q444, "NA")</f>
        <v>4.0991878585969872E-2</v>
      </c>
      <c r="S295" s="2"/>
      <c r="T295" s="14">
        <f>IFERROR(T286+T287+T288+T289+T290+T291+T292+T293+T294, "NA")</f>
        <v>21621.41</v>
      </c>
      <c r="U295" s="15">
        <f>IFERROR(T295/T444, "NA")</f>
        <v>2.9970301257429971E-2</v>
      </c>
      <c r="V295" s="2"/>
      <c r="W295" s="14">
        <f t="shared" si="74"/>
        <v>-5789.7099999999991</v>
      </c>
      <c r="X295" s="15">
        <f>IFERROR(W295/W444, "NA")</f>
        <v>0.10979606303557893</v>
      </c>
      <c r="Y295" s="2"/>
      <c r="Z295" s="14">
        <f>IFERROR(Z286+Z287+Z288+Z289+Z290+Z291+Z292+Z293+Z294, "NA")</f>
        <v>28436.969999999998</v>
      </c>
      <c r="AA295" s="15">
        <f>IFERROR(Z295/Z444, "NA")</f>
        <v>4.4288151661779261E-2</v>
      </c>
      <c r="AB295" s="2"/>
      <c r="AC295" s="14">
        <f t="shared" si="75"/>
        <v>1025.8499999999985</v>
      </c>
      <c r="AD295" s="15">
        <f>IFERROR(AC295/AC444, "NA")</f>
        <v>3.855626636578862E-2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1100.26</v>
      </c>
      <c r="F297" s="8">
        <f>IFERROR(E297/E444, "NA")</f>
        <v>1.3000036037036622E-2</v>
      </c>
      <c r="G297" s="9"/>
      <c r="H297" s="10">
        <f t="shared" ref="H297:H325" si="76">IFERROR(-(B297-E297), "NA")</f>
        <v>1100.26</v>
      </c>
      <c r="I297" s="8">
        <f>IFERROR(H297/H444, "NA")</f>
        <v>-0.13137919134917253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9378.56</v>
      </c>
      <c r="U297" s="8">
        <f>IFERROR(T297/T444, "NA")</f>
        <v>1.2999997158412999E-2</v>
      </c>
      <c r="V297" s="9"/>
      <c r="W297" s="10">
        <f t="shared" ref="W297:W325" si="78">IFERROR(-(Q297-T297), "NA")</f>
        <v>9378.56</v>
      </c>
      <c r="X297" s="8">
        <f>IFERROR(W297/W444, "NA")</f>
        <v>-0.17785501604449261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525.89</v>
      </c>
      <c r="C299" s="8">
        <f>IFERROR(B299/B444, "NA")</f>
        <v>6.8959720410813148E-3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-525.89</v>
      </c>
      <c r="I299" s="8">
        <f>IFERROR(H299/H444, "NA")</f>
        <v>6.2795160179063433E-2</v>
      </c>
      <c r="J299" s="9"/>
      <c r="K299" s="7">
        <v>500.77</v>
      </c>
      <c r="L299" s="8">
        <f>IFERROR(K299/K444, "NA")</f>
        <v>6.7747462158989869E-3</v>
      </c>
      <c r="M299" s="9"/>
      <c r="N299" s="10">
        <f t="shared" si="77"/>
        <v>-25.120000000000005</v>
      </c>
      <c r="O299" s="8">
        <f>IFERROR(N299/N444, "NA")</f>
        <v>-1.0719924892245967E-2</v>
      </c>
      <c r="P299" s="9"/>
      <c r="Q299" s="7">
        <v>5211.78</v>
      </c>
      <c r="R299" s="8">
        <f>IFERROR(Q299/Q444, "NA")</f>
        <v>7.7939410347620253E-3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-5211.78</v>
      </c>
      <c r="X299" s="8">
        <f>IFERROR(W299/W444, "NA")</f>
        <v>9.8836198256487734E-2</v>
      </c>
      <c r="Y299" s="9"/>
      <c r="Z299" s="7">
        <v>4006.16</v>
      </c>
      <c r="AA299" s="8">
        <f>IFERROR(Z299/Z444, "NA")</f>
        <v>6.2392519899747969E-3</v>
      </c>
      <c r="AB299" s="9"/>
      <c r="AC299" s="10">
        <f t="shared" si="79"/>
        <v>-1205.6199999999999</v>
      </c>
      <c r="AD299" s="8">
        <f>IFERROR(AC299/AC444, "NA")</f>
        <v>-4.5312868212625763E-2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158.91</v>
      </c>
      <c r="C305" s="8">
        <f>IFERROR(B305/B444, "NA")</f>
        <v>2.0837797201852699E-3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-158.91</v>
      </c>
      <c r="I305" s="8">
        <f>IFERROR(H305/H444, "NA")</f>
        <v>1.8975030717554946E-2</v>
      </c>
      <c r="J305" s="9"/>
      <c r="K305" s="7">
        <v>58.33</v>
      </c>
      <c r="L305" s="8">
        <f>IFERROR(K305/K444, "NA")</f>
        <v>7.8912663852344974E-4</v>
      </c>
      <c r="M305" s="9"/>
      <c r="N305" s="10">
        <f t="shared" si="77"/>
        <v>-100.58</v>
      </c>
      <c r="O305" s="8">
        <f>IFERROR(N305/N444, "NA")</f>
        <v>-4.2922374429223691E-2</v>
      </c>
      <c r="P305" s="9"/>
      <c r="Q305" s="7">
        <v>214.68</v>
      </c>
      <c r="R305" s="8">
        <f>IFERROR(Q305/Q444, "NA")</f>
        <v>3.2104257304466262E-4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-214.68</v>
      </c>
      <c r="X305" s="8">
        <f>IFERROR(W305/W444, "NA")</f>
        <v>4.0711916162429708E-3</v>
      </c>
      <c r="Y305" s="9"/>
      <c r="Z305" s="7">
        <v>451.2</v>
      </c>
      <c r="AA305" s="8">
        <f>IFERROR(Z305/Z444, "NA")</f>
        <v>7.0270545806373893E-4</v>
      </c>
      <c r="AB305" s="9"/>
      <c r="AC305" s="10">
        <f t="shared" si="79"/>
        <v>236.51999999999998</v>
      </c>
      <c r="AD305" s="8">
        <f>IFERROR(AC305/AC444, "NA")</f>
        <v>8.8895336753290807E-3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15.07</v>
      </c>
      <c r="C310" s="8">
        <f>IFERROR(B310/B444, "NA")</f>
        <v>1.9761223575100385E-4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-15.07</v>
      </c>
      <c r="I310" s="8">
        <f>IFERROR(H310/H444, "NA")</f>
        <v>1.7994695923072999E-3</v>
      </c>
      <c r="J310" s="9"/>
      <c r="K310" s="7">
        <v>43.13</v>
      </c>
      <c r="L310" s="8">
        <f>IFERROR(K310/K444, "NA")</f>
        <v>5.834910323935606E-4</v>
      </c>
      <c r="M310" s="9"/>
      <c r="N310" s="10">
        <f t="shared" si="77"/>
        <v>28.060000000000002</v>
      </c>
      <c r="O310" s="8">
        <f>IFERROR(N310/N444, "NA")</f>
        <v>1.1974565783297047E-2</v>
      </c>
      <c r="P310" s="9"/>
      <c r="Q310" s="7">
        <v>707.46</v>
      </c>
      <c r="R310" s="8">
        <f>IFERROR(Q310/Q444, "NA")</f>
        <v>1.0579689711485794E-3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-707.46</v>
      </c>
      <c r="X310" s="8">
        <f>IFERROR(W310/W444, "NA")</f>
        <v>1.3416271757160668E-2</v>
      </c>
      <c r="Y310" s="9"/>
      <c r="Z310" s="7">
        <v>43.13</v>
      </c>
      <c r="AA310" s="8">
        <f>IFERROR(Z310/Z444, "NA")</f>
        <v>6.7171290794080369E-5</v>
      </c>
      <c r="AB310" s="9"/>
      <c r="AC310" s="10">
        <f t="shared" si="79"/>
        <v>-664.33</v>
      </c>
      <c r="AD310" s="8">
        <f>IFERROR(AC310/AC444, "NA")</f>
        <v>-2.4968644962503672E-2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3.9973299690161317E-5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5.0690773198329886E-4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-1.0046390797460948E-3</v>
      </c>
    </row>
    <row r="312" spans="1:30" ht="16.5" customHeight="1" x14ac:dyDescent="0.45">
      <c r="A312" s="6" t="s">
        <v>284</v>
      </c>
      <c r="B312" s="7">
        <v>478.32</v>
      </c>
      <c r="C312" s="8">
        <f>IFERROR(B312/B444, "NA")</f>
        <v>6.2721887594173959E-3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-478.32</v>
      </c>
      <c r="I312" s="8">
        <f>IFERROR(H312/H444, "NA")</f>
        <v>5.7114949926504822E-2</v>
      </c>
      <c r="J312" s="9"/>
      <c r="K312" s="7">
        <v>21.17</v>
      </c>
      <c r="L312" s="8">
        <f>IFERROR(K312/K444, "NA")</f>
        <v>2.8640169616906276E-4</v>
      </c>
      <c r="M312" s="9"/>
      <c r="N312" s="10">
        <f t="shared" si="77"/>
        <v>-457.15</v>
      </c>
      <c r="O312" s="8">
        <f>IFERROR(N312/N444, "NA")</f>
        <v>-0.19508812358639499</v>
      </c>
      <c r="P312" s="9"/>
      <c r="Q312" s="7">
        <v>1643.63</v>
      </c>
      <c r="R312" s="8">
        <f>IFERROR(Q312/Q444, "NA")</f>
        <v>2.4579616374762383E-3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-1643.63</v>
      </c>
      <c r="X312" s="8">
        <f>IFERROR(W312/W444, "NA")</f>
        <v>3.1169800056854081E-2</v>
      </c>
      <c r="Y312" s="9"/>
      <c r="Z312" s="7">
        <v>263.17</v>
      </c>
      <c r="AA312" s="8">
        <f>IFERROR(Z312/Z444, "NA")</f>
        <v>4.098647947664765E-4</v>
      </c>
      <c r="AB312" s="9"/>
      <c r="AC312" s="10">
        <f t="shared" si="79"/>
        <v>-1380.46</v>
      </c>
      <c r="AD312" s="8">
        <f>IFERROR(AC312/AC444, "NA")</f>
        <v>-5.1884177479472278E-2</v>
      </c>
    </row>
    <row r="313" spans="1:30" ht="16.5" customHeight="1" x14ac:dyDescent="0.45">
      <c r="A313" s="6" t="s">
        <v>285</v>
      </c>
      <c r="B313" s="7">
        <v>60.05</v>
      </c>
      <c r="C313" s="8">
        <f>IFERROR(B313/B444, "NA")</f>
        <v>7.8743296329447784E-4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-60.05</v>
      </c>
      <c r="I313" s="8">
        <f>IFERROR(H313/H444, "NA")</f>
        <v>7.170414666095113E-3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-60.05</v>
      </c>
      <c r="O313" s="8">
        <f>IFERROR(N313/N444, "NA")</f>
        <v>-2.5626253574019511E-2</v>
      </c>
      <c r="P313" s="9"/>
      <c r="Q313" s="7">
        <v>181.1</v>
      </c>
      <c r="R313" s="8">
        <f>IFERROR(Q313/Q444, "NA")</f>
        <v>2.7082546105081237E-4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-181.1</v>
      </c>
      <c r="X313" s="8">
        <f>IFERROR(W313/W444, "NA")</f>
        <v>3.434380481188755E-3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-181.1</v>
      </c>
      <c r="AD313" s="8">
        <f>IFERROR(AC313/AC444, "NA")</f>
        <v>-6.8065895002625424E-3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17.12</v>
      </c>
      <c r="AA316" s="8">
        <f>IFERROR(Z316/Z444, "NA")</f>
        <v>2.6662937593198609E-5</v>
      </c>
      <c r="AB316" s="9"/>
      <c r="AC316" s="10">
        <f t="shared" si="79"/>
        <v>17.12</v>
      </c>
      <c r="AD316" s="8">
        <f>IFERROR(AC316/AC444, "NA")</f>
        <v>6.4345009522084331E-4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5.4362378616651403E-3</v>
      </c>
      <c r="D318" s="9"/>
      <c r="E318" s="7">
        <v>915</v>
      </c>
      <c r="F318" s="8">
        <f>IFERROR(E318/E444, "NA")</f>
        <v>1.081111098639277E-2</v>
      </c>
      <c r="G318" s="9"/>
      <c r="H318" s="10">
        <f t="shared" si="76"/>
        <v>500.43</v>
      </c>
      <c r="I318" s="8">
        <f>IFERROR(H318/H444, "NA")</f>
        <v>-5.9755047649525023E-2</v>
      </c>
      <c r="J318" s="9"/>
      <c r="K318" s="7">
        <v>414.57</v>
      </c>
      <c r="L318" s="8">
        <f>IFERROR(K318/K444, "NA")</f>
        <v>5.6085758706097468E-3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3316.56</v>
      </c>
      <c r="R318" s="8">
        <f>IFERROR(Q318/Q444, "NA")</f>
        <v>4.959739873565335E-3</v>
      </c>
      <c r="S318" s="9"/>
      <c r="T318" s="7">
        <v>7320</v>
      </c>
      <c r="U318" s="8">
        <f>IFERROR(T318/T444, "NA")</f>
        <v>1.0146544800010147E-2</v>
      </c>
      <c r="V318" s="9"/>
      <c r="W318" s="10">
        <f t="shared" si="78"/>
        <v>4003.44</v>
      </c>
      <c r="X318" s="8">
        <f>IFERROR(W318/W444, "NA")</f>
        <v>-7.5921237954778079E-2</v>
      </c>
      <c r="Y318" s="9"/>
      <c r="Z318" s="7">
        <v>3316.56</v>
      </c>
      <c r="AA318" s="8">
        <f>IFERROR(Z318/Z444, "NA")</f>
        <v>5.1652588962674516E-3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149.51</v>
      </c>
      <c r="C319" s="8">
        <f>IFERROR(B319/B444, "NA")</f>
        <v>1.9605179407519964E-3</v>
      </c>
      <c r="D319" s="9"/>
      <c r="E319" s="7">
        <v>149</v>
      </c>
      <c r="F319" s="8">
        <f>IFERROR(E319/E444, "NA")</f>
        <v>1.7604978546147789E-3</v>
      </c>
      <c r="G319" s="9"/>
      <c r="H319" s="10">
        <f t="shared" si="76"/>
        <v>-0.50999999999999091</v>
      </c>
      <c r="I319" s="8">
        <f>IFERROR(H319/H444, "NA")</f>
        <v>6.0897776514711787E-5</v>
      </c>
      <c r="J319" s="9"/>
      <c r="K319" s="7">
        <v>149.44</v>
      </c>
      <c r="L319" s="8">
        <f>IFERROR(K319/K444, "NA")</f>
        <v>2.021722696055963E-3</v>
      </c>
      <c r="M319" s="9"/>
      <c r="N319" s="10">
        <f t="shared" si="77"/>
        <v>-6.9999999999993179E-2</v>
      </c>
      <c r="O319" s="8">
        <f>IFERROR(N319/N444, "NA")</f>
        <v>-2.9872402167879952E-5</v>
      </c>
      <c r="P319" s="9"/>
      <c r="Q319" s="7">
        <v>1196.44</v>
      </c>
      <c r="R319" s="8">
        <f>IFERROR(Q319/Q444, "NA")</f>
        <v>1.7892126704562891E-3</v>
      </c>
      <c r="S319" s="9"/>
      <c r="T319" s="7">
        <v>1192</v>
      </c>
      <c r="U319" s="8">
        <f>IFERROR(T319/T444, "NA")</f>
        <v>1.6522788800016524E-3</v>
      </c>
      <c r="V319" s="9"/>
      <c r="W319" s="10">
        <f t="shared" si="78"/>
        <v>-4.4400000000000546</v>
      </c>
      <c r="X319" s="8">
        <f>IFERROR(W319/W444, "NA")</f>
        <v>8.4200161990492879E-5</v>
      </c>
      <c r="Y319" s="9"/>
      <c r="Z319" s="7">
        <v>1195.6099999999999</v>
      </c>
      <c r="AA319" s="8">
        <f>IFERROR(Z319/Z444, "NA")</f>
        <v>1.8620604448483752E-3</v>
      </c>
      <c r="AB319" s="9"/>
      <c r="AC319" s="10">
        <f t="shared" si="79"/>
        <v>-0.83000000000015461</v>
      </c>
      <c r="AD319" s="8">
        <f>IFERROR(AC319/AC444, "NA")</f>
        <v>-3.1195302513633144E-5</v>
      </c>
    </row>
    <row r="320" spans="1:30" ht="16.5" customHeight="1" x14ac:dyDescent="0.45">
      <c r="A320" s="6" t="s">
        <v>292</v>
      </c>
      <c r="B320" s="7">
        <v>1240.79</v>
      </c>
      <c r="C320" s="8">
        <f>IFERROR(B320/B444, "NA")</f>
        <v>1.6270423755639554E-2</v>
      </c>
      <c r="D320" s="9"/>
      <c r="E320" s="7">
        <v>800</v>
      </c>
      <c r="F320" s="8">
        <f>IFERROR(E320/E444, "NA")</f>
        <v>9.452337474441767E-3</v>
      </c>
      <c r="G320" s="9"/>
      <c r="H320" s="10">
        <f t="shared" si="76"/>
        <v>-440.78999999999996</v>
      </c>
      <c r="I320" s="8">
        <f>IFERROR(H320/H444, "NA")</f>
        <v>5.2633590019451539E-2</v>
      </c>
      <c r="J320" s="9"/>
      <c r="K320" s="7">
        <v>735.15</v>
      </c>
      <c r="L320" s="8">
        <f>IFERROR(K320/K444, "NA")</f>
        <v>9.9455931477886866E-3</v>
      </c>
      <c r="M320" s="9"/>
      <c r="N320" s="10">
        <f t="shared" si="77"/>
        <v>-505.64</v>
      </c>
      <c r="O320" s="8">
        <f>IFERROR(N320/N444, "NA")</f>
        <v>-0.21578116331668987</v>
      </c>
      <c r="P320" s="9"/>
      <c r="Q320" s="7">
        <v>8875.7999999999993</v>
      </c>
      <c r="R320" s="8">
        <f>IFERROR(Q320/Q444, "NA")</f>
        <v>1.3273288940887909E-2</v>
      </c>
      <c r="S320" s="9"/>
      <c r="T320" s="7">
        <v>6400</v>
      </c>
      <c r="U320" s="8">
        <f>IFERROR(T320/T444, "NA")</f>
        <v>8.8712960000088721E-3</v>
      </c>
      <c r="V320" s="9"/>
      <c r="W320" s="10">
        <f t="shared" si="78"/>
        <v>-2475.7999999999993</v>
      </c>
      <c r="X320" s="8">
        <f>IFERROR(W320/W444, "NA")</f>
        <v>4.6951072309923347E-2</v>
      </c>
      <c r="Y320" s="9"/>
      <c r="Z320" s="7">
        <v>5741.16</v>
      </c>
      <c r="AA320" s="8">
        <f>IFERROR(Z320/Z444, "NA")</f>
        <v>8.9413662846126226E-3</v>
      </c>
      <c r="AB320" s="9"/>
      <c r="AC320" s="10">
        <f t="shared" si="79"/>
        <v>-3134.6399999999994</v>
      </c>
      <c r="AD320" s="8">
        <f>IFERROR(AC320/AC444, "NA")</f>
        <v>-0.11781450972447803</v>
      </c>
    </row>
    <row r="321" spans="1:30" ht="16.5" customHeight="1" x14ac:dyDescent="0.45">
      <c r="A321" s="6" t="s">
        <v>293</v>
      </c>
      <c r="B321" s="7">
        <v>1080.81</v>
      </c>
      <c r="C321" s="8">
        <f>IFERROR(B321/B444, "NA")</f>
        <v>1.4172613173327303E-2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-1080.81</v>
      </c>
      <c r="I321" s="8">
        <f>IFERROR(H321/H444, "NA")</f>
        <v>0.12905671732326826</v>
      </c>
      <c r="J321" s="9"/>
      <c r="K321" s="7">
        <v>3641.41</v>
      </c>
      <c r="L321" s="8">
        <f>IFERROR(K321/K444, "NA")</f>
        <v>4.9263391612989454E-2</v>
      </c>
      <c r="M321" s="9"/>
      <c r="N321" s="10">
        <f t="shared" si="77"/>
        <v>2560.6</v>
      </c>
      <c r="O321" s="8">
        <f>IFERROR(N321/N444, "NA")</f>
        <v>1.092732471301155</v>
      </c>
      <c r="P321" s="9"/>
      <c r="Q321" s="7">
        <v>12604.45</v>
      </c>
      <c r="R321" s="8">
        <f>IFERROR(Q321/Q444, "NA")</f>
        <v>1.8849287589960861E-2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-12604.45</v>
      </c>
      <c r="X321" s="8">
        <f>IFERROR(W321/W444, "NA")</f>
        <v>0.23903079545068806</v>
      </c>
      <c r="Y321" s="9"/>
      <c r="Z321" s="7">
        <v>16266.51</v>
      </c>
      <c r="AA321" s="8">
        <f>IFERROR(Z321/Z444, "NA")</f>
        <v>2.5333699824132073E-2</v>
      </c>
      <c r="AB321" s="9"/>
      <c r="AC321" s="10">
        <f t="shared" si="79"/>
        <v>3662.0599999999995</v>
      </c>
      <c r="AD321" s="8">
        <f>IFERROR(AC321/AC444, "NA")</f>
        <v>0.13763743316030613</v>
      </c>
    </row>
    <row r="322" spans="1:30" ht="16.5" customHeight="1" x14ac:dyDescent="0.45">
      <c r="A322" s="6" t="s">
        <v>294</v>
      </c>
      <c r="B322" s="7">
        <v>384.97</v>
      </c>
      <c r="C322" s="8">
        <f>IFERROR(B322/B444, "NA")</f>
        <v>5.0480943860029166E-3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-384.97</v>
      </c>
      <c r="I322" s="8">
        <f>IFERROR(H322/H444, "NA")</f>
        <v>4.5968268676213758E-2</v>
      </c>
      <c r="J322" s="9"/>
      <c r="K322" s="7">
        <v>162.27000000000001</v>
      </c>
      <c r="L322" s="8">
        <f>IFERROR(K322/K444, "NA")</f>
        <v>2.1952953820195474E-3</v>
      </c>
      <c r="M322" s="9"/>
      <c r="N322" s="10">
        <f t="shared" si="77"/>
        <v>-222.70000000000002</v>
      </c>
      <c r="O322" s="8">
        <f>IFERROR(N322/N444, "NA")</f>
        <v>-9.5036913754107347E-2</v>
      </c>
      <c r="P322" s="9"/>
      <c r="Q322" s="7">
        <v>2300.98</v>
      </c>
      <c r="R322" s="8">
        <f>IFERROR(Q322/Q444, "NA")</f>
        <v>3.440993756867467E-3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-2300.98</v>
      </c>
      <c r="X322" s="8">
        <f>IFERROR(W322/W444, "NA")</f>
        <v>4.3635785751549985E-2</v>
      </c>
      <c r="Y322" s="9"/>
      <c r="Z322" s="7">
        <v>1576.69</v>
      </c>
      <c r="AA322" s="8">
        <f>IFERROR(Z322/Z444, "NA")</f>
        <v>2.4555599926296911E-3</v>
      </c>
      <c r="AB322" s="9"/>
      <c r="AC322" s="10">
        <f t="shared" si="79"/>
        <v>-724.29</v>
      </c>
      <c r="AD322" s="8">
        <f>IFERROR(AC322/AC444, "NA")</f>
        <v>-2.7222223683849568E-2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4508.8900000000003</v>
      </c>
      <c r="C324" s="15">
        <f>IFERROR(B324/B444, "NA")</f>
        <v>5.9124872837116378E-2</v>
      </c>
      <c r="D324" s="2"/>
      <c r="E324" s="14">
        <f>IFERROR(E297+E298+E299+E300+E301+E302+E303+E304+E305+E306+E307+E308+E309+E310+E311+E312+E313+E314+E315+E316+E317+E318+E319+E320+E321+E322+E323, "NA")</f>
        <v>2964.26</v>
      </c>
      <c r="F324" s="15">
        <f>IFERROR(E324/E444, "NA")</f>
        <v>3.5023982352485938E-2</v>
      </c>
      <c r="G324" s="2"/>
      <c r="H324" s="14">
        <f t="shared" si="76"/>
        <v>-1544.63</v>
      </c>
      <c r="I324" s="15">
        <f>IFERROR(H324/H444, "NA")</f>
        <v>0.18444025987827636</v>
      </c>
      <c r="J324" s="2"/>
      <c r="K324" s="14">
        <f>IFERROR(K297+K298+K299+K300+K301+K302+K303+K304+K305+K306+K307+K308+K309+K310+K311+K312+K313+K314+K315+K316+K317+K318+K319+K320+K321+K322+K323, "NA")</f>
        <v>5726.24</v>
      </c>
      <c r="L324" s="15">
        <f>IFERROR(K324/K444, "NA")</f>
        <v>7.7468344292448463E-2</v>
      </c>
      <c r="M324" s="2"/>
      <c r="N324" s="14">
        <f t="shared" si="77"/>
        <v>1217.3499999999995</v>
      </c>
      <c r="O324" s="15">
        <f>IFERROR(N324/N444, "NA")</f>
        <v>0.51950241112960271</v>
      </c>
      <c r="P324" s="2"/>
      <c r="Q324" s="14">
        <f>IFERROR(Q297+Q298+Q299+Q300+Q301+Q302+Q303+Q304+Q305+Q306+Q307+Q308+Q309+Q310+Q311+Q312+Q313+Q314+Q315+Q316+Q317+Q318+Q319+Q320+Q321+Q322+Q323, "NA")</f>
        <v>36279.610000000008</v>
      </c>
      <c r="R324" s="15">
        <f>IFERROR(Q324/Q444, "NA")</f>
        <v>5.4254235808910353E-2</v>
      </c>
      <c r="S324" s="2"/>
      <c r="T324" s="14">
        <f>IFERROR(T297+T298+T299+T300+T301+T302+T303+T304+T305+T306+T307+T308+T309+T310+T311+T312+T313+T314+T315+T316+T317+T318+T319+T320+T321+T322+T323, "NA")</f>
        <v>24290.559999999998</v>
      </c>
      <c r="U324" s="15">
        <f>IFERROR(T324/T444, "NA")</f>
        <v>3.367011683843367E-2</v>
      </c>
      <c r="V324" s="2"/>
      <c r="W324" s="14">
        <f t="shared" si="78"/>
        <v>-11989.05000000001</v>
      </c>
      <c r="X324" s="15">
        <f>IFERROR(W324/W444, "NA")</f>
        <v>0.22736034957479889</v>
      </c>
      <c r="Y324" s="2"/>
      <c r="Z324" s="14">
        <f>IFERROR(Z297+Z298+Z299+Z300+Z301+Z302+Z303+Z304+Z305+Z306+Z307+Z308+Z309+Z310+Z311+Z312+Z313+Z314+Z315+Z316+Z317+Z318+Z319+Z320+Z321+Z322+Z323, "NA")</f>
        <v>32877.310000000005</v>
      </c>
      <c r="AA324" s="15">
        <f>IFERROR(Z324/Z444, "NA")</f>
        <v>5.1203601913682513E-2</v>
      </c>
      <c r="AB324" s="2"/>
      <c r="AC324" s="14">
        <f t="shared" si="79"/>
        <v>-3402.3000000000029</v>
      </c>
      <c r="AD324" s="15">
        <f>IFERROR(AC324/AC444, "NA")</f>
        <v>-0.12787443101459561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20063.310000000001</v>
      </c>
      <c r="C325" s="15">
        <f>IFERROR(B325/B444, "NA")</f>
        <v>0.26308928637461665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18748.240000000002</v>
      </c>
      <c r="F325" s="15">
        <f>IFERROR(E325/E444, "NA")</f>
        <v>0.22151836441478515</v>
      </c>
      <c r="G325" s="2"/>
      <c r="H325" s="14">
        <f t="shared" si="76"/>
        <v>-1315.0699999999997</v>
      </c>
      <c r="I325" s="15">
        <f>IFERROR(H325/H444, "NA")</f>
        <v>0.15702909600235967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20772.38</v>
      </c>
      <c r="L325" s="15">
        <f>IFERROR(K325/K444, "NA")</f>
        <v>0.28102243105660446</v>
      </c>
      <c r="M325" s="2"/>
      <c r="N325" s="14">
        <f t="shared" si="77"/>
        <v>709.06999999999971</v>
      </c>
      <c r="O325" s="15">
        <f>IFERROR(N325/N444, "NA")</f>
        <v>0.30259463150258131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180114.65000000005</v>
      </c>
      <c r="R325" s="15">
        <f>IFERROR(Q325/Q444, "NA")</f>
        <v>0.26935192229848548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159232.32000000001</v>
      </c>
      <c r="U325" s="15">
        <f>IFERROR(T325/T444, "NA")</f>
        <v>0.22071828804502072</v>
      </c>
      <c r="V325" s="2"/>
      <c r="W325" s="14">
        <f t="shared" si="78"/>
        <v>-20882.330000000045</v>
      </c>
      <c r="X325" s="15">
        <f>IFERROR(W325/W444, "NA")</f>
        <v>0.39601251548173677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156940.39000000001</v>
      </c>
      <c r="AA325" s="15">
        <f>IFERROR(Z325/Z444, "NA")</f>
        <v>0.24442125142653337</v>
      </c>
      <c r="AB325" s="2"/>
      <c r="AC325" s="14">
        <f t="shared" si="79"/>
        <v>-23174.260000000038</v>
      </c>
      <c r="AD325" s="15">
        <f>IFERROR(AC325/AC444, "NA")</f>
        <v>-0.87099765208368018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6.0290221170971166E-2</v>
      </c>
      <c r="D329" s="9"/>
      <c r="E329" s="7">
        <v>4245.91</v>
      </c>
      <c r="F329" s="8">
        <f>IFERROR(E329/E444, "NA")</f>
        <v>5.0167217757633796E-2</v>
      </c>
      <c r="G329" s="9"/>
      <c r="H329" s="10">
        <f t="shared" si="80"/>
        <v>-351.85000000000036</v>
      </c>
      <c r="I329" s="8">
        <f>IFERROR(H329/H444, "NA")</f>
        <v>4.2013495424905387E-2</v>
      </c>
      <c r="J329" s="9"/>
      <c r="K329" s="7">
        <v>6377.92</v>
      </c>
      <c r="L329" s="8">
        <f>IFERROR(K329/K444, "NA")</f>
        <v>8.6284700332101505E-2</v>
      </c>
      <c r="M329" s="9"/>
      <c r="N329" s="10">
        <f t="shared" si="81"/>
        <v>1780.1599999999999</v>
      </c>
      <c r="O329" s="8">
        <f>IFERROR(N329/N444, "NA")</f>
        <v>0.75968079204540506</v>
      </c>
      <c r="P329" s="9"/>
      <c r="Q329" s="7">
        <v>36782.080000000002</v>
      </c>
      <c r="R329" s="8">
        <f>IFERROR(Q329/Q444, "NA")</f>
        <v>5.5005653088944589E-2</v>
      </c>
      <c r="S329" s="9"/>
      <c r="T329" s="7">
        <v>38183.54</v>
      </c>
      <c r="U329" s="8">
        <f>IFERROR(T329/T444, "NA")</f>
        <v>5.2927732135652931E-2</v>
      </c>
      <c r="V329" s="9"/>
      <c r="W329" s="10">
        <f t="shared" si="82"/>
        <v>1401.4599999999991</v>
      </c>
      <c r="X329" s="8">
        <f>IFERROR(W329/W444, "NA")</f>
        <v>-2.6577288068287078E-2</v>
      </c>
      <c r="Y329" s="9"/>
      <c r="Z329" s="7">
        <v>51023.360000000001</v>
      </c>
      <c r="AA329" s="8">
        <f>IFERROR(Z329/Z444, "NA")</f>
        <v>7.9464524735707129E-2</v>
      </c>
      <c r="AB329" s="9"/>
      <c r="AC329" s="10">
        <f t="shared" si="83"/>
        <v>14241.279999999999</v>
      </c>
      <c r="AD329" s="8">
        <f>IFERROR(AC329/AC444, "NA")</f>
        <v>0.53525426238707308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2.2108704825541309E-2</v>
      </c>
      <c r="D330" s="9"/>
      <c r="E330" s="7">
        <v>1686</v>
      </c>
      <c r="F330" s="8">
        <f>IFERROR(E330/E444, "NA")</f>
        <v>1.9920801227386022E-2</v>
      </c>
      <c r="G330" s="9"/>
      <c r="H330" s="10">
        <f t="shared" si="80"/>
        <v>-1.999999999998181E-2</v>
      </c>
      <c r="I330" s="8">
        <f>IFERROR(H330/H444, "NA")</f>
        <v>2.3881480986140191E-6</v>
      </c>
      <c r="J330" s="9"/>
      <c r="K330" s="7">
        <v>1636.91</v>
      </c>
      <c r="L330" s="8">
        <f>IFERROR(K330/K444, "NA")</f>
        <v>2.2145196054610322E-2</v>
      </c>
      <c r="M330" s="9"/>
      <c r="N330" s="10">
        <f t="shared" si="81"/>
        <v>-49.1099999999999</v>
      </c>
      <c r="O330" s="8">
        <f>IFERROR(N330/N444, "NA")</f>
        <v>-2.0957623863781777E-2</v>
      </c>
      <c r="P330" s="9"/>
      <c r="Q330" s="7">
        <v>14739.27</v>
      </c>
      <c r="R330" s="8">
        <f>IFERROR(Q330/Q444, "NA")</f>
        <v>2.2041797864728919E-2</v>
      </c>
      <c r="S330" s="9"/>
      <c r="T330" s="7">
        <v>13488</v>
      </c>
      <c r="U330" s="8">
        <f>IFERROR(T330/T444, "NA")</f>
        <v>1.8696256320018697E-2</v>
      </c>
      <c r="V330" s="9"/>
      <c r="W330" s="10">
        <f t="shared" si="82"/>
        <v>-1251.2700000000004</v>
      </c>
      <c r="X330" s="8">
        <f>IFERROR(W330/W444, "NA")</f>
        <v>2.3729084840955577E-2</v>
      </c>
      <c r="Y330" s="9"/>
      <c r="Z330" s="7">
        <v>11594.1</v>
      </c>
      <c r="AA330" s="8">
        <f>IFERROR(Z330/Z444, "NA")</f>
        <v>1.8056820370870561E-2</v>
      </c>
      <c r="AB330" s="9"/>
      <c r="AC330" s="10">
        <f t="shared" si="83"/>
        <v>-3145.17</v>
      </c>
      <c r="AD330" s="8">
        <f>IFERROR(AC330/AC444, "NA")</f>
        <v>-0.11821027663468106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2.5097802976798197E-2</v>
      </c>
      <c r="D333" s="9"/>
      <c r="E333" s="7">
        <v>1686</v>
      </c>
      <c r="F333" s="8">
        <f>IFERROR(E333/E444, "NA")</f>
        <v>1.9920801227386022E-2</v>
      </c>
      <c r="G333" s="9"/>
      <c r="H333" s="10">
        <f t="shared" si="80"/>
        <v>-227.97000000000003</v>
      </c>
      <c r="I333" s="8">
        <f>IFERROR(H333/H444, "NA")</f>
        <v>2.7221306102076657E-2</v>
      </c>
      <c r="J333" s="9"/>
      <c r="K333" s="7">
        <v>1853.78</v>
      </c>
      <c r="L333" s="8">
        <f>IFERROR(K333/K444, "NA")</f>
        <v>2.5079156179701707E-2</v>
      </c>
      <c r="M333" s="9"/>
      <c r="N333" s="10">
        <f t="shared" si="81"/>
        <v>-60.190000000000055</v>
      </c>
      <c r="O333" s="8">
        <f>IFERROR(N333/N444, "NA")</f>
        <v>-2.5685998378355304E-2</v>
      </c>
      <c r="P333" s="9"/>
      <c r="Q333" s="7">
        <v>14553.02</v>
      </c>
      <c r="R333" s="8">
        <f>IFERROR(Q333/Q444, "NA")</f>
        <v>2.1763270851362194E-2</v>
      </c>
      <c r="S333" s="9"/>
      <c r="T333" s="7">
        <v>13488</v>
      </c>
      <c r="U333" s="8">
        <f>IFERROR(T333/T444, "NA")</f>
        <v>1.8696256320018697E-2</v>
      </c>
      <c r="V333" s="9"/>
      <c r="W333" s="10">
        <f t="shared" si="82"/>
        <v>-1065.0200000000004</v>
      </c>
      <c r="X333" s="8">
        <f>IFERROR(W333/W444, "NA")</f>
        <v>2.019703975745803E-2</v>
      </c>
      <c r="Y333" s="9"/>
      <c r="Z333" s="7">
        <v>15041.06</v>
      </c>
      <c r="AA333" s="8">
        <f>IFERROR(Z333/Z444, "NA")</f>
        <v>2.3425166128245082E-2</v>
      </c>
      <c r="AB333" s="9"/>
      <c r="AC333" s="10">
        <f t="shared" si="83"/>
        <v>488.03999999999905</v>
      </c>
      <c r="AD333" s="8">
        <f>IFERROR(AC333/AC444, "NA")</f>
        <v>1.8342837878012837E-2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-4.6423795502938212E-3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-4.2273803567654505E-2</v>
      </c>
      <c r="J334" s="9"/>
      <c r="K334" s="7">
        <v>-491.1</v>
      </c>
      <c r="L334" s="8">
        <f>IFERROR(K334/K444, "NA")</f>
        <v>-6.6439240901571437E-3</v>
      </c>
      <c r="M334" s="9"/>
      <c r="N334" s="10">
        <f t="shared" si="81"/>
        <v>-137.07000000000005</v>
      </c>
      <c r="O334" s="8">
        <f>IFERROR(N334/N444, "NA")</f>
        <v>-5.8494430930738653E-2</v>
      </c>
      <c r="P334" s="9"/>
      <c r="Q334" s="7">
        <v>-708.06</v>
      </c>
      <c r="R334" s="8">
        <f>IFERROR(Q334/Q444, "NA")</f>
        <v>-1.0588662393795592E-3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708.06</v>
      </c>
      <c r="X334" s="8">
        <f>IFERROR(W334/W444, "NA")</f>
        <v>-1.342765015742965E-2</v>
      </c>
      <c r="Y334" s="9"/>
      <c r="Z334" s="7">
        <v>-982.2</v>
      </c>
      <c r="AA334" s="8">
        <f>IFERROR(Z334/Z444, "NA")</f>
        <v>-1.5296925995350276E-3</v>
      </c>
      <c r="AB334" s="9"/>
      <c r="AC334" s="10">
        <f t="shared" si="83"/>
        <v>-274.1400000000001</v>
      </c>
      <c r="AD334" s="8">
        <f>IFERROR(AC334/AC444, "NA")</f>
        <v>-1.0303470157934699E-2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2890.2</v>
      </c>
      <c r="F337" s="8">
        <f>IFERROR(E337/E444, "NA")</f>
        <v>3.414893221078949E-2</v>
      </c>
      <c r="G337" s="9"/>
      <c r="H337" s="10">
        <f t="shared" ref="H337:H344" si="84">IFERROR(-(B337-E337), "NA")</f>
        <v>2890.2</v>
      </c>
      <c r="I337" s="8">
        <f>IFERROR(H337/H444, "NA")</f>
        <v>-0.34511128173102573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23350.33</v>
      </c>
      <c r="U337" s="8">
        <f>IFERROR(T337/T444, "NA")</f>
        <v>3.236682642623237E-2</v>
      </c>
      <c r="V337" s="9"/>
      <c r="W337" s="10">
        <f t="shared" ref="W337:W344" si="86">IFERROR(-(Q337-T337), "NA")</f>
        <v>23350.33</v>
      </c>
      <c r="X337" s="8">
        <f>IFERROR(W337/W444, "NA")</f>
        <v>-0.44281566858816251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3063.66</v>
      </c>
      <c r="C338" s="8">
        <f>IFERROR(B338/B444, "NA")</f>
        <v>4.0173636508355703E-2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-3063.66</v>
      </c>
      <c r="I338" s="8">
        <f>IFERROR(H338/H444, "NA")</f>
        <v>0.36582369019032396</v>
      </c>
      <c r="J338" s="9"/>
      <c r="K338" s="7">
        <v>2643.75</v>
      </c>
      <c r="L338" s="8">
        <f>IFERROR(K338/K444, "NA")</f>
        <v>3.5766390375387799E-2</v>
      </c>
      <c r="M338" s="9"/>
      <c r="N338" s="10">
        <f t="shared" si="85"/>
        <v>-419.90999999999985</v>
      </c>
      <c r="O338" s="8">
        <f>IFERROR(N338/N444, "NA")</f>
        <v>-0.17919600563308127</v>
      </c>
      <c r="P338" s="9"/>
      <c r="Q338" s="7">
        <v>21284.07</v>
      </c>
      <c r="R338" s="8">
        <f>IFERROR(Q338/Q444, "NA")</f>
        <v>3.1829199728259323E-2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-21284.07</v>
      </c>
      <c r="X338" s="8">
        <f>IFERROR(W338/W444, "NA")</f>
        <v>0.40363111302183957</v>
      </c>
      <c r="Y338" s="9"/>
      <c r="Z338" s="7">
        <v>17711.43</v>
      </c>
      <c r="AA338" s="8">
        <f>IFERROR(Z338/Z444, "NA")</f>
        <v>2.7584039297681402E-2</v>
      </c>
      <c r="AB338" s="9"/>
      <c r="AC338" s="10">
        <f t="shared" si="87"/>
        <v>-3572.6399999999994</v>
      </c>
      <c r="AD338" s="8">
        <f>IFERROR(AC338/AC444, "NA")</f>
        <v>-0.13427660912323558</v>
      </c>
    </row>
    <row r="339" spans="1:30" ht="16.5" customHeight="1" x14ac:dyDescent="0.45">
      <c r="A339" s="12" t="s">
        <v>309</v>
      </c>
      <c r="B339" s="7">
        <v>353.67</v>
      </c>
      <c r="C339" s="8">
        <f>IFERROR(B339/B444, "NA")</f>
        <v>4.6376588864006328E-3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-353.67</v>
      </c>
      <c r="I339" s="8">
        <f>IFERROR(H339/H444, "NA")</f>
        <v>4.2230816901879416E-2</v>
      </c>
      <c r="J339" s="9"/>
      <c r="K339" s="7">
        <v>307.95</v>
      </c>
      <c r="L339" s="8">
        <f>IFERROR(K339/K444, "NA")</f>
        <v>4.1661503228749589E-3</v>
      </c>
      <c r="M339" s="9"/>
      <c r="N339" s="10">
        <f t="shared" si="85"/>
        <v>-45.720000000000027</v>
      </c>
      <c r="O339" s="8">
        <f>IFERROR(N339/N444, "NA")</f>
        <v>-1.9510946101651504E-2</v>
      </c>
      <c r="P339" s="9"/>
      <c r="Q339" s="7">
        <v>2622.8</v>
      </c>
      <c r="R339" s="8">
        <f>IFERROR(Q339/Q444, "NA")</f>
        <v>3.9222585270241341E-3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-2622.8</v>
      </c>
      <c r="X339" s="8">
        <f>IFERROR(W339/W444, "NA")</f>
        <v>4.9738780375824777E-2</v>
      </c>
      <c r="Y339" s="9"/>
      <c r="Z339" s="7">
        <v>2484.34</v>
      </c>
      <c r="AA339" s="8">
        <f>IFERROR(Z339/Z444, "NA")</f>
        <v>3.8691473352971397E-3</v>
      </c>
      <c r="AB339" s="9"/>
      <c r="AC339" s="10">
        <f t="shared" si="87"/>
        <v>-138.46000000000004</v>
      </c>
      <c r="AD339" s="8">
        <f>IFERROR(AC339/AC444, "NA")</f>
        <v>-5.2039778145022185E-3</v>
      </c>
    </row>
    <row r="340" spans="1:30" ht="16.5" customHeight="1" x14ac:dyDescent="0.45">
      <c r="A340" s="12" t="s">
        <v>310</v>
      </c>
      <c r="B340" s="7">
        <v>437.22</v>
      </c>
      <c r="C340" s="8">
        <f>IFERROR(B340/B444, "NA")</f>
        <v>5.7332462982782953E-3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-437.22</v>
      </c>
      <c r="I340" s="8">
        <f>IFERROR(H340/H444, "NA")</f>
        <v>5.2207305583848555E-2</v>
      </c>
      <c r="J340" s="9"/>
      <c r="K340" s="7">
        <v>113.41</v>
      </c>
      <c r="L340" s="8">
        <f>IFERROR(K340/K444, "NA")</f>
        <v>1.5342851375783376E-3</v>
      </c>
      <c r="M340" s="9"/>
      <c r="N340" s="10">
        <f t="shared" si="85"/>
        <v>-323.81000000000006</v>
      </c>
      <c r="O340" s="8">
        <f>IFERROR(N340/N444, "NA")</f>
        <v>-0.13818546494260217</v>
      </c>
      <c r="P340" s="9"/>
      <c r="Q340" s="7">
        <v>3317.06</v>
      </c>
      <c r="R340" s="8">
        <f>IFERROR(Q340/Q444, "NA")</f>
        <v>4.9604875970911521E-3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-3317.06</v>
      </c>
      <c r="X340" s="8">
        <f>IFERROR(W340/W444, "NA")</f>
        <v>6.2904727327067769E-2</v>
      </c>
      <c r="Y340" s="9"/>
      <c r="Z340" s="7">
        <v>3120.74</v>
      </c>
      <c r="AA340" s="8">
        <f>IFERROR(Z340/Z444, "NA")</f>
        <v>4.860285973399452E-3</v>
      </c>
      <c r="AB340" s="9"/>
      <c r="AC340" s="10">
        <f t="shared" si="87"/>
        <v>-196.32000000000016</v>
      </c>
      <c r="AD340" s="8">
        <f>IFERROR(AC340/AC444, "NA")</f>
        <v>-7.3786286620184617E-3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3854.55</v>
      </c>
      <c r="C342" s="15">
        <f>IFERROR(B342/B444, "NA")</f>
        <v>5.0544541693034635E-2</v>
      </c>
      <c r="D342" s="2"/>
      <c r="E342" s="14">
        <f>IFERROR(E337+E338+E339+E340+E341, "NA")</f>
        <v>2890.2</v>
      </c>
      <c r="F342" s="15">
        <f>IFERROR(E342/E444, "NA")</f>
        <v>3.414893221078949E-2</v>
      </c>
      <c r="G342" s="2"/>
      <c r="H342" s="14">
        <f t="shared" si="84"/>
        <v>-964.35000000000036</v>
      </c>
      <c r="I342" s="15">
        <f>IFERROR(H342/H444, "NA")</f>
        <v>0.11515053094502624</v>
      </c>
      <c r="J342" s="2"/>
      <c r="K342" s="14">
        <f>IFERROR(K337+K338+K339+K340+K341, "NA")</f>
        <v>3065.1099999999997</v>
      </c>
      <c r="L342" s="15">
        <f>IFERROR(K342/K444, "NA")</f>
        <v>4.146682583584109E-2</v>
      </c>
      <c r="M342" s="2"/>
      <c r="N342" s="14">
        <f t="shared" si="85"/>
        <v>-789.44000000000051</v>
      </c>
      <c r="O342" s="15">
        <f>IFERROR(N342/N444, "NA")</f>
        <v>-0.33689241667733516</v>
      </c>
      <c r="P342" s="2"/>
      <c r="Q342" s="14">
        <f>IFERROR(Q337+Q338+Q339+Q340+Q341, "NA")</f>
        <v>27223.93</v>
      </c>
      <c r="R342" s="15">
        <f>IFERROR(Q342/Q444, "NA")</f>
        <v>4.0711945852374615E-2</v>
      </c>
      <c r="S342" s="2"/>
      <c r="T342" s="14">
        <f>IFERROR(T337+T338+T339+T340+T341, "NA")</f>
        <v>23350.33</v>
      </c>
      <c r="U342" s="15">
        <f>IFERROR(T342/T444, "NA")</f>
        <v>3.236682642623237E-2</v>
      </c>
      <c r="V342" s="2"/>
      <c r="W342" s="14">
        <f t="shared" si="86"/>
        <v>-3873.5999999999985</v>
      </c>
      <c r="X342" s="15">
        <f>IFERROR(W342/W444, "NA")</f>
        <v>7.3458952136569611E-2</v>
      </c>
      <c r="Y342" s="2"/>
      <c r="Z342" s="14">
        <f>IFERROR(Z337+Z338+Z339+Z340+Z341, "NA")</f>
        <v>23316.510000000002</v>
      </c>
      <c r="AA342" s="15">
        <f>IFERROR(Z342/Z444, "NA")</f>
        <v>3.6313472606377996E-2</v>
      </c>
      <c r="AB342" s="2"/>
      <c r="AC342" s="14">
        <f t="shared" si="87"/>
        <v>-3907.4199999999983</v>
      </c>
      <c r="AD342" s="15">
        <f>IFERROR(AC342/AC444, "NA")</f>
        <v>-0.1468592155997562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11698.27</v>
      </c>
      <c r="C343" s="15">
        <f>IFERROR(B343/B444, "NA")</f>
        <v>0.15339889111605148</v>
      </c>
      <c r="D343" s="2"/>
      <c r="E343" s="14">
        <f>IFERROR(E328+E329+E330+E331+E332+E333+E334+E335+E337+E338+E339+E340+E341, "NA")</f>
        <v>10508.11</v>
      </c>
      <c r="F343" s="15">
        <f>IFERROR(E343/E444, "NA")</f>
        <v>0.12415775242319534</v>
      </c>
      <c r="G343" s="2"/>
      <c r="H343" s="14">
        <f t="shared" si="84"/>
        <v>-1190.1599999999999</v>
      </c>
      <c r="I343" s="15">
        <f>IFERROR(H343/H444, "NA")</f>
        <v>0.14211391705245227</v>
      </c>
      <c r="J343" s="2"/>
      <c r="K343" s="14">
        <f>IFERROR(K328+K329+K330+K331+K332+K333+K334+K335+K337+K338+K339+K340+K341, "NA")</f>
        <v>12442.62</v>
      </c>
      <c r="L343" s="15">
        <f>IFERROR(K343/K444, "NA")</f>
        <v>0.16833195431209749</v>
      </c>
      <c r="M343" s="2"/>
      <c r="N343" s="14">
        <f t="shared" si="85"/>
        <v>744.35000000000036</v>
      </c>
      <c r="O343" s="15">
        <f>IFERROR(N343/N444, "NA")</f>
        <v>0.31765032219519457</v>
      </c>
      <c r="P343" s="2"/>
      <c r="Q343" s="14">
        <f>IFERROR(Q328+Q329+Q330+Q331+Q332+Q333+Q334+Q335+Q337+Q338+Q339+Q340+Q341, "NA")</f>
        <v>92590.24</v>
      </c>
      <c r="R343" s="15">
        <f>IFERROR(Q343/Q444, "NA")</f>
        <v>0.13846380141803075</v>
      </c>
      <c r="S343" s="2"/>
      <c r="T343" s="14">
        <f>IFERROR(T328+T329+T330+T331+T332+T333+T334+T335+T337+T338+T339+T340+T341, "NA")</f>
        <v>88509.87</v>
      </c>
      <c r="U343" s="15">
        <f>IFERROR(T343/T444, "NA")</f>
        <v>0.12268707120192268</v>
      </c>
      <c r="V343" s="2"/>
      <c r="W343" s="14">
        <f t="shared" si="86"/>
        <v>-4080.3700000000099</v>
      </c>
      <c r="X343" s="15">
        <f>IFERROR(W343/W444, "NA")</f>
        <v>7.7380138509266672E-2</v>
      </c>
      <c r="Y343" s="2"/>
      <c r="Z343" s="14">
        <f>IFERROR(Z328+Z329+Z330+Z331+Z332+Z333+Z334+Z335+Z337+Z338+Z339+Z340+Z341, "NA")</f>
        <v>99992.83</v>
      </c>
      <c r="AA343" s="15">
        <f>IFERROR(Z343/Z444, "NA")</f>
        <v>0.15573029124166574</v>
      </c>
      <c r="AB343" s="2"/>
      <c r="AC343" s="14">
        <f t="shared" si="87"/>
        <v>7402.5899999999965</v>
      </c>
      <c r="AD343" s="15">
        <f>IFERROR(AC343/AC444, "NA")</f>
        <v>0.27822413787271377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11698.27</v>
      </c>
      <c r="C344" s="15">
        <f>IFERROR(B344/B444, "NA")</f>
        <v>0.15339889111605148</v>
      </c>
      <c r="D344" s="2"/>
      <c r="E344" s="14">
        <f>IFERROR(E328+E329+E330+E331+E332+E333+E334+E335+E337+E338+E339+E340+E341, "NA")</f>
        <v>10508.11</v>
      </c>
      <c r="F344" s="15">
        <f>IFERROR(E344/E444, "NA")</f>
        <v>0.12415775242319534</v>
      </c>
      <c r="G344" s="2"/>
      <c r="H344" s="14">
        <f t="shared" si="84"/>
        <v>-1190.1599999999999</v>
      </c>
      <c r="I344" s="15">
        <f>IFERROR(H344/H444, "NA")</f>
        <v>0.14211391705245227</v>
      </c>
      <c r="J344" s="2"/>
      <c r="K344" s="14">
        <f>IFERROR(K328+K329+K330+K331+K332+K333+K334+K335+K337+K338+K339+K340+K341, "NA")</f>
        <v>12442.62</v>
      </c>
      <c r="L344" s="15">
        <f>IFERROR(K344/K444, "NA")</f>
        <v>0.16833195431209749</v>
      </c>
      <c r="M344" s="2"/>
      <c r="N344" s="14">
        <f t="shared" si="85"/>
        <v>744.35000000000036</v>
      </c>
      <c r="O344" s="15">
        <f>IFERROR(N344/N444, "NA")</f>
        <v>0.31765032219519457</v>
      </c>
      <c r="P344" s="2"/>
      <c r="Q344" s="14">
        <f>IFERROR(Q328+Q329+Q330+Q331+Q332+Q333+Q334+Q335+Q337+Q338+Q339+Q340+Q341, "NA")</f>
        <v>92590.24</v>
      </c>
      <c r="R344" s="15">
        <f>IFERROR(Q344/Q444, "NA")</f>
        <v>0.13846380141803075</v>
      </c>
      <c r="S344" s="2"/>
      <c r="T344" s="14">
        <f>IFERROR(T328+T329+T330+T331+T332+T333+T334+T335+T337+T338+T339+T340+T341, "NA")</f>
        <v>88509.87</v>
      </c>
      <c r="U344" s="15">
        <f>IFERROR(T344/T444, "NA")</f>
        <v>0.12268707120192268</v>
      </c>
      <c r="V344" s="2"/>
      <c r="W344" s="14">
        <f t="shared" si="86"/>
        <v>-4080.3700000000099</v>
      </c>
      <c r="X344" s="15">
        <f>IFERROR(W344/W444, "NA")</f>
        <v>7.7380138509266672E-2</v>
      </c>
      <c r="Y344" s="2"/>
      <c r="Z344" s="14">
        <f>IFERROR(Z328+Z329+Z330+Z331+Z332+Z333+Z334+Z335+Z337+Z338+Z339+Z340+Z341, "NA")</f>
        <v>99992.83</v>
      </c>
      <c r="AA344" s="15">
        <f>IFERROR(Z344/Z444, "NA")</f>
        <v>0.15573029124166574</v>
      </c>
      <c r="AB344" s="2"/>
      <c r="AC344" s="14">
        <f t="shared" si="87"/>
        <v>7402.5899999999965</v>
      </c>
      <c r="AD344" s="15">
        <f>IFERROR(AC344/AC444, "NA")</f>
        <v>0.27822413787271377</v>
      </c>
    </row>
    <row r="345" spans="1:30" ht="16.5" customHeight="1" x14ac:dyDescent="0.45">
      <c r="A345" s="22" t="s">
        <v>315</v>
      </c>
      <c r="B345" s="23">
        <f>IFERROR(B198-B325-B344, "NA")</f>
        <v>-3571.6699999999946</v>
      </c>
      <c r="C345" s="24">
        <f>IFERROR(B345/B444, "NA")</f>
        <v>-4.6835148909408549E-2</v>
      </c>
      <c r="D345" s="25"/>
      <c r="E345" s="23">
        <f>IFERROR(E198-E325-E344, "NA")</f>
        <v>10671.879999999994</v>
      </c>
      <c r="F345" s="24">
        <f>IFERROR(E345/E444, "NA")</f>
        <v>0.12609276405843192</v>
      </c>
      <c r="G345" s="25"/>
      <c r="H345" s="23">
        <f>IFERROR(B345-E345, "NA")</f>
        <v>-14243.549999999988</v>
      </c>
      <c r="I345" s="24">
        <f>IFERROR(H345/H444, "NA")</f>
        <v>1.700785342502231</v>
      </c>
      <c r="J345" s="25"/>
      <c r="K345" s="23">
        <f>IFERROR(K198-K325-K344, "NA")</f>
        <v>-3509.0800000000436</v>
      </c>
      <c r="L345" s="24">
        <f>IFERROR(K345/K444, "NA")</f>
        <v>-4.7473144260413193E-2</v>
      </c>
      <c r="M345" s="25"/>
      <c r="N345" s="23">
        <f>IFERROR(B345-K345, "NA")</f>
        <v>-62.589999999951033</v>
      </c>
      <c r="O345" s="24">
        <f>IFERROR(N345/N444, "NA")</f>
        <v>-2.6710195024090368E-2</v>
      </c>
      <c r="P345" s="25"/>
      <c r="Q345" s="23">
        <f>IFERROR(Q198-Q325-Q344, "NA")</f>
        <v>-1581.9300000000949</v>
      </c>
      <c r="R345" s="24">
        <f>IFERROR(Q345/Q444, "NA")</f>
        <v>-2.3656925543905981E-3</v>
      </c>
      <c r="S345" s="25"/>
      <c r="T345" s="23">
        <f>IFERROR(T198-T325-T344, "NA")</f>
        <v>76233.600000000035</v>
      </c>
      <c r="U345" s="24">
        <f>IFERROR(T345/T444, "NA")</f>
        <v>0.10567044230410572</v>
      </c>
      <c r="V345" s="25"/>
      <c r="W345" s="23">
        <f>IFERROR(Q345-T345, "NA")</f>
        <v>-77815.53000000013</v>
      </c>
      <c r="X345" s="24">
        <f>IFERROR(W345/W444, "NA")</f>
        <v>1.4756937458054029</v>
      </c>
      <c r="Y345" s="25"/>
      <c r="Z345" s="23">
        <f>IFERROR(Z198-Z325-Z344, "NA")</f>
        <v>1334.3599999999424</v>
      </c>
      <c r="AA345" s="24">
        <f>IFERROR(Z345/Z444, "NA")</f>
        <v>2.0781517176903597E-3</v>
      </c>
      <c r="AB345" s="25"/>
      <c r="AC345" s="23">
        <f>IFERROR(Q345-Z345, "NA")</f>
        <v>-2916.2900000000373</v>
      </c>
      <c r="AD345" s="24">
        <f>IFERROR(AC345/AC444, "NA")</f>
        <v>-0.10960789008128605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-3571.6699999999946</v>
      </c>
      <c r="C404" s="24">
        <f>IFERROR(B404/B444, "NA")</f>
        <v>-4.6835148909408549E-2</v>
      </c>
      <c r="D404" s="25"/>
      <c r="E404" s="23">
        <f>IFERROR(E345-E403, "NA")</f>
        <v>10671.879999999994</v>
      </c>
      <c r="F404" s="24">
        <f>IFERROR(E404/E444, "NA")</f>
        <v>0.12609276405843192</v>
      </c>
      <c r="G404" s="25"/>
      <c r="H404" s="23">
        <f>IFERROR(B404-E404, "NA")</f>
        <v>-14243.549999999988</v>
      </c>
      <c r="I404" s="24">
        <f>IFERROR(H404/H444, "NA")</f>
        <v>1.700785342502231</v>
      </c>
      <c r="J404" s="25"/>
      <c r="K404" s="23">
        <f>IFERROR(K345-K403, "NA")</f>
        <v>-3509.0800000000436</v>
      </c>
      <c r="L404" s="24">
        <f>IFERROR(K404/K444, "NA")</f>
        <v>-4.7473144260413193E-2</v>
      </c>
      <c r="M404" s="25"/>
      <c r="N404" s="23">
        <f>IFERROR(B404-K404, "NA")</f>
        <v>-62.589999999951033</v>
      </c>
      <c r="O404" s="24">
        <f>IFERROR(N404/N444, "NA")</f>
        <v>-2.6710195024090368E-2</v>
      </c>
      <c r="P404" s="25"/>
      <c r="Q404" s="23">
        <f>IFERROR(Q345-Q403, "NA")</f>
        <v>-1581.9300000000949</v>
      </c>
      <c r="R404" s="24">
        <f>IFERROR(Q404/Q444, "NA")</f>
        <v>-2.3656925543905981E-3</v>
      </c>
      <c r="S404" s="25"/>
      <c r="T404" s="23">
        <f>IFERROR(T345-T403, "NA")</f>
        <v>76233.600000000035</v>
      </c>
      <c r="U404" s="24">
        <f>IFERROR(T404/T444, "NA")</f>
        <v>0.10567044230410572</v>
      </c>
      <c r="V404" s="25"/>
      <c r="W404" s="23">
        <f>IFERROR(Q404-T404, "NA")</f>
        <v>-77815.53000000013</v>
      </c>
      <c r="X404" s="24">
        <f>IFERROR(W404/W444, "NA")</f>
        <v>1.4756937458054029</v>
      </c>
      <c r="Y404" s="25"/>
      <c r="Z404" s="23">
        <f>IFERROR(Z345-Z403, "NA")</f>
        <v>1334.3599999999424</v>
      </c>
      <c r="AA404" s="24">
        <f>IFERROR(Z404/Z444, "NA")</f>
        <v>2.0781517176903597E-3</v>
      </c>
      <c r="AB404" s="25"/>
      <c r="AC404" s="23">
        <f>IFERROR(Q404-Z404, "NA")</f>
        <v>-2916.2900000000373</v>
      </c>
      <c r="AD404" s="24">
        <f>IFERROR(AC404/AC444, "NA")</f>
        <v>-0.10960789008128605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-9.1729102249079514E-2</v>
      </c>
      <c r="AB407" s="9"/>
      <c r="AC407" s="10">
        <f t="shared" ref="AC407:AC429" si="103">IFERROR(-(Q407-Z407), "NA")</f>
        <v>-58898.32</v>
      </c>
      <c r="AD407" s="8">
        <f>IFERROR(AC407/AC444, "NA")</f>
        <v>-2.2136757951137676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169.6</v>
      </c>
      <c r="L408" s="8">
        <f>IFERROR(K408/K444, "NA")</f>
        <v>2.2944604473440267E-3</v>
      </c>
      <c r="M408" s="9"/>
      <c r="N408" s="10">
        <f t="shared" si="101"/>
        <v>169.6</v>
      </c>
      <c r="O408" s="8">
        <f>IFERROR(N408/N444, "NA")</f>
        <v>7.2376562966756194E-2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888.29</v>
      </c>
      <c r="AA408" s="8">
        <f>IFERROR(Z408/Z444, "NA")</f>
        <v>1.3834357964171956E-3</v>
      </c>
      <c r="AB408" s="9"/>
      <c r="AC408" s="10">
        <f t="shared" si="103"/>
        <v>888.29</v>
      </c>
      <c r="AD408" s="8">
        <f>IFERROR(AC408/AC444, "NA")</f>
        <v>3.3386114782927738E-2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4766.34</v>
      </c>
      <c r="C410" s="8">
        <f>IFERROR(B410/B444, "NA")</f>
        <v>6.2500803168509603E-2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-4766.34</v>
      </c>
      <c r="I410" s="8">
        <f>IFERROR(H410/H444, "NA")</f>
        <v>0.5691362904179148</v>
      </c>
      <c r="J410" s="9"/>
      <c r="K410" s="7">
        <v>3672.29</v>
      </c>
      <c r="L410" s="8">
        <f>IFERROR(K410/K444, "NA")</f>
        <v>4.9681156581232282E-2</v>
      </c>
      <c r="M410" s="9"/>
      <c r="N410" s="10">
        <f t="shared" si="101"/>
        <v>-1094.0500000000002</v>
      </c>
      <c r="O410" s="8">
        <f>IFERROR(N410/N444, "NA")</f>
        <v>-0.46688430845388929</v>
      </c>
      <c r="P410" s="9"/>
      <c r="Q410" s="7">
        <v>32524.29</v>
      </c>
      <c r="R410" s="8">
        <f>IFERROR(Q410/Q444, "NA")</f>
        <v>4.8638353586970329E-2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-32524.29</v>
      </c>
      <c r="X410" s="8">
        <f>IFERROR(W410/W444, "NA")</f>
        <v>0.61679065014093104</v>
      </c>
      <c r="Y410" s="9"/>
      <c r="Z410" s="7">
        <v>28540.41</v>
      </c>
      <c r="AA410" s="8">
        <f>IFERROR(Z410/Z444, "NA")</f>
        <v>4.4449250625835365E-2</v>
      </c>
      <c r="AB410" s="9"/>
      <c r="AC410" s="10">
        <f t="shared" si="103"/>
        <v>-3983.880000000001</v>
      </c>
      <c r="AD410" s="8">
        <f>IFERROR(AC410/AC444, "NA")</f>
        <v>-0.14973294190119241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-144.66</v>
      </c>
      <c r="C417" s="8">
        <f>IFERROR(B417/B444, "NA")</f>
        <v>-1.8969201077465305E-3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144.66</v>
      </c>
      <c r="I417" s="8">
        <f>IFERROR(H417/H444, "NA")</f>
        <v>-1.7273475197290909E-2</v>
      </c>
      <c r="J417" s="9"/>
      <c r="K417" s="7">
        <v>-49.96</v>
      </c>
      <c r="L417" s="8">
        <f>IFERROR(K417/K444, "NA")</f>
        <v>-6.7589176856903055E-4</v>
      </c>
      <c r="M417" s="9"/>
      <c r="N417" s="10">
        <f t="shared" si="101"/>
        <v>94.699999999999989</v>
      </c>
      <c r="O417" s="8">
        <f>IFERROR(N417/N444, "NA")</f>
        <v>4.0413092647121528E-2</v>
      </c>
      <c r="P417" s="9"/>
      <c r="Q417" s="7">
        <v>-66.849999999999994</v>
      </c>
      <c r="R417" s="8">
        <f>IFERROR(Q417/Q444, "NA")</f>
        <v>-9.9970635401694117E-5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66.849999999999994</v>
      </c>
      <c r="X417" s="8">
        <f>IFERROR(W417/W444, "NA")</f>
        <v>-1.2677434299694548E-3</v>
      </c>
      <c r="Y417" s="9"/>
      <c r="Z417" s="7">
        <v>-43.3</v>
      </c>
      <c r="AA417" s="8">
        <f>IFERROR(Z417/Z444, "NA")</f>
        <v>-6.7436051272517505E-5</v>
      </c>
      <c r="AB417" s="9"/>
      <c r="AC417" s="10">
        <f t="shared" si="103"/>
        <v>23.549999999999997</v>
      </c>
      <c r="AD417" s="8">
        <f>IFERROR(AC417/AC444, "NA")</f>
        <v>8.8511972794689587E-4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328.57</v>
      </c>
      <c r="L424" s="8">
        <f>IFERROR(K424/K444, "NA")</f>
        <v>4.4451112569801107E-3</v>
      </c>
      <c r="M424" s="9"/>
      <c r="N424" s="10">
        <f t="shared" si="101"/>
        <v>328.57</v>
      </c>
      <c r="O424" s="8">
        <f>IFERROR(N424/N444, "NA")</f>
        <v>0.14021678829001819</v>
      </c>
      <c r="P424" s="9"/>
      <c r="Q424" s="7">
        <v>239.6</v>
      </c>
      <c r="R424" s="8">
        <f>IFERROR(Q424/Q444, "NA")</f>
        <v>3.5830911357136744E-4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4.5437745074148302E-3</v>
      </c>
      <c r="Y424" s="9"/>
      <c r="Z424" s="7">
        <v>985.71</v>
      </c>
      <c r="AA424" s="8">
        <f>IFERROR(Z424/Z444, "NA")</f>
        <v>1.535159124707465E-3</v>
      </c>
      <c r="AB424" s="9"/>
      <c r="AC424" s="10">
        <f t="shared" si="103"/>
        <v>746.11</v>
      </c>
      <c r="AD424" s="8">
        <f>IFERROR(AC424/AC444, "NA")</f>
        <v>2.8042321877641555E-2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-136.47</v>
      </c>
      <c r="C426" s="8">
        <f>IFERROR(B426/B444, "NA")</f>
        <v>-1.7895250041764761E-3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136.47</v>
      </c>
      <c r="I426" s="8">
        <f>IFERROR(H426/H444, "NA")</f>
        <v>-1.629552855090758E-2</v>
      </c>
      <c r="J426" s="9"/>
      <c r="K426" s="7">
        <v>-195.45</v>
      </c>
      <c r="L426" s="8">
        <f>IFERROR(K426/K444, "NA")</f>
        <v>-2.6441762643478182E-3</v>
      </c>
      <c r="M426" s="9"/>
      <c r="N426" s="10">
        <f t="shared" si="101"/>
        <v>-58.97999999999999</v>
      </c>
      <c r="O426" s="8">
        <f>IFERROR(N426/N444, "NA")</f>
        <v>-2.5169632569453298E-2</v>
      </c>
      <c r="P426" s="9"/>
      <c r="Q426" s="7">
        <v>-1071.05</v>
      </c>
      <c r="R426" s="8">
        <f>IFERROR(Q426/Q444, "NA")</f>
        <v>-1.6016985646519744E-3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1071.05</v>
      </c>
      <c r="X426" s="8">
        <f>IFERROR(W426/W444, "NA")</f>
        <v>-2.0311392680161324E-2</v>
      </c>
      <c r="Y426" s="9"/>
      <c r="Z426" s="7">
        <v>-1331.64</v>
      </c>
      <c r="AA426" s="8">
        <f>IFERROR(Z426/Z444, "NA")</f>
        <v>-2.0739155500354555E-3</v>
      </c>
      <c r="AB426" s="9"/>
      <c r="AC426" s="10">
        <f t="shared" si="103"/>
        <v>-260.59000000000015</v>
      </c>
      <c r="AD426" s="8">
        <f>IFERROR(AC426/AC444, "NA")</f>
        <v>-9.7941974482242782E-3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4485.21</v>
      </c>
      <c r="C428" s="15">
        <f>IFERROR(B428/B444, "NA")</f>
        <v>5.8814358056586594E-2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-4485.21</v>
      </c>
      <c r="I428" s="15">
        <f>IFERROR(H428/H444, "NA")</f>
        <v>0.53556728666971631</v>
      </c>
      <c r="J428" s="2"/>
      <c r="K428" s="14">
        <f>IFERROR(K407+K408+K409+K410+K411+K412+K413+K414+K415+K416+K417+K418+K419+K420+K421+K422+K423+K424+K425+K426+K427, "NA")</f>
        <v>3925.05</v>
      </c>
      <c r="L428" s="15">
        <f>IFERROR(K428/K444, "NA")</f>
        <v>5.3100660252639577E-2</v>
      </c>
      <c r="M428" s="2"/>
      <c r="N428" s="14">
        <f t="shared" si="101"/>
        <v>-560.15999999999985</v>
      </c>
      <c r="O428" s="15">
        <f>IFERROR(N428/N444, "NA")</f>
        <v>-0.23904749711944656</v>
      </c>
      <c r="P428" s="2"/>
      <c r="Q428" s="14">
        <f>IFERROR(Q407+Q408+Q409+Q410+Q411+Q412+Q413+Q414+Q415+Q416+Q417+Q418+Q419+Q420+Q421+Q422+Q423+Q424+Q425+Q426+Q427, "NA")</f>
        <v>31625.99</v>
      </c>
      <c r="R428" s="15">
        <f>IFERROR(Q428/Q444, "NA")</f>
        <v>4.7294993500488026E-2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-31625.99</v>
      </c>
      <c r="X428" s="15">
        <f>IFERROR(W428/W444, "NA")</f>
        <v>0.59975528853821514</v>
      </c>
      <c r="Y428" s="2"/>
      <c r="Z428" s="14">
        <f>IFERROR(Z407+Z408+Z409+Z410+Z411+Z412+Z413+Z414+Z415+Z416+Z417+Z418+Z419+Z420+Z421+Z422+Z423+Z424+Z425+Z426+Z427, "NA")</f>
        <v>-29858.85</v>
      </c>
      <c r="AA428" s="15">
        <f>IFERROR(Z428/Z444, "NA")</f>
        <v>-4.6502608303427465E-2</v>
      </c>
      <c r="AB428" s="2"/>
      <c r="AC428" s="14">
        <f t="shared" si="103"/>
        <v>-61484.84</v>
      </c>
      <c r="AD428" s="15">
        <f>IFERROR(AC428/AC444, "NA")</f>
        <v>-2.310889378074668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4485.21</v>
      </c>
      <c r="C429" s="15">
        <f>IFERROR(B429/B444, "NA")</f>
        <v>5.8814358056586594E-2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-4485.21</v>
      </c>
      <c r="I429" s="15">
        <f>IFERROR(H429/H444, "NA")</f>
        <v>0.53556728666971631</v>
      </c>
      <c r="J429" s="2"/>
      <c r="K429" s="14">
        <f>IFERROR(K407+K408+K409+K410+K411+K412+K413+K414+K415+K416+K417+K418+K419+K420+K421+K422+K423+K424+K425+K426+K427, "NA")</f>
        <v>3925.05</v>
      </c>
      <c r="L429" s="15">
        <f>IFERROR(K429/K444, "NA")</f>
        <v>5.3100660252639577E-2</v>
      </c>
      <c r="M429" s="2"/>
      <c r="N429" s="14">
        <f t="shared" si="101"/>
        <v>-560.15999999999985</v>
      </c>
      <c r="O429" s="15">
        <f>IFERROR(N429/N444, "NA")</f>
        <v>-0.23904749711944656</v>
      </c>
      <c r="P429" s="2"/>
      <c r="Q429" s="14">
        <f>IFERROR(Q407+Q408+Q409+Q410+Q411+Q412+Q413+Q414+Q415+Q416+Q417+Q418+Q419+Q420+Q421+Q422+Q423+Q424+Q425+Q426+Q427, "NA")</f>
        <v>31625.99</v>
      </c>
      <c r="R429" s="15">
        <f>IFERROR(Q429/Q444, "NA")</f>
        <v>4.7294993500488026E-2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-31625.99</v>
      </c>
      <c r="X429" s="15">
        <f>IFERROR(W429/W444, "NA")</f>
        <v>0.59975528853821514</v>
      </c>
      <c r="Y429" s="2"/>
      <c r="Z429" s="14">
        <f>IFERROR(Z407+Z408+Z409+Z410+Z411+Z412+Z413+Z414+Z415+Z416+Z417+Z418+Z419+Z420+Z421+Z422+Z423+Z424+Z425+Z426+Z427, "NA")</f>
        <v>-29858.85</v>
      </c>
      <c r="AA429" s="15">
        <f>IFERROR(Z429/Z444, "NA")</f>
        <v>-4.6502608303427465E-2</v>
      </c>
      <c r="AB429" s="2"/>
      <c r="AC429" s="14">
        <f t="shared" si="103"/>
        <v>-61484.84</v>
      </c>
      <c r="AD429" s="15">
        <f>IFERROR(AC429/AC444, "NA")</f>
        <v>-2.310889378074668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-8056.8799999999947</v>
      </c>
      <c r="C443" s="24">
        <f>IFERROR(B443/B444, "NA")</f>
        <v>-0.10564950696599515</v>
      </c>
      <c r="D443" s="25"/>
      <c r="E443" s="23">
        <f>IFERROR(E404-E429-E442, "NA")</f>
        <v>10671.879999999994</v>
      </c>
      <c r="F443" s="24">
        <f>IFERROR(E443/E444, "NA")</f>
        <v>0.12609276405843192</v>
      </c>
      <c r="G443" s="25"/>
      <c r="H443" s="23">
        <f>IFERROR(B443-E443, "NA")</f>
        <v>-18728.759999999987</v>
      </c>
      <c r="I443" s="24">
        <f>IFERROR(H443/H444, "NA")</f>
        <v>2.2363526291719471</v>
      </c>
      <c r="J443" s="25"/>
      <c r="K443" s="23">
        <f>IFERROR(K404-K429-K442, "NA")</f>
        <v>-7434.1300000000438</v>
      </c>
      <c r="L443" s="24">
        <f>IFERROR(K443/K444, "NA")</f>
        <v>-0.10057380451305277</v>
      </c>
      <c r="M443" s="25"/>
      <c r="N443" s="23">
        <f>IFERROR(B443-K443, "NA")</f>
        <v>-622.74999999995089</v>
      </c>
      <c r="O443" s="24">
        <f>IFERROR(N443/N444, "NA")</f>
        <v>-0.26575769214353695</v>
      </c>
      <c r="P443" s="25"/>
      <c r="Q443" s="23">
        <f>IFERROR(Q404-Q429-Q442, "NA")</f>
        <v>-33207.9200000001</v>
      </c>
      <c r="R443" s="24">
        <f>IFERROR(Q443/Q444, "NA")</f>
        <v>-4.9660686054878632E-2</v>
      </c>
      <c r="S443" s="25"/>
      <c r="T443" s="23">
        <f>IFERROR(T404-T429-T442, "NA")</f>
        <v>76233.600000000035</v>
      </c>
      <c r="U443" s="24">
        <f>IFERROR(T443/T444, "NA")</f>
        <v>0.10567044230410572</v>
      </c>
      <c r="V443" s="25"/>
      <c r="W443" s="23">
        <f>IFERROR(Q443-T443, "NA")</f>
        <v>-109441.52000000014</v>
      </c>
      <c r="X443" s="24">
        <f>IFERROR(W443/W444, "NA")</f>
        <v>2.075449034343618</v>
      </c>
      <c r="Y443" s="25"/>
      <c r="Z443" s="23">
        <f>IFERROR(Z404-Z429-Z442, "NA")</f>
        <v>31193.209999999941</v>
      </c>
      <c r="AA443" s="24">
        <f>IFERROR(Z443/Z444, "NA")</f>
        <v>4.8580760021117823E-2</v>
      </c>
      <c r="AB443" s="25"/>
      <c r="AC443" s="23">
        <f>IFERROR(Q443-Z443, "NA")</f>
        <v>-64401.130000000041</v>
      </c>
      <c r="AD443" s="24">
        <f>IFERROR(AC443/AC444, "NA")</f>
        <v>-2.420497268155954</v>
      </c>
    </row>
    <row r="444" spans="1:30" ht="15.75" hidden="1" x14ac:dyDescent="0.45">
      <c r="A444" s="26" t="s">
        <v>117</v>
      </c>
      <c r="B444" s="7">
        <v>76260.460000000006</v>
      </c>
      <c r="C444" s="27"/>
      <c r="D444" s="9"/>
      <c r="E444" s="7">
        <v>84635.15</v>
      </c>
      <c r="F444" s="27"/>
      <c r="G444" s="9"/>
      <c r="H444" s="10">
        <f>IFERROR(B444-E444, "NA")</f>
        <v>-8374.6899999999878</v>
      </c>
      <c r="I444" s="27"/>
      <c r="J444" s="9"/>
      <c r="K444" s="7">
        <v>73917.16</v>
      </c>
      <c r="L444" s="27"/>
      <c r="M444" s="9"/>
      <c r="N444" s="10">
        <f>IFERROR(B444-K444, "NA")</f>
        <v>2343.3000000000029</v>
      </c>
      <c r="O444" s="27"/>
      <c r="P444" s="9"/>
      <c r="Q444" s="7">
        <v>668696.36</v>
      </c>
      <c r="R444" s="27"/>
      <c r="S444" s="9"/>
      <c r="T444" s="7">
        <v>721427.85</v>
      </c>
      <c r="U444" s="27"/>
      <c r="V444" s="9"/>
      <c r="W444" s="10">
        <f>IFERROR(Q444-T444, "NA")</f>
        <v>-52731.489999999991</v>
      </c>
      <c r="X444" s="27"/>
      <c r="Y444" s="9"/>
      <c r="Z444" s="7">
        <v>642089.79</v>
      </c>
      <c r="AA444" s="27"/>
      <c r="AB444" s="9"/>
      <c r="AC444" s="10">
        <f>IFERROR(Q444-Z444, "NA")</f>
        <v>26606.569999999949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37825.410000000003</v>
      </c>
      <c r="F10" s="8">
        <f>IFERROR(E10/E444, "NA")</f>
        <v>0.24000000761392964</v>
      </c>
      <c r="G10" s="9"/>
      <c r="H10" s="10">
        <f t="shared" ref="H10:H19" si="0">IFERROR(B10-E10, "NA")</f>
        <v>-37825.410000000003</v>
      </c>
      <c r="I10" s="8">
        <f>IFERROR(H10/H444, "NA")</f>
        <v>-29.52987696343224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314800.68</v>
      </c>
      <c r="U10" s="8">
        <f>IFERROR(T10/T444, "NA")</f>
        <v>0.23999999817027079</v>
      </c>
      <c r="V10" s="9"/>
      <c r="W10" s="10">
        <f t="shared" ref="W10:W19" si="2">IFERROR(Q10-T10, "NA")</f>
        <v>-314800.68</v>
      </c>
      <c r="X10" s="8">
        <f>IFERROR(W10/W444, "NA")</f>
        <v>-2.6511180780008097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57319.18</v>
      </c>
      <c r="C11" s="8">
        <f>IFERROR(B11/B444, "NA")</f>
        <v>0.36075484941196179</v>
      </c>
      <c r="D11" s="9"/>
      <c r="E11" s="7">
        <v>0</v>
      </c>
      <c r="F11" s="8">
        <f>IFERROR(E11/E444, "NA")</f>
        <v>0</v>
      </c>
      <c r="G11" s="9"/>
      <c r="H11" s="10">
        <f t="shared" si="0"/>
        <v>57319.18</v>
      </c>
      <c r="I11" s="8">
        <f>IFERROR(H11/H444, "NA")</f>
        <v>44.748446429128613</v>
      </c>
      <c r="J11" s="9"/>
      <c r="K11" s="7">
        <v>36040.14</v>
      </c>
      <c r="L11" s="8">
        <f>IFERROR(K11/K444, "NA")</f>
        <v>0.24582300321423925</v>
      </c>
      <c r="M11" s="9"/>
      <c r="N11" s="10">
        <f t="shared" si="1"/>
        <v>21279.040000000001</v>
      </c>
      <c r="O11" s="8">
        <f>IFERROR(N11/N444, "NA")</f>
        <v>1.7332908679633792</v>
      </c>
      <c r="P11" s="9"/>
      <c r="Q11" s="7">
        <v>396590.76</v>
      </c>
      <c r="R11" s="8">
        <f>IFERROR(Q11/Q444, "NA")</f>
        <v>0.27725629170423977</v>
      </c>
      <c r="S11" s="9"/>
      <c r="T11" s="7">
        <v>0</v>
      </c>
      <c r="U11" s="8">
        <f>IFERROR(T11/T444, "NA")</f>
        <v>0</v>
      </c>
      <c r="V11" s="9"/>
      <c r="W11" s="10">
        <f t="shared" si="2"/>
        <v>396590.76</v>
      </c>
      <c r="X11" s="8">
        <f>IFERROR(W11/W444, "NA")</f>
        <v>3.3399195116226572</v>
      </c>
      <c r="Y11" s="9"/>
      <c r="Z11" s="7">
        <v>317253.56</v>
      </c>
      <c r="AA11" s="8">
        <f>IFERROR(Z11/Z444, "NA")</f>
        <v>0.26741228044223064</v>
      </c>
      <c r="AB11" s="9"/>
      <c r="AC11" s="10">
        <f t="shared" si="3"/>
        <v>79337.200000000012</v>
      </c>
      <c r="AD11" s="8">
        <f>IFERROR(AC11/AC444, "NA")</f>
        <v>0.32511453786988592</v>
      </c>
    </row>
    <row r="12" spans="1:30" ht="16.5" customHeight="1" x14ac:dyDescent="0.45">
      <c r="A12" s="12" t="s">
        <v>14</v>
      </c>
      <c r="B12" s="7">
        <v>5609.9</v>
      </c>
      <c r="C12" s="8">
        <f>IFERROR(B12/B444, "NA")</f>
        <v>3.5307529342118366E-2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5609.9</v>
      </c>
      <c r="I12" s="8">
        <f>IFERROR(H12/H444, "NA")</f>
        <v>4.3795865471691782</v>
      </c>
      <c r="J12" s="9"/>
      <c r="K12" s="7">
        <v>3118.45</v>
      </c>
      <c r="L12" s="8">
        <f>IFERROR(K12/K444, "NA")</f>
        <v>2.1270359781439371E-2</v>
      </c>
      <c r="M12" s="9"/>
      <c r="N12" s="10">
        <f t="shared" si="1"/>
        <v>2491.4499999999998</v>
      </c>
      <c r="O12" s="8">
        <f>IFERROR(N12/N444, "NA")</f>
        <v>0.20294184009181621</v>
      </c>
      <c r="P12" s="9"/>
      <c r="Q12" s="7">
        <v>38691.839999999997</v>
      </c>
      <c r="R12" s="8">
        <f>IFERROR(Q12/Q444, "NA")</f>
        <v>2.704943523549003E-2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38691.839999999997</v>
      </c>
      <c r="X12" s="8">
        <f>IFERROR(W12/W444, "NA")</f>
        <v>0.3258462989823111</v>
      </c>
      <c r="Y12" s="9"/>
      <c r="Z12" s="7">
        <v>27996.35</v>
      </c>
      <c r="AA12" s="8">
        <f>IFERROR(Z12/Z444, "NA")</f>
        <v>2.3598057646882966E-2</v>
      </c>
      <c r="AB12" s="9"/>
      <c r="AC12" s="10">
        <f t="shared" si="3"/>
        <v>10695.489999999998</v>
      </c>
      <c r="AD12" s="8">
        <f>IFERROR(AC12/AC444, "NA")</f>
        <v>4.3828863239967951E-2</v>
      </c>
    </row>
    <row r="13" spans="1:30" ht="16.5" customHeight="1" x14ac:dyDescent="0.45">
      <c r="A13" s="12" t="s">
        <v>15</v>
      </c>
      <c r="B13" s="7">
        <v>350.5</v>
      </c>
      <c r="C13" s="8">
        <f>IFERROR(B13/B444, "NA")</f>
        <v>2.2059731963871886E-3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350.5</v>
      </c>
      <c r="I13" s="8">
        <f>IFERROR(H13/H444, "NA")</f>
        <v>0.27363145239358938</v>
      </c>
      <c r="J13" s="9"/>
      <c r="K13" s="7">
        <v>180</v>
      </c>
      <c r="L13" s="8">
        <f>IFERROR(K13/K444, "NA")</f>
        <v>1.2277460791928962E-3</v>
      </c>
      <c r="M13" s="9"/>
      <c r="N13" s="10">
        <f t="shared" si="1"/>
        <v>170.5</v>
      </c>
      <c r="O13" s="8">
        <f>IFERROR(N13/N444, "NA")</f>
        <v>1.3888130901946523E-2</v>
      </c>
      <c r="P13" s="9"/>
      <c r="Q13" s="7">
        <v>2659.5</v>
      </c>
      <c r="R13" s="8">
        <f>IFERROR(Q13/Q444, "NA")</f>
        <v>1.859254380478823E-3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2659.5</v>
      </c>
      <c r="X13" s="8">
        <f>IFERROR(W13/W444, "NA")</f>
        <v>2.2397183285764038E-2</v>
      </c>
      <c r="Y13" s="9"/>
      <c r="Z13" s="7">
        <v>2075</v>
      </c>
      <c r="AA13" s="8">
        <f>IFERROR(Z13/Z444, "NA")</f>
        <v>1.7490126254773267E-3</v>
      </c>
      <c r="AB13" s="9"/>
      <c r="AC13" s="10">
        <f t="shared" si="3"/>
        <v>584.5</v>
      </c>
      <c r="AD13" s="8">
        <f>IFERROR(AC13/AC444, "NA")</f>
        <v>2.3952124272718007E-3</v>
      </c>
    </row>
    <row r="14" spans="1:30" ht="16.5" customHeight="1" x14ac:dyDescent="0.45">
      <c r="A14" s="12" t="s">
        <v>16</v>
      </c>
      <c r="B14" s="7">
        <v>160</v>
      </c>
      <c r="C14" s="8">
        <f>IFERROR(B14/B444, "NA")</f>
        <v>1.0070063093350931E-3</v>
      </c>
      <c r="D14" s="9"/>
      <c r="E14" s="7">
        <v>0</v>
      </c>
      <c r="F14" s="8">
        <f>IFERROR(E14/E444, "NA")</f>
        <v>0</v>
      </c>
      <c r="G14" s="9"/>
      <c r="H14" s="10">
        <f t="shared" si="0"/>
        <v>160</v>
      </c>
      <c r="I14" s="8">
        <f>IFERROR(H14/H444, "NA")</f>
        <v>0.12491022077881397</v>
      </c>
      <c r="J14" s="9"/>
      <c r="K14" s="7">
        <v>825</v>
      </c>
      <c r="L14" s="8">
        <f>IFERROR(K14/K444, "NA")</f>
        <v>5.627169529634107E-3</v>
      </c>
      <c r="M14" s="9"/>
      <c r="N14" s="10">
        <f t="shared" si="1"/>
        <v>-665</v>
      </c>
      <c r="O14" s="8">
        <f>IFERROR(N14/N444, "NA")</f>
        <v>-5.4167783283251836E-2</v>
      </c>
      <c r="P14" s="9"/>
      <c r="Q14" s="7">
        <v>3015</v>
      </c>
      <c r="R14" s="8">
        <f>IFERROR(Q14/Q444, "NA")</f>
        <v>2.1077841538423205E-3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3015</v>
      </c>
      <c r="X14" s="8">
        <f>IFERROR(W14/W444, "NA")</f>
        <v>2.5391053809580212E-2</v>
      </c>
      <c r="Y14" s="9"/>
      <c r="Z14" s="7">
        <v>5502</v>
      </c>
      <c r="AA14" s="8">
        <f>IFERROR(Z14/Z444, "NA")</f>
        <v>4.6376228748801216E-3</v>
      </c>
      <c r="AB14" s="9"/>
      <c r="AC14" s="10">
        <f t="shared" si="3"/>
        <v>-2487</v>
      </c>
      <c r="AD14" s="8">
        <f>IFERROR(AC14/AC444, "NA")</f>
        <v>-1.0191434228614146E-2</v>
      </c>
    </row>
    <row r="15" spans="1:30" ht="16.5" customHeight="1" x14ac:dyDescent="0.45">
      <c r="A15" s="12" t="s">
        <v>17</v>
      </c>
      <c r="B15" s="7">
        <v>36</v>
      </c>
      <c r="C15" s="8">
        <f>IFERROR(B15/B444, "NA")</f>
        <v>2.2657641960039597E-4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36</v>
      </c>
      <c r="I15" s="8">
        <f>IFERROR(H15/H444, "NA")</f>
        <v>2.8104799675233143E-2</v>
      </c>
      <c r="J15" s="9"/>
      <c r="K15" s="7">
        <v>121</v>
      </c>
      <c r="L15" s="8">
        <f>IFERROR(K15/K444, "NA")</f>
        <v>8.2531819767966909E-4</v>
      </c>
      <c r="M15" s="9"/>
      <c r="N15" s="10">
        <f t="shared" si="1"/>
        <v>-85</v>
      </c>
      <c r="O15" s="8">
        <f>IFERROR(N15/N444, "NA")</f>
        <v>-6.9237016226712869E-3</v>
      </c>
      <c r="P15" s="9"/>
      <c r="Q15" s="7">
        <v>712</v>
      </c>
      <c r="R15" s="8">
        <f>IFERROR(Q15/Q444, "NA")</f>
        <v>4.9775864594883321E-4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712</v>
      </c>
      <c r="X15" s="8">
        <f>IFERROR(W15/W444, "NA")</f>
        <v>5.9961626243519436E-3</v>
      </c>
      <c r="Y15" s="9"/>
      <c r="Z15" s="7">
        <v>778</v>
      </c>
      <c r="AA15" s="8">
        <f>IFERROR(Z15/Z444, "NA")</f>
        <v>6.5577437234764352E-4</v>
      </c>
      <c r="AB15" s="9"/>
      <c r="AC15" s="10">
        <f t="shared" si="3"/>
        <v>-66</v>
      </c>
      <c r="AD15" s="8">
        <f>IFERROR(AC15/AC444, "NA")</f>
        <v>-2.704602569716661E-4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4.1945953310294931E-7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5.0529460317572561E-6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2.4587296088333285E-6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63475.58</v>
      </c>
      <c r="C18" s="15">
        <f>IFERROR(B18/B444, "NA")</f>
        <v>0.39950193467940287</v>
      </c>
      <c r="D18" s="2"/>
      <c r="E18" s="14">
        <f>IFERROR(E10+E11+E12+E13+E14+E15+E16+E17, "NA")</f>
        <v>37825.410000000003</v>
      </c>
      <c r="F18" s="15">
        <f>IFERROR(E18/E444, "NA")</f>
        <v>0.24000000761392964</v>
      </c>
      <c r="G18" s="2"/>
      <c r="H18" s="14">
        <f t="shared" si="0"/>
        <v>25650.17</v>
      </c>
      <c r="I18" s="15">
        <f>IFERROR(H18/H444, "NA")</f>
        <v>20.024802485713192</v>
      </c>
      <c r="J18" s="2"/>
      <c r="K18" s="14">
        <f>IFERROR(K10+K11+K12+K13+K14+K15+K16+K17, "NA")</f>
        <v>40284.589999999997</v>
      </c>
      <c r="L18" s="15">
        <f>IFERROR(K18/K444, "NA")</f>
        <v>0.27477359680218527</v>
      </c>
      <c r="M18" s="2"/>
      <c r="N18" s="14">
        <f t="shared" si="1"/>
        <v>23190.990000000005</v>
      </c>
      <c r="O18" s="15">
        <f>IFERROR(N18/N444, "NA")</f>
        <v>1.8890293540512191</v>
      </c>
      <c r="P18" s="2"/>
      <c r="Q18" s="14">
        <f>IFERROR(Q10+Q11+Q12+Q13+Q14+Q15+Q16+Q17, "NA")</f>
        <v>441669.69999999995</v>
      </c>
      <c r="R18" s="15">
        <f>IFERROR(Q18/Q444, "NA")</f>
        <v>0.30877094357953283</v>
      </c>
      <c r="S18" s="2"/>
      <c r="T18" s="14">
        <f>IFERROR(T10+T11+T12+T13+T14+T15+T16+T17, "NA")</f>
        <v>314800.68</v>
      </c>
      <c r="U18" s="15">
        <f>IFERROR(T18/T444, "NA")</f>
        <v>0.23999999817027079</v>
      </c>
      <c r="V18" s="2"/>
      <c r="W18" s="14">
        <f t="shared" si="2"/>
        <v>126869.01999999996</v>
      </c>
      <c r="X18" s="15">
        <f>IFERROR(W18/W444, "NA")</f>
        <v>1.0684371852698862</v>
      </c>
      <c r="Y18" s="2"/>
      <c r="Z18" s="14">
        <f>IFERROR(Z10+Z11+Z12+Z13+Z14+Z15+Z16+Z17, "NA")</f>
        <v>353604.91</v>
      </c>
      <c r="AA18" s="15">
        <f>IFERROR(Z18/Z444, "NA")</f>
        <v>0.29805274796181869</v>
      </c>
      <c r="AB18" s="2"/>
      <c r="AC18" s="14">
        <f t="shared" si="3"/>
        <v>88064.789999999979</v>
      </c>
      <c r="AD18" s="15">
        <f>IFERROR(AC18/AC444, "NA")</f>
        <v>0.36087917778114859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8825.93</v>
      </c>
      <c r="F21" s="8">
        <f>IFERROR(E21/E444, "NA")</f>
        <v>5.6000008121524919E-2</v>
      </c>
      <c r="G21" s="9"/>
      <c r="H21" s="10">
        <f t="shared" ref="H21:H29" si="4">IFERROR(B21-E21, "NA")</f>
        <v>-8825.93</v>
      </c>
      <c r="I21" s="8">
        <f>IFERROR(H21/H444, "NA")</f>
        <v>-6.8903054054897357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73453.490000000005</v>
      </c>
      <c r="U21" s="8">
        <f>IFERROR(T21/T444, "NA")</f>
        <v>5.5999998048288861E-2</v>
      </c>
      <c r="V21" s="9"/>
      <c r="W21" s="10">
        <f t="shared" ref="W21:W29" si="6">IFERROR(Q21-T21, "NA")</f>
        <v>-73453.490000000005</v>
      </c>
      <c r="X21" s="8">
        <f>IFERROR(W21/W444, "NA")</f>
        <v>-0.61859420135703558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8395.65</v>
      </c>
      <c r="C22" s="8">
        <f>IFERROR(B22/B444, "NA")</f>
        <v>5.2840453256057344E-2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8395.65</v>
      </c>
      <c r="I22" s="8">
        <f>IFERROR(H22/H444, "NA")</f>
        <v>6.5543905942603091</v>
      </c>
      <c r="J22" s="9"/>
      <c r="K22" s="7">
        <v>6366.06</v>
      </c>
      <c r="L22" s="8">
        <f>IFERROR(K22/K444, "NA")</f>
        <v>4.342169558281516E-2</v>
      </c>
      <c r="M22" s="9"/>
      <c r="N22" s="10">
        <f t="shared" si="5"/>
        <v>2029.5899999999992</v>
      </c>
      <c r="O22" s="8">
        <f>IFERROR(N22/N444, "NA")</f>
        <v>0.16532088913361662</v>
      </c>
      <c r="P22" s="9"/>
      <c r="Q22" s="7">
        <v>63979.4</v>
      </c>
      <c r="R22" s="8">
        <f>IFERROR(Q22/Q444, "NA")</f>
        <v>4.4727948753678061E-2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63979.4</v>
      </c>
      <c r="X22" s="8">
        <f>IFERROR(W22/W444, "NA")</f>
        <v>0.53880742557368366</v>
      </c>
      <c r="Y22" s="9"/>
      <c r="Z22" s="7">
        <v>51909.52</v>
      </c>
      <c r="AA22" s="8">
        <f>IFERROR(Z22/Z444, "NA")</f>
        <v>4.3754412463839903E-2</v>
      </c>
      <c r="AB22" s="9"/>
      <c r="AC22" s="10">
        <f t="shared" si="7"/>
        <v>12069.880000000005</v>
      </c>
      <c r="AD22" s="8">
        <f>IFERROR(AC22/AC444, "NA")</f>
        <v>4.9460952218442045E-2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927.96</v>
      </c>
      <c r="C24" s="8">
        <f>IFERROR(B24/B444, "NA")</f>
        <v>5.8403848425662066E-3</v>
      </c>
      <c r="D24" s="9"/>
      <c r="E24" s="7">
        <v>0</v>
      </c>
      <c r="F24" s="8">
        <f>IFERROR(E24/E444, "NA")</f>
        <v>0</v>
      </c>
      <c r="G24" s="9"/>
      <c r="H24" s="10">
        <f t="shared" si="4"/>
        <v>927.96</v>
      </c>
      <c r="I24" s="8">
        <f>IFERROR(H24/H444, "NA")</f>
        <v>0.72444805296192638</v>
      </c>
      <c r="J24" s="9"/>
      <c r="K24" s="7">
        <v>669.74</v>
      </c>
      <c r="L24" s="8">
        <f>IFERROR(K24/K444, "NA")</f>
        <v>4.5681703282147235E-3</v>
      </c>
      <c r="M24" s="9"/>
      <c r="N24" s="10">
        <f t="shared" si="5"/>
        <v>258.22000000000003</v>
      </c>
      <c r="O24" s="8">
        <f>IFERROR(N24/N444, "NA")</f>
        <v>2.1033390976543293E-2</v>
      </c>
      <c r="P24" s="9"/>
      <c r="Q24" s="7">
        <v>13093.31</v>
      </c>
      <c r="R24" s="8">
        <f>IFERROR(Q24/Q444, "NA")</f>
        <v>9.1535228322869623E-3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13093.31</v>
      </c>
      <c r="X24" s="8">
        <f>IFERROR(W24/W444, "NA")</f>
        <v>0.110266314678446</v>
      </c>
      <c r="Y24" s="9"/>
      <c r="Z24" s="7">
        <v>3904.98</v>
      </c>
      <c r="AA24" s="8">
        <f>IFERROR(Z24/Z444, "NA")</f>
        <v>3.2914984685476875E-3</v>
      </c>
      <c r="AB24" s="9"/>
      <c r="AC24" s="10">
        <f t="shared" si="7"/>
        <v>9188.33</v>
      </c>
      <c r="AD24" s="8">
        <f>IFERROR(AC24/AC444, "NA")</f>
        <v>3.7652698377885895E-2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635.20000000000005</v>
      </c>
      <c r="C26" s="8">
        <f>IFERROR(B26/B444, "NA")</f>
        <v>3.9978150480603205E-3</v>
      </c>
      <c r="D26" s="9"/>
      <c r="E26" s="7">
        <v>0</v>
      </c>
      <c r="F26" s="8">
        <f>IFERROR(E26/E444, "NA")</f>
        <v>0</v>
      </c>
      <c r="G26" s="9"/>
      <c r="H26" s="10">
        <f t="shared" si="4"/>
        <v>635.20000000000005</v>
      </c>
      <c r="I26" s="8">
        <f>IFERROR(H26/H444, "NA")</f>
        <v>0.49589357649189153</v>
      </c>
      <c r="J26" s="9"/>
      <c r="K26" s="7">
        <v>2307.7800000000002</v>
      </c>
      <c r="L26" s="8">
        <f>IFERROR(K26/K444, "NA")</f>
        <v>1.5740932481332123E-2</v>
      </c>
      <c r="M26" s="9"/>
      <c r="N26" s="10">
        <f t="shared" si="5"/>
        <v>-1672.5800000000002</v>
      </c>
      <c r="O26" s="8">
        <f>IFERROR(N26/N444, "NA")</f>
        <v>-0.13624052776526521</v>
      </c>
      <c r="P26" s="9"/>
      <c r="Q26" s="7">
        <v>17896.89</v>
      </c>
      <c r="R26" s="8">
        <f>IFERROR(Q26/Q444, "NA")</f>
        <v>1.2511701872324739E-2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17896.89</v>
      </c>
      <c r="X26" s="8">
        <f>IFERROR(W26/W444, "NA")</f>
        <v>0.15072003217716021</v>
      </c>
      <c r="Y26" s="9"/>
      <c r="Z26" s="7">
        <v>6574.92</v>
      </c>
      <c r="AA26" s="8">
        <f>IFERROR(Z26/Z444, "NA")</f>
        <v>5.5419846224112699E-3</v>
      </c>
      <c r="AB26" s="9"/>
      <c r="AC26" s="10">
        <f t="shared" si="7"/>
        <v>11321.97</v>
      </c>
      <c r="AD26" s="8">
        <f>IFERROR(AC26/AC444, "NA")</f>
        <v>4.6396104782204461E-2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127.91</v>
      </c>
      <c r="AA27" s="8">
        <f>IFERROR(Z27/Z444, "NA")</f>
        <v>1.0781503851797825E-4</v>
      </c>
      <c r="AB27" s="9"/>
      <c r="AC27" s="10">
        <f t="shared" si="7"/>
        <v>-127.91</v>
      </c>
      <c r="AD27" s="8">
        <f>IFERROR(AC27/AC444, "NA")</f>
        <v>-5.2416017377645175E-4</v>
      </c>
    </row>
    <row r="28" spans="1:30" ht="16.5" customHeight="1" x14ac:dyDescent="0.45">
      <c r="A28" s="12" t="s">
        <v>29</v>
      </c>
      <c r="B28" s="7">
        <v>898.5</v>
      </c>
      <c r="C28" s="8">
        <f>IFERROR(B28/B444, "NA")</f>
        <v>5.6549698058598824E-3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898.5</v>
      </c>
      <c r="I28" s="8">
        <f>IFERROR(H28/H444, "NA")</f>
        <v>0.70144895856102729</v>
      </c>
      <c r="J28" s="9"/>
      <c r="K28" s="7">
        <v>611.07000000000005</v>
      </c>
      <c r="L28" s="8">
        <f>IFERROR(K28/K444, "NA")</f>
        <v>4.1679933145133503E-3</v>
      </c>
      <c r="M28" s="9"/>
      <c r="N28" s="10">
        <f t="shared" si="5"/>
        <v>287.42999999999995</v>
      </c>
      <c r="O28" s="8">
        <f>IFERROR(N28/N444, "NA")</f>
        <v>2.3412700675345972E-2</v>
      </c>
      <c r="P28" s="9"/>
      <c r="Q28" s="7">
        <v>6606.97</v>
      </c>
      <c r="R28" s="8">
        <f>IFERROR(Q28/Q444, "NA")</f>
        <v>4.6189275857086553E-3</v>
      </c>
      <c r="S28" s="9"/>
      <c r="T28" s="7">
        <v>0</v>
      </c>
      <c r="U28" s="8">
        <f>IFERROR(T28/T444, "NA")</f>
        <v>0</v>
      </c>
      <c r="V28" s="9"/>
      <c r="W28" s="10">
        <f t="shared" si="6"/>
        <v>6606.97</v>
      </c>
      <c r="X28" s="8">
        <f>IFERROR(W28/W444, "NA")</f>
        <v>5.5641104739065403E-2</v>
      </c>
      <c r="Y28" s="9"/>
      <c r="Z28" s="7">
        <v>6086.77</v>
      </c>
      <c r="AA28" s="8">
        <f>IFERROR(Z28/Z444, "NA")</f>
        <v>5.1305241341574118E-3</v>
      </c>
      <c r="AB28" s="9"/>
      <c r="AC28" s="10">
        <f t="shared" si="7"/>
        <v>520.19999999999982</v>
      </c>
      <c r="AD28" s="8">
        <f>IFERROR(AC28/AC444, "NA")</f>
        <v>2.1317185708584949E-3</v>
      </c>
    </row>
    <row r="29" spans="1:30" ht="16.5" customHeight="1" x14ac:dyDescent="0.45">
      <c r="A29" s="13" t="s">
        <v>30</v>
      </c>
      <c r="B29" s="14">
        <f>IFERROR(B21+B22+B23+B24+B25+B26+B27+B28, "NA")</f>
        <v>10857.310000000001</v>
      </c>
      <c r="C29" s="15">
        <f>IFERROR(B29/B444, "NA")</f>
        <v>6.8333622952543763E-2</v>
      </c>
      <c r="D29" s="2"/>
      <c r="E29" s="14">
        <f>IFERROR(E21+E22+E23+E24+E25+E26+E27+E28, "NA")</f>
        <v>8825.93</v>
      </c>
      <c r="F29" s="15">
        <f>IFERROR(E29/E444, "NA")</f>
        <v>5.6000008121524919E-2</v>
      </c>
      <c r="G29" s="2"/>
      <c r="H29" s="14">
        <f t="shared" si="4"/>
        <v>2031.380000000001</v>
      </c>
      <c r="I29" s="15">
        <f>IFERROR(H29/H444, "NA")</f>
        <v>1.5858757767854204</v>
      </c>
      <c r="J29" s="2"/>
      <c r="K29" s="14">
        <f>IFERROR(K21+K22+K23+K24+K25+K26+K27+K28, "NA")</f>
        <v>9954.65</v>
      </c>
      <c r="L29" s="15">
        <f>IFERROR(K29/K444, "NA")</f>
        <v>6.789879170687535E-2</v>
      </c>
      <c r="M29" s="2"/>
      <c r="N29" s="14">
        <f t="shared" si="5"/>
        <v>902.66000000000167</v>
      </c>
      <c r="O29" s="15">
        <f>IFERROR(N29/N444, "NA")</f>
        <v>7.3526453020240884E-2</v>
      </c>
      <c r="P29" s="2"/>
      <c r="Q29" s="14">
        <f>IFERROR(Q21+Q22+Q23+Q24+Q25+Q26+Q27+Q28, "NA")</f>
        <v>101576.57</v>
      </c>
      <c r="R29" s="15">
        <f>IFERROR(Q29/Q444, "NA")</f>
        <v>7.1012101043998424E-2</v>
      </c>
      <c r="S29" s="2"/>
      <c r="T29" s="14">
        <f>IFERROR(T21+T22+T23+T24+T25+T26+T27+T28, "NA")</f>
        <v>73453.490000000005</v>
      </c>
      <c r="U29" s="15">
        <f>IFERROR(T29/T444, "NA")</f>
        <v>5.5999998048288861E-2</v>
      </c>
      <c r="V29" s="2"/>
      <c r="W29" s="14">
        <f t="shared" si="6"/>
        <v>28123.08</v>
      </c>
      <c r="X29" s="15">
        <f>IFERROR(W29/W444, "NA")</f>
        <v>0.23684067581131976</v>
      </c>
      <c r="Y29" s="2"/>
      <c r="Z29" s="14">
        <f>IFERROR(Z21+Z22+Z23+Z24+Z25+Z26+Z27+Z28, "NA")</f>
        <v>68604.100000000006</v>
      </c>
      <c r="AA29" s="15">
        <f>IFERROR(Z29/Z444, "NA")</f>
        <v>5.7826234727474259E-2</v>
      </c>
      <c r="AB29" s="2"/>
      <c r="AC29" s="14">
        <f t="shared" si="7"/>
        <v>32972.47</v>
      </c>
      <c r="AD29" s="15">
        <f>IFERROR(AC29/AC444, "NA")</f>
        <v>0.13511731377561442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42395.98</v>
      </c>
      <c r="F31" s="8">
        <f>IFERROR(E31/E444, "NA")</f>
        <v>0.26900000615459313</v>
      </c>
      <c r="G31" s="9"/>
      <c r="H31" s="10">
        <f t="shared" ref="H31:H40" si="8">IFERROR(B31-E31, "NA")</f>
        <v>-42395.98</v>
      </c>
      <c r="I31" s="8">
        <f>IFERROR(H31/H444, "NA")</f>
        <v>-33.098070137088641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352839.1</v>
      </c>
      <c r="U31" s="8">
        <f>IFERROR(T31/T444, "NA")</f>
        <v>0.26900000137992075</v>
      </c>
      <c r="V31" s="9"/>
      <c r="W31" s="10">
        <f t="shared" ref="W31:W40" si="10">IFERROR(Q31-T31, "NA")</f>
        <v>-352839.1</v>
      </c>
      <c r="X31" s="8">
        <f>IFERROR(W31/W444, "NA")</f>
        <v>-2.9714615503230024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12131.43</v>
      </c>
      <c r="C33" s="8">
        <f>IFERROR(B33/B444, "NA")</f>
        <v>7.6352665945356432E-2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12131.43</v>
      </c>
      <c r="I33" s="8">
        <f>IFERROR(H33/H444, "NA")</f>
        <v>9.4708724978920458</v>
      </c>
      <c r="J33" s="9"/>
      <c r="K33" s="7">
        <v>15936.36</v>
      </c>
      <c r="L33" s="8">
        <f>IFERROR(K33/K444, "NA")</f>
        <v>0.10869890837003612</v>
      </c>
      <c r="M33" s="9"/>
      <c r="N33" s="10">
        <f t="shared" si="9"/>
        <v>-3804.9300000000003</v>
      </c>
      <c r="O33" s="8">
        <f>IFERROR(N33/N444, "NA")</f>
        <v>-0.30993176488412544</v>
      </c>
      <c r="P33" s="9"/>
      <c r="Q33" s="7">
        <v>156954.89000000001</v>
      </c>
      <c r="R33" s="8">
        <f>IFERROR(Q33/Q444, "NA")</f>
        <v>0.10972704146270797</v>
      </c>
      <c r="S33" s="9"/>
      <c r="T33" s="7">
        <v>0</v>
      </c>
      <c r="U33" s="8">
        <f>IFERROR(T33/T444, "NA")</f>
        <v>0</v>
      </c>
      <c r="V33" s="9"/>
      <c r="W33" s="10">
        <f t="shared" si="10"/>
        <v>156954.89000000001</v>
      </c>
      <c r="X33" s="8">
        <f>IFERROR(W33/W444, "NA")</f>
        <v>1.3218076476506613</v>
      </c>
      <c r="Y33" s="9"/>
      <c r="Z33" s="7">
        <v>104550.76</v>
      </c>
      <c r="AA33" s="8">
        <f>IFERROR(Z33/Z444, "NA")</f>
        <v>8.8125589996746925E-2</v>
      </c>
      <c r="AB33" s="9"/>
      <c r="AC33" s="10">
        <f t="shared" si="11"/>
        <v>52404.130000000019</v>
      </c>
      <c r="AD33" s="8">
        <f>IFERROR(AC33/AC444, "NA")</f>
        <v>0.21474597676025156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1281.3</v>
      </c>
      <c r="C35" s="8">
        <f>IFERROR(B35/B444, "NA")</f>
        <v>8.0642324009440932E-3</v>
      </c>
      <c r="D35" s="9"/>
      <c r="E35" s="7">
        <v>0</v>
      </c>
      <c r="F35" s="8">
        <f>IFERROR(E35/E444, "NA")</f>
        <v>0</v>
      </c>
      <c r="G35" s="9"/>
      <c r="H35" s="10">
        <f t="shared" si="8"/>
        <v>1281.3</v>
      </c>
      <c r="I35" s="8">
        <f>IFERROR(H35/H444, "NA")</f>
        <v>1.0002966617743396</v>
      </c>
      <c r="J35" s="9"/>
      <c r="K35" s="7">
        <v>1840.65</v>
      </c>
      <c r="L35" s="8">
        <f>IFERROR(K35/K444, "NA")</f>
        <v>1.2554726781480025E-2</v>
      </c>
      <c r="M35" s="9"/>
      <c r="N35" s="10">
        <f t="shared" si="9"/>
        <v>-559.35000000000014</v>
      </c>
      <c r="O35" s="8">
        <f>IFERROR(N35/N444, "NA")</f>
        <v>-4.5562029442837479E-2</v>
      </c>
      <c r="P35" s="9"/>
      <c r="Q35" s="7">
        <v>17122.82</v>
      </c>
      <c r="R35" s="8">
        <f>IFERROR(Q35/Q444, "NA")</f>
        <v>1.1970550137676405E-2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17122.82</v>
      </c>
      <c r="X35" s="8">
        <f>IFERROR(W35/W444, "NA")</f>
        <v>0.14420114228582295</v>
      </c>
      <c r="Y35" s="9"/>
      <c r="Z35" s="7">
        <v>2326.13</v>
      </c>
      <c r="AA35" s="8">
        <f>IFERROR(Z35/Z444, "NA")</f>
        <v>1.9606895125308791E-3</v>
      </c>
      <c r="AB35" s="9"/>
      <c r="AC35" s="10">
        <f t="shared" si="11"/>
        <v>14796.689999999999</v>
      </c>
      <c r="AD35" s="8">
        <f>IFERROR(AC35/AC444, "NA")</f>
        <v>6.0635099692880029E-2</v>
      </c>
    </row>
    <row r="36" spans="1:30" ht="16.5" customHeight="1" x14ac:dyDescent="0.45">
      <c r="A36" s="12" t="s">
        <v>36</v>
      </c>
      <c r="B36" s="7">
        <v>9297.39</v>
      </c>
      <c r="C36" s="8">
        <f>IFERROR(B36/B444, "NA")</f>
        <v>5.8515814939681263E-2</v>
      </c>
      <c r="D36" s="9"/>
      <c r="E36" s="7">
        <v>0</v>
      </c>
      <c r="F36" s="8">
        <f>IFERROR(E36/E444, "NA")</f>
        <v>0</v>
      </c>
      <c r="G36" s="9"/>
      <c r="H36" s="10">
        <f t="shared" si="8"/>
        <v>9297.39</v>
      </c>
      <c r="I36" s="8">
        <f>IFERROR(H36/H444, "NA")</f>
        <v>7.2583689847921073</v>
      </c>
      <c r="J36" s="9"/>
      <c r="K36" s="7">
        <v>23906.48</v>
      </c>
      <c r="L36" s="8">
        <f>IFERROR(K36/K444, "NA")</f>
        <v>0.16306159492946326</v>
      </c>
      <c r="M36" s="9"/>
      <c r="N36" s="10">
        <f t="shared" si="9"/>
        <v>-14609.09</v>
      </c>
      <c r="O36" s="8">
        <f>IFERROR(N36/N444, "NA")</f>
        <v>-1.1899880016323632</v>
      </c>
      <c r="P36" s="9"/>
      <c r="Q36" s="7">
        <v>153985.21</v>
      </c>
      <c r="R36" s="8">
        <f>IFERROR(Q36/Q444, "NA")</f>
        <v>0.10765094048559934</v>
      </c>
      <c r="S36" s="9"/>
      <c r="T36" s="7">
        <v>0</v>
      </c>
      <c r="U36" s="8">
        <f>IFERROR(T36/T444, "NA")</f>
        <v>0</v>
      </c>
      <c r="V36" s="9"/>
      <c r="W36" s="10">
        <f t="shared" si="10"/>
        <v>153985.21</v>
      </c>
      <c r="X36" s="8">
        <f>IFERROR(W36/W444, "NA")</f>
        <v>1.2967982596980128</v>
      </c>
      <c r="Y36" s="9"/>
      <c r="Z36" s="7">
        <v>130823.15</v>
      </c>
      <c r="AA36" s="8">
        <f>IFERROR(Z36/Z444, "NA")</f>
        <v>0.11027052580950078</v>
      </c>
      <c r="AB36" s="9"/>
      <c r="AC36" s="10">
        <f t="shared" si="11"/>
        <v>23162.059999999998</v>
      </c>
      <c r="AD36" s="8">
        <f>IFERROR(AC36/AC444, "NA")</f>
        <v>9.4915404539290121E-2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2896.5</v>
      </c>
      <c r="C39" s="8">
        <f>IFERROR(B39/B444, "NA")</f>
        <v>1.822996109368186E-2</v>
      </c>
      <c r="D39" s="9"/>
      <c r="E39" s="7">
        <v>0</v>
      </c>
      <c r="F39" s="8">
        <f>IFERROR(E39/E444, "NA")</f>
        <v>0</v>
      </c>
      <c r="G39" s="9"/>
      <c r="H39" s="10">
        <f t="shared" si="8"/>
        <v>2896.5</v>
      </c>
      <c r="I39" s="8">
        <f>IFERROR(H39/H444, "NA")</f>
        <v>2.2612653405364669</v>
      </c>
      <c r="J39" s="9"/>
      <c r="K39" s="7">
        <v>1604</v>
      </c>
      <c r="L39" s="8">
        <f>IFERROR(K39/K444, "NA")</f>
        <v>1.0940581727918919E-2</v>
      </c>
      <c r="M39" s="9"/>
      <c r="N39" s="10">
        <f t="shared" si="9"/>
        <v>1292.5</v>
      </c>
      <c r="O39" s="8">
        <f>IFERROR(N39/N444, "NA")</f>
        <v>0.10528099232120751</v>
      </c>
      <c r="P39" s="9"/>
      <c r="Q39" s="7">
        <v>19576.84</v>
      </c>
      <c r="R39" s="8">
        <f>IFERROR(Q39/Q444, "NA")</f>
        <v>1.3686153610051904E-2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19576.84</v>
      </c>
      <c r="X39" s="8">
        <f>IFERROR(W39/W444, "NA")</f>
        <v>0.16486785998724454</v>
      </c>
      <c r="Y39" s="9"/>
      <c r="Z39" s="7">
        <v>15309.3</v>
      </c>
      <c r="AA39" s="8">
        <f>IFERROR(Z39/Z444, "NA")</f>
        <v>1.2904173005889174E-2</v>
      </c>
      <c r="AB39" s="9"/>
      <c r="AC39" s="10">
        <f t="shared" si="11"/>
        <v>4267.5400000000009</v>
      </c>
      <c r="AD39" s="8">
        <f>IFERROR(AC39/AC444, "NA")</f>
        <v>1.7487878258134307E-2</v>
      </c>
    </row>
    <row r="40" spans="1:30" ht="16.5" customHeight="1" x14ac:dyDescent="0.45">
      <c r="A40" s="13" t="s">
        <v>40</v>
      </c>
      <c r="B40" s="14">
        <f>IFERROR(B31+B32+B33+B34+B35+B36+B37+B38+B39, "NA")</f>
        <v>25606.62</v>
      </c>
      <c r="C40" s="15">
        <f>IFERROR(B40/B444, "NA")</f>
        <v>0.16116267437966364</v>
      </c>
      <c r="D40" s="2"/>
      <c r="E40" s="14">
        <f>IFERROR(E31+E32+E33+E34+E35+E36+E37+E38+E39, "NA")</f>
        <v>42395.98</v>
      </c>
      <c r="F40" s="15">
        <f>IFERROR(E40/E444, "NA")</f>
        <v>0.26900000615459313</v>
      </c>
      <c r="G40" s="2"/>
      <c r="H40" s="14">
        <f t="shared" si="8"/>
        <v>-16789.360000000004</v>
      </c>
      <c r="I40" s="15">
        <f>IFERROR(H40/H444, "NA")</f>
        <v>-13.10726665209368</v>
      </c>
      <c r="J40" s="2"/>
      <c r="K40" s="14">
        <f>IFERROR(K31+K32+K33+K34+K35+K36+K37+K38+K39, "NA")</f>
        <v>43287.490000000005</v>
      </c>
      <c r="L40" s="15">
        <f>IFERROR(K40/K444, "NA")</f>
        <v>0.29525581180889837</v>
      </c>
      <c r="M40" s="2"/>
      <c r="N40" s="14">
        <f t="shared" si="9"/>
        <v>-17680.870000000006</v>
      </c>
      <c r="O40" s="15">
        <f>IFERROR(N40/N444, "NA")</f>
        <v>-1.4402008036381191</v>
      </c>
      <c r="P40" s="2"/>
      <c r="Q40" s="14">
        <f>IFERROR(Q31+Q32+Q33+Q34+Q35+Q36+Q37+Q38+Q39, "NA")</f>
        <v>347639.76000000007</v>
      </c>
      <c r="R40" s="15">
        <f>IFERROR(Q40/Q444, "NA")</f>
        <v>0.24303468569603565</v>
      </c>
      <c r="S40" s="2"/>
      <c r="T40" s="14">
        <f>IFERROR(T31+T32+T33+T34+T35+T36+T37+T38+T39, "NA")</f>
        <v>352839.1</v>
      </c>
      <c r="U40" s="15">
        <f>IFERROR(T40/T444, "NA")</f>
        <v>0.26900000137992075</v>
      </c>
      <c r="V40" s="2"/>
      <c r="W40" s="14">
        <f t="shared" si="10"/>
        <v>-5199.3399999999092</v>
      </c>
      <c r="X40" s="15">
        <f>IFERROR(W40/W444, "NA")</f>
        <v>-4.3786640701260524E-2</v>
      </c>
      <c r="Y40" s="2"/>
      <c r="Z40" s="14">
        <f>IFERROR(Z31+Z32+Z33+Z34+Z35+Z36+Z37+Z38+Z39, "NA")</f>
        <v>253009.33999999997</v>
      </c>
      <c r="AA40" s="15">
        <f>IFERROR(Z40/Z444, "NA")</f>
        <v>0.21326097832466775</v>
      </c>
      <c r="AB40" s="2"/>
      <c r="AC40" s="14">
        <f t="shared" si="11"/>
        <v>94630.4200000001</v>
      </c>
      <c r="AD40" s="15">
        <f>IFERROR(AC40/AC444, "NA")</f>
        <v>0.38778435925055638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13423.79</v>
      </c>
      <c r="C43" s="8">
        <f>IFERROR(B43/B444, "NA")</f>
        <v>8.4486507657433318E-2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13423.79</v>
      </c>
      <c r="I43" s="8">
        <f>IFERROR(H43/H444, "NA")</f>
        <v>10.479803578677721</v>
      </c>
      <c r="J43" s="9"/>
      <c r="K43" s="7">
        <v>3350.27</v>
      </c>
      <c r="L43" s="8">
        <f>IFERROR(K43/K444, "NA")</f>
        <v>2.28515603152088E-2</v>
      </c>
      <c r="M43" s="9"/>
      <c r="N43" s="10">
        <f>IFERROR(B43-K43, "NA")</f>
        <v>10073.52</v>
      </c>
      <c r="O43" s="8">
        <f>IFERROR(N43/N444, "NA")</f>
        <v>0.82054172670601966</v>
      </c>
      <c r="P43" s="9"/>
      <c r="Q43" s="7">
        <v>105268.66</v>
      </c>
      <c r="R43" s="8">
        <f>IFERROR(Q43/Q444, "NA")</f>
        <v>7.3593238289955204E-2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105268.66</v>
      </c>
      <c r="X43" s="8">
        <f>IFERROR(W43/W444, "NA")</f>
        <v>0.88652809635900631</v>
      </c>
      <c r="Y43" s="9"/>
      <c r="Z43" s="7">
        <v>13547.22</v>
      </c>
      <c r="AA43" s="8">
        <f>IFERROR(Z43/Z444, "NA")</f>
        <v>1.1418919913310337E-2</v>
      </c>
      <c r="AB43" s="9"/>
      <c r="AC43" s="10">
        <f>IFERROR(Q43-Z43, "NA")</f>
        <v>91721.44</v>
      </c>
      <c r="AD43" s="8">
        <f>IFERROR(AC43/AC444, "NA")</f>
        <v>0.37586370048804935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69504.19</v>
      </c>
      <c r="F46" s="8">
        <f>IFERROR(E46/E444, "NA")</f>
        <v>0.44100000843877202</v>
      </c>
      <c r="G46" s="9"/>
      <c r="H46" s="10">
        <f t="shared" ref="H46:H62" si="12">IFERROR(B46-E46, "NA")</f>
        <v>-69504.19</v>
      </c>
      <c r="I46" s="8">
        <f>IFERROR(H46/H444, "NA")</f>
        <v>-54.261148237203969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578446.27</v>
      </c>
      <c r="U46" s="8">
        <f>IFERROR(T46/T444, "NA")</f>
        <v>0.44100001226680952</v>
      </c>
      <c r="V46" s="9"/>
      <c r="W46" s="10">
        <f t="shared" ref="W46:W62" si="14">IFERROR(Q46-T46, "NA")</f>
        <v>-578446.27</v>
      </c>
      <c r="X46" s="8">
        <f>IFERROR(W46/W444, "NA")</f>
        <v>-4.8714296409688105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30373.63</v>
      </c>
      <c r="C48" s="8">
        <f>IFERROR(B48/B444, "NA")</f>
        <v>0.19116523154631043</v>
      </c>
      <c r="D48" s="9"/>
      <c r="E48" s="7">
        <v>0</v>
      </c>
      <c r="F48" s="8">
        <f>IFERROR(E48/E444, "NA")</f>
        <v>0</v>
      </c>
      <c r="G48" s="9"/>
      <c r="H48" s="10">
        <f t="shared" si="12"/>
        <v>30373.63</v>
      </c>
      <c r="I48" s="8">
        <f>IFERROR(H48/H444, "NA")</f>
        <v>23.712355182212548</v>
      </c>
      <c r="J48" s="9"/>
      <c r="K48" s="7">
        <v>41220.800000000003</v>
      </c>
      <c r="L48" s="8">
        <f>IFERROR(K48/K444, "NA")</f>
        <v>0.28115930878441409</v>
      </c>
      <c r="M48" s="9"/>
      <c r="N48" s="10">
        <f t="shared" si="13"/>
        <v>-10847.170000000002</v>
      </c>
      <c r="O48" s="8">
        <f>IFERROR(N48/N444, "NA")</f>
        <v>-0.88355962976930968</v>
      </c>
      <c r="P48" s="9"/>
      <c r="Q48" s="7">
        <v>300669.32</v>
      </c>
      <c r="R48" s="8">
        <f>IFERROR(Q48/Q444, "NA")</f>
        <v>0.21019768764263547</v>
      </c>
      <c r="S48" s="9"/>
      <c r="T48" s="7">
        <v>0</v>
      </c>
      <c r="U48" s="8">
        <f>IFERROR(T48/T444, "NA")</f>
        <v>0</v>
      </c>
      <c r="V48" s="9"/>
      <c r="W48" s="10">
        <f t="shared" si="14"/>
        <v>300669.32</v>
      </c>
      <c r="X48" s="8">
        <f>IFERROR(W48/W444, "NA")</f>
        <v>2.5321097456085879</v>
      </c>
      <c r="Y48" s="9"/>
      <c r="Z48" s="7">
        <v>359847.18</v>
      </c>
      <c r="AA48" s="8">
        <f>IFERROR(Z48/Z444, "NA")</f>
        <v>0.30331434268068058</v>
      </c>
      <c r="AB48" s="9"/>
      <c r="AC48" s="10">
        <f t="shared" si="15"/>
        <v>-59177.859999999986</v>
      </c>
      <c r="AD48" s="8">
        <f>IFERROR(AC48/AC444, "NA")</f>
        <v>-0.24250392761565573</v>
      </c>
    </row>
    <row r="49" spans="1:30" ht="16.5" customHeight="1" x14ac:dyDescent="0.45">
      <c r="A49" s="17" t="s">
        <v>47</v>
      </c>
      <c r="B49" s="7">
        <v>2700</v>
      </c>
      <c r="C49" s="8">
        <f>IFERROR(B49/B444, "NA")</f>
        <v>1.6993231470029697E-2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2700</v>
      </c>
      <c r="I49" s="8">
        <f>IFERROR(H49/H444, "NA")</f>
        <v>2.1078599756424858</v>
      </c>
      <c r="J49" s="9"/>
      <c r="K49" s="7">
        <v>0</v>
      </c>
      <c r="L49" s="8">
        <f>IFERROR(K49/K444, "NA")</f>
        <v>0</v>
      </c>
      <c r="M49" s="9"/>
      <c r="N49" s="10">
        <f t="shared" si="13"/>
        <v>2700</v>
      </c>
      <c r="O49" s="8">
        <f>IFERROR(N49/N444, "NA")</f>
        <v>0.21992934566132324</v>
      </c>
      <c r="P49" s="9"/>
      <c r="Q49" s="7">
        <v>4841.2299999999996</v>
      </c>
      <c r="R49" s="8">
        <f>IFERROR(Q49/Q444, "NA")</f>
        <v>3.3845001257399856E-3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4841.2299999999996</v>
      </c>
      <c r="X49" s="8">
        <f>IFERROR(W49/W444, "NA")</f>
        <v>4.0770789862206967E-2</v>
      </c>
      <c r="Y49" s="9"/>
      <c r="Z49" s="7">
        <v>1200</v>
      </c>
      <c r="AA49" s="8">
        <f>IFERROR(Z49/Z444, "NA")</f>
        <v>1.0114771809989359E-3</v>
      </c>
      <c r="AB49" s="9"/>
      <c r="AC49" s="10">
        <f t="shared" si="15"/>
        <v>3641.2299999999996</v>
      </c>
      <c r="AD49" s="8">
        <f>IFERROR(AC49/AC444, "NA")</f>
        <v>1.4921333355953631E-2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2560.27</v>
      </c>
      <c r="C51" s="8">
        <f>IFERROR(B51/B444, "NA")</f>
        <v>1.6113800272508493E-2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2560.27</v>
      </c>
      <c r="I51" s="8">
        <f>IFERROR(H51/H444, "NA")</f>
        <v>1.9987743184585878</v>
      </c>
      <c r="J51" s="9"/>
      <c r="K51" s="7">
        <v>5252.35</v>
      </c>
      <c r="L51" s="8">
        <f>IFERROR(K51/K444, "NA")</f>
        <v>3.5825289550271158E-2</v>
      </c>
      <c r="M51" s="9"/>
      <c r="N51" s="10">
        <f t="shared" si="13"/>
        <v>-2692.0800000000004</v>
      </c>
      <c r="O51" s="8">
        <f>IFERROR(N51/N444, "NA")</f>
        <v>-0.21928421958071673</v>
      </c>
      <c r="P51" s="9"/>
      <c r="Q51" s="7">
        <v>24490.19</v>
      </c>
      <c r="R51" s="8">
        <f>IFERROR(Q51/Q444, "NA")</f>
        <v>1.7121072771670864E-2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24490.19</v>
      </c>
      <c r="X51" s="8">
        <f>IFERROR(W51/W444, "NA")</f>
        <v>0.20624601396246872</v>
      </c>
      <c r="Y51" s="9"/>
      <c r="Z51" s="7">
        <v>56643.82</v>
      </c>
      <c r="AA51" s="8">
        <f>IFERROR(Z51/Z444, "NA")</f>
        <v>4.7744942812175957E-2</v>
      </c>
      <c r="AB51" s="9"/>
      <c r="AC51" s="10">
        <f t="shared" si="15"/>
        <v>-32153.63</v>
      </c>
      <c r="AD51" s="8">
        <f>IFERROR(AC51/AC444, "NA")</f>
        <v>-0.13176180352078595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8000</v>
      </c>
      <c r="R53" s="8">
        <f>IFERROR(Q53/Q444, "NA")</f>
        <v>5.5927937747059916E-3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8000</v>
      </c>
      <c r="X53" s="8">
        <f>IFERROR(W53/W444, "NA")</f>
        <v>6.7372613756763414E-2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8000</v>
      </c>
      <c r="AD53" s="8">
        <f>IFERROR(AC53/AC444, "NA")</f>
        <v>3.2783061451111047E-2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8.1445059344156004E-6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9.8111368783286728E-5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4.7740333238180458E-5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41.15</v>
      </c>
      <c r="R55" s="8">
        <f>IFERROR(Q55/Q444, "NA")</f>
        <v>2.8767932978643941E-5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41.15</v>
      </c>
      <c r="X55" s="8">
        <f>IFERROR(W55/W444, "NA")</f>
        <v>3.4654788201135181E-4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41.15</v>
      </c>
      <c r="AD55" s="8">
        <f>IFERROR(AC55/AC444, "NA")</f>
        <v>1.6862787233915243E-4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186.5</v>
      </c>
      <c r="L56" s="8">
        <f>IFERROR(K56/K444, "NA")</f>
        <v>1.2720813542748618E-3</v>
      </c>
      <c r="M56" s="9"/>
      <c r="N56" s="10">
        <f t="shared" si="13"/>
        <v>-186.5</v>
      </c>
      <c r="O56" s="8">
        <f>IFERROR(N56/N444, "NA")</f>
        <v>-1.5191415913272882E-2</v>
      </c>
      <c r="P56" s="9"/>
      <c r="Q56" s="7">
        <v>11.65</v>
      </c>
      <c r="R56" s="8">
        <f>IFERROR(Q56/Q444, "NA")</f>
        <v>8.1445059344156004E-6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9.8111368783286728E-5</v>
      </c>
      <c r="Y56" s="9"/>
      <c r="Z56" s="7">
        <v>1178.6099999999999</v>
      </c>
      <c r="AA56" s="8">
        <f>IFERROR(Z56/Z444, "NA")</f>
        <v>9.9344760024762976E-4</v>
      </c>
      <c r="AB56" s="9"/>
      <c r="AC56" s="10">
        <f t="shared" si="15"/>
        <v>-1166.9599999999998</v>
      </c>
      <c r="AD56" s="8">
        <f>IFERROR(AC56/AC444, "NA")</f>
        <v>-4.7820651738735677E-3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466.25</v>
      </c>
      <c r="L58" s="8">
        <f>IFERROR(K58/K444, "NA")</f>
        <v>3.1802033856871545E-3</v>
      </c>
      <c r="M58" s="9"/>
      <c r="N58" s="10">
        <f t="shared" si="13"/>
        <v>-466.25</v>
      </c>
      <c r="O58" s="8">
        <f>IFERROR(N58/N444, "NA")</f>
        <v>-3.7978539783182205E-2</v>
      </c>
      <c r="P58" s="9"/>
      <c r="Q58" s="7">
        <v>1564.22</v>
      </c>
      <c r="R58" s="8">
        <f>IFERROR(Q58/Q444, "NA")</f>
        <v>1.0935449847838258E-3</v>
      </c>
      <c r="S58" s="9"/>
      <c r="T58" s="7">
        <v>0</v>
      </c>
      <c r="U58" s="8">
        <f>IFERROR(T58/T444, "NA")</f>
        <v>0</v>
      </c>
      <c r="V58" s="9"/>
      <c r="W58" s="10">
        <f t="shared" si="14"/>
        <v>1564.22</v>
      </c>
      <c r="X58" s="8">
        <f>IFERROR(W58/W444, "NA")</f>
        <v>1.3173198736325558E-2</v>
      </c>
      <c r="Y58" s="9"/>
      <c r="Z58" s="7">
        <v>4350.45</v>
      </c>
      <c r="AA58" s="8">
        <f>IFERROR(Z58/Z444, "NA")</f>
        <v>3.6669840850640173E-3</v>
      </c>
      <c r="AB58" s="9"/>
      <c r="AC58" s="10">
        <f t="shared" si="15"/>
        <v>-2786.2299999999996</v>
      </c>
      <c r="AD58" s="8">
        <f>IFERROR(AC58/AC444, "NA")</f>
        <v>-1.141764366336614E-2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35633.9</v>
      </c>
      <c r="C61" s="15">
        <f>IFERROR(B61/B444, "NA")</f>
        <v>0.22427226328884861</v>
      </c>
      <c r="D61" s="2"/>
      <c r="E61" s="14">
        <f>IFERROR(E46+E47+E48+E49+E50+E51+E52+E53+E54+E55+E56+E57+E58+E59+E60, "NA")</f>
        <v>69504.19</v>
      </c>
      <c r="F61" s="15">
        <f>IFERROR(E61/E444, "NA")</f>
        <v>0.44100000843877202</v>
      </c>
      <c r="G61" s="2"/>
      <c r="H61" s="14">
        <f t="shared" si="12"/>
        <v>-33870.29</v>
      </c>
      <c r="I61" s="15">
        <f>IFERROR(H61/H444, "NA")</f>
        <v>-26.442158760890347</v>
      </c>
      <c r="J61" s="2"/>
      <c r="K61" s="14">
        <f>IFERROR(K46+K47+K48+K49+K50+K51+K52+K53+K54+K55+K56+K57+K58+K59+K60, "NA")</f>
        <v>47125.9</v>
      </c>
      <c r="L61" s="15">
        <f>IFERROR(K61/K444, "NA")</f>
        <v>0.32143688307464724</v>
      </c>
      <c r="M61" s="2"/>
      <c r="N61" s="14">
        <f t="shared" si="13"/>
        <v>-11492</v>
      </c>
      <c r="O61" s="15">
        <f>IFERROR(N61/N444, "NA")</f>
        <v>-0.93608445938515805</v>
      </c>
      <c r="P61" s="2"/>
      <c r="Q61" s="14">
        <f>IFERROR(Q46+Q47+Q48+Q49+Q50+Q51+Q52+Q53+Q54+Q55+Q56+Q57+Q58+Q59+Q60, "NA")</f>
        <v>339629.41000000003</v>
      </c>
      <c r="R61" s="15">
        <f>IFERROR(Q61/Q444, "NA")</f>
        <v>0.23743465624438362</v>
      </c>
      <c r="S61" s="2"/>
      <c r="T61" s="14">
        <f>IFERROR(T46+T47+T48+T49+T50+T51+T52+T53+T54+T55+T56+T57+T58+T59+T60, "NA")</f>
        <v>578446.27</v>
      </c>
      <c r="U61" s="15">
        <f>IFERROR(T61/T444, "NA")</f>
        <v>0.44100001226680952</v>
      </c>
      <c r="V61" s="2"/>
      <c r="W61" s="14">
        <f t="shared" si="14"/>
        <v>-238816.86</v>
      </c>
      <c r="X61" s="15">
        <f>IFERROR(W61/W444, "NA")</f>
        <v>-2.0112145084228801</v>
      </c>
      <c r="Y61" s="2"/>
      <c r="Z61" s="14">
        <f>IFERROR(Z46+Z47+Z48+Z49+Z50+Z51+Z52+Z53+Z54+Z55+Z56+Z57+Z58+Z59+Z60, "NA")</f>
        <v>423220.06</v>
      </c>
      <c r="AA61" s="15">
        <f>IFERROR(Z61/Z444, "NA")</f>
        <v>0.35673119435916711</v>
      </c>
      <c r="AB61" s="2"/>
      <c r="AC61" s="14">
        <f t="shared" si="15"/>
        <v>-83590.649999999965</v>
      </c>
      <c r="AD61" s="15">
        <f>IFERROR(AC61/AC444, "NA")</f>
        <v>-0.3425446769610393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49057.689999999995</v>
      </c>
      <c r="C62" s="15">
        <f>IFERROR(B62/B444, "NA")</f>
        <v>0.3087587709462819</v>
      </c>
      <c r="D62" s="2"/>
      <c r="E62" s="14">
        <f>IFERROR(E42+E43+E44+E46+E47+E48+E49+E50+E51+E52+E53+E54+E55+E56+E57+E58+E59+E60, "NA")</f>
        <v>69504.19</v>
      </c>
      <c r="F62" s="15">
        <f>IFERROR(E62/E444, "NA")</f>
        <v>0.44100000843877202</v>
      </c>
      <c r="G62" s="2"/>
      <c r="H62" s="14">
        <f t="shared" si="12"/>
        <v>-20446.500000000007</v>
      </c>
      <c r="I62" s="15">
        <f>IFERROR(H62/H444, "NA")</f>
        <v>-15.962355182212631</v>
      </c>
      <c r="J62" s="2"/>
      <c r="K62" s="14">
        <f>IFERROR(K42+K43+K44+K46+K47+K48+K49+K50+K51+K52+K53+K54+K55+K56+K57+K58+K59+K60, "NA")</f>
        <v>50476.17</v>
      </c>
      <c r="L62" s="15">
        <f>IFERROR(K62/K444, "NA")</f>
        <v>0.34428844338985604</v>
      </c>
      <c r="M62" s="2"/>
      <c r="N62" s="14">
        <f t="shared" si="13"/>
        <v>-1418.4800000000032</v>
      </c>
      <c r="O62" s="15">
        <f>IFERROR(N62/N444, "NA")</f>
        <v>-0.1155427326791387</v>
      </c>
      <c r="P62" s="2"/>
      <c r="Q62" s="14">
        <f>IFERROR(Q42+Q43+Q44+Q46+Q47+Q48+Q49+Q50+Q51+Q52+Q53+Q54+Q55+Q56+Q57+Q58+Q59+Q60, "NA")</f>
        <v>444898.07</v>
      </c>
      <c r="R62" s="15">
        <f>IFERROR(Q62/Q444, "NA")</f>
        <v>0.31102789453433882</v>
      </c>
      <c r="S62" s="2"/>
      <c r="T62" s="14">
        <f>IFERROR(T42+T43+T44+T46+T47+T48+T49+T50+T51+T52+T53+T54+T55+T56+T57+T58+T59+T60, "NA")</f>
        <v>578446.27</v>
      </c>
      <c r="U62" s="15">
        <f>IFERROR(T62/T444, "NA")</f>
        <v>0.44100001226680952</v>
      </c>
      <c r="V62" s="2"/>
      <c r="W62" s="14">
        <f t="shared" si="14"/>
        <v>-133548.20000000001</v>
      </c>
      <c r="X62" s="15">
        <f>IFERROR(W62/W444, "NA")</f>
        <v>-1.124686412063874</v>
      </c>
      <c r="Y62" s="2"/>
      <c r="Z62" s="14">
        <f>IFERROR(Z42+Z43+Z44+Z46+Z47+Z48+Z49+Z50+Z51+Z52+Z53+Z54+Z55+Z56+Z57+Z58+Z59+Z60, "NA")</f>
        <v>436767.27999999997</v>
      </c>
      <c r="AA62" s="15">
        <f>IFERROR(Z62/Z444, "NA")</f>
        <v>0.3681501142724774</v>
      </c>
      <c r="AB62" s="2"/>
      <c r="AC62" s="14">
        <f t="shared" si="15"/>
        <v>8130.7900000000373</v>
      </c>
      <c r="AD62" s="15">
        <f>IFERROR(AC62/AC444, "NA")</f>
        <v>3.331902352701005E-2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3874.11</v>
      </c>
      <c r="C65" s="8">
        <f>IFERROR(B65/B444, "NA")</f>
        <v>2.4382832581613612E-2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3874.11</v>
      </c>
      <c r="I65" s="8">
        <f>IFERROR(H65/H444, "NA")</f>
        <v>3.0244745963838189</v>
      </c>
      <c r="J65" s="9"/>
      <c r="K65" s="7">
        <v>0</v>
      </c>
      <c r="L65" s="8">
        <f>IFERROR(K65/K444, "NA")</f>
        <v>0</v>
      </c>
      <c r="M65" s="9"/>
      <c r="N65" s="10">
        <f t="shared" si="17"/>
        <v>3874.11</v>
      </c>
      <c r="O65" s="8">
        <f>IFERROR(N65/N444, "NA")</f>
        <v>0.31556684345184777</v>
      </c>
      <c r="P65" s="9"/>
      <c r="Q65" s="7">
        <v>7578.73</v>
      </c>
      <c r="R65" s="8">
        <f>IFERROR(Q65/Q444, "NA")</f>
        <v>5.2982842455221914E-3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7578.73</v>
      </c>
      <c r="X65" s="8">
        <f>IFERROR(W65/W444, "NA")</f>
        <v>6.3824856132099442E-2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7578.73</v>
      </c>
      <c r="AD65" s="8">
        <f>IFERROR(AC65/AC444, "NA")</f>
        <v>3.1056746413922351E-2</v>
      </c>
    </row>
    <row r="66" spans="1:30" ht="16.5" customHeight="1" x14ac:dyDescent="0.45">
      <c r="A66" s="12" t="s">
        <v>63</v>
      </c>
      <c r="B66" s="7">
        <v>9457.5400000000009</v>
      </c>
      <c r="C66" s="8">
        <f>IFERROR(B66/B444, "NA")</f>
        <v>5.9523765317431365E-2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9457.5400000000009</v>
      </c>
      <c r="I66" s="8">
        <f>IFERROR(H66/H444, "NA")</f>
        <v>7.3833963089029027</v>
      </c>
      <c r="J66" s="9"/>
      <c r="K66" s="7">
        <v>10177.16</v>
      </c>
      <c r="L66" s="8">
        <f>IFERROR(K66/K444, "NA")</f>
        <v>6.9416490485104301E-2</v>
      </c>
      <c r="M66" s="9"/>
      <c r="N66" s="10">
        <f t="shared" si="17"/>
        <v>-719.61999999999898</v>
      </c>
      <c r="O66" s="8">
        <f>IFERROR(N66/N444, "NA")</f>
        <v>-5.8616872490667112E-2</v>
      </c>
      <c r="P66" s="9"/>
      <c r="Q66" s="7">
        <v>101542.6</v>
      </c>
      <c r="R66" s="8">
        <f>IFERROR(Q66/Q444, "NA")</f>
        <v>7.0988352643432576E-2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101542.6</v>
      </c>
      <c r="X66" s="8">
        <f>IFERROR(W66/W444, "NA")</f>
        <v>0.85514879620719064</v>
      </c>
      <c r="Y66" s="9"/>
      <c r="Z66" s="7">
        <v>92993.78</v>
      </c>
      <c r="AA66" s="8">
        <f>IFERROR(Z66/Z444, "NA")</f>
        <v>7.8384238704029358E-2</v>
      </c>
      <c r="AB66" s="9"/>
      <c r="AC66" s="10">
        <f t="shared" si="19"/>
        <v>8548.820000000007</v>
      </c>
      <c r="AD66" s="8">
        <f>IFERROR(AC66/AC444, "NA")</f>
        <v>3.5032061424310916E-2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6.9090228346219548E-3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8.32283373255817E-2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4.049835006949596E-2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13331.650000000001</v>
      </c>
      <c r="C73" s="15">
        <f>IFERROR(B73/B444, "NA")</f>
        <v>8.3906597899044977E-2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13331.650000000001</v>
      </c>
      <c r="I73" s="15">
        <f>IFERROR(H73/H444, "NA")</f>
        <v>10.407870905286723</v>
      </c>
      <c r="J73" s="2"/>
      <c r="K73" s="14">
        <f>IFERROR(K64+K65+K66+K67+K68+K69+K70+K71+K72, "NA")</f>
        <v>10177.16</v>
      </c>
      <c r="L73" s="15">
        <f>IFERROR(K73/K444, "NA")</f>
        <v>6.9416490485104301E-2</v>
      </c>
      <c r="M73" s="2"/>
      <c r="N73" s="14">
        <f t="shared" si="17"/>
        <v>3154.4900000000016</v>
      </c>
      <c r="O73" s="15">
        <f>IFERROR(N73/N444, "NA")</f>
        <v>0.25694997096118072</v>
      </c>
      <c r="P73" s="2"/>
      <c r="Q73" s="14">
        <f>IFERROR(Q64+Q65+Q66+Q67+Q68+Q69+Q70+Q71+Q72, "NA")</f>
        <v>119004.08</v>
      </c>
      <c r="R73" s="15">
        <f>IFERROR(Q73/Q444, "NA")</f>
        <v>8.3195659723576718E-2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119004.08</v>
      </c>
      <c r="X73" s="15">
        <f>IFERROR(W73/W444, "NA")</f>
        <v>1.0022019896648717</v>
      </c>
      <c r="Y73" s="2"/>
      <c r="Z73" s="14">
        <f>IFERROR(Z64+Z65+Z66+Z67+Z68+Z69+Z70+Z71+Z72, "NA")</f>
        <v>92993.78</v>
      </c>
      <c r="AA73" s="15">
        <f>IFERROR(Z73/Z444, "NA")</f>
        <v>7.8384238704029358E-2</v>
      </c>
      <c r="AB73" s="2"/>
      <c r="AC73" s="14">
        <f t="shared" si="19"/>
        <v>26010.300000000003</v>
      </c>
      <c r="AD73" s="15">
        <f>IFERROR(AC73/AC444, "NA")</f>
        <v>0.10658715790772921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4570.57</v>
      </c>
      <c r="F75" s="8">
        <f>IFERROR(E75/E444, "NA")</f>
        <v>2.8999998540663492E-2</v>
      </c>
      <c r="G75" s="9"/>
      <c r="H75" s="10">
        <f t="shared" ref="H75:H92" si="20">IFERROR(B75-E75, "NA")</f>
        <v>-4570.57</v>
      </c>
      <c r="I75" s="8">
        <f>IFERROR(H75/H444, "NA")</f>
        <v>-3.5681931736563985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38038.410000000003</v>
      </c>
      <c r="U75" s="8">
        <f>IFERROR(T75/T444, "NA")</f>
        <v>2.8999995585778312E-2</v>
      </c>
      <c r="V75" s="9"/>
      <c r="W75" s="10">
        <f t="shared" ref="W75:W92" si="22">IFERROR(Q75-T75, "NA")</f>
        <v>-38038.410000000003</v>
      </c>
      <c r="X75" s="8">
        <f>IFERROR(W75/W444, "NA")</f>
        <v>-0.32034338810642593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1361.16</v>
      </c>
      <c r="C77" s="8">
        <f>IFERROR(B77/B444, "NA")</f>
        <v>8.5668544250909716E-3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1361.16</v>
      </c>
      <c r="I77" s="8">
        <f>IFERROR(H77/H444, "NA")</f>
        <v>1.0626424757205652</v>
      </c>
      <c r="J77" s="9"/>
      <c r="K77" s="7">
        <v>125.58</v>
      </c>
      <c r="L77" s="8">
        <f>IFERROR(K77/K444, "NA")</f>
        <v>8.5655751458357722E-4</v>
      </c>
      <c r="M77" s="9"/>
      <c r="N77" s="10">
        <f t="shared" si="21"/>
        <v>1235.5800000000002</v>
      </c>
      <c r="O77" s="8">
        <f>IFERROR(N77/N444, "NA")</f>
        <v>0.10064455589341401</v>
      </c>
      <c r="P77" s="9"/>
      <c r="Q77" s="7">
        <v>9818.67</v>
      </c>
      <c r="R77" s="8">
        <f>IFERROR(Q77/Q444, "NA")</f>
        <v>6.8642245564865595E-3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9818.67</v>
      </c>
      <c r="X77" s="8">
        <f>IFERROR(W77/W444, "NA")</f>
        <v>8.2688682689390031E-2</v>
      </c>
      <c r="Y77" s="9"/>
      <c r="Z77" s="7">
        <v>1070.42</v>
      </c>
      <c r="AA77" s="8">
        <f>IFERROR(Z77/Z444, "NA")</f>
        <v>9.0225450340406757E-4</v>
      </c>
      <c r="AB77" s="9"/>
      <c r="AC77" s="10">
        <f t="shared" si="23"/>
        <v>8748.25</v>
      </c>
      <c r="AD77" s="8">
        <f>IFERROR(AC77/AC444, "NA")</f>
        <v>3.5849302167460274E-2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8.9700000000000006</v>
      </c>
      <c r="R79" s="8">
        <f>IFERROR(Q79/Q444, "NA")</f>
        <v>6.2709200198890935E-6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8.9700000000000006</v>
      </c>
      <c r="X79" s="8">
        <f>IFERROR(W79/W444, "NA")</f>
        <v>7.5541543174770991E-5</v>
      </c>
      <c r="Y79" s="9"/>
      <c r="Z79" s="7">
        <v>101.66</v>
      </c>
      <c r="AA79" s="8">
        <f>IFERROR(Z79/Z444, "NA")</f>
        <v>8.5688975183626515E-5</v>
      </c>
      <c r="AB79" s="9"/>
      <c r="AC79" s="10">
        <f t="shared" si="23"/>
        <v>-92.69</v>
      </c>
      <c r="AD79" s="8">
        <f>IFERROR(AC79/AC444, "NA")</f>
        <v>-3.7983274573793536E-4</v>
      </c>
    </row>
    <row r="80" spans="1:30" ht="16.5" customHeight="1" x14ac:dyDescent="0.45">
      <c r="A80" s="12" t="s">
        <v>76</v>
      </c>
      <c r="B80" s="7">
        <v>3097.46</v>
      </c>
      <c r="C80" s="8">
        <f>IFERROR(B80/B444, "NA")</f>
        <v>1.9494761018206738E-2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3097.46</v>
      </c>
      <c r="I80" s="8">
        <f>IFERROR(H80/H444, "NA")</f>
        <v>2.4181525778346571</v>
      </c>
      <c r="J80" s="9"/>
      <c r="K80" s="7">
        <v>3937.07</v>
      </c>
      <c r="L80" s="8">
        <f>IFERROR(K80/K444, "NA")</f>
        <v>2.6854012533377644E-2</v>
      </c>
      <c r="M80" s="9"/>
      <c r="N80" s="10">
        <f t="shared" si="21"/>
        <v>-839.61000000000013</v>
      </c>
      <c r="O80" s="8">
        <f>IFERROR(N80/N444, "NA")</f>
        <v>-6.8390695522482822E-2</v>
      </c>
      <c r="P80" s="9"/>
      <c r="Q80" s="7">
        <v>28180.720000000001</v>
      </c>
      <c r="R80" s="8">
        <f>IFERROR(Q80/Q444, "NA")</f>
        <v>1.9701119422841577E-2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28180.720000000001</v>
      </c>
      <c r="X80" s="8">
        <f>IFERROR(W80/W444, "NA")</f>
        <v>0.23732609549343725</v>
      </c>
      <c r="Y80" s="9"/>
      <c r="Z80" s="7">
        <v>31919.35</v>
      </c>
      <c r="AA80" s="8">
        <f>IFERROR(Z80/Z444, "NA")</f>
        <v>2.6904745131098654E-2</v>
      </c>
      <c r="AB80" s="9"/>
      <c r="AC80" s="10">
        <f t="shared" si="23"/>
        <v>-3738.6299999999974</v>
      </c>
      <c r="AD80" s="8">
        <f>IFERROR(AC80/AC444, "NA")</f>
        <v>-1.5320467129120901E-2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120</v>
      </c>
      <c r="AA85" s="8">
        <f>IFERROR(Z85/Z444, "NA")</f>
        <v>1.0114771809989359E-4</v>
      </c>
      <c r="AB85" s="9"/>
      <c r="AC85" s="10">
        <f t="shared" si="23"/>
        <v>-120</v>
      </c>
      <c r="AD85" s="8">
        <f>IFERROR(AC85/AC444, "NA")</f>
        <v>-4.9174592176666563E-4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6.9090577895830466E-4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8.3228758404417687E-3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4.0498554963630026E-3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4458.62</v>
      </c>
      <c r="C88" s="15">
        <f>IFERROR(B88/B444, "NA")</f>
        <v>2.8061615443297706E-2</v>
      </c>
      <c r="D88" s="2"/>
      <c r="E88" s="14">
        <f>IFERROR(E75+E76+E77+E78+E79+E80+E81+E82+E83+E84+E85+E86+E87, "NA")</f>
        <v>4570.57</v>
      </c>
      <c r="F88" s="15">
        <f>IFERROR(E88/E444, "NA")</f>
        <v>2.8999998540663492E-2</v>
      </c>
      <c r="G88" s="2"/>
      <c r="H88" s="14">
        <f t="shared" si="20"/>
        <v>-111.94999999999982</v>
      </c>
      <c r="I88" s="15">
        <f>IFERROR(H88/H444, "NA")</f>
        <v>-8.7398120101176258E-2</v>
      </c>
      <c r="J88" s="2"/>
      <c r="K88" s="14">
        <f>IFERROR(K75+K76+K77+K78+K79+K80+K81+K82+K83+K84+K85+K86+K87, "NA")</f>
        <v>4062.65</v>
      </c>
      <c r="L88" s="15">
        <f>IFERROR(K88/K444, "NA")</f>
        <v>2.7710570047961219E-2</v>
      </c>
      <c r="M88" s="2"/>
      <c r="N88" s="14">
        <f t="shared" si="21"/>
        <v>395.9699999999998</v>
      </c>
      <c r="O88" s="15">
        <f>IFERROR(N88/N444, "NA")</f>
        <v>3.2253860370931156E-2</v>
      </c>
      <c r="P88" s="2"/>
      <c r="Q88" s="14">
        <f>IFERROR(Q75+Q76+Q77+Q78+Q79+Q80+Q81+Q82+Q83+Q84+Q85+Q86+Q87, "NA")</f>
        <v>38996.639999999999</v>
      </c>
      <c r="R88" s="15">
        <f>IFERROR(Q88/Q444, "NA")</f>
        <v>2.726252067830633E-2</v>
      </c>
      <c r="S88" s="2"/>
      <c r="T88" s="14">
        <f>IFERROR(T75+T76+T77+T78+T79+T80+T81+T82+T83+T84+T85+T86+T87, "NA")</f>
        <v>38038.410000000003</v>
      </c>
      <c r="U88" s="15">
        <f>IFERROR(T88/T444, "NA")</f>
        <v>2.8999995585778312E-2</v>
      </c>
      <c r="V88" s="2"/>
      <c r="W88" s="14">
        <f t="shared" si="22"/>
        <v>958.22999999999593</v>
      </c>
      <c r="X88" s="15">
        <f>IFERROR(W88/W444, "NA")</f>
        <v>8.0698074600178919E-3</v>
      </c>
      <c r="Y88" s="2"/>
      <c r="Z88" s="14">
        <f>IFERROR(Z75+Z76+Z77+Z78+Z79+Z80+Z81+Z82+Z83+Z84+Z85+Z86+Z87, "NA")</f>
        <v>33211.43</v>
      </c>
      <c r="AA88" s="15">
        <f>IFERROR(Z88/Z444, "NA")</f>
        <v>2.7993836327786244E-2</v>
      </c>
      <c r="AB88" s="2"/>
      <c r="AC88" s="14">
        <f t="shared" si="23"/>
        <v>5785.2099999999991</v>
      </c>
      <c r="AD88" s="15">
        <f>IFERROR(AC88/AC444, "NA")</f>
        <v>2.3707111867197761E-2</v>
      </c>
    </row>
    <row r="89" spans="1:30" ht="16.5" customHeight="1" x14ac:dyDescent="0.45">
      <c r="A89" s="6" t="s">
        <v>85</v>
      </c>
      <c r="B89" s="7">
        <v>-16.75</v>
      </c>
      <c r="C89" s="8">
        <f>IFERROR(B89/B444, "NA")</f>
        <v>-1.0542097300851757E-4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-16.75</v>
      </c>
      <c r="I89" s="8">
        <f>IFERROR(H89/H444, "NA")</f>
        <v>-1.3076538737782088E-2</v>
      </c>
      <c r="J89" s="9"/>
      <c r="K89" s="7">
        <v>0</v>
      </c>
      <c r="L89" s="8">
        <f>IFERROR(K89/K444, "NA")</f>
        <v>0</v>
      </c>
      <c r="M89" s="9"/>
      <c r="N89" s="10">
        <f t="shared" si="21"/>
        <v>-16.75</v>
      </c>
      <c r="O89" s="8">
        <f>IFERROR(N89/N444, "NA")</f>
        <v>-1.364376496232283E-3</v>
      </c>
      <c r="P89" s="9"/>
      <c r="Q89" s="7">
        <v>196.91</v>
      </c>
      <c r="R89" s="8">
        <f>IFERROR(Q89/Q444, "NA")</f>
        <v>1.3765962777216958E-4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196.91</v>
      </c>
      <c r="X89" s="8">
        <f>IFERROR(W89/W444, "NA")</f>
        <v>1.6582926718555354E-3</v>
      </c>
      <c r="Y89" s="9"/>
      <c r="Z89" s="7">
        <v>-3090.33</v>
      </c>
      <c r="AA89" s="8">
        <f>IFERROR(Z89/Z444, "NA")</f>
        <v>-2.6048318972970346E-3</v>
      </c>
      <c r="AB89" s="9"/>
      <c r="AC89" s="10">
        <f t="shared" si="23"/>
        <v>3287.24</v>
      </c>
      <c r="AD89" s="8">
        <f>IFERROR(AC89/AC444, "NA")</f>
        <v>1.3470723865568784E-2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-5516.21</v>
      </c>
      <c r="F94" s="8">
        <f>IFERROR(E94/E444, "NA")</f>
        <v>-3.5000028869483099E-2</v>
      </c>
      <c r="G94" s="9"/>
      <c r="H94" s="10">
        <f t="shared" ref="H94:H124" si="24">IFERROR(B94-E94, "NA")</f>
        <v>5516.21</v>
      </c>
      <c r="I94" s="8">
        <f>IFERROR(H94/H444, "NA")</f>
        <v>4.3064438060143839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-45908.44</v>
      </c>
      <c r="U94" s="8">
        <f>IFERROR(T94/T444, "NA")</f>
        <v>-3.5000005451068239E-2</v>
      </c>
      <c r="V94" s="9"/>
      <c r="W94" s="10">
        <f t="shared" ref="W94:W124" si="26">IFERROR(Q94-T94, "NA")</f>
        <v>45908.44</v>
      </c>
      <c r="X94" s="8">
        <f>IFERROR(W94/W444, "NA")</f>
        <v>0.3866214495369435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-1899.35</v>
      </c>
      <c r="C96" s="8">
        <f>IFERROR(B96/B444, "NA")</f>
        <v>-1.1954108960222557E-2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-1899.35</v>
      </c>
      <c r="I96" s="8">
        <f>IFERROR(H96/H444, "NA")</f>
        <v>-1.4828014239765019</v>
      </c>
      <c r="J96" s="9"/>
      <c r="K96" s="7">
        <v>-17.75</v>
      </c>
      <c r="L96" s="8">
        <f>IFERROR(K96/K444, "NA")</f>
        <v>-1.210694050315217E-4</v>
      </c>
      <c r="M96" s="9"/>
      <c r="N96" s="10">
        <f t="shared" si="25"/>
        <v>-1881.6</v>
      </c>
      <c r="O96" s="8">
        <f>IFERROR(N96/N444, "NA")</f>
        <v>-0.15326631733197993</v>
      </c>
      <c r="P96" s="9"/>
      <c r="Q96" s="7">
        <v>-17074.47</v>
      </c>
      <c r="R96" s="8">
        <f>IFERROR(Q96/Q444, "NA")</f>
        <v>-1.1936748690300527E-2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-17074.47</v>
      </c>
      <c r="X96" s="8">
        <f>IFERROR(W96/W444, "NA")</f>
        <v>-0.14379395905143053</v>
      </c>
      <c r="Y96" s="9"/>
      <c r="Z96" s="7">
        <v>-936</v>
      </c>
      <c r="AA96" s="8">
        <f>IFERROR(Z96/Z444, "NA")</f>
        <v>-7.8895220117916999E-4</v>
      </c>
      <c r="AB96" s="9"/>
      <c r="AC96" s="10">
        <f t="shared" si="27"/>
        <v>-16138.470000000001</v>
      </c>
      <c r="AD96" s="8">
        <f>IFERROR(AC96/AC444, "NA")</f>
        <v>-6.6133556717114017E-2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-2559.29</v>
      </c>
      <c r="C98" s="8">
        <f>IFERROR(B98/B444, "NA")</f>
        <v>-1.6107632358863817E-2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-2559.29</v>
      </c>
      <c r="I98" s="8">
        <f>IFERROR(H98/H444, "NA")</f>
        <v>-1.9980092433563177</v>
      </c>
      <c r="J98" s="9"/>
      <c r="K98" s="7">
        <v>-4227.7299999999996</v>
      </c>
      <c r="L98" s="8">
        <f>IFERROR(K98/K444, "NA")</f>
        <v>-2.8836549618812123E-2</v>
      </c>
      <c r="M98" s="9"/>
      <c r="N98" s="10">
        <f t="shared" si="25"/>
        <v>1668.4399999999996</v>
      </c>
      <c r="O98" s="8">
        <f>IFERROR(N98/N444, "NA")</f>
        <v>0.13590330276858448</v>
      </c>
      <c r="P98" s="9"/>
      <c r="Q98" s="7">
        <v>-18300.84</v>
      </c>
      <c r="R98" s="8">
        <f>IFERROR(Q98/Q444, "NA")</f>
        <v>-1.27941030029863E-2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-18300.84</v>
      </c>
      <c r="X98" s="8">
        <f>IFERROR(W98/W444, "NA")</f>
        <v>-0.15412192809304076</v>
      </c>
      <c r="Y98" s="9"/>
      <c r="Z98" s="7">
        <v>-18418.099999999999</v>
      </c>
      <c r="AA98" s="8">
        <f>IFERROR(Z98/Z444, "NA")</f>
        <v>-1.5524573222797084E-2</v>
      </c>
      <c r="AB98" s="9"/>
      <c r="AC98" s="10">
        <f t="shared" si="27"/>
        <v>117.2599999999984</v>
      </c>
      <c r="AD98" s="8">
        <f>IFERROR(AC98/AC444, "NA")</f>
        <v>4.8051772321965356E-4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-1131.92</v>
      </c>
      <c r="C100" s="8">
        <f>IFERROR(B100/B444, "NA")</f>
        <v>-7.1240661353911177E-3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-1131.92</v>
      </c>
      <c r="I100" s="8">
        <f>IFERROR(H100/H444, "NA")</f>
        <v>-0.88367735689971949</v>
      </c>
      <c r="J100" s="9"/>
      <c r="K100" s="7">
        <v>-5211.95</v>
      </c>
      <c r="L100" s="8">
        <f>IFERROR(K100/K444, "NA")</f>
        <v>-3.554972876360786E-2</v>
      </c>
      <c r="M100" s="9"/>
      <c r="N100" s="10">
        <f t="shared" si="25"/>
        <v>4080.0299999999997</v>
      </c>
      <c r="O100" s="8">
        <f>IFERROR(N100/N444, "NA")</f>
        <v>0.33234012154761799</v>
      </c>
      <c r="P100" s="9"/>
      <c r="Q100" s="7">
        <v>-7414.09</v>
      </c>
      <c r="R100" s="8">
        <f>IFERROR(Q100/Q444, "NA")</f>
        <v>-5.1831845496387429E-3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-7414.09</v>
      </c>
      <c r="X100" s="8">
        <f>IFERROR(W100/W444, "NA")</f>
        <v>-6.2438327740985261E-2</v>
      </c>
      <c r="Y100" s="9"/>
      <c r="Z100" s="7">
        <v>-5963.58</v>
      </c>
      <c r="AA100" s="8">
        <f>IFERROR(Z100/Z444, "NA")</f>
        <v>-5.0266875725513624E-3</v>
      </c>
      <c r="AB100" s="9"/>
      <c r="AC100" s="10">
        <f t="shared" si="27"/>
        <v>-1450.5100000000002</v>
      </c>
      <c r="AD100" s="8">
        <f>IFERROR(AC100/AC444, "NA")</f>
        <v>-5.9440198081813864E-3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-1568.67</v>
      </c>
      <c r="C102" s="8">
        <f>IFERROR(B102/B444, "NA")</f>
        <v>-9.8728786704042545E-3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-1568.67</v>
      </c>
      <c r="I102" s="8">
        <f>IFERROR(H102/H444, "NA")</f>
        <v>-1.2246432251818884</v>
      </c>
      <c r="J102" s="9"/>
      <c r="K102" s="7">
        <v>-720.21</v>
      </c>
      <c r="L102" s="8">
        <f>IFERROR(K102/K444, "NA")</f>
        <v>-4.9124166871973097E-3</v>
      </c>
      <c r="M102" s="9"/>
      <c r="N102" s="10">
        <f t="shared" si="25"/>
        <v>-848.46</v>
      </c>
      <c r="O102" s="8">
        <f>IFERROR(N102/N444, "NA")</f>
        <v>-6.9111575044372708E-2</v>
      </c>
      <c r="P102" s="9"/>
      <c r="Q102" s="7">
        <v>-13570.5</v>
      </c>
      <c r="R102" s="8">
        <f>IFERROR(Q102/Q444, "NA")</f>
        <v>-9.4871259899559565E-3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-13570.5</v>
      </c>
      <c r="X102" s="8">
        <f>IFERROR(W102/W444, "NA")</f>
        <v>-0.11428500687326974</v>
      </c>
      <c r="Y102" s="9"/>
      <c r="Z102" s="7">
        <v>-5489.26</v>
      </c>
      <c r="AA102" s="8">
        <f>IFERROR(Z102/Z444, "NA")</f>
        <v>-4.6268843588085163E-3</v>
      </c>
      <c r="AB102" s="9"/>
      <c r="AC102" s="10">
        <f t="shared" si="27"/>
        <v>-8081.24</v>
      </c>
      <c r="AD102" s="8">
        <f>IFERROR(AC102/AC444, "NA")</f>
        <v>-3.3115973440147078E-2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-724.7</v>
      </c>
      <c r="C104" s="8">
        <f>IFERROR(B104/B444, "NA")</f>
        <v>-4.5611092023446383E-3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-724.7</v>
      </c>
      <c r="I104" s="8">
        <f>IFERROR(H104/H444, "NA")</f>
        <v>-0.56576523124004063</v>
      </c>
      <c r="J104" s="9"/>
      <c r="K104" s="7">
        <v>-361.98</v>
      </c>
      <c r="L104" s="8">
        <f>IFERROR(K104/K444, "NA")</f>
        <v>-2.4689973652569142E-3</v>
      </c>
      <c r="M104" s="9"/>
      <c r="N104" s="10">
        <f t="shared" si="25"/>
        <v>-362.72</v>
      </c>
      <c r="O104" s="8">
        <f>IFERROR(N104/N444, "NA")</f>
        <v>-2.9545471206768582E-2</v>
      </c>
      <c r="P104" s="9"/>
      <c r="Q104" s="7">
        <v>-5447.65</v>
      </c>
      <c r="R104" s="8">
        <f>IFERROR(Q104/Q444, "NA")</f>
        <v>-3.8084478758471365E-3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-5447.65</v>
      </c>
      <c r="X104" s="8">
        <f>IFERROR(W104/W444, "NA")</f>
        <v>-4.5877802416504021E-2</v>
      </c>
      <c r="Y104" s="9"/>
      <c r="Z104" s="7">
        <v>-3132.65</v>
      </c>
      <c r="AA104" s="8">
        <f>IFERROR(Z104/Z444, "NA")</f>
        <v>-2.640503325880264E-3</v>
      </c>
      <c r="AB104" s="9"/>
      <c r="AC104" s="10">
        <f t="shared" si="27"/>
        <v>-2314.9999999999995</v>
      </c>
      <c r="AD104" s="8">
        <f>IFERROR(AC104/AC444, "NA")</f>
        <v>-9.4865984074152566E-3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-1092.97</v>
      </c>
      <c r="L106" s="8">
        <f>IFERROR(K106/K444, "NA")</f>
        <v>-7.4549424009747759E-3</v>
      </c>
      <c r="M106" s="9"/>
      <c r="N106" s="10">
        <f t="shared" si="25"/>
        <v>1092.97</v>
      </c>
      <c r="O106" s="8">
        <f>IFERROR(N106/N444, "NA")</f>
        <v>8.9028213676835735E-2</v>
      </c>
      <c r="P106" s="9"/>
      <c r="Q106" s="7">
        <v>-1762.06</v>
      </c>
      <c r="R106" s="8">
        <f>IFERROR(Q106/Q444, "NA")</f>
        <v>-1.2318547748323048E-3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-1762.06</v>
      </c>
      <c r="X106" s="8">
        <f>IFERROR(W106/W444, "NA")</f>
        <v>-1.4839323474530318E-2</v>
      </c>
      <c r="Y106" s="9"/>
      <c r="Z106" s="7">
        <v>-14710.13</v>
      </c>
      <c r="AA106" s="8">
        <f>IFERROR(Z106/Z444, "NA")</f>
        <v>-1.2399134020439897E-2</v>
      </c>
      <c r="AB106" s="9"/>
      <c r="AC106" s="10">
        <f t="shared" si="27"/>
        <v>12948.07</v>
      </c>
      <c r="AD106" s="8">
        <f>IFERROR(AC106/AC444, "NA")</f>
        <v>5.3059671810410922E-2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-55.58</v>
      </c>
      <c r="AA108" s="8">
        <f>IFERROR(Z108/Z444, "NA")</f>
        <v>-4.6848251433267384E-5</v>
      </c>
      <c r="AB108" s="9"/>
      <c r="AC108" s="10">
        <f t="shared" si="27"/>
        <v>55.58</v>
      </c>
      <c r="AD108" s="8">
        <f>IFERROR(AC108/AC444, "NA")</f>
        <v>2.2776031943159397E-4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-9.7354678671147584E-6</v>
      </c>
      <c r="AB111" s="9"/>
      <c r="AC111" s="10">
        <f t="shared" si="27"/>
        <v>11.55</v>
      </c>
      <c r="AD111" s="8">
        <f>IFERROR(AC111/AC444, "NA")</f>
        <v>4.7330544970041576E-5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-7883.9299999999994</v>
      </c>
      <c r="C118" s="15">
        <f>IFERROR(B118/B444, "NA")</f>
        <v>-4.9619795327226379E-2</v>
      </c>
      <c r="D118" s="2"/>
      <c r="E118" s="14">
        <f>IFERROR(E94+E95+E96+E97+E98+E99+E100+E101+E102+E103+E104+E105+E106+E107+E108+E109+E110+E111+E112+E113+E114+E115+E116+E117, "NA")</f>
        <v>-5516.21</v>
      </c>
      <c r="F118" s="15">
        <f>IFERROR(E118/E444, "NA")</f>
        <v>-3.5000028869483099E-2</v>
      </c>
      <c r="G118" s="2"/>
      <c r="H118" s="14">
        <f t="shared" si="24"/>
        <v>-2367.7199999999993</v>
      </c>
      <c r="I118" s="15">
        <f>IFERROR(H118/H444, "NA")</f>
        <v>-1.8484526746400833</v>
      </c>
      <c r="J118" s="2"/>
      <c r="K118" s="14">
        <f>IFERROR(K94+K95+K96+K97+K98+K99+K100+K101+K102+K103+K104+K105+K106+K107+K108+K109+K110+K111+K112+K113+K114+K115+K116+K117, "NA")</f>
        <v>-11632.589999999998</v>
      </c>
      <c r="L118" s="15">
        <f>IFERROR(K118/K444, "NA")</f>
        <v>-7.9343704240880497E-2</v>
      </c>
      <c r="M118" s="2"/>
      <c r="N118" s="14">
        <f t="shared" si="25"/>
        <v>3748.6599999999989</v>
      </c>
      <c r="O118" s="15">
        <f>IFERROR(N118/N444, "NA")</f>
        <v>0.30534827440991696</v>
      </c>
      <c r="P118" s="2"/>
      <c r="Q118" s="14">
        <f>IFERROR(Q94+Q95+Q96+Q97+Q98+Q99+Q100+Q101+Q102+Q103+Q104+Q105+Q106+Q107+Q108+Q109+Q110+Q111+Q112+Q113+Q114+Q115+Q116+Q117, "NA")</f>
        <v>-63569.609999999993</v>
      </c>
      <c r="R118" s="15">
        <f>IFERROR(Q118/Q444, "NA")</f>
        <v>-4.444146488356096E-2</v>
      </c>
      <c r="S118" s="2"/>
      <c r="T118" s="14">
        <f>IFERROR(T94+T95+T96+T97+T98+T99+T100+T101+T102+T103+T104+T105+T106+T107+T108+T109+T110+T111+T112+T113+T114+T115+T116+T117, "NA")</f>
        <v>-45908.44</v>
      </c>
      <c r="U118" s="15">
        <f>IFERROR(T118/T444, "NA")</f>
        <v>-3.5000005451068239E-2</v>
      </c>
      <c r="V118" s="2"/>
      <c r="W118" s="14">
        <f t="shared" si="26"/>
        <v>-17661.169999999991</v>
      </c>
      <c r="X118" s="15">
        <f>IFERROR(W118/W444, "NA")</f>
        <v>-0.14873489811281709</v>
      </c>
      <c r="Y118" s="2"/>
      <c r="Z118" s="14">
        <f>IFERROR(Z94+Z95+Z96+Z97+Z98+Z99+Z100+Z101+Z102+Z103+Z104+Z105+Z106+Z107+Z108+Z109+Z110+Z111+Z112+Z113+Z114+Z115+Z116+Z117, "NA")</f>
        <v>-48716.850000000006</v>
      </c>
      <c r="AA118" s="15">
        <f>IFERROR(Z118/Z444, "NA")</f>
        <v>-4.1063318420956681E-2</v>
      </c>
      <c r="AB118" s="2"/>
      <c r="AC118" s="14">
        <f t="shared" si="27"/>
        <v>-14852.759999999987</v>
      </c>
      <c r="AD118" s="15">
        <f>IFERROR(AC118/AC444, "NA")</f>
        <v>-6.086486797482546E-2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158886.78999999995</v>
      </c>
      <c r="C122" s="15">
        <f>IFERROR(B122/B444, "NA")</f>
        <v>0.99999999999999967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157605.87000000002</v>
      </c>
      <c r="F122" s="15">
        <f>IFERROR(E122/E444, "NA")</f>
        <v>1.0000000000000002</v>
      </c>
      <c r="G122" s="2"/>
      <c r="H122" s="14">
        <f t="shared" si="24"/>
        <v>1280.9199999999255</v>
      </c>
      <c r="I122" s="15">
        <f>IFERROR(H122/H444, "NA")</f>
        <v>0.99999999999993183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146610.11999999997</v>
      </c>
      <c r="L122" s="15">
        <f>IFERROR(K122/K444, "NA")</f>
        <v>0.99999999999999978</v>
      </c>
      <c r="M122" s="2"/>
      <c r="N122" s="14">
        <f t="shared" si="25"/>
        <v>12276.669999999984</v>
      </c>
      <c r="O122" s="15">
        <f>IFERROR(N122/N444, "NA")</f>
        <v>0.99999999999999767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1430412.1199999992</v>
      </c>
      <c r="R122" s="15">
        <f>IFERROR(Q122/Q444, "NA")</f>
        <v>0.99999999999999933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1311669.51</v>
      </c>
      <c r="U122" s="15">
        <f>IFERROR(T122/T444, "NA")</f>
        <v>1</v>
      </c>
      <c r="V122" s="2"/>
      <c r="W122" s="14">
        <f t="shared" si="26"/>
        <v>118742.60999999917</v>
      </c>
      <c r="X122" s="15">
        <f>IFERROR(W122/W444, "NA")</f>
        <v>0.99999999999999212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1186383.6599999999</v>
      </c>
      <c r="AA122" s="15">
        <f>IFERROR(Z122/Z444, "NA")</f>
        <v>1</v>
      </c>
      <c r="AB122" s="2"/>
      <c r="AC122" s="14">
        <f t="shared" si="27"/>
        <v>244028.45999999926</v>
      </c>
      <c r="AD122" s="15">
        <f>IFERROR(AC122/AC444, "NA")</f>
        <v>0.99999999999999623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158886.78999999995</v>
      </c>
      <c r="C124" s="15">
        <f>IFERROR(B124/B444, "NA")</f>
        <v>0.99999999999999967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157605.87000000002</v>
      </c>
      <c r="F124" s="15">
        <f>IFERROR(E124/E444, "NA")</f>
        <v>1.0000000000000002</v>
      </c>
      <c r="G124" s="2"/>
      <c r="H124" s="14">
        <f t="shared" si="24"/>
        <v>1280.9199999999255</v>
      </c>
      <c r="I124" s="15">
        <f>IFERROR(H124/H444, "NA")</f>
        <v>0.99999999999993183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146610.11999999997</v>
      </c>
      <c r="L124" s="15">
        <f>IFERROR(K124/K444, "NA")</f>
        <v>0.99999999999999978</v>
      </c>
      <c r="M124" s="2"/>
      <c r="N124" s="14">
        <f t="shared" si="25"/>
        <v>12276.669999999984</v>
      </c>
      <c r="O124" s="15">
        <f>IFERROR(N124/N444, "NA")</f>
        <v>0.99999999999999767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1430412.1199999992</v>
      </c>
      <c r="R124" s="15">
        <f>IFERROR(Q124/Q444, "NA")</f>
        <v>0.99999999999999933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1311669.51</v>
      </c>
      <c r="U124" s="15">
        <f>IFERROR(T124/T444, "NA")</f>
        <v>1</v>
      </c>
      <c r="V124" s="2"/>
      <c r="W124" s="14">
        <f t="shared" si="26"/>
        <v>118742.60999999917</v>
      </c>
      <c r="X124" s="15">
        <f>IFERROR(W124/W444, "NA")</f>
        <v>0.99999999999999212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1186383.6599999999</v>
      </c>
      <c r="AA124" s="15">
        <f>IFERROR(Z124/Z444, "NA")</f>
        <v>1</v>
      </c>
      <c r="AB124" s="2"/>
      <c r="AC124" s="14">
        <f t="shared" si="27"/>
        <v>244028.45999999926</v>
      </c>
      <c r="AD124" s="15">
        <f>IFERROR(AC124/AC444, "NA")</f>
        <v>0.99999999999999623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33885.26</v>
      </c>
      <c r="F129" s="8">
        <f>IFERROR(E129/E444, "NA")</f>
        <v>0.21499998699287026</v>
      </c>
      <c r="G129" s="9"/>
      <c r="H129" s="10">
        <f t="shared" ref="H129:H141" si="28">IFERROR(-(B129-E129), "NA")</f>
        <v>33885.26</v>
      </c>
      <c r="I129" s="8">
        <f>IFERROR(H129/H444, "NA")</f>
        <v>26.453845673421966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290014.46000000002</v>
      </c>
      <c r="U129" s="8">
        <f>IFERROR(T129/T444, "NA")</f>
        <v>0.2211033021572637</v>
      </c>
      <c r="V129" s="9"/>
      <c r="W129" s="10">
        <f t="shared" ref="W129:W141" si="30">IFERROR(-(Q129-T129), "NA")</f>
        <v>290014.46000000002</v>
      </c>
      <c r="X129" s="8">
        <f>IFERROR(W129/W444, "NA")</f>
        <v>2.4423790246820394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6712.5</v>
      </c>
      <c r="C130" s="8">
        <f>IFERROR(B130/B444, "NA")</f>
        <v>4.2247061571323831E-2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-6712.5</v>
      </c>
      <c r="I130" s="8">
        <f>IFERROR(H130/H444, "NA")</f>
        <v>-5.2403741061111804</v>
      </c>
      <c r="J130" s="9"/>
      <c r="K130" s="7">
        <v>9025.8799999999992</v>
      </c>
      <c r="L130" s="8">
        <f>IFERROR(K130/K444, "NA")</f>
        <v>6.1563826562586535E-2</v>
      </c>
      <c r="M130" s="9"/>
      <c r="N130" s="10">
        <f t="shared" si="29"/>
        <v>2313.3799999999992</v>
      </c>
      <c r="O130" s="8">
        <f>IFERROR(N130/N444, "NA")</f>
        <v>0.18843709246888585</v>
      </c>
      <c r="P130" s="9"/>
      <c r="Q130" s="7">
        <v>74463.16</v>
      </c>
      <c r="R130" s="8">
        <f>IFERROR(Q130/Q444, "NA")</f>
        <v>5.2057137211617026E-2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-74463.16</v>
      </c>
      <c r="X130" s="8">
        <f>IFERROR(W130/W444, "NA")</f>
        <v>-0.62709721472350943</v>
      </c>
      <c r="Y130" s="9"/>
      <c r="Z130" s="7">
        <v>75405.37</v>
      </c>
      <c r="AA130" s="8">
        <f>IFERROR(Z130/Z444, "NA")</f>
        <v>6.3559009233151442E-2</v>
      </c>
      <c r="AB130" s="9"/>
      <c r="AC130" s="10">
        <f t="shared" si="31"/>
        <v>942.20999999999185</v>
      </c>
      <c r="AD130" s="8">
        <f>IFERROR(AC130/AC444, "NA")</f>
        <v>3.861066041231384E-3</v>
      </c>
    </row>
    <row r="131" spans="1:30" ht="16.5" customHeight="1" x14ac:dyDescent="0.45">
      <c r="A131" s="12" t="s">
        <v>123</v>
      </c>
      <c r="B131" s="7">
        <v>3902.16</v>
      </c>
      <c r="C131" s="8">
        <f>IFERROR(B131/B444, "NA")</f>
        <v>2.4559373375218921E-2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-3902.16</v>
      </c>
      <c r="I131" s="8">
        <f>IFERROR(H131/H444, "NA")</f>
        <v>-3.0463729194641047</v>
      </c>
      <c r="J131" s="9"/>
      <c r="K131" s="7">
        <v>4011.55</v>
      </c>
      <c r="L131" s="8">
        <f>IFERROR(K131/K444, "NA")</f>
        <v>2.7362026577701461E-2</v>
      </c>
      <c r="M131" s="9"/>
      <c r="N131" s="10">
        <f t="shared" si="29"/>
        <v>109.39000000000033</v>
      </c>
      <c r="O131" s="8">
        <f>IFERROR(N131/N444, "NA")</f>
        <v>8.9103967118119333E-3</v>
      </c>
      <c r="P131" s="9"/>
      <c r="Q131" s="7">
        <v>38523.01</v>
      </c>
      <c r="R131" s="8">
        <f>IFERROR(Q131/Q444, "NA")</f>
        <v>2.6931406313867083E-2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-38523.01</v>
      </c>
      <c r="X131" s="8">
        <f>IFERROR(W131/W444, "NA")</f>
        <v>-0.32442448418474185</v>
      </c>
      <c r="Y131" s="9"/>
      <c r="Z131" s="7">
        <v>35266.949999999997</v>
      </c>
      <c r="AA131" s="8">
        <f>IFERROR(Z131/Z444, "NA")</f>
        <v>2.9726429307025352E-2</v>
      </c>
      <c r="AB131" s="9"/>
      <c r="AC131" s="10">
        <f t="shared" si="31"/>
        <v>-3256.0600000000049</v>
      </c>
      <c r="AD131" s="8">
        <f>IFERROR(AC131/AC444, "NA")</f>
        <v>-1.3342951883563098E-2</v>
      </c>
    </row>
    <row r="132" spans="1:30" ht="16.5" customHeight="1" x14ac:dyDescent="0.45">
      <c r="A132" s="12" t="s">
        <v>124</v>
      </c>
      <c r="B132" s="7">
        <v>8653.77</v>
      </c>
      <c r="C132" s="8">
        <f>IFERROR(B132/B444, "NA")</f>
        <v>5.4465006184592185E-2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-8653.77</v>
      </c>
      <c r="I132" s="8">
        <f>IFERROR(H132/H444, "NA")</f>
        <v>-6.7559020079317316</v>
      </c>
      <c r="J132" s="9"/>
      <c r="K132" s="7">
        <v>5331.69</v>
      </c>
      <c r="L132" s="8">
        <f>IFERROR(K132/K444, "NA")</f>
        <v>3.6366452738733179E-2</v>
      </c>
      <c r="M132" s="9"/>
      <c r="N132" s="10">
        <f t="shared" si="29"/>
        <v>-3322.0800000000008</v>
      </c>
      <c r="O132" s="8">
        <f>IFERROR(N132/N444, "NA")</f>
        <v>-0.27060106690169217</v>
      </c>
      <c r="P132" s="9"/>
      <c r="Q132" s="7">
        <v>63960.41</v>
      </c>
      <c r="R132" s="8">
        <f>IFERROR(Q132/Q444, "NA")</f>
        <v>4.4714672859455358E-2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-63960.41</v>
      </c>
      <c r="X132" s="8">
        <f>IFERROR(W132/W444, "NA")</f>
        <v>-0.53864749983177862</v>
      </c>
      <c r="Y132" s="9"/>
      <c r="Z132" s="7">
        <v>42714.81</v>
      </c>
      <c r="AA132" s="8">
        <f>IFERROR(Z132/Z444, "NA")</f>
        <v>3.6004213004754294E-2</v>
      </c>
      <c r="AB132" s="9"/>
      <c r="AC132" s="10">
        <f t="shared" si="31"/>
        <v>-21245.600000000006</v>
      </c>
      <c r="AD132" s="8">
        <f>IFERROR(AC132/AC444, "NA")</f>
        <v>-8.7061976295715632E-2</v>
      </c>
    </row>
    <row r="133" spans="1:30" ht="16.5" customHeight="1" x14ac:dyDescent="0.45">
      <c r="A133" s="12" t="s">
        <v>125</v>
      </c>
      <c r="B133" s="7">
        <v>3646.64</v>
      </c>
      <c r="C133" s="8">
        <f>IFERROR(B133/B444, "NA")</f>
        <v>2.2951184299210777E-2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-3646.64</v>
      </c>
      <c r="I133" s="8">
        <f>IFERROR(H133/H444, "NA")</f>
        <v>-2.8468912968803388</v>
      </c>
      <c r="J133" s="9"/>
      <c r="K133" s="7">
        <v>3041.41</v>
      </c>
      <c r="L133" s="8">
        <f>IFERROR(K133/K444, "NA")</f>
        <v>2.074488445954481E-2</v>
      </c>
      <c r="M133" s="9"/>
      <c r="N133" s="10">
        <f t="shared" si="29"/>
        <v>-605.23</v>
      </c>
      <c r="O133" s="8">
        <f>IFERROR(N133/N444, "NA")</f>
        <v>-4.9299199212815802E-2</v>
      </c>
      <c r="P133" s="9"/>
      <c r="Q133" s="7">
        <v>31772.81</v>
      </c>
      <c r="R133" s="8">
        <f>IFERROR(Q133/Q444, "NA")</f>
        <v>2.2212346746614535E-2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-31772.81</v>
      </c>
      <c r="X133" s="8">
        <f>IFERROR(W133/W444, "NA")</f>
        <v>-0.26757715701212881</v>
      </c>
      <c r="Y133" s="9"/>
      <c r="Z133" s="7">
        <v>22380.29</v>
      </c>
      <c r="AA133" s="8">
        <f>IFERROR(Z133/Z444, "NA")</f>
        <v>1.8864293865948897E-2</v>
      </c>
      <c r="AB133" s="9"/>
      <c r="AC133" s="10">
        <f t="shared" si="31"/>
        <v>-9392.52</v>
      </c>
      <c r="AD133" s="8">
        <f>IFERROR(AC133/AC444, "NA")</f>
        <v>-3.8489445042598693E-2</v>
      </c>
    </row>
    <row r="134" spans="1:30" ht="16.5" customHeight="1" x14ac:dyDescent="0.45">
      <c r="A134" s="12" t="s">
        <v>126</v>
      </c>
      <c r="B134" s="7">
        <v>1220.18</v>
      </c>
      <c r="C134" s="8">
        <f>IFERROR(B134/B444, "NA")</f>
        <v>7.6795559907780883E-3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-1220.18</v>
      </c>
      <c r="I134" s="8">
        <f>IFERROR(H134/H444, "NA")</f>
        <v>-0.9525809574368328</v>
      </c>
      <c r="J134" s="9"/>
      <c r="K134" s="7">
        <v>1300.58</v>
      </c>
      <c r="L134" s="8">
        <f>IFERROR(K134/K444, "NA")</f>
        <v>8.8710110870927599E-3</v>
      </c>
      <c r="M134" s="9"/>
      <c r="N134" s="10">
        <f t="shared" si="29"/>
        <v>80.399999999999864</v>
      </c>
      <c r="O134" s="8">
        <f>IFERROR(N134/N444, "NA")</f>
        <v>6.5490071819149474E-3</v>
      </c>
      <c r="P134" s="9"/>
      <c r="Q134" s="7">
        <v>12295.91</v>
      </c>
      <c r="R134" s="8">
        <f>IFERROR(Q134/Q444, "NA")</f>
        <v>8.5960611127931432E-3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-12295.91</v>
      </c>
      <c r="X134" s="8">
        <f>IFERROR(W134/W444, "NA")</f>
        <v>-0.10355094940224061</v>
      </c>
      <c r="Y134" s="9"/>
      <c r="Z134" s="7">
        <v>11436.68</v>
      </c>
      <c r="AA134" s="8">
        <f>IFERROR(Z134/Z444, "NA")</f>
        <v>9.639950705322425E-3</v>
      </c>
      <c r="AB134" s="9"/>
      <c r="AC134" s="10">
        <f t="shared" si="31"/>
        <v>-859.22999999999956</v>
      </c>
      <c r="AD134" s="8">
        <f>IFERROR(AC134/AC444, "NA")</f>
        <v>-3.5210237363297661E-3</v>
      </c>
    </row>
    <row r="135" spans="1:30" ht="16.5" customHeight="1" x14ac:dyDescent="0.45">
      <c r="A135" s="12" t="s">
        <v>127</v>
      </c>
      <c r="B135" s="7">
        <v>1821.73</v>
      </c>
      <c r="C135" s="8">
        <f>IFERROR(B135/B444, "NA")</f>
        <v>1.1465585024406371E-2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-1821.73</v>
      </c>
      <c r="I135" s="8">
        <f>IFERROR(H135/H444, "NA")</f>
        <v>-1.4222043531211799</v>
      </c>
      <c r="J135" s="9"/>
      <c r="K135" s="7">
        <v>1297.3</v>
      </c>
      <c r="L135" s="8">
        <f>IFERROR(K135/K444, "NA")</f>
        <v>8.8486388252052451E-3</v>
      </c>
      <c r="M135" s="9"/>
      <c r="N135" s="10">
        <f t="shared" si="29"/>
        <v>-524.43000000000006</v>
      </c>
      <c r="O135" s="8">
        <f>IFERROR(N135/N444, "NA")</f>
        <v>-4.2717609905617689E-2</v>
      </c>
      <c r="P135" s="9"/>
      <c r="Q135" s="7">
        <v>13982.47</v>
      </c>
      <c r="R135" s="8">
        <f>IFERROR(Q135/Q444, "NA")</f>
        <v>9.7751338963766605E-3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-13982.47</v>
      </c>
      <c r="X135" s="8">
        <f>IFERROR(W135/W444, "NA")</f>
        <v>-0.11775444383444146</v>
      </c>
      <c r="Y135" s="9"/>
      <c r="Z135" s="7">
        <v>12562.76</v>
      </c>
      <c r="AA135" s="8">
        <f>IFERROR(Z135/Z444, "NA")</f>
        <v>1.0589120891971827E-2</v>
      </c>
      <c r="AB135" s="9"/>
      <c r="AC135" s="10">
        <f t="shared" si="31"/>
        <v>-1419.7099999999991</v>
      </c>
      <c r="AD135" s="8">
        <f>IFERROR(AC135/AC444, "NA")</f>
        <v>-5.8178050215946043E-3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842.2</v>
      </c>
      <c r="L136" s="8">
        <f>IFERROR(K136/K444, "NA")</f>
        <v>5.7444874883125401E-3</v>
      </c>
      <c r="M136" s="9"/>
      <c r="N136" s="10">
        <f t="shared" si="29"/>
        <v>842.2</v>
      </c>
      <c r="O136" s="8">
        <f>IFERROR(N136/N444, "NA")</f>
        <v>6.8601664783691271E-2</v>
      </c>
      <c r="P136" s="9"/>
      <c r="Q136" s="7">
        <v>6328.65</v>
      </c>
      <c r="R136" s="8">
        <f>IFERROR(Q136/Q444, "NA")</f>
        <v>4.4243542902866334E-3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-5.3297211506467594E-2</v>
      </c>
      <c r="Y136" s="9"/>
      <c r="Z136" s="7">
        <v>8141.67</v>
      </c>
      <c r="AA136" s="8">
        <f>IFERROR(Z136/Z444, "NA")</f>
        <v>6.8625945168530053E-3</v>
      </c>
      <c r="AB136" s="9"/>
      <c r="AC136" s="10">
        <f t="shared" si="31"/>
        <v>1813.0200000000004</v>
      </c>
      <c r="AD136" s="8">
        <f>IFERROR(AC136/AC444, "NA")</f>
        <v>7.42954325901167E-3</v>
      </c>
    </row>
    <row r="137" spans="1:30" ht="16.5" customHeight="1" x14ac:dyDescent="0.45">
      <c r="A137" s="12" t="s">
        <v>129</v>
      </c>
      <c r="B137" s="7">
        <v>987</v>
      </c>
      <c r="C137" s="8">
        <f>IFERROR(B137/B444, "NA")</f>
        <v>6.2119701707108559E-3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-987</v>
      </c>
      <c r="I137" s="8">
        <f>IFERROR(H137/H444, "NA")</f>
        <v>-0.77053992442930874</v>
      </c>
      <c r="J137" s="9"/>
      <c r="K137" s="7">
        <v>682.07</v>
      </c>
      <c r="L137" s="8">
        <f>IFERROR(K137/K444, "NA")</f>
        <v>4.652270934639437E-3</v>
      </c>
      <c r="M137" s="9"/>
      <c r="N137" s="10">
        <f t="shared" si="29"/>
        <v>-304.92999999999995</v>
      </c>
      <c r="O137" s="8">
        <f>IFERROR(N137/N444, "NA")</f>
        <v>-2.483816865648418E-2</v>
      </c>
      <c r="P137" s="9"/>
      <c r="Q137" s="7">
        <v>7015.92</v>
      </c>
      <c r="R137" s="8">
        <f>IFERROR(Q137/Q444, "NA")</f>
        <v>4.9048242124794077E-3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-7015.92</v>
      </c>
      <c r="X137" s="8">
        <f>IFERROR(W137/W444, "NA")</f>
        <v>-5.908510853854395E-2</v>
      </c>
      <c r="Y137" s="9"/>
      <c r="Z137" s="7">
        <v>5505.48</v>
      </c>
      <c r="AA137" s="8">
        <f>IFERROR(Z137/Z444, "NA")</f>
        <v>4.6405561587050176E-3</v>
      </c>
      <c r="AB137" s="9"/>
      <c r="AC137" s="10">
        <f t="shared" si="31"/>
        <v>-1510.4400000000005</v>
      </c>
      <c r="AD137" s="8">
        <f>IFERROR(AC137/AC444, "NA")</f>
        <v>-6.1896059172770225E-3</v>
      </c>
    </row>
    <row r="138" spans="1:30" ht="16.5" customHeight="1" x14ac:dyDescent="0.45">
      <c r="A138" s="12" t="s">
        <v>130</v>
      </c>
      <c r="B138" s="7">
        <v>8668.61</v>
      </c>
      <c r="C138" s="8">
        <f>IFERROR(B138/B444, "NA")</f>
        <v>5.4558406019783019E-2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-8668.61</v>
      </c>
      <c r="I138" s="8">
        <f>IFERROR(H138/H444, "NA")</f>
        <v>-6.7674874309089672</v>
      </c>
      <c r="J138" s="9"/>
      <c r="K138" s="7">
        <v>6874.07</v>
      </c>
      <c r="L138" s="8">
        <f>IFERROR(K138/K444, "NA")</f>
        <v>4.6886736058875063E-2</v>
      </c>
      <c r="M138" s="9"/>
      <c r="N138" s="10">
        <f t="shared" si="29"/>
        <v>-1794.5400000000009</v>
      </c>
      <c r="O138" s="8">
        <f>IFERROR(N138/N444, "NA")</f>
        <v>-0.14617481776410043</v>
      </c>
      <c r="P138" s="9"/>
      <c r="Q138" s="7">
        <v>77987.67</v>
      </c>
      <c r="R138" s="8">
        <f>IFERROR(Q138/Q444, "NA")</f>
        <v>5.4521119409978148E-2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-77987.67</v>
      </c>
      <c r="X138" s="8">
        <f>IFERROR(W138/W444, "NA")</f>
        <v>-0.65677914608749066</v>
      </c>
      <c r="Y138" s="9"/>
      <c r="Z138" s="7">
        <v>58162.98</v>
      </c>
      <c r="AA138" s="8">
        <f>IFERROR(Z138/Z444, "NA")</f>
        <v>4.9025439207414576E-2</v>
      </c>
      <c r="AB138" s="9"/>
      <c r="AC138" s="10">
        <f t="shared" si="31"/>
        <v>-19824.689999999995</v>
      </c>
      <c r="AD138" s="8">
        <f>IFERROR(AC138/AC444, "NA")</f>
        <v>-8.1239253814903309E-2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35612.589999999997</v>
      </c>
      <c r="C141" s="15">
        <f>IFERROR(B141/B444, "NA")</f>
        <v>0.22413814263602402</v>
      </c>
      <c r="D141" s="2"/>
      <c r="E141" s="14">
        <f>IFERROR(E129+E130+E131+E132+E133+E134+E135+E136+E137+E138+E139+E140, "NA")</f>
        <v>33885.26</v>
      </c>
      <c r="F141" s="15">
        <f>IFERROR(E141/E444, "NA")</f>
        <v>0.21499998699287026</v>
      </c>
      <c r="G141" s="2"/>
      <c r="H141" s="14">
        <f t="shared" si="28"/>
        <v>-1727.3299999999945</v>
      </c>
      <c r="I141" s="15">
        <f>IFERROR(H141/H444, "NA")</f>
        <v>-1.3485073228616753</v>
      </c>
      <c r="J141" s="2"/>
      <c r="K141" s="14">
        <f>IFERROR(K129+K130+K131+K132+K133+K134+K135+K136+K137+K138+K139+K140, "NA")</f>
        <v>32406.75</v>
      </c>
      <c r="L141" s="15">
        <f>IFERROR(K141/K444, "NA")</f>
        <v>0.22104033473269105</v>
      </c>
      <c r="M141" s="2"/>
      <c r="N141" s="14">
        <f t="shared" si="29"/>
        <v>-3205.8399999999965</v>
      </c>
      <c r="O141" s="15">
        <f>IFERROR(N141/N444, "NA")</f>
        <v>-0.2611327012944058</v>
      </c>
      <c r="P141" s="2"/>
      <c r="Q141" s="14">
        <f>IFERROR(Q129+Q130+Q131+Q132+Q133+Q134+Q135+Q136+Q137+Q138+Q139+Q140, "NA")</f>
        <v>326330.01</v>
      </c>
      <c r="R141" s="15">
        <f>IFERROR(Q141/Q444, "NA")</f>
        <v>0.22813705605346798</v>
      </c>
      <c r="S141" s="2"/>
      <c r="T141" s="14">
        <f>IFERROR(T129+T130+T131+T132+T133+T134+T135+T136+T137+T138+T139+T140, "NA")</f>
        <v>290014.46000000002</v>
      </c>
      <c r="U141" s="15">
        <f>IFERROR(T141/T444, "NA")</f>
        <v>0.2211033021572637</v>
      </c>
      <c r="V141" s="2"/>
      <c r="W141" s="14">
        <f t="shared" si="30"/>
        <v>-36315.549999999988</v>
      </c>
      <c r="X141" s="15">
        <f>IFERROR(W141/W444, "NA")</f>
        <v>-0.3058341904393036</v>
      </c>
      <c r="Y141" s="2"/>
      <c r="Z141" s="14">
        <f>IFERROR(Z129+Z130+Z131+Z132+Z133+Z134+Z135+Z136+Z137+Z138+Z139+Z140, "NA")</f>
        <v>271576.99000000005</v>
      </c>
      <c r="AA141" s="15">
        <f>IFERROR(Z141/Z444, "NA")</f>
        <v>0.2289116068911469</v>
      </c>
      <c r="AB141" s="2"/>
      <c r="AC141" s="14">
        <f t="shared" si="31"/>
        <v>-54753.01999999996</v>
      </c>
      <c r="AD141" s="15">
        <f>IFERROR(AC141/AC444, "NA")</f>
        <v>-0.22437145241173884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1834.35</v>
      </c>
      <c r="C144" s="8">
        <f>IFERROR(B144/B444, "NA")</f>
        <v>1.1545012647055175E-2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-1834.35</v>
      </c>
      <c r="I144" s="8">
        <f>IFERROR(H144/H444, "NA")</f>
        <v>-1.4320566467851088</v>
      </c>
      <c r="J144" s="9"/>
      <c r="K144" s="7">
        <v>1237.01</v>
      </c>
      <c r="L144" s="8">
        <f>IFERROR(K144/K444, "NA")</f>
        <v>8.4374120967911359E-3</v>
      </c>
      <c r="M144" s="9"/>
      <c r="N144" s="10">
        <f t="shared" si="33"/>
        <v>-597.33999999999992</v>
      </c>
      <c r="O144" s="8">
        <f>IFERROR(N144/N444, "NA")</f>
        <v>-4.8656516791605486E-2</v>
      </c>
      <c r="P144" s="9"/>
      <c r="Q144" s="7">
        <v>14466.39</v>
      </c>
      <c r="R144" s="8">
        <f>IFERROR(Q144/Q444, "NA")</f>
        <v>1.0113441991808626E-2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-14466.39</v>
      </c>
      <c r="X144" s="8">
        <f>IFERROR(W144/W444, "NA")</f>
        <v>-0.12182981324058809</v>
      </c>
      <c r="Y144" s="9"/>
      <c r="Z144" s="7">
        <v>10348.9</v>
      </c>
      <c r="AA144" s="8">
        <f>IFERROR(Z144/Z444, "NA")</f>
        <v>8.7230634986999074E-3</v>
      </c>
      <c r="AB144" s="9"/>
      <c r="AC144" s="10">
        <f t="shared" si="35"/>
        <v>-4117.49</v>
      </c>
      <c r="AD144" s="8">
        <f>IFERROR(AC144/AC444, "NA")</f>
        <v>-1.68729909617919E-2</v>
      </c>
    </row>
    <row r="145" spans="1:30" ht="16.5" customHeight="1" x14ac:dyDescent="0.45">
      <c r="A145" s="12" t="s">
        <v>136</v>
      </c>
      <c r="B145" s="7">
        <v>160.1</v>
      </c>
      <c r="C145" s="8">
        <f>IFERROR(B145/B444, "NA")</f>
        <v>1.0076356882784275E-3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-160.1</v>
      </c>
      <c r="I145" s="8">
        <f>IFERROR(H145/H444, "NA")</f>
        <v>-0.12498828966680073</v>
      </c>
      <c r="J145" s="9"/>
      <c r="K145" s="7">
        <v>69.83</v>
      </c>
      <c r="L145" s="8">
        <f>IFERROR(K145/K444, "NA")</f>
        <v>4.7629727061133297E-4</v>
      </c>
      <c r="M145" s="9"/>
      <c r="N145" s="10">
        <f t="shared" si="33"/>
        <v>-90.27</v>
      </c>
      <c r="O145" s="8">
        <f>IFERROR(N145/N444, "NA")</f>
        <v>-7.3529711232769067E-3</v>
      </c>
      <c r="P145" s="9"/>
      <c r="Q145" s="7">
        <v>790.23</v>
      </c>
      <c r="R145" s="8">
        <f>IFERROR(Q145/Q444, "NA")</f>
        <v>5.5244917807323942E-4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-790.23</v>
      </c>
      <c r="X145" s="8">
        <f>IFERROR(W145/W444, "NA")</f>
        <v>-6.6549825711258942E-3</v>
      </c>
      <c r="Y145" s="9"/>
      <c r="Z145" s="7">
        <v>849.86</v>
      </c>
      <c r="AA145" s="8">
        <f>IFERROR(Z145/Z444, "NA")</f>
        <v>7.163449975364631E-4</v>
      </c>
      <c r="AB145" s="9"/>
      <c r="AC145" s="10">
        <f t="shared" si="35"/>
        <v>59.629999999999995</v>
      </c>
      <c r="AD145" s="8">
        <f>IFERROR(AC145/AC444, "NA")</f>
        <v>2.4435674429121892E-4</v>
      </c>
    </row>
    <row r="146" spans="1:30" ht="16.5" customHeight="1" x14ac:dyDescent="0.45">
      <c r="A146" s="12" t="s">
        <v>137</v>
      </c>
      <c r="B146" s="7">
        <v>43.2</v>
      </c>
      <c r="C146" s="8">
        <f>IFERROR(B146/B444, "NA")</f>
        <v>2.7189170352047518E-4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-43.2</v>
      </c>
      <c r="I146" s="8">
        <f>IFERROR(H146/H444, "NA")</f>
        <v>-3.3725759610279779E-2</v>
      </c>
      <c r="J146" s="9"/>
      <c r="K146" s="7">
        <v>643.66999999999996</v>
      </c>
      <c r="L146" s="8">
        <f>IFERROR(K146/K444, "NA")</f>
        <v>4.3903517710782852E-3</v>
      </c>
      <c r="M146" s="9"/>
      <c r="N146" s="10">
        <f t="shared" si="33"/>
        <v>600.46999999999991</v>
      </c>
      <c r="O146" s="8">
        <f>IFERROR(N146/N444, "NA")</f>
        <v>4.8911471921946205E-2</v>
      </c>
      <c r="P146" s="9"/>
      <c r="Q146" s="7">
        <v>1572.34</v>
      </c>
      <c r="R146" s="8">
        <f>IFERROR(Q146/Q444, "NA")</f>
        <v>1.0992216704651522E-3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-1572.34</v>
      </c>
      <c r="X146" s="8">
        <f>IFERROR(W146/W444, "NA")</f>
        <v>-1.3241581939288673E-2</v>
      </c>
      <c r="Y146" s="9"/>
      <c r="Z146" s="7">
        <v>3837.83</v>
      </c>
      <c r="AA146" s="8">
        <f>IFERROR(Z146/Z444, "NA")</f>
        <v>3.2348978912942884E-3</v>
      </c>
      <c r="AB146" s="9"/>
      <c r="AC146" s="10">
        <f t="shared" si="35"/>
        <v>2265.4899999999998</v>
      </c>
      <c r="AD146" s="8">
        <f>IFERROR(AC146/AC444, "NA")</f>
        <v>9.2837122358596941E-3</v>
      </c>
    </row>
    <row r="147" spans="1:30" ht="16.5" customHeight="1" x14ac:dyDescent="0.45">
      <c r="A147" s="12" t="s">
        <v>138</v>
      </c>
      <c r="B147" s="7">
        <v>29.33</v>
      </c>
      <c r="C147" s="8">
        <f>IFERROR(B147/B444, "NA")</f>
        <v>1.8459684407998926E-4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-29.33</v>
      </c>
      <c r="I147" s="8">
        <f>IFERROR(H147/H444, "NA")</f>
        <v>-2.2897604846516335E-2</v>
      </c>
      <c r="J147" s="9"/>
      <c r="K147" s="7">
        <v>26.69</v>
      </c>
      <c r="L147" s="8">
        <f>IFERROR(K147/K444, "NA")</f>
        <v>1.8204746029810222E-4</v>
      </c>
      <c r="M147" s="9"/>
      <c r="N147" s="10">
        <f t="shared" si="33"/>
        <v>-2.639999999999997</v>
      </c>
      <c r="O147" s="8">
        <f>IFERROR(N147/N444, "NA")</f>
        <v>-2.1504202686884914E-4</v>
      </c>
      <c r="P147" s="9"/>
      <c r="Q147" s="7">
        <v>242.49</v>
      </c>
      <c r="R147" s="8">
        <f>IFERROR(Q147/Q444, "NA")</f>
        <v>1.6952457030355698E-4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-242.49</v>
      </c>
      <c r="X147" s="8">
        <f>IFERROR(W147/W444, "NA")</f>
        <v>-2.0421481387346953E-3</v>
      </c>
      <c r="Y147" s="9"/>
      <c r="Z147" s="7">
        <v>290.43</v>
      </c>
      <c r="AA147" s="8">
        <f>IFERROR(Z147/Z444, "NA")</f>
        <v>2.4480276473126748E-4</v>
      </c>
      <c r="AB147" s="9"/>
      <c r="AC147" s="10">
        <f t="shared" si="35"/>
        <v>47.94</v>
      </c>
      <c r="AD147" s="8">
        <f>IFERROR(AC147/AC444, "NA")</f>
        <v>1.9645249574578292E-4</v>
      </c>
    </row>
    <row r="148" spans="1:30" ht="16.5" customHeight="1" x14ac:dyDescent="0.45">
      <c r="A148" s="13" t="s">
        <v>139</v>
      </c>
      <c r="B148" s="14">
        <f>IFERROR(B143+B144+B145+B146+B147, "NA")</f>
        <v>2066.98</v>
      </c>
      <c r="C148" s="15">
        <f>IFERROR(B148/B444, "NA")</f>
        <v>1.3009136882934069E-2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-2066.98</v>
      </c>
      <c r="I148" s="15">
        <f>IFERROR(H148/H444, "NA")</f>
        <v>-1.6136683009087058</v>
      </c>
      <c r="J148" s="2"/>
      <c r="K148" s="14">
        <f>IFERROR(K143+K144+K145+K146+K147, "NA")</f>
        <v>1977.1999999999998</v>
      </c>
      <c r="L148" s="15">
        <f>IFERROR(K148/K444, "NA")</f>
        <v>1.3486108598778856E-2</v>
      </c>
      <c r="M148" s="2"/>
      <c r="N148" s="14">
        <f t="shared" si="33"/>
        <v>-89.7800000000002</v>
      </c>
      <c r="O148" s="15">
        <f>IFERROR(N148/N444, "NA")</f>
        <v>-7.3130580198050533E-3</v>
      </c>
      <c r="P148" s="2"/>
      <c r="Q148" s="14">
        <f>IFERROR(Q143+Q144+Q145+Q146+Q147, "NA")</f>
        <v>17071.45</v>
      </c>
      <c r="R148" s="15">
        <f>IFERROR(Q148/Q444, "NA")</f>
        <v>1.1934637410650576E-2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-17071.45</v>
      </c>
      <c r="X148" s="15">
        <f>IFERROR(W148/W444, "NA")</f>
        <v>-0.14376852588973735</v>
      </c>
      <c r="Y148" s="2"/>
      <c r="Z148" s="14">
        <f>IFERROR(Z143+Z144+Z145+Z146+Z147, "NA")</f>
        <v>15327.02</v>
      </c>
      <c r="AA148" s="15">
        <f>IFERROR(Z148/Z444, "NA")</f>
        <v>1.2919109152261927E-2</v>
      </c>
      <c r="AB148" s="2"/>
      <c r="AC148" s="14">
        <f t="shared" si="35"/>
        <v>-1744.4300000000003</v>
      </c>
      <c r="AD148" s="15">
        <f>IFERROR(AC148/AC444, "NA")</f>
        <v>-7.1484694858952062E-3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37679.569999999992</v>
      </c>
      <c r="C149" s="15">
        <f>IFERROR(B149/B444, "NA")</f>
        <v>0.23714727951895806</v>
      </c>
      <c r="D149" s="2"/>
      <c r="E149" s="14">
        <f>IFERROR(E127+E129+E130+E131+E132+E133+E134+E135+E136+E137+E138+E139+E140+E143+E144+E145+E146+E147, "NA")</f>
        <v>33885.26</v>
      </c>
      <c r="F149" s="15">
        <f>IFERROR(E149/E444, "NA")</f>
        <v>0.21499998699287026</v>
      </c>
      <c r="G149" s="2"/>
      <c r="H149" s="14">
        <f t="shared" si="32"/>
        <v>-3794.3099999999904</v>
      </c>
      <c r="I149" s="15">
        <f>IFERROR(H149/H444, "NA")</f>
        <v>-2.9621756237703778</v>
      </c>
      <c r="J149" s="2"/>
      <c r="K149" s="14">
        <f>IFERROR(K127+K129+K130+K131+K132+K133+K134+K135+K136+K137+K138+K139+K140+K143+K144+K145+K146+K147, "NA")</f>
        <v>34383.950000000004</v>
      </c>
      <c r="L149" s="15">
        <f>IFERROR(K149/K444, "NA")</f>
        <v>0.23452644333146994</v>
      </c>
      <c r="M149" s="2"/>
      <c r="N149" s="14">
        <f t="shared" si="33"/>
        <v>-3295.6199999999881</v>
      </c>
      <c r="O149" s="15">
        <f>IFERROR(N149/N444, "NA")</f>
        <v>-0.26844575931421016</v>
      </c>
      <c r="P149" s="2"/>
      <c r="Q149" s="14">
        <f>IFERROR(Q127+Q129+Q130+Q131+Q132+Q133+Q134+Q135+Q136+Q137+Q138+Q139+Q140+Q143+Q144+Q145+Q146+Q147, "NA")</f>
        <v>343401.46</v>
      </c>
      <c r="R149" s="15">
        <f>IFERROR(Q149/Q444, "NA")</f>
        <v>0.24007169346411858</v>
      </c>
      <c r="S149" s="2"/>
      <c r="T149" s="14">
        <f>IFERROR(T127+T129+T130+T131+T132+T133+T134+T135+T136+T137+T138+T139+T140+T143+T144+T145+T146+T147, "NA")</f>
        <v>290014.46000000002</v>
      </c>
      <c r="U149" s="15">
        <f>IFERROR(T149/T444, "NA")</f>
        <v>0.2211033021572637</v>
      </c>
      <c r="V149" s="2"/>
      <c r="W149" s="14">
        <f t="shared" si="34"/>
        <v>-53387</v>
      </c>
      <c r="X149" s="15">
        <f>IFERROR(W149/W444, "NA")</f>
        <v>-0.44960271632904103</v>
      </c>
      <c r="Y149" s="2"/>
      <c r="Z149" s="14">
        <f>IFERROR(Z127+Z129+Z130+Z131+Z132+Z133+Z134+Z135+Z136+Z137+Z138+Z139+Z140+Z143+Z144+Z145+Z146+Z147, "NA")</f>
        <v>286904.01000000007</v>
      </c>
      <c r="AA149" s="15">
        <f>IFERROR(Z149/Z444, "NA")</f>
        <v>0.24183071604340883</v>
      </c>
      <c r="AB149" s="2"/>
      <c r="AC149" s="14">
        <f t="shared" si="35"/>
        <v>-56497.449999999953</v>
      </c>
      <c r="AD149" s="15">
        <f>IFERROR(AC149/AC444, "NA")</f>
        <v>-0.23151992189763401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2679.3</v>
      </c>
      <c r="F153" s="8">
        <f>IFERROR(E153/E444, "NA")</f>
        <v>1.7000001332437682E-2</v>
      </c>
      <c r="G153" s="9"/>
      <c r="H153" s="10">
        <f t="shared" ref="H153:H158" si="36">IFERROR(-(B153-E153), "NA")</f>
        <v>2679.3</v>
      </c>
      <c r="I153" s="8">
        <f>IFERROR(H153/H444, "NA")</f>
        <v>2.0916997158292268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24036.47</v>
      </c>
      <c r="U153" s="8">
        <f>IFERROR(T153/T444, "NA")</f>
        <v>1.8325096235560129E-2</v>
      </c>
      <c r="V153" s="9"/>
      <c r="W153" s="10">
        <f t="shared" ref="W153:W158" si="38">IFERROR(-(Q153-T153), "NA")</f>
        <v>24036.47</v>
      </c>
      <c r="X153" s="8">
        <f>IFERROR(W153/W444, "NA")</f>
        <v>0.20242497617325389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4507.84</v>
      </c>
      <c r="C154" s="8">
        <f>IFERROR(B154/B444, "NA")</f>
        <v>2.8371395759206917E-2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-4507.84</v>
      </c>
      <c r="I154" s="8">
        <f>IFERROR(H154/H444, "NA")</f>
        <v>-3.5192205602223052</v>
      </c>
      <c r="J154" s="9"/>
      <c r="K154" s="7">
        <v>4035.71</v>
      </c>
      <c r="L154" s="8">
        <f>IFERROR(K154/K444, "NA")</f>
        <v>2.7526817384775349E-2</v>
      </c>
      <c r="M154" s="9"/>
      <c r="N154" s="10">
        <f t="shared" si="37"/>
        <v>-472.13000000000011</v>
      </c>
      <c r="O154" s="8">
        <f>IFERROR(N154/N444, "NA")</f>
        <v>-3.8457497024844654E-2</v>
      </c>
      <c r="P154" s="9"/>
      <c r="Q154" s="7">
        <v>39788.550000000003</v>
      </c>
      <c r="R154" s="8">
        <f>IFERROR(Q154/Q444, "NA")</f>
        <v>2.7816144343072259E-2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-39788.550000000003</v>
      </c>
      <c r="X154" s="8">
        <f>IFERROR(W154/W444, "NA")</f>
        <v>-0.33508232638645863</v>
      </c>
      <c r="Y154" s="9"/>
      <c r="Z154" s="7">
        <v>34386.74</v>
      </c>
      <c r="AA154" s="8">
        <f>IFERROR(Z154/Z444, "NA")</f>
        <v>2.8984502365786122E-2</v>
      </c>
      <c r="AB154" s="9"/>
      <c r="AC154" s="10">
        <f t="shared" si="39"/>
        <v>-5401.8100000000049</v>
      </c>
      <c r="AD154" s="8">
        <f>IFERROR(AC154/AC444, "NA")</f>
        <v>-2.2135983647153291E-2</v>
      </c>
    </row>
    <row r="155" spans="1:30" ht="16.5" customHeight="1" x14ac:dyDescent="0.45">
      <c r="A155" s="12" t="s">
        <v>144</v>
      </c>
      <c r="B155" s="7">
        <v>2258.54</v>
      </c>
      <c r="C155" s="8">
        <f>IFERROR(B155/B444, "NA")</f>
        <v>1.4214775186785508E-2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-2258.54</v>
      </c>
      <c r="I155" s="8">
        <f>IFERROR(H155/H444, "NA")</f>
        <v>-1.7632170627361408</v>
      </c>
      <c r="J155" s="9"/>
      <c r="K155" s="7">
        <v>2600.59</v>
      </c>
      <c r="L155" s="8">
        <f>IFERROR(K155/K444, "NA")</f>
        <v>1.773813431160141E-2</v>
      </c>
      <c r="M155" s="9"/>
      <c r="N155" s="10">
        <f t="shared" si="37"/>
        <v>342.05000000000018</v>
      </c>
      <c r="O155" s="8">
        <f>IFERROR(N155/N444, "NA")</f>
        <v>2.7861789882761355E-2</v>
      </c>
      <c r="P155" s="9"/>
      <c r="Q155" s="7">
        <v>21120.05</v>
      </c>
      <c r="R155" s="8">
        <f>IFERROR(Q155/Q444, "NA")</f>
        <v>1.4765010520184908E-2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-21120.05</v>
      </c>
      <c r="X155" s="8">
        <f>IFERROR(W155/W444, "NA")</f>
        <v>-0.17786412139669139</v>
      </c>
      <c r="Y155" s="9"/>
      <c r="Z155" s="7">
        <v>21330.6</v>
      </c>
      <c r="AA155" s="8">
        <f>IFERROR(Z155/Z444, "NA")</f>
        <v>1.7979512630846586E-2</v>
      </c>
      <c r="AB155" s="9"/>
      <c r="AC155" s="10">
        <f t="shared" si="39"/>
        <v>210.54999999999927</v>
      </c>
      <c r="AD155" s="8">
        <f>IFERROR(AC155/AC444, "NA")</f>
        <v>8.6280919856642586E-4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255.66</v>
      </c>
      <c r="AA156" s="8">
        <f>IFERROR(Z156/Z444, "NA")</f>
        <v>2.154952134118233E-4</v>
      </c>
      <c r="AB156" s="9"/>
      <c r="AC156" s="10">
        <f t="shared" si="39"/>
        <v>255.66</v>
      </c>
      <c r="AD156" s="8">
        <f>IFERROR(AC156/AC444, "NA")</f>
        <v>1.0476646863238812E-3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6766.38</v>
      </c>
      <c r="C158" s="15">
        <f>IFERROR(B158/B444, "NA")</f>
        <v>4.2586170945992423E-2</v>
      </c>
      <c r="D158" s="2"/>
      <c r="E158" s="14">
        <f>IFERROR(E153+E154+E155+E156+E157, "NA")</f>
        <v>2679.3</v>
      </c>
      <c r="F158" s="15">
        <f>IFERROR(E158/E444, "NA")</f>
        <v>1.7000001332437682E-2</v>
      </c>
      <c r="G158" s="2"/>
      <c r="H158" s="14">
        <f t="shared" si="36"/>
        <v>-4087.08</v>
      </c>
      <c r="I158" s="15">
        <f>IFERROR(H158/H444, "NA")</f>
        <v>-3.1907379071292188</v>
      </c>
      <c r="J158" s="2"/>
      <c r="K158" s="14">
        <f>IFERROR(K153+K154+K155+K156+K157, "NA")</f>
        <v>6636.3</v>
      </c>
      <c r="L158" s="15">
        <f>IFERROR(K158/K444, "NA")</f>
        <v>4.526495169637676E-2</v>
      </c>
      <c r="M158" s="2"/>
      <c r="N158" s="14">
        <f t="shared" si="37"/>
        <v>-130.07999999999993</v>
      </c>
      <c r="O158" s="15">
        <f>IFERROR(N158/N444, "NA")</f>
        <v>-1.0595707142083301E-2</v>
      </c>
      <c r="P158" s="2"/>
      <c r="Q158" s="14">
        <f>IFERROR(Q153+Q154+Q155+Q156+Q157, "NA")</f>
        <v>60908.600000000006</v>
      </c>
      <c r="R158" s="15">
        <f>IFERROR(Q158/Q444, "NA")</f>
        <v>4.258115486325717E-2</v>
      </c>
      <c r="S158" s="2"/>
      <c r="T158" s="14">
        <f>IFERROR(T153+T154+T155+T156+T157, "NA")</f>
        <v>24036.47</v>
      </c>
      <c r="U158" s="15">
        <f>IFERROR(T158/T444, "NA")</f>
        <v>1.8325096235560129E-2</v>
      </c>
      <c r="V158" s="2"/>
      <c r="W158" s="14">
        <f t="shared" si="38"/>
        <v>-36872.130000000005</v>
      </c>
      <c r="X158" s="15">
        <f>IFERROR(W158/W444, "NA")</f>
        <v>-0.31052147160989618</v>
      </c>
      <c r="Y158" s="2"/>
      <c r="Z158" s="14">
        <f>IFERROR(Z153+Z154+Z155+Z156+Z157, "NA")</f>
        <v>55973</v>
      </c>
      <c r="AA158" s="15">
        <f>IFERROR(Z158/Z444, "NA")</f>
        <v>4.7179510210044538E-2</v>
      </c>
      <c r="AB158" s="2"/>
      <c r="AC158" s="14">
        <f t="shared" si="39"/>
        <v>-4935.6000000000058</v>
      </c>
      <c r="AD158" s="15">
        <f>IFERROR(AC158/AC444, "NA")</f>
        <v>-2.0225509762262985E-2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126.49</v>
      </c>
      <c r="C161" s="8">
        <f>IFERROR(B161/B444, "NA")</f>
        <v>7.9610142542372458E-4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-126.49</v>
      </c>
      <c r="I161" s="8">
        <f>IFERROR(H161/H444, "NA")</f>
        <v>-9.8749336414451119E-2</v>
      </c>
      <c r="J161" s="9"/>
      <c r="K161" s="7">
        <v>166.31</v>
      </c>
      <c r="L161" s="8">
        <f>IFERROR(K161/K444, "NA")</f>
        <v>1.1343691690587252E-3</v>
      </c>
      <c r="M161" s="9"/>
      <c r="N161" s="10">
        <f t="shared" si="41"/>
        <v>39.820000000000007</v>
      </c>
      <c r="O161" s="8">
        <f>IFERROR(N161/N444, "NA")</f>
        <v>3.2435505719384788E-3</v>
      </c>
      <c r="P161" s="9"/>
      <c r="Q161" s="7">
        <v>1160.71</v>
      </c>
      <c r="R161" s="8">
        <f>IFERROR(Q161/Q444, "NA")</f>
        <v>8.1145145777987394E-4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-1160.71</v>
      </c>
      <c r="X161" s="8">
        <f>IFERROR(W161/W444, "NA")</f>
        <v>-9.7750083142016091E-3</v>
      </c>
      <c r="Y161" s="9"/>
      <c r="Z161" s="7">
        <v>2287.19</v>
      </c>
      <c r="AA161" s="8">
        <f>IFERROR(Z161/Z444, "NA")</f>
        <v>1.9278670780074635E-3</v>
      </c>
      <c r="AB161" s="9"/>
      <c r="AC161" s="10">
        <f t="shared" si="43"/>
        <v>1126.48</v>
      </c>
      <c r="AD161" s="8">
        <f>IFERROR(AC161/AC444, "NA")</f>
        <v>4.6161828829309462E-3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126.49</v>
      </c>
      <c r="C166" s="15">
        <f>IFERROR(B166/B444, "NA")</f>
        <v>7.9610142542372458E-4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-126.49</v>
      </c>
      <c r="I166" s="15">
        <f>IFERROR(H166/H444, "NA")</f>
        <v>-9.8749336414451119E-2</v>
      </c>
      <c r="J166" s="2"/>
      <c r="K166" s="14">
        <f>IFERROR(K160+K161+K162+K163+K164+K165, "NA")</f>
        <v>166.31</v>
      </c>
      <c r="L166" s="15">
        <f>IFERROR(K166/K444, "NA")</f>
        <v>1.1343691690587252E-3</v>
      </c>
      <c r="M166" s="2"/>
      <c r="N166" s="14">
        <f t="shared" si="41"/>
        <v>39.820000000000007</v>
      </c>
      <c r="O166" s="15">
        <f>IFERROR(N166/N444, "NA")</f>
        <v>3.2435505719384788E-3</v>
      </c>
      <c r="P166" s="2"/>
      <c r="Q166" s="14">
        <f>IFERROR(Q160+Q161+Q162+Q163+Q164+Q165, "NA")</f>
        <v>1160.71</v>
      </c>
      <c r="R166" s="15">
        <f>IFERROR(Q166/Q444, "NA")</f>
        <v>8.1145145777987394E-4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-1160.71</v>
      </c>
      <c r="X166" s="15">
        <f>IFERROR(W166/W444, "NA")</f>
        <v>-9.7750083142016091E-3</v>
      </c>
      <c r="Y166" s="2"/>
      <c r="Z166" s="14">
        <f>IFERROR(Z160+Z161+Z162+Z163+Z164+Z165, "NA")</f>
        <v>2287.19</v>
      </c>
      <c r="AA166" s="15">
        <f>IFERROR(Z166/Z444, "NA")</f>
        <v>1.9278670780074635E-3</v>
      </c>
      <c r="AB166" s="2"/>
      <c r="AC166" s="14">
        <f t="shared" si="43"/>
        <v>1126.48</v>
      </c>
      <c r="AD166" s="15">
        <f>IFERROR(AC166/AC444, "NA")</f>
        <v>4.6161828829309462E-3</v>
      </c>
    </row>
    <row r="167" spans="1:30" ht="16.5" customHeight="1" x14ac:dyDescent="0.45">
      <c r="A167" s="6" t="s">
        <v>155</v>
      </c>
      <c r="B167" s="7">
        <v>174.32</v>
      </c>
      <c r="C167" s="8">
        <f>IFERROR(B167/B444, "NA")</f>
        <v>1.097133374020584E-3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-174.32</v>
      </c>
      <c r="I167" s="8">
        <f>IFERROR(H167/H444, "NA")</f>
        <v>-0.13608968553851783</v>
      </c>
      <c r="J167" s="9"/>
      <c r="K167" s="7">
        <v>131.1</v>
      </c>
      <c r="L167" s="8">
        <f>IFERROR(K167/K444, "NA")</f>
        <v>8.9420839434549264E-4</v>
      </c>
      <c r="M167" s="9"/>
      <c r="N167" s="10">
        <f t="shared" si="41"/>
        <v>-43.22</v>
      </c>
      <c r="O167" s="8">
        <f>IFERROR(N167/N444, "NA")</f>
        <v>-3.5204986368453299E-3</v>
      </c>
      <c r="P167" s="9"/>
      <c r="Q167" s="7">
        <v>1231.99</v>
      </c>
      <c r="R167" s="8">
        <f>IFERROR(Q167/Q444, "NA")</f>
        <v>8.6128325031250424E-4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-1231.99</v>
      </c>
      <c r="X167" s="8">
        <f>IFERROR(W167/W444, "NA")</f>
        <v>-1.037529830277437E-2</v>
      </c>
      <c r="Y167" s="9"/>
      <c r="Z167" s="7">
        <v>1293.56</v>
      </c>
      <c r="AA167" s="8">
        <f>IFERROR(Z167/Z444, "NA")</f>
        <v>1.0903386852108197E-3</v>
      </c>
      <c r="AB167" s="9"/>
      <c r="AC167" s="10">
        <f t="shared" si="43"/>
        <v>61.569999999999936</v>
      </c>
      <c r="AD167" s="8">
        <f>IFERROR(AC167/AC444, "NA")</f>
        <v>2.523066366931131E-4</v>
      </c>
    </row>
    <row r="168" spans="1:30" ht="16.5" customHeight="1" x14ac:dyDescent="0.45">
      <c r="A168" s="6" t="s">
        <v>156</v>
      </c>
      <c r="B168" s="7">
        <v>48.93</v>
      </c>
      <c r="C168" s="8">
        <f>IFERROR(B168/B444, "NA")</f>
        <v>3.0795511697353817E-4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-48.93</v>
      </c>
      <c r="I168" s="8">
        <f>IFERROR(H168/H444, "NA")</f>
        <v>-3.8199106891921047E-2</v>
      </c>
      <c r="J168" s="9"/>
      <c r="K168" s="7">
        <v>47.6</v>
      </c>
      <c r="L168" s="8">
        <f>IFERROR(K168/K444, "NA")</f>
        <v>3.2467062983101031E-4</v>
      </c>
      <c r="M168" s="9"/>
      <c r="N168" s="10">
        <f t="shared" si="41"/>
        <v>-1.3299999999999983</v>
      </c>
      <c r="O168" s="8">
        <f>IFERROR(N168/N444, "NA")</f>
        <v>-1.0833556656650354E-4</v>
      </c>
      <c r="P168" s="9"/>
      <c r="Q168" s="7">
        <v>434.46</v>
      </c>
      <c r="R168" s="8">
        <f>IFERROR(Q168/Q444, "NA")</f>
        <v>3.0373064791984559E-4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-434.46</v>
      </c>
      <c r="X168" s="8">
        <f>IFERROR(W168/W444, "NA")</f>
        <v>-3.6588382215954288E-3</v>
      </c>
      <c r="Y168" s="9"/>
      <c r="Z168" s="7">
        <v>431.5</v>
      </c>
      <c r="AA168" s="8">
        <f>IFERROR(Z168/Z444, "NA")</f>
        <v>3.6371033633420072E-4</v>
      </c>
      <c r="AB168" s="9"/>
      <c r="AC168" s="10">
        <f t="shared" si="43"/>
        <v>-2.9599999999999795</v>
      </c>
      <c r="AD168" s="8">
        <f>IFERROR(AC168/AC444, "NA")</f>
        <v>-1.2129732736911003E-5</v>
      </c>
    </row>
    <row r="169" spans="1:30" ht="16.5" customHeight="1" x14ac:dyDescent="0.45">
      <c r="A169" s="6" t="s">
        <v>157</v>
      </c>
      <c r="B169" s="7">
        <v>-1855.42</v>
      </c>
      <c r="C169" s="8">
        <f>IFERROR(B169/B444, "NA")</f>
        <v>-1.1677622790415742E-2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1855.42</v>
      </c>
      <c r="I169" s="8">
        <f>IFERROR(H169/H444, "NA")</f>
        <v>1.448505761483919</v>
      </c>
      <c r="J169" s="9"/>
      <c r="K169" s="7">
        <v>-6695.57</v>
      </c>
      <c r="L169" s="8">
        <f>IFERROR(K169/K444, "NA")</f>
        <v>-4.5669221197008773E-2</v>
      </c>
      <c r="M169" s="9"/>
      <c r="N169" s="10">
        <f t="shared" si="41"/>
        <v>-4840.1499999999996</v>
      </c>
      <c r="O169" s="8">
        <f>IFERROR(N169/N444, "NA")</f>
        <v>-0.39425593422320504</v>
      </c>
      <c r="P169" s="9"/>
      <c r="Q169" s="7">
        <v>-18073.68</v>
      </c>
      <c r="R169" s="8">
        <f>IFERROR(Q169/Q444, "NA")</f>
        <v>-1.2635295623753522E-2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18073.68</v>
      </c>
      <c r="X169" s="8">
        <f>IFERROR(W169/W444, "NA")</f>
        <v>0.15220888272541747</v>
      </c>
      <c r="Y169" s="9"/>
      <c r="Z169" s="7">
        <v>-23237.63</v>
      </c>
      <c r="AA169" s="8">
        <f>IFERROR(Z169/Z444, "NA")</f>
        <v>-1.9586943737913587E-2</v>
      </c>
      <c r="AB169" s="9"/>
      <c r="AC169" s="10">
        <f t="shared" si="43"/>
        <v>-5163.9500000000007</v>
      </c>
      <c r="AD169" s="8">
        <f>IFERROR(AC169/AC444, "NA")</f>
        <v>-2.1161261272558112E-2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5260.7</v>
      </c>
      <c r="C170" s="15">
        <f>IFERROR(B170/B444, "NA")</f>
        <v>3.3109738071994528E-2</v>
      </c>
      <c r="D170" s="2"/>
      <c r="E170" s="14">
        <f>IFERROR(E151+E153+E154+E155+E156+E157+E160+E161+E162+E163+E164+E165+E167+E168+E169, "NA")</f>
        <v>2679.3</v>
      </c>
      <c r="F170" s="15">
        <f>IFERROR(E170/E444, "NA")</f>
        <v>1.7000001332437682E-2</v>
      </c>
      <c r="G170" s="2"/>
      <c r="H170" s="14">
        <f t="shared" si="40"/>
        <v>-2581.3999999999996</v>
      </c>
      <c r="I170" s="15">
        <f>IFERROR(H170/H444, "NA")</f>
        <v>-2.0152702744901898</v>
      </c>
      <c r="J170" s="2"/>
      <c r="K170" s="14">
        <f>IFERROR(K151+K153+K154+K155+K156+K157+K160+K161+K162+K163+K164+K165+K167+K168+K169, "NA")</f>
        <v>285.7400000000016</v>
      </c>
      <c r="L170" s="15">
        <f>IFERROR(K170/K444, "NA")</f>
        <v>1.9489786926032229E-3</v>
      </c>
      <c r="M170" s="2"/>
      <c r="N170" s="14">
        <f t="shared" si="41"/>
        <v>-4974.9599999999982</v>
      </c>
      <c r="O170" s="15">
        <f>IFERROR(N170/N444, "NA")</f>
        <v>-0.40523692499676156</v>
      </c>
      <c r="P170" s="2"/>
      <c r="Q170" s="14">
        <f>IFERROR(Q151+Q153+Q154+Q155+Q156+Q157+Q160+Q161+Q162+Q163+Q164+Q165+Q167+Q168+Q169, "NA")</f>
        <v>45662.080000000002</v>
      </c>
      <c r="R170" s="15">
        <f>IFERROR(Q170/Q444, "NA")</f>
        <v>3.1922324595515868E-2</v>
      </c>
      <c r="S170" s="2"/>
      <c r="T170" s="14">
        <f>IFERROR(T151+T153+T154+T155+T156+T157+T160+T161+T162+T163+T164+T165+T167+T168+T169, "NA")</f>
        <v>24036.47</v>
      </c>
      <c r="U170" s="15">
        <f>IFERROR(T170/T444, "NA")</f>
        <v>1.8325096235560129E-2</v>
      </c>
      <c r="V170" s="2"/>
      <c r="W170" s="14">
        <f t="shared" si="42"/>
        <v>-21625.61</v>
      </c>
      <c r="X170" s="15">
        <f>IFERROR(W170/W444, "NA")</f>
        <v>-0.18212173372305007</v>
      </c>
      <c r="Y170" s="2"/>
      <c r="Z170" s="14">
        <f>IFERROR(Z151+Z153+Z154+Z155+Z156+Z157+Z160+Z161+Z162+Z163+Z164+Z165+Z167+Z168+Z169, "NA")</f>
        <v>36747.619999999995</v>
      </c>
      <c r="AA170" s="15">
        <f>IFERROR(Z170/Z444, "NA")</f>
        <v>3.0974482571683427E-2</v>
      </c>
      <c r="AB170" s="2"/>
      <c r="AC170" s="14">
        <f t="shared" si="43"/>
        <v>-8914.4600000000064</v>
      </c>
      <c r="AD170" s="15">
        <f>IFERROR(AC170/AC444, "NA")</f>
        <v>-3.653041124793395E-2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42940.26999999999</v>
      </c>
      <c r="C171" s="15">
        <f>IFERROR(B171/B444, "NA")</f>
        <v>0.27025701759095255</v>
      </c>
      <c r="D171" s="2"/>
      <c r="E171" s="14">
        <f>IFERROR(E127+E129+E130+E131+E132+E133+E134+E135+E136+E137+E138+E139+E140+E143+E144+E145+E146+E147+E151+E153+E154+E155+E156+E157+E160+E161+E162+E163+E164+E165+E167+E168+E169, "NA")</f>
        <v>36564.560000000005</v>
      </c>
      <c r="F171" s="15">
        <f>IFERROR(E171/E444, "NA")</f>
        <v>0.23199998832530797</v>
      </c>
      <c r="G171" s="2"/>
      <c r="H171" s="14">
        <f t="shared" si="40"/>
        <v>-6375.7099999999846</v>
      </c>
      <c r="I171" s="15">
        <f>IFERROR(H171/H444, "NA")</f>
        <v>-4.9774458982605632</v>
      </c>
      <c r="J171" s="2"/>
      <c r="K171" s="14">
        <f>IFERROR(K127+K129+K130+K131+K132+K133+K134+K135+K136+K137+K138+K139+K140+K143+K144+K145+K146+K147+K151+K153+K154+K155+K156+K157+K160+K161+K162+K163+K164+K165+K167+K168+K169, "NA")</f>
        <v>34669.689999999995</v>
      </c>
      <c r="L171" s="15">
        <f>IFERROR(K171/K444, "NA")</f>
        <v>0.23647542202407307</v>
      </c>
      <c r="M171" s="2"/>
      <c r="N171" s="14">
        <f t="shared" si="41"/>
        <v>-8270.5799999999945</v>
      </c>
      <c r="O171" s="15">
        <f>IFERROR(N171/N444, "NA")</f>
        <v>-0.67368268431097245</v>
      </c>
      <c r="P171" s="2"/>
      <c r="Q171" s="14">
        <f>IFERROR(Q127+Q129+Q130+Q131+Q132+Q133+Q134+Q135+Q136+Q137+Q138+Q139+Q140+Q143+Q144+Q145+Q146+Q147+Q151+Q153+Q154+Q155+Q156+Q157+Q160+Q161+Q162+Q163+Q164+Q165+Q167+Q168+Q169, "NA")</f>
        <v>389063.54000000004</v>
      </c>
      <c r="R171" s="15">
        <f>IFERROR(Q171/Q444, "NA")</f>
        <v>0.27199401805963447</v>
      </c>
      <c r="S171" s="2"/>
      <c r="T171" s="14">
        <f>IFERROR(T127+T129+T130+T131+T132+T133+T134+T135+T136+T137+T138+T139+T140+T143+T144+T145+T146+T147+T151+T153+T154+T155+T156+T157+T160+T161+T162+T163+T164+T165+T167+T168+T169, "NA")</f>
        <v>314050.93000000005</v>
      </c>
      <c r="U171" s="15">
        <f>IFERROR(T171/T444, "NA")</f>
        <v>0.23942839839282384</v>
      </c>
      <c r="V171" s="2"/>
      <c r="W171" s="14">
        <f t="shared" si="42"/>
        <v>-75012.609999999986</v>
      </c>
      <c r="X171" s="15">
        <f>IFERROR(W171/W444, "NA")</f>
        <v>-0.63172445005209099</v>
      </c>
      <c r="Y171" s="2"/>
      <c r="Z171" s="14">
        <f>IFERROR(Z127+Z129+Z130+Z131+Z132+Z133+Z134+Z135+Z136+Z137+Z138+Z139+Z140+Z143+Z144+Z145+Z146+Z147+Z151+Z153+Z154+Z155+Z156+Z157+Z160+Z161+Z162+Z163+Z164+Z165+Z167+Z168+Z169, "NA")</f>
        <v>323651.63</v>
      </c>
      <c r="AA171" s="15">
        <f>IFERROR(Z171/Z444, "NA")</f>
        <v>0.27280519861509223</v>
      </c>
      <c r="AB171" s="2"/>
      <c r="AC171" s="14">
        <f t="shared" si="43"/>
        <v>-65411.910000000033</v>
      </c>
      <c r="AD171" s="15">
        <f>IFERROR(AC171/AC444, "NA")</f>
        <v>-0.26805033314556825</v>
      </c>
    </row>
    <row r="172" spans="1:30" ht="16.5" customHeight="1" x14ac:dyDescent="0.45">
      <c r="A172" s="22" t="s">
        <v>160</v>
      </c>
      <c r="B172" s="23">
        <f>IFERROR(B124-B171, "NA")</f>
        <v>115946.51999999996</v>
      </c>
      <c r="C172" s="24">
        <f>IFERROR(B172/B444, "NA")</f>
        <v>0.72974298240904711</v>
      </c>
      <c r="D172" s="25"/>
      <c r="E172" s="23">
        <f>IFERROR(E124-E171, "NA")</f>
        <v>121041.31000000003</v>
      </c>
      <c r="F172" s="24">
        <f>IFERROR(E172/E444, "NA")</f>
        <v>0.76800001167469223</v>
      </c>
      <c r="G172" s="25"/>
      <c r="H172" s="23">
        <f>IFERROR(B172-E172, "NA")</f>
        <v>-5094.7900000000664</v>
      </c>
      <c r="I172" s="24">
        <f>IFERROR(H172/H444, "NA")</f>
        <v>-3.9774458982606373</v>
      </c>
      <c r="J172" s="25"/>
      <c r="K172" s="23">
        <f>IFERROR(K124-K171, "NA")</f>
        <v>111940.42999999996</v>
      </c>
      <c r="L172" s="24">
        <f>IFERROR(K172/K444, "NA")</f>
        <v>0.76352457797592665</v>
      </c>
      <c r="M172" s="25"/>
      <c r="N172" s="23">
        <f>IFERROR(B172-K172, "NA")</f>
        <v>4006.0899999999965</v>
      </c>
      <c r="O172" s="24">
        <f>IFERROR(N172/N444, "NA")</f>
        <v>0.32631731568902578</v>
      </c>
      <c r="P172" s="25"/>
      <c r="Q172" s="23">
        <f>IFERROR(Q124-Q171, "NA")</f>
        <v>1041348.5799999991</v>
      </c>
      <c r="R172" s="24">
        <f>IFERROR(Q172/Q444, "NA")</f>
        <v>0.72800598194036492</v>
      </c>
      <c r="S172" s="25"/>
      <c r="T172" s="23">
        <f>IFERROR(T124-T171, "NA")</f>
        <v>997618.58</v>
      </c>
      <c r="U172" s="24">
        <f>IFERROR(T172/T444, "NA")</f>
        <v>0.76057160160717618</v>
      </c>
      <c r="V172" s="25"/>
      <c r="W172" s="23">
        <f>IFERROR(Q172-T172, "NA")</f>
        <v>43729.999999999185</v>
      </c>
      <c r="X172" s="24">
        <f>IFERROR(W172/W444, "NA")</f>
        <v>0.36827554994790118</v>
      </c>
      <c r="Y172" s="25"/>
      <c r="Z172" s="23">
        <f>IFERROR(Z124-Z171, "NA")</f>
        <v>862732.02999999991</v>
      </c>
      <c r="AA172" s="24">
        <f>IFERROR(Z172/Z444, "NA")</f>
        <v>0.72719480138490777</v>
      </c>
      <c r="AB172" s="25"/>
      <c r="AC172" s="23">
        <f>IFERROR(Q172-Z172, "NA")</f>
        <v>178616.54999999923</v>
      </c>
      <c r="AD172" s="24">
        <f>IFERROR(AC172/AC444, "NA")</f>
        <v>0.73194966685442786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6.342201261665617E-2</v>
      </c>
      <c r="D178" s="9"/>
      <c r="E178" s="7">
        <v>10307.69</v>
      </c>
      <c r="F178" s="8">
        <f>IFERROR(E178/E444, "NA")</f>
        <v>6.5401688401580477E-2</v>
      </c>
      <c r="G178" s="9"/>
      <c r="H178" s="10">
        <f t="shared" si="44"/>
        <v>230.77000000000044</v>
      </c>
      <c r="I178" s="8">
        <f>IFERROR(H178/H444, "NA")</f>
        <v>0.18015957280704348</v>
      </c>
      <c r="J178" s="9"/>
      <c r="K178" s="7">
        <v>4423.08</v>
      </c>
      <c r="L178" s="8">
        <f>IFERROR(K178/K444, "NA")</f>
        <v>3.0168995155313971E-2</v>
      </c>
      <c r="M178" s="9"/>
      <c r="N178" s="10">
        <f t="shared" si="45"/>
        <v>-5653.84</v>
      </c>
      <c r="O178" s="8">
        <f>IFERROR(N178/N444, "NA")</f>
        <v>-0.46053530802733922</v>
      </c>
      <c r="P178" s="9"/>
      <c r="Q178" s="7">
        <v>85378.82</v>
      </c>
      <c r="R178" s="8">
        <f>IFERROR(Q178/Q444, "NA")</f>
        <v>5.9688266623467927E-2</v>
      </c>
      <c r="S178" s="9"/>
      <c r="T178" s="7">
        <v>87615.38</v>
      </c>
      <c r="U178" s="8">
        <f>IFERROR(T178/T444, "NA")</f>
        <v>6.679684122565295E-2</v>
      </c>
      <c r="V178" s="9"/>
      <c r="W178" s="10">
        <f t="shared" si="46"/>
        <v>2236.5599999999977</v>
      </c>
      <c r="X178" s="8">
        <f>IFERROR(W178/W444, "NA")</f>
        <v>1.8835361627978327E-2</v>
      </c>
      <c r="Y178" s="9"/>
      <c r="Z178" s="7">
        <v>37596.18</v>
      </c>
      <c r="AA178" s="8">
        <f>IFERROR(Z178/Z444, "NA")</f>
        <v>3.1689731802273816E-2</v>
      </c>
      <c r="AB178" s="9"/>
      <c r="AC178" s="10">
        <f t="shared" si="47"/>
        <v>-47782.640000000007</v>
      </c>
      <c r="AD178" s="8">
        <f>IFERROR(AC178/AC444, "NA")</f>
        <v>-0.19580765292703961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26651.45</v>
      </c>
      <c r="C180" s="8">
        <f>IFERROR(B180/B444, "NA")</f>
        <v>0.16773861439330481</v>
      </c>
      <c r="D180" s="9"/>
      <c r="E180" s="7">
        <v>24901.73</v>
      </c>
      <c r="F180" s="8">
        <f>IFERROR(E180/E444, "NA")</f>
        <v>0.158000016116151</v>
      </c>
      <c r="G180" s="9"/>
      <c r="H180" s="10">
        <f t="shared" si="44"/>
        <v>-1749.7200000000012</v>
      </c>
      <c r="I180" s="8">
        <f>IFERROR(H180/H444, "NA")</f>
        <v>-1.3659869468819159</v>
      </c>
      <c r="J180" s="9"/>
      <c r="K180" s="7">
        <v>24885.31</v>
      </c>
      <c r="L180" s="8">
        <f>IFERROR(K180/K444, "NA")</f>
        <v>0.16973800989999874</v>
      </c>
      <c r="M180" s="9"/>
      <c r="N180" s="10">
        <f t="shared" si="45"/>
        <v>-1766.1399999999994</v>
      </c>
      <c r="O180" s="8">
        <f>IFERROR(N180/N444, "NA")</f>
        <v>-0.14386148686899602</v>
      </c>
      <c r="P180" s="9"/>
      <c r="Q180" s="7">
        <v>227991.56</v>
      </c>
      <c r="R180" s="8">
        <f>IFERROR(Q180/Q444, "NA")</f>
        <v>0.15938872218168842</v>
      </c>
      <c r="S180" s="9"/>
      <c r="T180" s="7">
        <v>212895.19</v>
      </c>
      <c r="U180" s="8">
        <f>IFERROR(T180/T444, "NA")</f>
        <v>0.16230856048487396</v>
      </c>
      <c r="V180" s="9"/>
      <c r="W180" s="10">
        <f t="shared" si="46"/>
        <v>-15096.369999999995</v>
      </c>
      <c r="X180" s="8">
        <f>IFERROR(W180/W444, "NA")</f>
        <v>-0.12713523814239877</v>
      </c>
      <c r="Y180" s="9"/>
      <c r="Z180" s="7">
        <v>216773.48</v>
      </c>
      <c r="AA180" s="8">
        <f>IFERROR(Z180/Z444, "NA")</f>
        <v>0.18271785705477436</v>
      </c>
      <c r="AB180" s="9"/>
      <c r="AC180" s="10">
        <f t="shared" si="47"/>
        <v>-11218.079999999987</v>
      </c>
      <c r="AD180" s="8">
        <f>IFERROR(AC180/AC444, "NA")</f>
        <v>-4.5970375750434923E-2</v>
      </c>
    </row>
    <row r="181" spans="1:30" ht="16.5" customHeight="1" x14ac:dyDescent="0.45">
      <c r="A181" s="12" t="s">
        <v>166</v>
      </c>
      <c r="B181" s="7">
        <v>507.57</v>
      </c>
      <c r="C181" s="8">
        <f>IFERROR(B181/B444, "NA")</f>
        <v>3.1945387026825829E-3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-507.57</v>
      </c>
      <c r="I181" s="8">
        <f>IFERROR(H181/H444, "NA")</f>
        <v>-0.3962542547543913</v>
      </c>
      <c r="J181" s="9"/>
      <c r="K181" s="7">
        <v>1425.89</v>
      </c>
      <c r="L181" s="8">
        <f>IFERROR(K181/K444, "NA")</f>
        <v>9.7257269825575497E-3</v>
      </c>
      <c r="M181" s="9"/>
      <c r="N181" s="10">
        <f t="shared" si="45"/>
        <v>918.32000000000016</v>
      </c>
      <c r="O181" s="8">
        <f>IFERROR(N181/N444, "NA")</f>
        <v>7.4802043225076442E-2</v>
      </c>
      <c r="P181" s="9"/>
      <c r="Q181" s="7">
        <v>5638.22</v>
      </c>
      <c r="R181" s="8">
        <f>IFERROR(Q181/Q444, "NA")</f>
        <v>3.9416752145528516E-3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-5638.22</v>
      </c>
      <c r="X181" s="8">
        <f>IFERROR(W181/W444, "NA")</f>
        <v>-4.7482702291957328E-2</v>
      </c>
      <c r="Y181" s="9"/>
      <c r="Z181" s="7">
        <v>5906.07</v>
      </c>
      <c r="AA181" s="8">
        <f>IFERROR(Z181/Z444, "NA")</f>
        <v>4.9782125286519877E-3</v>
      </c>
      <c r="AB181" s="9"/>
      <c r="AC181" s="10">
        <f t="shared" si="47"/>
        <v>267.84999999999945</v>
      </c>
      <c r="AD181" s="8">
        <f>IFERROR(AC181/AC444, "NA")</f>
        <v>1.0976178762100094E-3</v>
      </c>
    </row>
    <row r="182" spans="1:30" ht="16.5" customHeight="1" x14ac:dyDescent="0.45">
      <c r="A182" s="13" t="s">
        <v>167</v>
      </c>
      <c r="B182" s="14">
        <f>IFERROR(B177+B178+B179+B180+B181, "NA")</f>
        <v>37235.94</v>
      </c>
      <c r="C182" s="15">
        <f>IFERROR(B182/B444, "NA")</f>
        <v>0.23435516571264359</v>
      </c>
      <c r="D182" s="2"/>
      <c r="E182" s="14">
        <f>IFERROR(E177+E178+E179+E180+E181, "NA")</f>
        <v>35209.42</v>
      </c>
      <c r="F182" s="15">
        <f>IFERROR(E182/E444, "NA")</f>
        <v>0.22340170451773148</v>
      </c>
      <c r="G182" s="2"/>
      <c r="H182" s="14">
        <f t="shared" si="44"/>
        <v>-2026.5200000000041</v>
      </c>
      <c r="I182" s="15">
        <f>IFERROR(H182/H444, "NA")</f>
        <v>-1.5820816288292663</v>
      </c>
      <c r="J182" s="2"/>
      <c r="K182" s="14">
        <f>IFERROR(K177+K178+K179+K180+K181, "NA")</f>
        <v>30734.28</v>
      </c>
      <c r="L182" s="15">
        <f>IFERROR(K182/K444, "NA")</f>
        <v>0.20963273203787022</v>
      </c>
      <c r="M182" s="2"/>
      <c r="N182" s="14">
        <f t="shared" si="45"/>
        <v>-6501.6600000000035</v>
      </c>
      <c r="O182" s="15">
        <f>IFERROR(N182/N444, "NA")</f>
        <v>-0.52959475167125913</v>
      </c>
      <c r="P182" s="2"/>
      <c r="Q182" s="14">
        <f>IFERROR(Q177+Q178+Q179+Q180+Q181, "NA")</f>
        <v>319008.59999999998</v>
      </c>
      <c r="R182" s="15">
        <f>IFERROR(Q182/Q444, "NA")</f>
        <v>0.22301866401970918</v>
      </c>
      <c r="S182" s="2"/>
      <c r="T182" s="14">
        <f>IFERROR(T177+T178+T179+T180+T181, "NA")</f>
        <v>300510.57</v>
      </c>
      <c r="U182" s="15">
        <f>IFERROR(T182/T444, "NA")</f>
        <v>0.22910540171052693</v>
      </c>
      <c r="V182" s="2"/>
      <c r="W182" s="14">
        <f t="shared" si="46"/>
        <v>-18498.02999999997</v>
      </c>
      <c r="X182" s="15">
        <f>IFERROR(W182/W444, "NA")</f>
        <v>-0.15578257880637755</v>
      </c>
      <c r="Y182" s="2"/>
      <c r="Z182" s="14">
        <f>IFERROR(Z177+Z178+Z179+Z180+Z181, "NA")</f>
        <v>260275.73</v>
      </c>
      <c r="AA182" s="15">
        <f>IFERROR(Z182/Z444, "NA")</f>
        <v>0.21938580138570016</v>
      </c>
      <c r="AB182" s="2"/>
      <c r="AC182" s="14">
        <f t="shared" si="47"/>
        <v>-58732.869999999966</v>
      </c>
      <c r="AD182" s="15">
        <f>IFERROR(AC182/AC444, "NA")</f>
        <v>-0.2406804108012644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7.2378578483459823E-3</v>
      </c>
      <c r="D184" s="9"/>
      <c r="E184" s="7">
        <v>1150</v>
      </c>
      <c r="F184" s="8">
        <f>IFERROR(E184/E444, "NA")</f>
        <v>7.2966825410754055E-3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600</v>
      </c>
      <c r="L184" s="8">
        <f>IFERROR(K184/K444, "NA")</f>
        <v>4.0924869306429874E-3</v>
      </c>
      <c r="M184" s="9"/>
      <c r="N184" s="10">
        <f t="shared" si="45"/>
        <v>-550</v>
      </c>
      <c r="O184" s="8">
        <f>IFERROR(N184/N444, "NA")</f>
        <v>-4.4800422264343623E-2</v>
      </c>
      <c r="P184" s="9"/>
      <c r="Q184" s="7">
        <v>4100</v>
      </c>
      <c r="R184" s="8">
        <f>IFERROR(Q184/Q444, "NA")</f>
        <v>2.8663068095368207E-3</v>
      </c>
      <c r="S184" s="9"/>
      <c r="T184" s="7">
        <v>9200</v>
      </c>
      <c r="U184" s="8">
        <f>IFERROR(T184/T444, "NA")</f>
        <v>7.0139619239910521E-3</v>
      </c>
      <c r="V184" s="9"/>
      <c r="W184" s="10">
        <f t="shared" si="46"/>
        <v>5100</v>
      </c>
      <c r="X184" s="8">
        <f>IFERROR(W184/W444, "NA")</f>
        <v>4.2950041269936678E-2</v>
      </c>
      <c r="Y184" s="9"/>
      <c r="Z184" s="7">
        <v>2550</v>
      </c>
      <c r="AA184" s="8">
        <f>IFERROR(Z184/Z444, "NA")</f>
        <v>2.1493890096227391E-3</v>
      </c>
      <c r="AB184" s="9"/>
      <c r="AC184" s="10">
        <f t="shared" si="47"/>
        <v>-1550</v>
      </c>
      <c r="AD184" s="8">
        <f>IFERROR(AC184/AC444, "NA")</f>
        <v>-6.3517181561527653E-3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3549.23</v>
      </c>
      <c r="C186" s="8">
        <f>IFERROR(B186/B444, "NA")</f>
        <v>2.2338106270508706E-2</v>
      </c>
      <c r="D186" s="9"/>
      <c r="E186" s="7">
        <v>3626.55</v>
      </c>
      <c r="F186" s="8">
        <f>IFERROR(E186/E444, "NA")</f>
        <v>2.3010247016814794E-2</v>
      </c>
      <c r="G186" s="9"/>
      <c r="H186" s="10">
        <f t="shared" ref="H186:H197" si="48">IFERROR(-(B186-E186), "NA")</f>
        <v>77.320000000000164</v>
      </c>
      <c r="I186" s="8">
        <f>IFERROR(H186/H444, "NA")</f>
        <v>6.0362864191361984E-2</v>
      </c>
      <c r="J186" s="9"/>
      <c r="K186" s="7">
        <v>2812.33</v>
      </c>
      <c r="L186" s="8">
        <f>IFERROR(K186/K444, "NA")</f>
        <v>1.9182372949425319E-2</v>
      </c>
      <c r="M186" s="9"/>
      <c r="N186" s="10">
        <f t="shared" ref="N186:N197" si="49">IFERROR(-(B186-K186), "NA")</f>
        <v>-736.90000000000009</v>
      </c>
      <c r="O186" s="8">
        <f>IFERROR(N186/N444, "NA")</f>
        <v>-6.0024420302899673E-2</v>
      </c>
      <c r="P186" s="9"/>
      <c r="Q186" s="7">
        <v>32086.22</v>
      </c>
      <c r="R186" s="8">
        <f>IFERROR(Q186/Q444, "NA")</f>
        <v>2.2431451433730858E-2</v>
      </c>
      <c r="S186" s="9"/>
      <c r="T186" s="7">
        <v>34147.35</v>
      </c>
      <c r="U186" s="8">
        <f>IFERROR(T186/T444, "NA")</f>
        <v>2.6033501380999545E-2</v>
      </c>
      <c r="V186" s="9"/>
      <c r="W186" s="10">
        <f t="shared" ref="W186:W197" si="50">IFERROR(-(Q186-T186), "NA")</f>
        <v>2061.1299999999974</v>
      </c>
      <c r="X186" s="8">
        <f>IFERROR(W186/W444, "NA")</f>
        <v>1.7357964424059701E-2</v>
      </c>
      <c r="Y186" s="9"/>
      <c r="Z186" s="7">
        <v>26348.85</v>
      </c>
      <c r="AA186" s="8">
        <f>IFERROR(Z186/Z444, "NA")</f>
        <v>2.220938376713651E-2</v>
      </c>
      <c r="AB186" s="9"/>
      <c r="AC186" s="10">
        <f t="shared" ref="AC186:AC197" si="51">IFERROR(-(Q186-Z186), "NA")</f>
        <v>-5737.3700000000026</v>
      </c>
      <c r="AD186" s="8">
        <f>IFERROR(AC186/AC444, "NA")</f>
        <v>-2.3511069159720132E-2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3.3715906033297863E-8</v>
      </c>
      <c r="AB187" s="9"/>
      <c r="AC187" s="10">
        <f t="shared" si="51"/>
        <v>0.04</v>
      </c>
      <c r="AD187" s="8">
        <f>IFERROR(AC187/AC444, "NA")</f>
        <v>1.6391530725555524E-7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3549.23</v>
      </c>
      <c r="C193" s="15">
        <f>IFERROR(B193/B444, "NA")</f>
        <v>2.2338106270508706E-2</v>
      </c>
      <c r="D193" s="2"/>
      <c r="E193" s="14">
        <f>IFERROR(E186+E187+E188+E189+E190+E191+E192, "NA")</f>
        <v>3626.55</v>
      </c>
      <c r="F193" s="15">
        <f>IFERROR(E193/E444, "NA")</f>
        <v>2.3010247016814794E-2</v>
      </c>
      <c r="G193" s="2"/>
      <c r="H193" s="14">
        <f t="shared" si="48"/>
        <v>77.320000000000164</v>
      </c>
      <c r="I193" s="15">
        <f>IFERROR(H193/H444, "NA")</f>
        <v>6.0362864191361984E-2</v>
      </c>
      <c r="J193" s="2"/>
      <c r="K193" s="14">
        <f>IFERROR(K186+K187+K188+K189+K190+K191+K192, "NA")</f>
        <v>2812.33</v>
      </c>
      <c r="L193" s="15">
        <f>IFERROR(K193/K444, "NA")</f>
        <v>1.9182372949425319E-2</v>
      </c>
      <c r="M193" s="2"/>
      <c r="N193" s="14">
        <f t="shared" si="49"/>
        <v>-736.90000000000009</v>
      </c>
      <c r="O193" s="15">
        <f>IFERROR(N193/N444, "NA")</f>
        <v>-6.0024420302899673E-2</v>
      </c>
      <c r="P193" s="2"/>
      <c r="Q193" s="14">
        <f>IFERROR(Q186+Q187+Q188+Q189+Q190+Q191+Q192, "NA")</f>
        <v>32086.22</v>
      </c>
      <c r="R193" s="15">
        <f>IFERROR(Q193/Q444, "NA")</f>
        <v>2.2431451433730858E-2</v>
      </c>
      <c r="S193" s="2"/>
      <c r="T193" s="14">
        <f>IFERROR(T186+T187+T188+T189+T190+T191+T192, "NA")</f>
        <v>34147.35</v>
      </c>
      <c r="U193" s="15">
        <f>IFERROR(T193/T444, "NA")</f>
        <v>2.6033501380999545E-2</v>
      </c>
      <c r="V193" s="2"/>
      <c r="W193" s="14">
        <f t="shared" si="50"/>
        <v>2061.1299999999974</v>
      </c>
      <c r="X193" s="15">
        <f>IFERROR(W193/W444, "NA")</f>
        <v>1.7357964424059701E-2</v>
      </c>
      <c r="Y193" s="2"/>
      <c r="Z193" s="14">
        <f>IFERROR(Z186+Z187+Z188+Z189+Z190+Z191+Z192, "NA")</f>
        <v>26348.89</v>
      </c>
      <c r="AA193" s="15">
        <f>IFERROR(Z193/Z444, "NA")</f>
        <v>2.2209417483042546E-2</v>
      </c>
      <c r="AB193" s="2"/>
      <c r="AC193" s="14">
        <f t="shared" si="51"/>
        <v>-5737.3300000000017</v>
      </c>
      <c r="AD193" s="15">
        <f>IFERROR(AC193/AC444, "NA")</f>
        <v>-2.3510905244412874E-2</v>
      </c>
    </row>
    <row r="194" spans="1:30" ht="16.5" customHeight="1" x14ac:dyDescent="0.45">
      <c r="A194" s="6" t="s">
        <v>178</v>
      </c>
      <c r="B194" s="7">
        <v>250.16</v>
      </c>
      <c r="C194" s="8">
        <f>IFERROR(B194/B444, "NA")</f>
        <v>1.5744543646454181E-3</v>
      </c>
      <c r="D194" s="9"/>
      <c r="E194" s="7">
        <v>290.88</v>
      </c>
      <c r="F194" s="8">
        <f>IFERROR(E194/E444, "NA")</f>
        <v>1.8456165369982729E-3</v>
      </c>
      <c r="G194" s="9"/>
      <c r="H194" s="10">
        <f t="shared" si="48"/>
        <v>40.72</v>
      </c>
      <c r="I194" s="8">
        <f>IFERROR(H194/H444, "NA")</f>
        <v>3.1789651188208159E-2</v>
      </c>
      <c r="J194" s="9"/>
      <c r="K194" s="7">
        <v>237.44</v>
      </c>
      <c r="L194" s="8">
        <f>IFERROR(K194/K444, "NA")</f>
        <v>1.6195334946864513E-3</v>
      </c>
      <c r="M194" s="9"/>
      <c r="N194" s="10">
        <f t="shared" si="49"/>
        <v>-12.719999999999999</v>
      </c>
      <c r="O194" s="8">
        <f>IFERROR(N194/N444, "NA")</f>
        <v>-1.0361115840044561E-3</v>
      </c>
      <c r="P194" s="9"/>
      <c r="Q194" s="7">
        <v>2163.46</v>
      </c>
      <c r="R194" s="8">
        <f>IFERROR(Q194/Q444, "NA")</f>
        <v>1.512473202478178E-3</v>
      </c>
      <c r="S194" s="9"/>
      <c r="T194" s="7">
        <v>2477.69</v>
      </c>
      <c r="U194" s="8">
        <f>IFERROR(T194/T444, "NA")</f>
        <v>1.888959056462325E-3</v>
      </c>
      <c r="V194" s="9"/>
      <c r="W194" s="10">
        <f t="shared" si="50"/>
        <v>314.23</v>
      </c>
      <c r="X194" s="8">
        <f>IFERROR(W194/W444, "NA")</f>
        <v>2.6463120525984712E-3</v>
      </c>
      <c r="Y194" s="9"/>
      <c r="Z194" s="7">
        <v>1943.99</v>
      </c>
      <c r="AA194" s="8">
        <f>IFERROR(Z194/Z444, "NA")</f>
        <v>1.638584604241768E-3</v>
      </c>
      <c r="AB194" s="9"/>
      <c r="AC194" s="10">
        <f t="shared" si="51"/>
        <v>-219.47000000000003</v>
      </c>
      <c r="AD194" s="8">
        <f>IFERROR(AC194/AC444, "NA")</f>
        <v>-8.9936231208441778E-4</v>
      </c>
    </row>
    <row r="195" spans="1:30" ht="16.5" customHeight="1" x14ac:dyDescent="0.45">
      <c r="A195" s="6" t="s">
        <v>179</v>
      </c>
      <c r="B195" s="7">
        <v>209.07</v>
      </c>
      <c r="C195" s="8">
        <f>IFERROR(B195/B444, "NA")</f>
        <v>1.3158425568292995E-3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-209.07</v>
      </c>
      <c r="I195" s="8">
        <f>IFERROR(H195/H444, "NA")</f>
        <v>-0.16321862411391649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-209.07</v>
      </c>
      <c r="O195" s="8">
        <f>IFERROR(N195/N444, "NA")</f>
        <v>-1.7029862332375131E-2</v>
      </c>
      <c r="P195" s="9"/>
      <c r="Q195" s="7">
        <v>1563.72</v>
      </c>
      <c r="R195" s="8">
        <f>IFERROR(Q195/Q444, "NA")</f>
        <v>1.0931954351729065E-3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-1563.72</v>
      </c>
      <c r="X195" s="8">
        <f>IFERROR(W195/W444, "NA")</f>
        <v>-1.3168987947965761E-2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-1563.72</v>
      </c>
      <c r="AD195" s="8">
        <f>IFERROR(AC195/AC444, "NA")</f>
        <v>-6.4079411065414201E-3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42394.400000000009</v>
      </c>
      <c r="C196" s="15">
        <f>IFERROR(B196/B444, "NA")</f>
        <v>0.26682142675297305</v>
      </c>
      <c r="D196" s="2"/>
      <c r="E196" s="14">
        <f>IFERROR(E175+E177+E178+E179+E180+E181+E183+E184+E186+E187+E188+E189+E190+E191+E192+E194+E195, "NA")</f>
        <v>40276.85</v>
      </c>
      <c r="F196" s="15">
        <f>IFERROR(E196/E444, "NA")</f>
        <v>0.25555425061261994</v>
      </c>
      <c r="G196" s="2"/>
      <c r="H196" s="14">
        <f t="shared" si="48"/>
        <v>-2117.5500000000102</v>
      </c>
      <c r="I196" s="15">
        <f>IFERROR(H196/H444, "NA")</f>
        <v>-1.6531477375636177</v>
      </c>
      <c r="J196" s="2"/>
      <c r="K196" s="14">
        <f>IFERROR(K175+K177+K178+K179+K180+K181+K183+K184+K186+K187+K188+K189+K190+K191+K192+K194+K195, "NA")</f>
        <v>34384.050000000003</v>
      </c>
      <c r="L196" s="15">
        <f>IFERROR(K196/K444, "NA")</f>
        <v>0.23452712541262502</v>
      </c>
      <c r="M196" s="2"/>
      <c r="N196" s="14">
        <f t="shared" si="49"/>
        <v>-8010.3500000000058</v>
      </c>
      <c r="O196" s="15">
        <f>IFERROR(N196/N444, "NA")</f>
        <v>-0.65248556815488223</v>
      </c>
      <c r="P196" s="2"/>
      <c r="Q196" s="14">
        <f>IFERROR(Q175+Q177+Q178+Q179+Q180+Q181+Q183+Q184+Q186+Q187+Q188+Q189+Q190+Q191+Q192+Q194+Q195, "NA")</f>
        <v>358921.99999999994</v>
      </c>
      <c r="R196" s="15">
        <f>IFERROR(Q196/Q444, "NA")</f>
        <v>0.25092209090062795</v>
      </c>
      <c r="S196" s="2"/>
      <c r="T196" s="14">
        <f>IFERROR(T175+T177+T178+T179+T180+T181+T183+T184+T186+T187+T188+T189+T190+T191+T192+T194+T195, "NA")</f>
        <v>346335.61</v>
      </c>
      <c r="U196" s="15">
        <f>IFERROR(T196/T444, "NA")</f>
        <v>0.26404182407197985</v>
      </c>
      <c r="V196" s="2"/>
      <c r="W196" s="14">
        <f t="shared" si="50"/>
        <v>-12586.389999999956</v>
      </c>
      <c r="X196" s="15">
        <f>IFERROR(W196/W444, "NA")</f>
        <v>-0.10599724900774832</v>
      </c>
      <c r="Y196" s="2"/>
      <c r="Z196" s="14">
        <f>IFERROR(Z175+Z177+Z178+Z179+Z180+Z181+Z183+Z184+Z186+Z187+Z188+Z189+Z190+Z191+Z192+Z194+Z195, "NA")</f>
        <v>291118.60999999993</v>
      </c>
      <c r="AA196" s="15">
        <f>IFERROR(Z196/Z444, "NA")</f>
        <v>0.24538319248260715</v>
      </c>
      <c r="AB196" s="2"/>
      <c r="AC196" s="14">
        <f t="shared" si="51"/>
        <v>-67803.390000000014</v>
      </c>
      <c r="AD196" s="15">
        <f>IFERROR(AC196/AC444, "NA")</f>
        <v>-0.27785033762045608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42394.400000000009</v>
      </c>
      <c r="C197" s="15">
        <f>IFERROR(B197/B444, "NA")</f>
        <v>0.26682142675297305</v>
      </c>
      <c r="D197" s="2"/>
      <c r="E197" s="14">
        <f>IFERROR(E175+E177+E178+E179+E180+E181+E183+E184+E186+E187+E188+E189+E190+E191+E192+E194+E195, "NA")</f>
        <v>40276.85</v>
      </c>
      <c r="F197" s="15">
        <f>IFERROR(E197/E444, "NA")</f>
        <v>0.25555425061261994</v>
      </c>
      <c r="G197" s="2"/>
      <c r="H197" s="14">
        <f t="shared" si="48"/>
        <v>-2117.5500000000102</v>
      </c>
      <c r="I197" s="15">
        <f>IFERROR(H197/H444, "NA")</f>
        <v>-1.6531477375636177</v>
      </c>
      <c r="J197" s="2"/>
      <c r="K197" s="14">
        <f>IFERROR(K175+K177+K178+K179+K180+K181+K183+K184+K186+K187+K188+K189+K190+K191+K192+K194+K195, "NA")</f>
        <v>34384.050000000003</v>
      </c>
      <c r="L197" s="15">
        <f>IFERROR(K197/K444, "NA")</f>
        <v>0.23452712541262502</v>
      </c>
      <c r="M197" s="2"/>
      <c r="N197" s="14">
        <f t="shared" si="49"/>
        <v>-8010.3500000000058</v>
      </c>
      <c r="O197" s="15">
        <f>IFERROR(N197/N444, "NA")</f>
        <v>-0.65248556815488223</v>
      </c>
      <c r="P197" s="2"/>
      <c r="Q197" s="14">
        <f>IFERROR(Q175+Q177+Q178+Q179+Q180+Q181+Q183+Q184+Q186+Q187+Q188+Q189+Q190+Q191+Q192+Q194+Q195, "NA")</f>
        <v>358921.99999999994</v>
      </c>
      <c r="R197" s="15">
        <f>IFERROR(Q197/Q444, "NA")</f>
        <v>0.25092209090062795</v>
      </c>
      <c r="S197" s="2"/>
      <c r="T197" s="14">
        <f>IFERROR(T175+T177+T178+T179+T180+T181+T183+T184+T186+T187+T188+T189+T190+T191+T192+T194+T195, "NA")</f>
        <v>346335.61</v>
      </c>
      <c r="U197" s="15">
        <f>IFERROR(T197/T444, "NA")</f>
        <v>0.26404182407197985</v>
      </c>
      <c r="V197" s="2"/>
      <c r="W197" s="14">
        <f t="shared" si="50"/>
        <v>-12586.389999999956</v>
      </c>
      <c r="X197" s="15">
        <f>IFERROR(W197/W444, "NA")</f>
        <v>-0.10599724900774832</v>
      </c>
      <c r="Y197" s="2"/>
      <c r="Z197" s="14">
        <f>IFERROR(Z175+Z177+Z178+Z179+Z180+Z181+Z183+Z184+Z186+Z187+Z188+Z189+Z190+Z191+Z192+Z194+Z195, "NA")</f>
        <v>291118.60999999993</v>
      </c>
      <c r="AA197" s="15">
        <f>IFERROR(Z197/Z444, "NA")</f>
        <v>0.24538319248260715</v>
      </c>
      <c r="AB197" s="2"/>
      <c r="AC197" s="14">
        <f t="shared" si="51"/>
        <v>-67803.390000000014</v>
      </c>
      <c r="AD197" s="15">
        <f>IFERROR(AC197/AC444, "NA")</f>
        <v>-0.27785033762045608</v>
      </c>
    </row>
    <row r="198" spans="1:30" ht="16.5" customHeight="1" x14ac:dyDescent="0.45">
      <c r="A198" s="22" t="s">
        <v>181</v>
      </c>
      <c r="B198" s="23">
        <f>IFERROR(B172-B197, "NA")</f>
        <v>73552.119999999952</v>
      </c>
      <c r="C198" s="24">
        <f>IFERROR(B198/B444, "NA")</f>
        <v>0.46292155565607401</v>
      </c>
      <c r="D198" s="25"/>
      <c r="E198" s="23">
        <f>IFERROR(E172-E197, "NA")</f>
        <v>80764.460000000021</v>
      </c>
      <c r="F198" s="24">
        <f>IFERROR(E198/E444, "NA")</f>
        <v>0.51244576106207229</v>
      </c>
      <c r="G198" s="25"/>
      <c r="H198" s="23">
        <f>IFERROR(B198-E198, "NA")</f>
        <v>-7212.3400000000693</v>
      </c>
      <c r="I198" s="24">
        <f>IFERROR(H198/H444, "NA")</f>
        <v>-5.6305936358242494</v>
      </c>
      <c r="J198" s="25"/>
      <c r="K198" s="23">
        <f>IFERROR(K172-K197, "NA")</f>
        <v>77556.379999999961</v>
      </c>
      <c r="L198" s="24">
        <f>IFERROR(K198/K444, "NA")</f>
        <v>0.52899745256330166</v>
      </c>
      <c r="M198" s="25"/>
      <c r="N198" s="23">
        <f>IFERROR(B198-K198, "NA")</f>
        <v>-4004.2600000000093</v>
      </c>
      <c r="O198" s="24">
        <f>IFERROR(N198/N444, "NA")</f>
        <v>-0.3261682524658564</v>
      </c>
      <c r="P198" s="25"/>
      <c r="Q198" s="23">
        <f>IFERROR(Q172-Q197, "NA")</f>
        <v>682426.57999999914</v>
      </c>
      <c r="R198" s="24">
        <f>IFERROR(Q198/Q444, "NA")</f>
        <v>0.47708389103973692</v>
      </c>
      <c r="S198" s="25"/>
      <c r="T198" s="23">
        <f>IFERROR(T172-T197, "NA")</f>
        <v>651282.97</v>
      </c>
      <c r="U198" s="24">
        <f>IFERROR(T198/T444, "NA")</f>
        <v>0.49652977753519634</v>
      </c>
      <c r="V198" s="25"/>
      <c r="W198" s="23">
        <f>IFERROR(Q198-T198, "NA")</f>
        <v>31143.609999999171</v>
      </c>
      <c r="X198" s="24">
        <f>IFERROR(W198/W444, "NA")</f>
        <v>0.26227830094015236</v>
      </c>
      <c r="Y198" s="25"/>
      <c r="Z198" s="23">
        <f>IFERROR(Z172-Z197, "NA")</f>
        <v>571613.41999999993</v>
      </c>
      <c r="AA198" s="24">
        <f>IFERROR(Z198/Z444, "NA")</f>
        <v>0.48181160890230063</v>
      </c>
      <c r="AB198" s="25"/>
      <c r="AC198" s="23">
        <f>IFERROR(Q198-Z198, "NA")</f>
        <v>110813.15999999922</v>
      </c>
      <c r="AD198" s="24">
        <f>IFERROR(AC198/AC444, "NA")</f>
        <v>0.45409932923397184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2679.3</v>
      </c>
      <c r="F201" s="8">
        <f>IFERROR(E201/E444, "NA")</f>
        <v>1.7000001332437682E-2</v>
      </c>
      <c r="G201" s="9"/>
      <c r="H201" s="10">
        <f t="shared" ref="H201:H209" si="52">IFERROR(-(B201-E201), "NA")</f>
        <v>2679.3</v>
      </c>
      <c r="I201" s="8">
        <f>IFERROR(H201/H444, "NA")</f>
        <v>2.0916997158292268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22546.69</v>
      </c>
      <c r="U201" s="8">
        <f>IFERROR(T201/T444, "NA")</f>
        <v>1.7189307083916281E-2</v>
      </c>
      <c r="V201" s="9"/>
      <c r="W201" s="10">
        <f t="shared" ref="W201:W209" si="54">IFERROR(-(Q201-T201), "NA")</f>
        <v>22546.69</v>
      </c>
      <c r="X201" s="8">
        <f>IFERROR(W201/W444, "NA")</f>
        <v>0.189878679607935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1602.67</v>
      </c>
      <c r="C202" s="8">
        <f>IFERROR(B202/B444, "NA")</f>
        <v>1.0086867511137961E-2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-1602.67</v>
      </c>
      <c r="I202" s="8">
        <f>IFERROR(H202/H444, "NA")</f>
        <v>-1.2511866470973863</v>
      </c>
      <c r="J202" s="9"/>
      <c r="K202" s="7">
        <v>1121.8399999999999</v>
      </c>
      <c r="L202" s="8">
        <f>IFERROR(K202/K444, "NA")</f>
        <v>7.6518592304542143E-3</v>
      </c>
      <c r="M202" s="9"/>
      <c r="N202" s="10">
        <f t="shared" si="53"/>
        <v>-480.83000000000015</v>
      </c>
      <c r="O202" s="8">
        <f>IFERROR(N202/N444, "NA")</f>
        <v>-3.9166158249753363E-2</v>
      </c>
      <c r="P202" s="9"/>
      <c r="Q202" s="7">
        <v>12366.63</v>
      </c>
      <c r="R202" s="8">
        <f>IFERROR(Q202/Q444, "NA")</f>
        <v>8.645501409761544E-3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-12366.63</v>
      </c>
      <c r="X202" s="8">
        <f>IFERROR(W202/W444, "NA")</f>
        <v>-0.10414652330785039</v>
      </c>
      <c r="Y202" s="9"/>
      <c r="Z202" s="7">
        <v>9428.0400000000009</v>
      </c>
      <c r="AA202" s="8">
        <f>IFERROR(Z202/Z444, "NA")</f>
        <v>7.9468727679543414E-3</v>
      </c>
      <c r="AB202" s="9"/>
      <c r="AC202" s="10">
        <f t="shared" si="55"/>
        <v>-2938.5899999999983</v>
      </c>
      <c r="AD202" s="8">
        <f>IFERROR(AC202/AC444, "NA")</f>
        <v>-1.2041997068702544E-2</v>
      </c>
    </row>
    <row r="203" spans="1:30" ht="16.5" customHeight="1" x14ac:dyDescent="0.45">
      <c r="A203" s="6" t="s">
        <v>185</v>
      </c>
      <c r="B203" s="7">
        <v>1057.5999999999999</v>
      </c>
      <c r="C203" s="8">
        <f>IFERROR(B203/B444, "NA")</f>
        <v>6.6563117047049652E-3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-1057.5999999999999</v>
      </c>
      <c r="I203" s="8">
        <f>IFERROR(H203/H444, "NA")</f>
        <v>-0.82565655934796034</v>
      </c>
      <c r="J203" s="9"/>
      <c r="K203" s="7">
        <v>825.73</v>
      </c>
      <c r="L203" s="8">
        <f>IFERROR(K203/K444, "NA")</f>
        <v>5.6321487220663893E-3</v>
      </c>
      <c r="M203" s="9"/>
      <c r="N203" s="10">
        <f t="shared" si="53"/>
        <v>-231.86999999999989</v>
      </c>
      <c r="O203" s="8">
        <f>IFERROR(N203/N444, "NA")</f>
        <v>-1.8887043473515185E-2</v>
      </c>
      <c r="P203" s="9"/>
      <c r="Q203" s="7">
        <v>11509.9</v>
      </c>
      <c r="R203" s="8">
        <f>IFERROR(Q203/Q444, "NA")</f>
        <v>8.046562133436061E-3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-11509.9</v>
      </c>
      <c r="X203" s="8">
        <f>IFERROR(W203/W444, "NA")</f>
        <v>-9.69315058848714E-2</v>
      </c>
      <c r="Y203" s="9"/>
      <c r="Z203" s="7">
        <v>7124.2</v>
      </c>
      <c r="AA203" s="8">
        <f>IFERROR(Z203/Z444, "NA")</f>
        <v>6.0049714440605162E-3</v>
      </c>
      <c r="AB203" s="9"/>
      <c r="AC203" s="10">
        <f t="shared" si="55"/>
        <v>-4385.7</v>
      </c>
      <c r="AD203" s="8">
        <f>IFERROR(AC203/AC444, "NA")</f>
        <v>-1.7972084075767215E-2</v>
      </c>
    </row>
    <row r="204" spans="1:30" ht="16.5" customHeight="1" x14ac:dyDescent="0.45">
      <c r="A204" s="6" t="s">
        <v>186</v>
      </c>
      <c r="B204" s="7">
        <v>354.51</v>
      </c>
      <c r="C204" s="8">
        <f>IFERROR(B204/B444, "NA")</f>
        <v>2.2312112920148991E-3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-354.51</v>
      </c>
      <c r="I204" s="8">
        <f>IFERROR(H204/H444, "NA")</f>
        <v>-0.27676201480185841</v>
      </c>
      <c r="J204" s="9"/>
      <c r="K204" s="7">
        <v>53.29</v>
      </c>
      <c r="L204" s="8">
        <f>IFERROR(K204/K444, "NA")</f>
        <v>3.6348104755660798E-4</v>
      </c>
      <c r="M204" s="9"/>
      <c r="N204" s="10">
        <f t="shared" si="53"/>
        <v>-301.21999999999997</v>
      </c>
      <c r="O204" s="8">
        <f>IFERROR(N204/N444, "NA")</f>
        <v>-2.4535969444482882E-2</v>
      </c>
      <c r="P204" s="9"/>
      <c r="Q204" s="7">
        <v>1952.07</v>
      </c>
      <c r="R204" s="8">
        <f>IFERROR(Q204/Q444, "NA")</f>
        <v>1.3646906179737904E-3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-1952.07</v>
      </c>
      <c r="X204" s="8">
        <f>IFERROR(W204/W444, "NA")</f>
        <v>-1.6439507267020644E-2</v>
      </c>
      <c r="Y204" s="9"/>
      <c r="Z204" s="7">
        <v>1800.92</v>
      </c>
      <c r="AA204" s="8">
        <f>IFERROR(Z204/Z444, "NA")</f>
        <v>1.5179912373371699E-3</v>
      </c>
      <c r="AB204" s="9"/>
      <c r="AC204" s="10">
        <f t="shared" si="55"/>
        <v>-151.14999999999986</v>
      </c>
      <c r="AD204" s="8">
        <f>IFERROR(AC204/AC444, "NA")</f>
        <v>-6.1939496729192874E-4</v>
      </c>
    </row>
    <row r="205" spans="1:30" ht="16.5" customHeight="1" x14ac:dyDescent="0.45">
      <c r="A205" s="6" t="s">
        <v>187</v>
      </c>
      <c r="B205" s="7">
        <v>368.83</v>
      </c>
      <c r="C205" s="8">
        <f>IFERROR(B205/B444, "NA")</f>
        <v>2.3213383567003902E-3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-368.83</v>
      </c>
      <c r="I205" s="8">
        <f>IFERROR(H205/H444, "NA")</f>
        <v>-0.28794147956156224</v>
      </c>
      <c r="J205" s="9"/>
      <c r="K205" s="7">
        <v>570.89</v>
      </c>
      <c r="L205" s="8">
        <f>IFERROR(K205/K444, "NA")</f>
        <v>3.8939331063912916E-3</v>
      </c>
      <c r="M205" s="9"/>
      <c r="N205" s="10">
        <f t="shared" si="53"/>
        <v>202.06</v>
      </c>
      <c r="O205" s="8">
        <f>IFERROR(N205/N444, "NA")</f>
        <v>1.645886058678777E-2</v>
      </c>
      <c r="P205" s="9"/>
      <c r="Q205" s="7">
        <v>5739.27</v>
      </c>
      <c r="R205" s="8">
        <f>IFERROR(Q205/Q444, "NA")</f>
        <v>4.0123191909196068E-3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-5739.27</v>
      </c>
      <c r="X205" s="8">
        <f>IFERROR(W205/W444, "NA")</f>
        <v>-4.8333702619472452E-2</v>
      </c>
      <c r="Y205" s="9"/>
      <c r="Z205" s="7">
        <v>4329.8</v>
      </c>
      <c r="AA205" s="8">
        <f>IFERROR(Z205/Z444, "NA")</f>
        <v>3.6495782485743275E-3</v>
      </c>
      <c r="AB205" s="9"/>
      <c r="AC205" s="10">
        <f t="shared" si="55"/>
        <v>-1409.4700000000003</v>
      </c>
      <c r="AD205" s="8">
        <f>IFERROR(AC205/AC444, "NA")</f>
        <v>-5.7758427029371865E-3</v>
      </c>
    </row>
    <row r="206" spans="1:30" ht="16.5" customHeight="1" x14ac:dyDescent="0.45">
      <c r="A206" s="6" t="s">
        <v>188</v>
      </c>
      <c r="B206" s="7">
        <v>128.16999999999999</v>
      </c>
      <c r="C206" s="8">
        <f>IFERROR(B206/B444, "NA")</f>
        <v>8.0667499167174305E-4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-128.16999999999999</v>
      </c>
      <c r="I206" s="8">
        <f>IFERROR(H206/H444, "NA")</f>
        <v>-0.10006089373262866</v>
      </c>
      <c r="J206" s="9"/>
      <c r="K206" s="7">
        <v>379.32</v>
      </c>
      <c r="L206" s="8">
        <f>IFERROR(K206/K444, "NA")</f>
        <v>2.5872702375524964E-3</v>
      </c>
      <c r="M206" s="9"/>
      <c r="N206" s="10">
        <f t="shared" si="53"/>
        <v>251.15</v>
      </c>
      <c r="O206" s="8">
        <f>IFERROR(N206/N444, "NA")</f>
        <v>2.0457501912163455E-2</v>
      </c>
      <c r="P206" s="9"/>
      <c r="Q206" s="7">
        <v>1385.21</v>
      </c>
      <c r="R206" s="8">
        <f>IFERROR(Q206/Q444, "NA")</f>
        <v>9.6839923308256084E-4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-1385.21</v>
      </c>
      <c r="X206" s="8">
        <f>IFERROR(W206/W444, "NA")</f>
        <v>-1.1665652287750782E-2</v>
      </c>
      <c r="Y206" s="9"/>
      <c r="Z206" s="7">
        <v>853.07</v>
      </c>
      <c r="AA206" s="8">
        <f>IFERROR(Z206/Z444, "NA")</f>
        <v>7.1905069899563529E-4</v>
      </c>
      <c r="AB206" s="9"/>
      <c r="AC206" s="10">
        <f t="shared" si="55"/>
        <v>-532.14</v>
      </c>
      <c r="AD206" s="8">
        <f>IFERROR(AC206/AC444, "NA")</f>
        <v>-2.1806472900742788E-3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762.98</v>
      </c>
      <c r="R207" s="8">
        <f>IFERROR(Q207/Q444, "NA")</f>
        <v>5.3339872427814715E-4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-6.4254946055169191E-3</v>
      </c>
      <c r="Y207" s="9"/>
      <c r="Z207" s="7">
        <v>308.3</v>
      </c>
      <c r="AA207" s="8">
        <f>IFERROR(Z207/Z444, "NA")</f>
        <v>2.5986534575164332E-4</v>
      </c>
      <c r="AB207" s="9"/>
      <c r="AC207" s="10">
        <f t="shared" si="55"/>
        <v>-454.68</v>
      </c>
      <c r="AD207" s="8">
        <f>IFERROR(AC207/AC444, "NA")</f>
        <v>-1.8632252975738963E-3</v>
      </c>
    </row>
    <row r="208" spans="1:30" ht="16.5" customHeight="1" x14ac:dyDescent="0.45">
      <c r="A208" s="6" t="s">
        <v>190</v>
      </c>
      <c r="B208" s="7">
        <v>339.91</v>
      </c>
      <c r="C208" s="8">
        <f>IFERROR(B208/B444, "NA")</f>
        <v>2.1393219662880721E-3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-339.91</v>
      </c>
      <c r="I208" s="8">
        <f>IFERROR(H208/H444, "NA")</f>
        <v>-0.26536395715579164</v>
      </c>
      <c r="J208" s="9"/>
      <c r="K208" s="7">
        <v>331.22</v>
      </c>
      <c r="L208" s="8">
        <f>IFERROR(K208/K444, "NA")</f>
        <v>2.2591892019459504E-3</v>
      </c>
      <c r="M208" s="9"/>
      <c r="N208" s="10">
        <f t="shared" si="53"/>
        <v>-8.6899999999999977</v>
      </c>
      <c r="O208" s="8">
        <f>IFERROR(N208/N444, "NA")</f>
        <v>-7.0784667177662905E-4</v>
      </c>
      <c r="P208" s="9"/>
      <c r="Q208" s="7">
        <v>1681.47</v>
      </c>
      <c r="R208" s="8">
        <f>IFERROR(Q208/Q444, "NA")</f>
        <v>1.1755143685443605E-3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-1681.47</v>
      </c>
      <c r="X208" s="8">
        <f>IFERROR(W208/W444, "NA")</f>
        <v>-1.4160628606698122E-2</v>
      </c>
      <c r="Y208" s="9"/>
      <c r="Z208" s="7">
        <v>1890.5</v>
      </c>
      <c r="AA208" s="8">
        <f>IFERROR(Z208/Z444, "NA")</f>
        <v>1.5934980088987403E-3</v>
      </c>
      <c r="AB208" s="9"/>
      <c r="AC208" s="10">
        <f t="shared" si="55"/>
        <v>209.02999999999997</v>
      </c>
      <c r="AD208" s="8">
        <f>IFERROR(AC208/AC444, "NA")</f>
        <v>8.565804168907176E-4</v>
      </c>
    </row>
    <row r="209" spans="1:30" ht="16.5" customHeight="1" x14ac:dyDescent="0.45">
      <c r="A209" s="19" t="s">
        <v>191</v>
      </c>
      <c r="B209" s="14">
        <f>IFERROR(B201+B202+B203+B204+B205+B206+B207+B208, "NA")</f>
        <v>3851.6899999999996</v>
      </c>
      <c r="C209" s="15">
        <f>IFERROR(B209/B444, "NA")</f>
        <v>2.4241725822518028E-2</v>
      </c>
      <c r="D209" s="2"/>
      <c r="E209" s="14">
        <f>IFERROR(E201+E202+E203+E204+E205+E206+E207+E208, "NA")</f>
        <v>2679.3</v>
      </c>
      <c r="F209" s="15">
        <f>IFERROR(E209/E444, "NA")</f>
        <v>1.7000001332437682E-2</v>
      </c>
      <c r="G209" s="2"/>
      <c r="H209" s="14">
        <f t="shared" si="52"/>
        <v>-1172.3899999999994</v>
      </c>
      <c r="I209" s="15">
        <f>IFERROR(H209/H444, "NA")</f>
        <v>-0.91527183586796024</v>
      </c>
      <c r="J209" s="2"/>
      <c r="K209" s="14">
        <f>IFERROR(K201+K202+K203+K204+K205+K206+K207+K208, "NA")</f>
        <v>3282.29</v>
      </c>
      <c r="L209" s="15">
        <f>IFERROR(K209/K444, "NA")</f>
        <v>2.2387881545966951E-2</v>
      </c>
      <c r="M209" s="2"/>
      <c r="N209" s="14">
        <f t="shared" si="53"/>
        <v>-569.39999999999964</v>
      </c>
      <c r="O209" s="15">
        <f>IFERROR(N209/N444, "NA")</f>
        <v>-4.6380655340576803E-2</v>
      </c>
      <c r="P209" s="2"/>
      <c r="Q209" s="14">
        <f>IFERROR(Q201+Q202+Q203+Q204+Q205+Q206+Q207+Q208, "NA")</f>
        <v>35397.530000000006</v>
      </c>
      <c r="R209" s="15">
        <f>IFERROR(Q209/Q444, "NA")</f>
        <v>2.4746385677996075E-2</v>
      </c>
      <c r="S209" s="2"/>
      <c r="T209" s="14">
        <f>IFERROR(T201+T202+T203+T204+T205+T206+T207+T208, "NA")</f>
        <v>22546.69</v>
      </c>
      <c r="U209" s="15">
        <f>IFERROR(T209/T444, "NA")</f>
        <v>1.7189307083916281E-2</v>
      </c>
      <c r="V209" s="2"/>
      <c r="W209" s="14">
        <f t="shared" si="54"/>
        <v>-12850.840000000007</v>
      </c>
      <c r="X209" s="15">
        <f>IFERROR(W209/W444, "NA")</f>
        <v>-0.10822433497124576</v>
      </c>
      <c r="Y209" s="2"/>
      <c r="Z209" s="14">
        <f>IFERROR(Z201+Z202+Z203+Z204+Z205+Z206+Z207+Z208, "NA")</f>
        <v>25734.83</v>
      </c>
      <c r="AA209" s="15">
        <f>IFERROR(Z209/Z444, "NA")</f>
        <v>2.1691827751572374E-2</v>
      </c>
      <c r="AB209" s="2"/>
      <c r="AC209" s="14">
        <f t="shared" si="55"/>
        <v>-9662.7000000000044</v>
      </c>
      <c r="AD209" s="15">
        <f>IFERROR(AC209/AC444, "NA")</f>
        <v>-3.9596610985456353E-2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7518.06</v>
      </c>
      <c r="F213" s="8">
        <f>IFERROR(E213/E444, "NA")</f>
        <v>4.7701649691093362E-2</v>
      </c>
      <c r="G213" s="9"/>
      <c r="H213" s="10">
        <f t="shared" ref="H213:H227" si="56">IFERROR(-(B213-E213), "NA")</f>
        <v>7518.06</v>
      </c>
      <c r="I213" s="8">
        <f>IFERROR(H213/H444, "NA")</f>
        <v>5.8692658401773139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60836.88</v>
      </c>
      <c r="U213" s="8">
        <f>IFERROR(T213/T444, "NA")</f>
        <v>4.6381256510262252E-2</v>
      </c>
      <c r="V213" s="9"/>
      <c r="W213" s="10">
        <f t="shared" ref="W213:W227" si="58">IFERROR(-(Q213-T213), "NA")</f>
        <v>60836.88</v>
      </c>
      <c r="X213" s="8">
        <f>IFERROR(W213/W444, "NA")</f>
        <v>0.51234245230082065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924.05</v>
      </c>
      <c r="C214" s="8">
        <f>IFERROR(B214/B444, "NA")</f>
        <v>5.8157761258818301E-3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-924.05</v>
      </c>
      <c r="I214" s="8">
        <f>IFERROR(H214/H444, "NA")</f>
        <v>-0.72139555944164402</v>
      </c>
      <c r="J214" s="9"/>
      <c r="K214" s="7">
        <v>2940.02</v>
      </c>
      <c r="L214" s="8">
        <f>IFERROR(K214/K444, "NA")</f>
        <v>2.0053322376381657E-2</v>
      </c>
      <c r="M214" s="9"/>
      <c r="N214" s="10">
        <f t="shared" si="57"/>
        <v>2015.97</v>
      </c>
      <c r="O214" s="8">
        <f>IFERROR(N214/N444, "NA")</f>
        <v>0.16421146776772511</v>
      </c>
      <c r="P214" s="9"/>
      <c r="Q214" s="7">
        <v>32826.92</v>
      </c>
      <c r="R214" s="8">
        <f>IFERROR(Q214/Q444, "NA")</f>
        <v>2.2949274227346449E-2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-32826.92</v>
      </c>
      <c r="X214" s="8">
        <f>IFERROR(W214/W444, "NA")</f>
        <v>-0.2764544252480215</v>
      </c>
      <c r="Y214" s="9"/>
      <c r="Z214" s="7">
        <v>8441.01</v>
      </c>
      <c r="AA214" s="8">
        <f>IFERROR(Z214/Z444, "NA")</f>
        <v>7.1149074996531905E-3</v>
      </c>
      <c r="AB214" s="9"/>
      <c r="AC214" s="10">
        <f t="shared" si="59"/>
        <v>-24385.909999999996</v>
      </c>
      <c r="AD214" s="8">
        <f>IFERROR(AC214/AC444, "NA")</f>
        <v>-9.9930598258907904E-2</v>
      </c>
    </row>
    <row r="215" spans="1:30" ht="16.5" customHeight="1" x14ac:dyDescent="0.45">
      <c r="A215" s="12" t="s">
        <v>195</v>
      </c>
      <c r="B215" s="7">
        <v>888.95</v>
      </c>
      <c r="C215" s="8">
        <f>IFERROR(B215/B444, "NA")</f>
        <v>5.5948641167714447E-3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-888.95</v>
      </c>
      <c r="I215" s="8">
        <f>IFERROR(H215/H444, "NA")</f>
        <v>-0.69399337975829178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-888.95</v>
      </c>
      <c r="O215" s="8">
        <f>IFERROR(N215/N444, "NA")</f>
        <v>-7.2409700676160482E-2</v>
      </c>
      <c r="P215" s="9"/>
      <c r="Q215" s="7">
        <v>1059.6099999999999</v>
      </c>
      <c r="R215" s="8">
        <f>IFERROR(Q215/Q444, "NA")</f>
        <v>7.4077252645202683E-4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-1059.6099999999999</v>
      </c>
      <c r="X215" s="8">
        <f>IFERROR(W215/W444, "NA")</f>
        <v>-8.923586907850509E-3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-1059.6099999999999</v>
      </c>
      <c r="AD215" s="8">
        <f>IFERROR(AC215/AC444, "NA")</f>
        <v>-4.342157468026471E-3</v>
      </c>
    </row>
    <row r="216" spans="1:30" ht="16.5" customHeight="1" x14ac:dyDescent="0.45">
      <c r="A216" s="12" t="s">
        <v>196</v>
      </c>
      <c r="B216" s="7">
        <v>61</v>
      </c>
      <c r="C216" s="8">
        <f>IFERROR(B216/B444, "NA")</f>
        <v>3.8392115543400428E-4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-61</v>
      </c>
      <c r="I216" s="8">
        <f>IFERROR(H216/H444, "NA")</f>
        <v>-4.762202167192283E-2</v>
      </c>
      <c r="J216" s="9"/>
      <c r="K216" s="7">
        <v>39.42</v>
      </c>
      <c r="L216" s="8">
        <f>IFERROR(K216/K444, "NA")</f>
        <v>2.6887639134324425E-4</v>
      </c>
      <c r="M216" s="9"/>
      <c r="N216" s="10">
        <f t="shared" si="57"/>
        <v>-21.58</v>
      </c>
      <c r="O216" s="8">
        <f>IFERROR(N216/N444, "NA")</f>
        <v>-1.7578056590264279E-3</v>
      </c>
      <c r="P216" s="9"/>
      <c r="Q216" s="7">
        <v>672.89</v>
      </c>
      <c r="R216" s="8">
        <f>IFERROR(Q216/Q444, "NA")</f>
        <v>4.7041687538273931E-4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-672.89</v>
      </c>
      <c r="X216" s="8">
        <f>IFERROR(W216/W444, "NA")</f>
        <v>-5.6667947588485666E-3</v>
      </c>
      <c r="Y216" s="9"/>
      <c r="Z216" s="7">
        <v>39.42</v>
      </c>
      <c r="AA216" s="8">
        <f>IFERROR(Z216/Z444, "NA")</f>
        <v>3.3227025395815048E-5</v>
      </c>
      <c r="AB216" s="9"/>
      <c r="AC216" s="10">
        <f t="shared" si="59"/>
        <v>-633.47</v>
      </c>
      <c r="AD216" s="8">
        <f>IFERROR(AC216/AC444, "NA")</f>
        <v>-2.5958857421794143E-3</v>
      </c>
    </row>
    <row r="217" spans="1:30" ht="16.5" customHeight="1" x14ac:dyDescent="0.45">
      <c r="A217" s="12" t="s">
        <v>197</v>
      </c>
      <c r="B217" s="7">
        <v>709.89</v>
      </c>
      <c r="C217" s="8">
        <f>IFERROR(B217/B444, "NA")</f>
        <v>4.4678981808368079E-3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-709.89</v>
      </c>
      <c r="I217" s="8">
        <f>IFERROR(H217/H444, "NA")</f>
        <v>-0.5542032289292016</v>
      </c>
      <c r="J217" s="9"/>
      <c r="K217" s="7">
        <v>7972.17</v>
      </c>
      <c r="L217" s="8">
        <f>IFERROR(K217/K444, "NA")</f>
        <v>5.4376669223106841E-2</v>
      </c>
      <c r="M217" s="9"/>
      <c r="N217" s="10">
        <f t="shared" si="57"/>
        <v>7262.28</v>
      </c>
      <c r="O217" s="8">
        <f>IFERROR(N217/N444, "NA")</f>
        <v>0.5915512920034498</v>
      </c>
      <c r="P217" s="9"/>
      <c r="Q217" s="7">
        <v>29550.03</v>
      </c>
      <c r="R217" s="8">
        <f>IFERROR(Q217/Q444, "NA")</f>
        <v>2.0658402978296908E-2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-29550.03</v>
      </c>
      <c r="X217" s="8">
        <f>IFERROR(W217/W444, "NA")</f>
        <v>-0.24885784471134645</v>
      </c>
      <c r="Y217" s="9"/>
      <c r="Z217" s="7">
        <v>10356.23</v>
      </c>
      <c r="AA217" s="8">
        <f>IFERROR(Z217/Z444, "NA")</f>
        <v>8.729241938480509E-3</v>
      </c>
      <c r="AB217" s="9"/>
      <c r="AC217" s="10">
        <f t="shared" si="59"/>
        <v>-19193.8</v>
      </c>
      <c r="AD217" s="8">
        <f>IFERROR(AC217/AC444, "NA")</f>
        <v>-7.8653940610041898E-2</v>
      </c>
    </row>
    <row r="218" spans="1:30" ht="16.5" customHeight="1" x14ac:dyDescent="0.45">
      <c r="A218" s="13" t="s">
        <v>198</v>
      </c>
      <c r="B218" s="14">
        <f>IFERROR(B213+B214+B215+B216+B217, "NA")</f>
        <v>2583.89</v>
      </c>
      <c r="C218" s="15">
        <f>IFERROR(B218/B444, "NA")</f>
        <v>1.6262459578924086E-2</v>
      </c>
      <c r="D218" s="2"/>
      <c r="E218" s="14">
        <f>IFERROR(E213+E214+E215+E216+E217, "NA")</f>
        <v>7518.06</v>
      </c>
      <c r="F218" s="15">
        <f>IFERROR(E218/E444, "NA")</f>
        <v>4.7701649691093362E-2</v>
      </c>
      <c r="G218" s="2"/>
      <c r="H218" s="14">
        <f t="shared" si="56"/>
        <v>4934.17</v>
      </c>
      <c r="I218" s="15">
        <f>IFERROR(H218/H444, "NA")</f>
        <v>3.8520516503762536</v>
      </c>
      <c r="J218" s="2"/>
      <c r="K218" s="14">
        <f>IFERROR(K213+K214+K215+K216+K217, "NA")</f>
        <v>10951.61</v>
      </c>
      <c r="L218" s="15">
        <f>IFERROR(K218/K444, "NA")</f>
        <v>7.4698867990831738E-2</v>
      </c>
      <c r="M218" s="2"/>
      <c r="N218" s="14">
        <f t="shared" si="57"/>
        <v>8367.7200000000012</v>
      </c>
      <c r="O218" s="15">
        <f>IFERROR(N218/N444, "NA")</f>
        <v>0.68159525343598815</v>
      </c>
      <c r="P218" s="2"/>
      <c r="Q218" s="14">
        <f>IFERROR(Q213+Q214+Q215+Q216+Q217, "NA")</f>
        <v>64109.45</v>
      </c>
      <c r="R218" s="15">
        <f>IFERROR(Q218/Q444, "NA")</f>
        <v>4.4818866607478122E-2</v>
      </c>
      <c r="S218" s="2"/>
      <c r="T218" s="14">
        <f>IFERROR(T213+T214+T215+T216+T217, "NA")</f>
        <v>60836.88</v>
      </c>
      <c r="U218" s="15">
        <f>IFERROR(T218/T444, "NA")</f>
        <v>4.6381256510262252E-2</v>
      </c>
      <c r="V218" s="2"/>
      <c r="W218" s="14">
        <f t="shared" si="58"/>
        <v>-3272.5699999999997</v>
      </c>
      <c r="X218" s="15">
        <f>IFERROR(W218/W444, "NA")</f>
        <v>-2.7560199325246403E-2</v>
      </c>
      <c r="Y218" s="2"/>
      <c r="Z218" s="14">
        <f>IFERROR(Z213+Z214+Z215+Z216+Z217, "NA")</f>
        <v>18836.66</v>
      </c>
      <c r="AA218" s="15">
        <f>IFERROR(Z218/Z444, "NA")</f>
        <v>1.5877376463529515E-2</v>
      </c>
      <c r="AB218" s="2"/>
      <c r="AC218" s="14">
        <f t="shared" si="59"/>
        <v>-45272.789999999994</v>
      </c>
      <c r="AD218" s="15">
        <f>IFERROR(AC218/AC444, "NA")</f>
        <v>-0.18552258207915567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87.5</v>
      </c>
      <c r="C222" s="8">
        <f>IFERROR(B222/B444, "NA")</f>
        <v>5.5070657541762911E-4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-87.5</v>
      </c>
      <c r="I222" s="8">
        <f>IFERROR(H222/H444, "NA")</f>
        <v>-6.8310276988413896E-2</v>
      </c>
      <c r="J222" s="9"/>
      <c r="K222" s="7">
        <v>162.5</v>
      </c>
      <c r="L222" s="8">
        <f>IFERROR(K222/K444, "NA")</f>
        <v>1.1083818770491424E-3</v>
      </c>
      <c r="M222" s="9"/>
      <c r="N222" s="10">
        <f t="shared" si="57"/>
        <v>75</v>
      </c>
      <c r="O222" s="8">
        <f>IFERROR(N222/N444, "NA")</f>
        <v>6.1091484905923124E-3</v>
      </c>
      <c r="P222" s="9"/>
      <c r="Q222" s="7">
        <v>2267.15</v>
      </c>
      <c r="R222" s="8">
        <f>IFERROR(Q222/Q444, "NA")</f>
        <v>1.5849628007905861E-3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-2267.15</v>
      </c>
      <c r="X222" s="8">
        <f>IFERROR(W222/W444, "NA")</f>
        <v>-1.9092977659830774E-2</v>
      </c>
      <c r="Y222" s="9"/>
      <c r="Z222" s="7">
        <v>975</v>
      </c>
      <c r="AA222" s="8">
        <f>IFERROR(Z222/Z444, "NA")</f>
        <v>8.218252095616355E-4</v>
      </c>
      <c r="AB222" s="9"/>
      <c r="AC222" s="10">
        <f t="shared" si="59"/>
        <v>-1292.1500000000001</v>
      </c>
      <c r="AD222" s="8">
        <f>IFERROR(AC222/AC444, "NA")</f>
        <v>-5.2950791067566429E-3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157.61000000000001</v>
      </c>
      <c r="F226" s="8">
        <f>IFERROR(E226/E444, "NA")</f>
        <v>1.0000262046077346E-3</v>
      </c>
      <c r="G226" s="9"/>
      <c r="H226" s="10">
        <f t="shared" si="56"/>
        <v>157.61000000000001</v>
      </c>
      <c r="I226" s="8">
        <f>IFERROR(H226/H444, "NA")</f>
        <v>0.12304437435593045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1311.68</v>
      </c>
      <c r="U226" s="8">
        <f>IFERROR(T226/T444, "NA")</f>
        <v>1.0000079974413678E-3</v>
      </c>
      <c r="V226" s="9"/>
      <c r="W226" s="10">
        <f t="shared" si="58"/>
        <v>1311.68</v>
      </c>
      <c r="X226" s="8">
        <f>IFERROR(W226/W444, "NA")</f>
        <v>1.1046413751558929E-2</v>
      </c>
      <c r="Y226" s="9"/>
      <c r="Z226" s="7">
        <v>1067.28</v>
      </c>
      <c r="AA226" s="8">
        <f>IFERROR(Z226/Z444, "NA")</f>
        <v>8.9960780478045362E-4</v>
      </c>
      <c r="AB226" s="9"/>
      <c r="AC226" s="10">
        <f t="shared" si="59"/>
        <v>1067.28</v>
      </c>
      <c r="AD226" s="8">
        <f>IFERROR(AC226/AC444, "NA")</f>
        <v>4.3735882281927246E-3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2671.39</v>
      </c>
      <c r="C227" s="15">
        <f>IFERROR(B227/B444, "NA")</f>
        <v>1.6813166154341714E-2</v>
      </c>
      <c r="D227" s="2"/>
      <c r="E227" s="14">
        <f>IFERROR(E211+E213+E214+E215+E216+E217+E219+E220+E221+E222+E223+E224+E225+E226, "NA")</f>
        <v>7675.67</v>
      </c>
      <c r="F227" s="15">
        <f>IFERROR(E227/E444, "NA")</f>
        <v>4.8701675895701096E-2</v>
      </c>
      <c r="G227" s="2"/>
      <c r="H227" s="14">
        <f t="shared" si="56"/>
        <v>5004.2800000000007</v>
      </c>
      <c r="I227" s="15">
        <f>IFERROR(H227/H444, "NA")</f>
        <v>3.9067857477437706</v>
      </c>
      <c r="J227" s="2"/>
      <c r="K227" s="14">
        <f>IFERROR(K211+K213+K214+K215+K216+K217+K219+K220+K221+K222+K223+K224+K225+K226, "NA")</f>
        <v>11114.11</v>
      </c>
      <c r="L227" s="15">
        <f>IFERROR(K227/K444, "NA")</f>
        <v>7.5807249867880885E-2</v>
      </c>
      <c r="M227" s="2"/>
      <c r="N227" s="14">
        <f t="shared" si="57"/>
        <v>8442.7200000000012</v>
      </c>
      <c r="O227" s="15">
        <f>IFERROR(N227/N444, "NA")</f>
        <v>0.68770440192658044</v>
      </c>
      <c r="P227" s="2"/>
      <c r="Q227" s="14">
        <f>IFERROR(Q211+Q213+Q214+Q215+Q216+Q217+Q219+Q220+Q221+Q222+Q223+Q224+Q225+Q226, "NA")</f>
        <v>66376.599999999991</v>
      </c>
      <c r="R227" s="15">
        <f>IFERROR(Q227/Q444, "NA")</f>
        <v>4.6403829408268704E-2</v>
      </c>
      <c r="S227" s="2"/>
      <c r="T227" s="14">
        <f>IFERROR(T211+T213+T214+T215+T216+T217+T219+T220+T221+T222+T223+T224+T225+T226, "NA")</f>
        <v>62148.56</v>
      </c>
      <c r="U227" s="15">
        <f>IFERROR(T227/T444, "NA")</f>
        <v>4.7381264507703622E-2</v>
      </c>
      <c r="V227" s="2"/>
      <c r="W227" s="14">
        <f t="shared" si="58"/>
        <v>-4228.0399999999936</v>
      </c>
      <c r="X227" s="15">
        <f>IFERROR(W227/W444, "NA")</f>
        <v>-3.5606763233518197E-2</v>
      </c>
      <c r="Y227" s="2"/>
      <c r="Z227" s="14">
        <f>IFERROR(Z211+Z213+Z214+Z215+Z216+Z217+Z219+Z220+Z221+Z222+Z223+Z224+Z225+Z226, "NA")</f>
        <v>20878.939999999999</v>
      </c>
      <c r="AA227" s="15">
        <f>IFERROR(Z227/Z444, "NA")</f>
        <v>1.7598809477871603E-2</v>
      </c>
      <c r="AB227" s="2"/>
      <c r="AC227" s="14">
        <f t="shared" si="59"/>
        <v>-45497.659999999989</v>
      </c>
      <c r="AD227" s="15">
        <f>IFERROR(AC227/AC444, "NA")</f>
        <v>-0.18644407295771959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4688.7700000000004</v>
      </c>
      <c r="F229" s="8">
        <f>IFERROR(E229/E444, "NA")</f>
        <v>2.9749970607059247E-2</v>
      </c>
      <c r="G229" s="9"/>
      <c r="H229" s="10">
        <f t="shared" ref="H229:H236" si="60">IFERROR(-(B229-E229), "NA")</f>
        <v>4688.7700000000004</v>
      </c>
      <c r="I229" s="8">
        <f>IFERROR(H229/H444, "NA")</f>
        <v>3.6604705992567479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39022.160000000003</v>
      </c>
      <c r="U229" s="8">
        <f>IFERROR(T229/T444, "NA")</f>
        <v>2.9749993959987682E-2</v>
      </c>
      <c r="V229" s="9"/>
      <c r="W229" s="10">
        <f t="shared" ref="W229:W236" si="62">IFERROR(-(Q229-T229), "NA")</f>
        <v>39022.160000000003</v>
      </c>
      <c r="X229" s="8">
        <f>IFERROR(W229/W444, "NA")</f>
        <v>0.32862811420432791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2.5286929524973398E-5</v>
      </c>
      <c r="AB230" s="9"/>
      <c r="AC230" s="10">
        <f t="shared" si="63"/>
        <v>30</v>
      </c>
      <c r="AD230" s="8">
        <f>IFERROR(AC230/AC444, "NA")</f>
        <v>1.2293648044166641E-4</v>
      </c>
    </row>
    <row r="231" spans="1:30" ht="16.5" customHeight="1" x14ac:dyDescent="0.45">
      <c r="A231" s="6" t="s">
        <v>210</v>
      </c>
      <c r="B231" s="7">
        <v>0</v>
      </c>
      <c r="C231" s="8">
        <f>IFERROR(B231/B444, "NA")</f>
        <v>0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0</v>
      </c>
      <c r="I231" s="8">
        <f>IFERROR(H231/H444, "NA")</f>
        <v>0</v>
      </c>
      <c r="J231" s="9"/>
      <c r="K231" s="7">
        <v>379.52</v>
      </c>
      <c r="L231" s="8">
        <f>IFERROR(K231/K444, "NA")</f>
        <v>2.5886343998627105E-3</v>
      </c>
      <c r="M231" s="9"/>
      <c r="N231" s="10">
        <f t="shared" si="61"/>
        <v>379.52</v>
      </c>
      <c r="O231" s="8">
        <f>IFERROR(N231/N444, "NA")</f>
        <v>3.0913920468661257E-2</v>
      </c>
      <c r="P231" s="9"/>
      <c r="Q231" s="7">
        <v>2465.81</v>
      </c>
      <c r="R231" s="8">
        <f>IFERROR(Q231/Q444, "NA")</f>
        <v>1.7238458522009724E-3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-2465.81</v>
      </c>
      <c r="X231" s="8">
        <f>IFERROR(W231/W444, "NA")</f>
        <v>-2.0766008090945601E-2</v>
      </c>
      <c r="Y231" s="9"/>
      <c r="Z231" s="7">
        <v>3277.38</v>
      </c>
      <c r="AA231" s="8">
        <f>IFERROR(Z231/Z444, "NA")</f>
        <v>2.7624959028852438E-3</v>
      </c>
      <c r="AB231" s="9"/>
      <c r="AC231" s="10">
        <f t="shared" si="63"/>
        <v>811.57000000000016</v>
      </c>
      <c r="AD231" s="8">
        <f>IFERROR(AC231/AC444, "NA")</f>
        <v>3.3257186477347743E-3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390.34</v>
      </c>
      <c r="C233" s="8">
        <f>IFERROR(B233/B444, "NA")</f>
        <v>2.4567177674116266E-3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-390.34</v>
      </c>
      <c r="I233" s="8">
        <f>IFERROR(H233/H444, "NA")</f>
        <v>-0.30473409736751406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-390.34</v>
      </c>
      <c r="O233" s="8">
        <f>IFERROR(N233/N444, "NA")</f>
        <v>-3.1795266957570706E-2</v>
      </c>
      <c r="P233" s="9"/>
      <c r="Q233" s="7">
        <v>577.79</v>
      </c>
      <c r="R233" s="8">
        <f>IFERROR(Q233/Q444, "NA")</f>
        <v>4.039325393859218E-4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-577.79</v>
      </c>
      <c r="X233" s="8">
        <f>IFERROR(W233/W444, "NA")</f>
        <v>-4.865902812815041E-3</v>
      </c>
      <c r="Y233" s="9"/>
      <c r="Z233" s="7">
        <v>17</v>
      </c>
      <c r="AA233" s="8">
        <f>IFERROR(Z233/Z444, "NA")</f>
        <v>1.4329260064151593E-5</v>
      </c>
      <c r="AB233" s="9"/>
      <c r="AC233" s="10">
        <f t="shared" si="63"/>
        <v>-560.79</v>
      </c>
      <c r="AD233" s="8">
        <f>IFERROR(AC233/AC444, "NA")</f>
        <v>-2.2980516288960704E-3</v>
      </c>
    </row>
    <row r="234" spans="1:30" ht="16.5" customHeight="1" x14ac:dyDescent="0.45">
      <c r="A234" s="6" t="s">
        <v>213</v>
      </c>
      <c r="B234" s="7">
        <v>3295.67</v>
      </c>
      <c r="C234" s="8">
        <f>IFERROR(B234/B444, "NA")</f>
        <v>2.0742253021789916E-2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-3295.67</v>
      </c>
      <c r="I234" s="8">
        <f>IFERROR(H234/H444, "NA")</f>
        <v>-2.5728929207132119</v>
      </c>
      <c r="J234" s="9"/>
      <c r="K234" s="7">
        <v>3567.73</v>
      </c>
      <c r="L234" s="8">
        <f>IFERROR(K234/K444, "NA")</f>
        <v>2.4334813995104843E-2</v>
      </c>
      <c r="M234" s="9"/>
      <c r="N234" s="10">
        <f t="shared" si="61"/>
        <v>272.05999999999995</v>
      </c>
      <c r="O234" s="8">
        <f>IFERROR(N234/N444, "NA")</f>
        <v>2.2160732511340587E-2</v>
      </c>
      <c r="P234" s="9"/>
      <c r="Q234" s="7">
        <v>27849.06</v>
      </c>
      <c r="R234" s="8">
        <f>IFERROR(Q234/Q444, "NA")</f>
        <v>1.9469256174926706E-2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-27849.06</v>
      </c>
      <c r="X234" s="8">
        <f>IFERROR(W234/W444, "NA")</f>
        <v>-0.23453299535861624</v>
      </c>
      <c r="Y234" s="9"/>
      <c r="Z234" s="7">
        <v>30344.85</v>
      </c>
      <c r="AA234" s="8">
        <f>IFERROR(Z234/Z444, "NA")</f>
        <v>2.5577602779862967E-2</v>
      </c>
      <c r="AB234" s="9"/>
      <c r="AC234" s="10">
        <f t="shared" si="63"/>
        <v>2495.7899999999972</v>
      </c>
      <c r="AD234" s="8">
        <f>IFERROR(AC234/AC444, "NA")</f>
        <v>1.0227454617383542E-2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3686.01</v>
      </c>
      <c r="C236" s="15">
        <f>IFERROR(B236/B444, "NA")</f>
        <v>2.3198970789201544E-2</v>
      </c>
      <c r="D236" s="2"/>
      <c r="E236" s="14">
        <f>IFERROR(E229+E230+E231+E232+E233+E234+E235, "NA")</f>
        <v>4688.7700000000004</v>
      </c>
      <c r="F236" s="15">
        <f>IFERROR(E236/E444, "NA")</f>
        <v>2.9749970607059247E-2</v>
      </c>
      <c r="G236" s="2"/>
      <c r="H236" s="14">
        <f t="shared" si="60"/>
        <v>1002.7600000000002</v>
      </c>
      <c r="I236" s="15">
        <f>IFERROR(H236/H444, "NA")</f>
        <v>0.78284358117602204</v>
      </c>
      <c r="J236" s="2"/>
      <c r="K236" s="14">
        <f>IFERROR(K229+K230+K231+K232+K233+K234+K235, "NA")</f>
        <v>3947.25</v>
      </c>
      <c r="L236" s="15">
        <f>IFERROR(K236/K444, "NA")</f>
        <v>2.6923448394967551E-2</v>
      </c>
      <c r="M236" s="2"/>
      <c r="N236" s="14">
        <f t="shared" si="61"/>
        <v>261.23999999999978</v>
      </c>
      <c r="O236" s="15">
        <f>IFERROR(N236/N444, "NA")</f>
        <v>2.1279386022431124E-2</v>
      </c>
      <c r="P236" s="2"/>
      <c r="Q236" s="14">
        <f>IFERROR(Q229+Q230+Q231+Q232+Q233+Q234+Q235, "NA")</f>
        <v>30892.66</v>
      </c>
      <c r="R236" s="15">
        <f>IFERROR(Q236/Q444, "NA")</f>
        <v>2.1597034566513598E-2</v>
      </c>
      <c r="S236" s="2"/>
      <c r="T236" s="14">
        <f>IFERROR(T229+T230+T231+T232+T233+T234+T235, "NA")</f>
        <v>39022.160000000003</v>
      </c>
      <c r="U236" s="15">
        <f>IFERROR(T236/T444, "NA")</f>
        <v>2.9749993959987682E-2</v>
      </c>
      <c r="V236" s="2"/>
      <c r="W236" s="14">
        <f t="shared" si="62"/>
        <v>8129.5000000000036</v>
      </c>
      <c r="X236" s="15">
        <f>IFERROR(W236/W444, "NA")</f>
        <v>6.8463207941951057E-2</v>
      </c>
      <c r="Y236" s="2"/>
      <c r="Z236" s="14">
        <f>IFERROR(Z229+Z230+Z231+Z232+Z233+Z234+Z235, "NA")</f>
        <v>33669.229999999996</v>
      </c>
      <c r="AA236" s="15">
        <f>IFERROR(Z236/Z444, "NA")</f>
        <v>2.8379714872337335E-2</v>
      </c>
      <c r="AB236" s="2"/>
      <c r="AC236" s="14">
        <f t="shared" si="63"/>
        <v>2776.5699999999961</v>
      </c>
      <c r="AD236" s="15">
        <f>IFERROR(AC236/AC444, "NA")</f>
        <v>1.1378058116663908E-2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14384.69</v>
      </c>
      <c r="F240" s="8">
        <f>IFERROR(E240/E444, "NA")</f>
        <v>9.1270014245027814E-2</v>
      </c>
      <c r="G240" s="9"/>
      <c r="H240" s="10">
        <f t="shared" ref="H240:H263" si="64">IFERROR(-(B240-E240), "NA")</f>
        <v>14384.69</v>
      </c>
      <c r="I240" s="8">
        <f>IFERROR(H240/H444, "NA")</f>
        <v>11.229967523342486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120568.53</v>
      </c>
      <c r="U240" s="8">
        <f>IFERROR(T240/T444, "NA")</f>
        <v>9.1919899853431825E-2</v>
      </c>
      <c r="V240" s="9"/>
      <c r="W240" s="10">
        <f t="shared" ref="W240:W263" si="66">IFERROR(-(Q240-T240), "NA")</f>
        <v>120568.53</v>
      </c>
      <c r="X240" s="8">
        <f>IFERROR(W240/W444, "NA")</f>
        <v>1.0153771253638428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1907.77</v>
      </c>
      <c r="C242" s="8">
        <f>IFERROR(B242/B444, "NA")</f>
        <v>1.2007102667251317E-2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-1907.77</v>
      </c>
      <c r="I242" s="8">
        <f>IFERROR(H242/H444, "NA")</f>
        <v>-1.4893748243449871</v>
      </c>
      <c r="J242" s="9"/>
      <c r="K242" s="7">
        <v>1872.48</v>
      </c>
      <c r="L242" s="8">
        <f>IFERROR(K242/K444, "NA")</f>
        <v>1.2771833213150634E-2</v>
      </c>
      <c r="M242" s="9"/>
      <c r="N242" s="10">
        <f t="shared" si="65"/>
        <v>-35.289999999999964</v>
      </c>
      <c r="O242" s="8">
        <f>IFERROR(N242/N444, "NA")</f>
        <v>-2.8745580031066995E-3</v>
      </c>
      <c r="P242" s="9"/>
      <c r="Q242" s="7">
        <v>21497.77</v>
      </c>
      <c r="R242" s="8">
        <f>IFERROR(Q242/Q444, "NA")</f>
        <v>1.5029074278257653E-2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-21497.77</v>
      </c>
      <c r="X242" s="8">
        <f>IFERROR(W242/W444, "NA")</f>
        <v>-0.18104511935521697</v>
      </c>
      <c r="Y242" s="9"/>
      <c r="Z242" s="7">
        <v>15690.73</v>
      </c>
      <c r="AA242" s="8">
        <f>IFERROR(Z242/Z444, "NA")</f>
        <v>1.3225679456846195E-2</v>
      </c>
      <c r="AB242" s="9"/>
      <c r="AC242" s="10">
        <f t="shared" si="67"/>
        <v>-5807.0400000000009</v>
      </c>
      <c r="AD242" s="8">
        <f>IFERROR(AC242/AC444, "NA")</f>
        <v>-2.3796568646132488E-2</v>
      </c>
    </row>
    <row r="243" spans="1:30" ht="16.5" customHeight="1" x14ac:dyDescent="0.45">
      <c r="A243" s="12" t="s">
        <v>220</v>
      </c>
      <c r="B243" s="7">
        <v>5241.26</v>
      </c>
      <c r="C243" s="8">
        <f>IFERROR(B243/B444, "NA")</f>
        <v>3.2987386805410315E-2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-5241.26</v>
      </c>
      <c r="I243" s="8">
        <f>IFERROR(H243/H444, "NA")</f>
        <v>-4.091793398494791</v>
      </c>
      <c r="J243" s="9"/>
      <c r="K243" s="7">
        <v>6837.91</v>
      </c>
      <c r="L243" s="8">
        <f>IFERROR(K243/K444, "NA")</f>
        <v>4.6640095513188311E-2</v>
      </c>
      <c r="M243" s="9"/>
      <c r="N243" s="10">
        <f t="shared" si="65"/>
        <v>1596.6499999999996</v>
      </c>
      <c r="O243" s="8">
        <f>IFERROR(N243/N444, "NA")</f>
        <v>0.1300556258333895</v>
      </c>
      <c r="P243" s="9"/>
      <c r="Q243" s="7">
        <v>50445.54</v>
      </c>
      <c r="R243" s="8">
        <f>IFERROR(Q243/Q444, "NA")</f>
        <v>3.5266437759210262E-2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-50445.54</v>
      </c>
      <c r="X243" s="8">
        <f>IFERROR(W243/W444, "NA")</f>
        <v>-0.42483098527141988</v>
      </c>
      <c r="Y243" s="9"/>
      <c r="Z243" s="7">
        <v>53098.400000000001</v>
      </c>
      <c r="AA243" s="8">
        <f>IFERROR(Z243/Z444, "NA")</f>
        <v>4.4756516622961588E-2</v>
      </c>
      <c r="AB243" s="9"/>
      <c r="AC243" s="10">
        <f t="shared" si="67"/>
        <v>2652.8600000000006</v>
      </c>
      <c r="AD243" s="8">
        <f>IFERROR(AC243/AC444, "NA")</f>
        <v>1.0871109050149309E-2</v>
      </c>
    </row>
    <row r="244" spans="1:30" ht="16.5" customHeight="1" x14ac:dyDescent="0.45">
      <c r="A244" s="12" t="s">
        <v>221</v>
      </c>
      <c r="B244" s="7">
        <v>803.8</v>
      </c>
      <c r="C244" s="8">
        <f>IFERROR(B244/B444, "NA")</f>
        <v>5.0589479465221743E-3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-803.8</v>
      </c>
      <c r="I244" s="8">
        <f>IFERROR(H244/H444, "NA")</f>
        <v>-0.62751772163756669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-803.8</v>
      </c>
      <c r="O244" s="8">
        <f>IFERROR(N244/N444, "NA")</f>
        <v>-6.5473780756508004E-2</v>
      </c>
      <c r="P244" s="9"/>
      <c r="Q244" s="7">
        <v>1548.8</v>
      </c>
      <c r="R244" s="8">
        <f>IFERROR(Q244/Q444, "NA")</f>
        <v>1.0827648747830799E-3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-1548.8</v>
      </c>
      <c r="X244" s="8">
        <f>IFERROR(W244/W444, "NA")</f>
        <v>-1.3043338023309398E-2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-1548.8</v>
      </c>
      <c r="AD244" s="8">
        <f>IFERROR(AC244/AC444, "NA")</f>
        <v>-6.3468006969350978E-3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381.99</v>
      </c>
      <c r="C246" s="8">
        <f>IFERROR(B246/B444, "NA")</f>
        <v>2.4041646256432016E-3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-381.99</v>
      </c>
      <c r="I246" s="8">
        <f>IFERROR(H246/H444, "NA")</f>
        <v>-0.29821534522061971</v>
      </c>
      <c r="J246" s="9"/>
      <c r="K246" s="7">
        <v>375.5</v>
      </c>
      <c r="L246" s="8">
        <f>IFERROR(K246/K444, "NA")</f>
        <v>2.5612147374274026E-3</v>
      </c>
      <c r="M246" s="9"/>
      <c r="N246" s="10">
        <f t="shared" si="65"/>
        <v>-6.4900000000000091</v>
      </c>
      <c r="O246" s="8">
        <f>IFERROR(N246/N444, "NA")</f>
        <v>-5.2864498271925546E-4</v>
      </c>
      <c r="P246" s="9"/>
      <c r="Q246" s="7">
        <v>5069.38</v>
      </c>
      <c r="R246" s="8">
        <f>IFERROR(Q246/Q444, "NA")</f>
        <v>3.5439996132023825E-3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-5069.38</v>
      </c>
      <c r="X246" s="8">
        <f>IFERROR(W246/W444, "NA")</f>
        <v>-4.2692172590782666E-2</v>
      </c>
      <c r="Y246" s="9"/>
      <c r="Z246" s="7">
        <v>537.04999999999995</v>
      </c>
      <c r="AA246" s="8">
        <f>IFERROR(Z246/Z444, "NA")</f>
        <v>4.5267818337956542E-4</v>
      </c>
      <c r="AB246" s="9"/>
      <c r="AC246" s="10">
        <f t="shared" si="67"/>
        <v>-4532.33</v>
      </c>
      <c r="AD246" s="8">
        <f>IFERROR(AC246/AC444, "NA")</f>
        <v>-1.8572956613339266E-2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12.66</v>
      </c>
      <c r="AA247" s="8">
        <f>IFERROR(Z247/Z444, "NA")</f>
        <v>1.0671084259538774E-5</v>
      </c>
      <c r="AB247" s="9"/>
      <c r="AC247" s="10">
        <f t="shared" si="67"/>
        <v>12.66</v>
      </c>
      <c r="AD247" s="8">
        <f>IFERROR(AC247/AC444, "NA")</f>
        <v>5.1879194746383227E-5</v>
      </c>
    </row>
    <row r="248" spans="1:30" ht="16.5" customHeight="1" x14ac:dyDescent="0.45">
      <c r="A248" s="12" t="s">
        <v>225</v>
      </c>
      <c r="B248" s="7">
        <v>208.5</v>
      </c>
      <c r="C248" s="8">
        <f>IFERROR(B248/B444, "NA")</f>
        <v>1.3122550968522933E-3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-208.5</v>
      </c>
      <c r="I248" s="8">
        <f>IFERROR(H248/H444, "NA")</f>
        <v>-0.16277363145239196</v>
      </c>
      <c r="J248" s="9"/>
      <c r="K248" s="7">
        <v>141.78</v>
      </c>
      <c r="L248" s="8">
        <f>IFERROR(K248/K444, "NA")</f>
        <v>9.6705466171093785E-4</v>
      </c>
      <c r="M248" s="9"/>
      <c r="N248" s="10">
        <f t="shared" si="65"/>
        <v>-66.72</v>
      </c>
      <c r="O248" s="8">
        <f>IFERROR(N248/N444, "NA")</f>
        <v>-5.4346984972309205E-3</v>
      </c>
      <c r="P248" s="9"/>
      <c r="Q248" s="7">
        <v>1592.17</v>
      </c>
      <c r="R248" s="8">
        <f>IFERROR(Q248/Q444, "NA")</f>
        <v>1.1130848080342047E-3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-1592.17</v>
      </c>
      <c r="X248" s="8">
        <f>IFERROR(W248/W444, "NA")</f>
        <v>-1.3408581805638252E-2</v>
      </c>
      <c r="Y248" s="9"/>
      <c r="Z248" s="7">
        <v>1424.04</v>
      </c>
      <c r="AA248" s="8">
        <f>IFERROR(Z248/Z444, "NA")</f>
        <v>1.2003199706914372E-3</v>
      </c>
      <c r="AB248" s="9"/>
      <c r="AC248" s="10">
        <f t="shared" si="67"/>
        <v>-168.13000000000011</v>
      </c>
      <c r="AD248" s="8">
        <f>IFERROR(AC248/AC444, "NA")</f>
        <v>-6.8897701522191294E-4</v>
      </c>
    </row>
    <row r="249" spans="1:30" ht="16.5" customHeight="1" x14ac:dyDescent="0.45">
      <c r="A249" s="12" t="s">
        <v>226</v>
      </c>
      <c r="B249" s="7">
        <v>1688.14</v>
      </c>
      <c r="C249" s="8">
        <f>IFERROR(B249/B444, "NA")</f>
        <v>1.0624797694005901E-2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-1688.14</v>
      </c>
      <c r="I249" s="8">
        <f>IFERROR(H249/H444, "NA")</f>
        <v>-1.3179121256596691</v>
      </c>
      <c r="J249" s="9"/>
      <c r="K249" s="7">
        <v>2619.9499999999998</v>
      </c>
      <c r="L249" s="8">
        <f>IFERROR(K249/K444, "NA")</f>
        <v>1.7870185223230157E-2</v>
      </c>
      <c r="M249" s="9"/>
      <c r="N249" s="10">
        <f t="shared" si="65"/>
        <v>931.80999999999972</v>
      </c>
      <c r="O249" s="8">
        <f>IFERROR(N249/N444, "NA")</f>
        <v>7.590087540025095E-2</v>
      </c>
      <c r="P249" s="9"/>
      <c r="Q249" s="7">
        <v>25687.18</v>
      </c>
      <c r="R249" s="8">
        <f>IFERROR(Q249/Q444, "NA")</f>
        <v>1.795788754921903E-2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-25687.18</v>
      </c>
      <c r="X249" s="8">
        <f>IFERROR(W249/W444, "NA")</f>
        <v>-0.21632655708005727</v>
      </c>
      <c r="Y249" s="9"/>
      <c r="Z249" s="7">
        <v>22498.15</v>
      </c>
      <c r="AA249" s="8">
        <f>IFERROR(Z249/Z444, "NA")</f>
        <v>1.8963637783076009E-2</v>
      </c>
      <c r="AB249" s="9"/>
      <c r="AC249" s="10">
        <f t="shared" si="67"/>
        <v>-3189.0299999999988</v>
      </c>
      <c r="AD249" s="8">
        <f>IFERROR(AC249/AC444, "NA")</f>
        <v>-1.3068270807429578E-2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252.83</v>
      </c>
      <c r="AA252" s="8">
        <f>IFERROR(Z252/Z444, "NA")</f>
        <v>2.1310981305996748E-4</v>
      </c>
      <c r="AB252" s="9"/>
      <c r="AC252" s="10">
        <f t="shared" si="67"/>
        <v>252.83</v>
      </c>
      <c r="AD252" s="8">
        <f>IFERROR(AC252/AC444, "NA")</f>
        <v>1.0360676783355508E-3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1891.5</v>
      </c>
      <c r="C254" s="8">
        <f>IFERROR(B254/B444, "NA")</f>
        <v>1.1904702713170805E-2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-1891.5</v>
      </c>
      <c r="I254" s="8">
        <f>IFERROR(H254/H444, "NA")</f>
        <v>-1.4766730162695414</v>
      </c>
      <c r="J254" s="9"/>
      <c r="K254" s="7">
        <v>2035.44</v>
      </c>
      <c r="L254" s="8">
        <f>IFERROR(K254/K444, "NA")</f>
        <v>1.388335266351327E-2</v>
      </c>
      <c r="M254" s="9"/>
      <c r="N254" s="10">
        <f t="shared" si="65"/>
        <v>143.94000000000005</v>
      </c>
      <c r="O254" s="8">
        <f>IFERROR(N254/N444, "NA")</f>
        <v>1.1724677783144771E-2</v>
      </c>
      <c r="P254" s="9"/>
      <c r="Q254" s="7">
        <v>20222.36</v>
      </c>
      <c r="R254" s="8">
        <f>IFERROR(Q254/Q444, "NA")</f>
        <v>1.4137436139732932E-2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-20222.36</v>
      </c>
      <c r="X254" s="8">
        <f>IFERROR(W254/W444, "NA")</f>
        <v>-0.17030415619127778</v>
      </c>
      <c r="Y254" s="9"/>
      <c r="Z254" s="7">
        <v>18951.41</v>
      </c>
      <c r="AA254" s="8">
        <f>IFERROR(Z254/Z444, "NA")</f>
        <v>1.5974098968962538E-2</v>
      </c>
      <c r="AB254" s="9"/>
      <c r="AC254" s="10">
        <f t="shared" si="67"/>
        <v>-1270.9500000000007</v>
      </c>
      <c r="AD254" s="8">
        <f>IFERROR(AC254/AC444, "NA")</f>
        <v>-5.2082039939112005E-3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2.2987780612485301E-4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-2.7691828569373681E-3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-1.3474657832942918E-3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12122.960000000001</v>
      </c>
      <c r="C262" s="15">
        <f>IFERROR(B262/B444, "NA")</f>
        <v>7.6299357548856014E-2</v>
      </c>
      <c r="D262" s="2"/>
      <c r="E262" s="14">
        <f>IFERROR(E240+E241+E242+E243+E244+E245+E246+E247+E248+E249+E250+E251+E252+E253+E254+E255+E256+E257+E258+E259+E260+E261, "NA")</f>
        <v>14384.69</v>
      </c>
      <c r="F262" s="15">
        <f>IFERROR(E262/E444, "NA")</f>
        <v>9.1270014245027814E-2</v>
      </c>
      <c r="G262" s="2"/>
      <c r="H262" s="14">
        <f t="shared" si="64"/>
        <v>2261.7299999999996</v>
      </c>
      <c r="I262" s="15">
        <f>IFERROR(H262/H444, "NA")</f>
        <v>1.7657074602629179</v>
      </c>
      <c r="J262" s="2"/>
      <c r="K262" s="14">
        <f>IFERROR(K240+K241+K242+K243+K244+K245+K246+K247+K248+K249+K250+K251+K252+K253+K254+K255+K256+K257+K258+K259+K260+K261, "NA")</f>
        <v>13883.06</v>
      </c>
      <c r="L262" s="15">
        <f>IFERROR(K262/K444, "NA")</f>
        <v>9.4693736012220711E-2</v>
      </c>
      <c r="M262" s="2"/>
      <c r="N262" s="14">
        <f t="shared" si="65"/>
        <v>1760.0999999999985</v>
      </c>
      <c r="O262" s="15">
        <f>IFERROR(N262/N444, "NA")</f>
        <v>0.14336949677722027</v>
      </c>
      <c r="P262" s="2"/>
      <c r="Q262" s="14">
        <f>IFERROR(Q240+Q241+Q242+Q243+Q244+Q245+Q246+Q247+Q248+Q249+Q250+Q251+Q252+Q253+Q254+Q255+Q256+Q257+Q258+Q259+Q260+Q261, "NA")</f>
        <v>126392.02</v>
      </c>
      <c r="R262" s="15">
        <f>IFERROR(Q262/Q444, "NA")</f>
        <v>8.8360562828564401E-2</v>
      </c>
      <c r="S262" s="2"/>
      <c r="T262" s="14">
        <f>IFERROR(T240+T241+T242+T243+T244+T245+T246+T247+T248+T249+T250+T251+T252+T253+T254+T255+T256+T257+T258+T259+T260+T261, "NA")</f>
        <v>120568.53</v>
      </c>
      <c r="U262" s="15">
        <f>IFERROR(T262/T444, "NA")</f>
        <v>9.1919899853431825E-2</v>
      </c>
      <c r="V262" s="2"/>
      <c r="W262" s="14">
        <f t="shared" si="66"/>
        <v>-5823.4900000000052</v>
      </c>
      <c r="X262" s="15">
        <f>IFERROR(W262/W444, "NA")</f>
        <v>-4.9042967810796818E-2</v>
      </c>
      <c r="Y262" s="2"/>
      <c r="Z262" s="14">
        <f>IFERROR(Z240+Z241+Z242+Z243+Z244+Z245+Z246+Z247+Z248+Z249+Z250+Z251+Z252+Z253+Z254+Z255+Z256+Z257+Z258+Z259+Z260+Z261, "NA")</f>
        <v>112465.27</v>
      </c>
      <c r="AA262" s="15">
        <f>IFERROR(Z262/Z444, "NA")</f>
        <v>9.4796711883236837E-2</v>
      </c>
      <c r="AB262" s="2"/>
      <c r="AC262" s="14">
        <f t="shared" si="67"/>
        <v>-13926.75</v>
      </c>
      <c r="AD262" s="15">
        <f>IFERROR(AC262/AC444, "NA")</f>
        <v>-5.7070187633032593E-2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12122.960000000001</v>
      </c>
      <c r="C263" s="15">
        <f>IFERROR(B263/B444, "NA")</f>
        <v>7.6299357548856014E-2</v>
      </c>
      <c r="D263" s="2"/>
      <c r="E263" s="14">
        <f>IFERROR(E238+E240+E241+E242+E243+E244+E245+E246+E247+E248+E249+E250+E251+E252+E253+E254+E255+E256+E257+E258+E259+E260+E261, "NA")</f>
        <v>14384.69</v>
      </c>
      <c r="F263" s="15">
        <f>IFERROR(E263/E444, "NA")</f>
        <v>9.1270014245027814E-2</v>
      </c>
      <c r="G263" s="2"/>
      <c r="H263" s="14">
        <f t="shared" si="64"/>
        <v>2261.7299999999996</v>
      </c>
      <c r="I263" s="15">
        <f>IFERROR(H263/H444, "NA")</f>
        <v>1.7657074602629179</v>
      </c>
      <c r="J263" s="2"/>
      <c r="K263" s="14">
        <f>IFERROR(K238+K240+K241+K242+K243+K244+K245+K246+K247+K248+K249+K250+K251+K252+K253+K254+K255+K256+K257+K258+K259+K260+K261, "NA")</f>
        <v>13883.06</v>
      </c>
      <c r="L263" s="15">
        <f>IFERROR(K263/K444, "NA")</f>
        <v>9.4693736012220711E-2</v>
      </c>
      <c r="M263" s="2"/>
      <c r="N263" s="14">
        <f t="shared" si="65"/>
        <v>1760.0999999999985</v>
      </c>
      <c r="O263" s="15">
        <f>IFERROR(N263/N444, "NA")</f>
        <v>0.14336949677722027</v>
      </c>
      <c r="P263" s="2"/>
      <c r="Q263" s="14">
        <f>IFERROR(Q238+Q240+Q241+Q242+Q243+Q244+Q245+Q246+Q247+Q248+Q249+Q250+Q251+Q252+Q253+Q254+Q255+Q256+Q257+Q258+Q259+Q260+Q261, "NA")</f>
        <v>126392.02</v>
      </c>
      <c r="R263" s="15">
        <f>IFERROR(Q263/Q444, "NA")</f>
        <v>8.8360562828564401E-2</v>
      </c>
      <c r="S263" s="2"/>
      <c r="T263" s="14">
        <f>IFERROR(T238+T240+T241+T242+T243+T244+T245+T246+T247+T248+T249+T250+T251+T252+T253+T254+T255+T256+T257+T258+T259+T260+T261, "NA")</f>
        <v>120568.53</v>
      </c>
      <c r="U263" s="15">
        <f>IFERROR(T263/T444, "NA")</f>
        <v>9.1919899853431825E-2</v>
      </c>
      <c r="V263" s="2"/>
      <c r="W263" s="14">
        <f t="shared" si="66"/>
        <v>-5823.4900000000052</v>
      </c>
      <c r="X263" s="15">
        <f>IFERROR(W263/W444, "NA")</f>
        <v>-4.9042967810796818E-2</v>
      </c>
      <c r="Y263" s="2"/>
      <c r="Z263" s="14">
        <f>IFERROR(Z238+Z240+Z241+Z242+Z243+Z244+Z245+Z246+Z247+Z248+Z249+Z250+Z251+Z252+Z253+Z254+Z255+Z256+Z257+Z258+Z259+Z260+Z261, "NA")</f>
        <v>112465.27</v>
      </c>
      <c r="AA263" s="15">
        <f>IFERROR(Z263/Z444, "NA")</f>
        <v>9.4796711883236837E-2</v>
      </c>
      <c r="AB263" s="2"/>
      <c r="AC263" s="14">
        <f t="shared" si="67"/>
        <v>-13926.75</v>
      </c>
      <c r="AD263" s="15">
        <f>IFERROR(AC263/AC444, "NA")</f>
        <v>-5.7070187633032593E-2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4427.67</v>
      </c>
      <c r="C265" s="8">
        <f>IFERROR(B265/B444, "NA")</f>
        <v>2.7866822660335702E-2</v>
      </c>
      <c r="D265" s="9"/>
      <c r="E265" s="7">
        <v>3940.15</v>
      </c>
      <c r="F265" s="8">
        <f>IFERROR(E265/E444, "NA")</f>
        <v>2.5000020621059358E-2</v>
      </c>
      <c r="G265" s="9"/>
      <c r="H265" s="10">
        <f>IFERROR(-(B265-E265), "NA")</f>
        <v>-487.52</v>
      </c>
      <c r="I265" s="8">
        <f>IFERROR(H265/H444, "NA")</f>
        <v>-0.38060144271304619</v>
      </c>
      <c r="J265" s="9"/>
      <c r="K265" s="7">
        <v>3524.34</v>
      </c>
      <c r="L265" s="8">
        <f>IFERROR(K265/K444, "NA")</f>
        <v>2.4038858981903843E-2</v>
      </c>
      <c r="M265" s="9"/>
      <c r="N265" s="10">
        <f>IFERROR(-(B265-K265), "NA")</f>
        <v>-903.32999999999993</v>
      </c>
      <c r="O265" s="8">
        <f>IFERROR(N265/N444, "NA")</f>
        <v>-7.3581028080090038E-2</v>
      </c>
      <c r="P265" s="9"/>
      <c r="Q265" s="7">
        <v>35201.620000000003</v>
      </c>
      <c r="R265" s="8">
        <f>IFERROR(Q265/Q444, "NA")</f>
        <v>2.4609425149445741E-2</v>
      </c>
      <c r="S265" s="9"/>
      <c r="T265" s="7">
        <v>33040.050000000003</v>
      </c>
      <c r="U265" s="8">
        <f>IFERROR(T265/T444, "NA")</f>
        <v>2.5189310072473974E-2</v>
      </c>
      <c r="V265" s="9"/>
      <c r="W265" s="10">
        <f>IFERROR(-(Q265-T265), "NA")</f>
        <v>-2161.5699999999997</v>
      </c>
      <c r="X265" s="8">
        <f>IFERROR(W265/W444, "NA")</f>
        <v>-1.8203827589775883E-2</v>
      </c>
      <c r="Y265" s="9"/>
      <c r="Z265" s="7">
        <v>30246.1</v>
      </c>
      <c r="AA265" s="8">
        <f>IFERROR(Z265/Z444, "NA")</f>
        <v>2.5494366636843263E-2</v>
      </c>
      <c r="AB265" s="9"/>
      <c r="AC265" s="10">
        <f>IFERROR(-(Q265-Z265), "NA")</f>
        <v>-4955.5200000000041</v>
      </c>
      <c r="AD265" s="8">
        <f>IFERROR(AC265/AC444, "NA")</f>
        <v>-2.0307139585276242E-2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98.02</v>
      </c>
      <c r="AA266" s="8">
        <f>IFERROR(Z266/Z444, "NA")</f>
        <v>8.2620827734596419E-5</v>
      </c>
      <c r="AB266" s="9"/>
      <c r="AC266" s="10">
        <f>IFERROR(-(Q266-Z266), "NA")</f>
        <v>98.02</v>
      </c>
      <c r="AD266" s="8">
        <f>IFERROR(AC266/AC444, "NA")</f>
        <v>4.0167446042973804E-4</v>
      </c>
    </row>
    <row r="267" spans="1:30" ht="16.5" customHeight="1" x14ac:dyDescent="0.45">
      <c r="A267" s="19" t="s">
        <v>243</v>
      </c>
      <c r="B267" s="14">
        <f>IFERROR(B265+B266, "NA")</f>
        <v>4427.67</v>
      </c>
      <c r="C267" s="15">
        <f>IFERROR(B267/B444, "NA")</f>
        <v>2.7866822660335702E-2</v>
      </c>
      <c r="D267" s="2"/>
      <c r="E267" s="14">
        <f>IFERROR(E265+E266, "NA")</f>
        <v>3940.15</v>
      </c>
      <c r="F267" s="15">
        <f>IFERROR(E267/E444, "NA")</f>
        <v>2.5000020621059358E-2</v>
      </c>
      <c r="G267" s="2"/>
      <c r="H267" s="14">
        <f>IFERROR(-(B267-E267), "NA")</f>
        <v>-487.52</v>
      </c>
      <c r="I267" s="15">
        <f>IFERROR(H267/H444, "NA")</f>
        <v>-0.38060144271304619</v>
      </c>
      <c r="J267" s="2"/>
      <c r="K267" s="14">
        <f>IFERROR(K265+K266, "NA")</f>
        <v>3524.34</v>
      </c>
      <c r="L267" s="15">
        <f>IFERROR(K267/K444, "NA")</f>
        <v>2.4038858981903843E-2</v>
      </c>
      <c r="M267" s="2"/>
      <c r="N267" s="14">
        <f>IFERROR(-(B267-K267), "NA")</f>
        <v>-903.32999999999993</v>
      </c>
      <c r="O267" s="15">
        <f>IFERROR(N267/N444, "NA")</f>
        <v>-7.3581028080090038E-2</v>
      </c>
      <c r="P267" s="2"/>
      <c r="Q267" s="14">
        <f>IFERROR(Q265+Q266, "NA")</f>
        <v>35201.620000000003</v>
      </c>
      <c r="R267" s="15">
        <f>IFERROR(Q267/Q444, "NA")</f>
        <v>2.4609425149445741E-2</v>
      </c>
      <c r="S267" s="2"/>
      <c r="T267" s="14">
        <f>IFERROR(T265+T266, "NA")</f>
        <v>33040.050000000003</v>
      </c>
      <c r="U267" s="15">
        <f>IFERROR(T267/T444, "NA")</f>
        <v>2.5189310072473974E-2</v>
      </c>
      <c r="V267" s="2"/>
      <c r="W267" s="14">
        <f>IFERROR(-(Q267-T267), "NA")</f>
        <v>-2161.5699999999997</v>
      </c>
      <c r="X267" s="15">
        <f>IFERROR(W267/W444, "NA")</f>
        <v>-1.8203827589775883E-2</v>
      </c>
      <c r="Y267" s="2"/>
      <c r="Z267" s="14">
        <f>IFERROR(Z265+Z266, "NA")</f>
        <v>30344.12</v>
      </c>
      <c r="AA267" s="15">
        <f>IFERROR(Z267/Z444, "NA")</f>
        <v>2.5576987464577858E-2</v>
      </c>
      <c r="AB267" s="2"/>
      <c r="AC267" s="14">
        <f>IFERROR(-(Q267-Z267), "NA")</f>
        <v>-4857.5000000000036</v>
      </c>
      <c r="AD267" s="15">
        <f>IFERROR(AC267/AC444, "NA")</f>
        <v>-1.9905465124846502E-2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241.5</v>
      </c>
      <c r="C270" s="8">
        <f>IFERROR(B270/B444, "NA")</f>
        <v>1.5199501481526563E-3</v>
      </c>
      <c r="D270" s="9"/>
      <c r="E270" s="7">
        <v>218.16</v>
      </c>
      <c r="F270" s="8">
        <f>IFERROR(E270/E444, "NA")</f>
        <v>1.3842124027487047E-3</v>
      </c>
      <c r="G270" s="9"/>
      <c r="H270" s="10">
        <f>IFERROR(-(B270-E270), "NA")</f>
        <v>-23.340000000000003</v>
      </c>
      <c r="I270" s="8">
        <f>IFERROR(H270/H444, "NA")</f>
        <v>-1.8221278456109491E-2</v>
      </c>
      <c r="J270" s="9"/>
      <c r="K270" s="7">
        <v>211.5</v>
      </c>
      <c r="L270" s="8">
        <f>IFERROR(K270/K444, "NA")</f>
        <v>1.4426016430516529E-3</v>
      </c>
      <c r="M270" s="9"/>
      <c r="N270" s="10">
        <f>IFERROR(-(B270-K270), "NA")</f>
        <v>-30</v>
      </c>
      <c r="O270" s="8">
        <f>IFERROR(N270/N444, "NA")</f>
        <v>-2.4436593962369247E-3</v>
      </c>
      <c r="P270" s="9"/>
      <c r="Q270" s="7">
        <v>1873</v>
      </c>
      <c r="R270" s="8">
        <f>IFERROR(Q270/Q444, "NA")</f>
        <v>1.3094128425030402E-3</v>
      </c>
      <c r="S270" s="9"/>
      <c r="T270" s="7">
        <v>2082.7600000000002</v>
      </c>
      <c r="U270" s="8">
        <f>IFERROR(T270/T444, "NA")</f>
        <v>1.5878694931316961E-3</v>
      </c>
      <c r="V270" s="9"/>
      <c r="W270" s="10">
        <f>IFERROR(-(Q270-T270), "NA")</f>
        <v>209.76000000000022</v>
      </c>
      <c r="X270" s="8">
        <f>IFERROR(W270/W444, "NA")</f>
        <v>1.7665099327023386E-3</v>
      </c>
      <c r="Y270" s="9"/>
      <c r="Z270" s="7">
        <v>1451.11</v>
      </c>
      <c r="AA270" s="8">
        <f>IFERROR(Z270/Z444, "NA")</f>
        <v>1.2231372100994715E-3</v>
      </c>
      <c r="AB270" s="9"/>
      <c r="AC270" s="10">
        <f>IFERROR(-(Q270-Z270), "NA")</f>
        <v>-421.8900000000001</v>
      </c>
      <c r="AD270" s="8">
        <f>IFERROR(AC270/AC444, "NA")</f>
        <v>-1.7288557244511552E-3</v>
      </c>
    </row>
    <row r="271" spans="1:30" ht="16.5" customHeight="1" x14ac:dyDescent="0.45">
      <c r="A271" s="6" t="s">
        <v>246</v>
      </c>
      <c r="B271" s="7">
        <v>1068.3</v>
      </c>
      <c r="C271" s="8">
        <f>IFERROR(B271/B444, "NA")</f>
        <v>6.7236552516417502E-3</v>
      </c>
      <c r="D271" s="9"/>
      <c r="E271" s="7">
        <v>630.41999999999996</v>
      </c>
      <c r="F271" s="8">
        <f>IFERROR(E271/E444, "NA")</f>
        <v>3.9999779196041368E-3</v>
      </c>
      <c r="G271" s="9"/>
      <c r="H271" s="10">
        <f>IFERROR(-(B271-E271), "NA")</f>
        <v>-437.88</v>
      </c>
      <c r="I271" s="8">
        <f>IFERROR(H271/H444, "NA")</f>
        <v>-0.34184804671641916</v>
      </c>
      <c r="J271" s="9"/>
      <c r="K271" s="7">
        <v>801.04</v>
      </c>
      <c r="L271" s="8">
        <f>IFERROR(K271/K444, "NA")</f>
        <v>5.4637428848704301E-3</v>
      </c>
      <c r="M271" s="9"/>
      <c r="N271" s="10">
        <f>IFERROR(-(B271-K271), "NA")</f>
        <v>-267.26</v>
      </c>
      <c r="O271" s="8">
        <f>IFERROR(N271/N444, "NA")</f>
        <v>-2.1769747007942684E-2</v>
      </c>
      <c r="P271" s="9"/>
      <c r="Q271" s="7">
        <v>7209.3</v>
      </c>
      <c r="R271" s="8">
        <f>IFERROR(Q271/Q444, "NA")</f>
        <v>5.0400160199984877E-3</v>
      </c>
      <c r="S271" s="9"/>
      <c r="T271" s="7">
        <v>5246.67</v>
      </c>
      <c r="U271" s="8">
        <f>IFERROR(T271/T444, "NA")</f>
        <v>3.9999938704071885E-3</v>
      </c>
      <c r="V271" s="9"/>
      <c r="W271" s="10">
        <f>IFERROR(-(Q271-T271), "NA")</f>
        <v>-1962.63</v>
      </c>
      <c r="X271" s="8">
        <f>IFERROR(W271/W444, "NA")</f>
        <v>-1.6528439117179574E-2</v>
      </c>
      <c r="Y271" s="9"/>
      <c r="Z271" s="7">
        <v>5295.59</v>
      </c>
      <c r="AA271" s="8">
        <f>IFERROR(Z271/Z444, "NA")</f>
        <v>4.4636403707717957E-3</v>
      </c>
      <c r="AB271" s="9"/>
      <c r="AC271" s="10">
        <f>IFERROR(-(Q271-Z271), "NA")</f>
        <v>-1913.71</v>
      </c>
      <c r="AD271" s="8">
        <f>IFERROR(AC271/AC444, "NA")</f>
        <v>-7.8421590662007146E-3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1309.8</v>
      </c>
      <c r="C273" s="15">
        <f>IFERROR(B273/B444, "NA")</f>
        <v>8.243605399794407E-3</v>
      </c>
      <c r="D273" s="2"/>
      <c r="E273" s="14">
        <f>IFERROR(E269+E270+E271+E272, "NA")</f>
        <v>848.57999999999993</v>
      </c>
      <c r="F273" s="15">
        <f>IFERROR(E273/E444, "NA")</f>
        <v>5.3841903223528411E-3</v>
      </c>
      <c r="G273" s="2"/>
      <c r="H273" s="14">
        <f>IFERROR(-(B273-E273), "NA")</f>
        <v>-461.22</v>
      </c>
      <c r="I273" s="15">
        <f>IFERROR(H273/H444, "NA")</f>
        <v>-0.36006932517252865</v>
      </c>
      <c r="J273" s="2"/>
      <c r="K273" s="14">
        <f>IFERROR(K269+K270+K271+K272, "NA")</f>
        <v>1012.54</v>
      </c>
      <c r="L273" s="15">
        <f>IFERROR(K273/K444, "NA")</f>
        <v>6.9063445279220837E-3</v>
      </c>
      <c r="M273" s="2"/>
      <c r="N273" s="14">
        <f>IFERROR(-(B273-K273), "NA")</f>
        <v>-297.26</v>
      </c>
      <c r="O273" s="15">
        <f>IFERROR(N273/N444, "NA")</f>
        <v>-2.421340640417961E-2</v>
      </c>
      <c r="P273" s="2"/>
      <c r="Q273" s="14">
        <f>IFERROR(Q269+Q270+Q271+Q272, "NA")</f>
        <v>9082.2999999999993</v>
      </c>
      <c r="R273" s="15">
        <f>IFERROR(Q273/Q444, "NA")</f>
        <v>6.3494288625015275E-3</v>
      </c>
      <c r="S273" s="2"/>
      <c r="T273" s="14">
        <f>IFERROR(T269+T270+T271+T272, "NA")</f>
        <v>7329.43</v>
      </c>
      <c r="U273" s="15">
        <f>IFERROR(T273/T444, "NA")</f>
        <v>5.5878633635388841E-3</v>
      </c>
      <c r="V273" s="2"/>
      <c r="W273" s="14">
        <f>IFERROR(-(Q273-T273), "NA")</f>
        <v>-1752.869999999999</v>
      </c>
      <c r="X273" s="15">
        <f>IFERROR(W273/W444, "NA")</f>
        <v>-1.4761929184477227E-2</v>
      </c>
      <c r="Y273" s="2"/>
      <c r="Z273" s="14">
        <f>IFERROR(Z269+Z270+Z271+Z272, "NA")</f>
        <v>6746.7</v>
      </c>
      <c r="AA273" s="15">
        <f>IFERROR(Z273/Z444, "NA")</f>
        <v>5.6867775808712674E-3</v>
      </c>
      <c r="AB273" s="2"/>
      <c r="AC273" s="14">
        <f>IFERROR(-(Q273-Z273), "NA")</f>
        <v>-2335.5999999999995</v>
      </c>
      <c r="AD273" s="15">
        <f>IFERROR(AC273/AC444, "NA")</f>
        <v>-9.5710147906518678E-3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2.315903589123933E-3</v>
      </c>
      <c r="G287" s="9"/>
      <c r="H287" s="10">
        <f t="shared" si="72"/>
        <v>365</v>
      </c>
      <c r="I287" s="8">
        <f>IFERROR(H287/H444, "NA")</f>
        <v>0.28495144115166937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2920</v>
      </c>
      <c r="U287" s="8">
        <f>IFERROR(T287/T444, "NA")</f>
        <v>2.2261705237015075E-3</v>
      </c>
      <c r="V287" s="9"/>
      <c r="W287" s="10">
        <f t="shared" si="74"/>
        <v>2920</v>
      </c>
      <c r="X287" s="8">
        <f>IFERROR(W287/W444, "NA")</f>
        <v>2.4591004021218648E-2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144.65</v>
      </c>
      <c r="C288" s="8">
        <f>IFERROR(B288/B444, "NA")</f>
        <v>9.1039664153325767E-4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-144.65</v>
      </c>
      <c r="I288" s="8">
        <f>IFERROR(H288/H444, "NA")</f>
        <v>-0.11292664647284652</v>
      </c>
      <c r="J288" s="9"/>
      <c r="K288" s="7">
        <v>144.65</v>
      </c>
      <c r="L288" s="8">
        <f>IFERROR(K288/K444, "NA")</f>
        <v>9.8663039086251342E-4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1163.8</v>
      </c>
      <c r="R288" s="8">
        <f>IFERROR(Q288/Q444, "NA")</f>
        <v>8.1361167437535406E-4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-1163.8</v>
      </c>
      <c r="X288" s="8">
        <f>IFERROR(W288/W444, "NA")</f>
        <v>-9.8010309862651569E-3</v>
      </c>
      <c r="Y288" s="9"/>
      <c r="Z288" s="7">
        <v>1163.8</v>
      </c>
      <c r="AA288" s="8">
        <f>IFERROR(Z288/Z444, "NA")</f>
        <v>9.8096428603880134E-4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228.98</v>
      </c>
      <c r="C289" s="8">
        <f>IFERROR(B289/B444, "NA")</f>
        <v>1.4411519044471852E-3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-228.98</v>
      </c>
      <c r="I289" s="8">
        <f>IFERROR(H289/H444, "NA")</f>
        <v>-0.17876213971208016</v>
      </c>
      <c r="J289" s="9"/>
      <c r="K289" s="7">
        <v>210.6</v>
      </c>
      <c r="L289" s="8">
        <f>IFERROR(K289/K444, "NA")</f>
        <v>1.4364629126556885E-3</v>
      </c>
      <c r="M289" s="9"/>
      <c r="N289" s="10">
        <f t="shared" si="73"/>
        <v>-18.379999999999995</v>
      </c>
      <c r="O289" s="8">
        <f>IFERROR(N289/N444, "NA")</f>
        <v>-1.4971486567611557E-3</v>
      </c>
      <c r="P289" s="9"/>
      <c r="Q289" s="7">
        <v>1794.04</v>
      </c>
      <c r="R289" s="8">
        <f>IFERROR(Q289/Q444, "NA")</f>
        <v>1.2542119679466921E-3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-1794.04</v>
      </c>
      <c r="X289" s="8">
        <f>IFERROR(W289/W444, "NA")</f>
        <v>-1.5108645498022979E-2</v>
      </c>
      <c r="Y289" s="9"/>
      <c r="Z289" s="7">
        <v>1718.02</v>
      </c>
      <c r="AA289" s="8">
        <f>IFERROR(Z289/Z444, "NA")</f>
        <v>1.44811502208316E-3</v>
      </c>
      <c r="AB289" s="9"/>
      <c r="AC289" s="10">
        <f t="shared" si="75"/>
        <v>-76.019999999999982</v>
      </c>
      <c r="AD289" s="8">
        <f>IFERROR(AC289/AC444, "NA")</f>
        <v>-3.1152104143918264E-4</v>
      </c>
    </row>
    <row r="290" spans="1:30" ht="16.5" customHeight="1" x14ac:dyDescent="0.45">
      <c r="A290" s="6" t="s">
        <v>263</v>
      </c>
      <c r="B290" s="7">
        <v>830.28</v>
      </c>
      <c r="C290" s="8">
        <f>IFERROR(B290/B444, "NA")</f>
        <v>5.225607490717132E-3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-830.28</v>
      </c>
      <c r="I290" s="8">
        <f>IFERROR(H290/H444, "NA")</f>
        <v>-0.64819036317646039</v>
      </c>
      <c r="J290" s="9"/>
      <c r="K290" s="7">
        <v>94.85</v>
      </c>
      <c r="L290" s="8">
        <f>IFERROR(K290/K444, "NA")</f>
        <v>6.469539756191455E-4</v>
      </c>
      <c r="M290" s="9"/>
      <c r="N290" s="10">
        <f t="shared" si="73"/>
        <v>-735.43</v>
      </c>
      <c r="O290" s="8">
        <f>IFERROR(N290/N444, "NA")</f>
        <v>-5.9904680992484055E-2</v>
      </c>
      <c r="P290" s="9"/>
      <c r="Q290" s="7">
        <v>8405.32</v>
      </c>
      <c r="R290" s="8">
        <f>IFERROR(Q290/Q444, "NA")</f>
        <v>5.8761526713014701E-3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-8405.32</v>
      </c>
      <c r="X290" s="8">
        <f>IFERROR(W290/W444, "NA")</f>
        <v>-7.0786047232749838E-2</v>
      </c>
      <c r="Y290" s="9"/>
      <c r="Z290" s="7">
        <v>966.99</v>
      </c>
      <c r="AA290" s="8">
        <f>IFERROR(Z290/Z444, "NA")</f>
        <v>8.1507359937846757E-4</v>
      </c>
      <c r="AB290" s="9"/>
      <c r="AC290" s="10">
        <f t="shared" si="75"/>
        <v>-7438.33</v>
      </c>
      <c r="AD290" s="8">
        <f>IFERROR(AC290/AC444, "NA")</f>
        <v>-3.0481403685455353E-2</v>
      </c>
    </row>
    <row r="291" spans="1:30" ht="16.5" customHeight="1" x14ac:dyDescent="0.45">
      <c r="A291" s="6" t="s">
        <v>264</v>
      </c>
      <c r="B291" s="7">
        <v>941.54</v>
      </c>
      <c r="C291" s="8">
        <f>IFERROR(B291/B444, "NA")</f>
        <v>5.9258545030710227E-3</v>
      </c>
      <c r="D291" s="9"/>
      <c r="E291" s="7">
        <v>2048.88</v>
      </c>
      <c r="F291" s="8">
        <f>IFERROR(E291/E444, "NA")</f>
        <v>1.3000023412833546E-2</v>
      </c>
      <c r="G291" s="9"/>
      <c r="H291" s="10">
        <f t="shared" si="72"/>
        <v>1107.3400000000001</v>
      </c>
      <c r="I291" s="8">
        <f>IFERROR(H291/H444, "NA")</f>
        <v>0.86448802423257431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-941.54</v>
      </c>
      <c r="O291" s="8">
        <f>IFERROR(N291/N444, "NA")</f>
        <v>-7.6693435597763801E-2</v>
      </c>
      <c r="P291" s="9"/>
      <c r="Q291" s="7">
        <v>10368.530000000001</v>
      </c>
      <c r="R291" s="8">
        <f>IFERROR(Q291/Q444, "NA")</f>
        <v>7.2486312546065391E-3</v>
      </c>
      <c r="S291" s="9"/>
      <c r="T291" s="7">
        <v>17051.7</v>
      </c>
      <c r="U291" s="8">
        <f>IFERROR(T291/T444, "NA")</f>
        <v>1.299999723253459E-2</v>
      </c>
      <c r="V291" s="9"/>
      <c r="W291" s="10">
        <f t="shared" si="74"/>
        <v>6683.17</v>
      </c>
      <c r="X291" s="8">
        <f>IFERROR(W291/W444, "NA")</f>
        <v>5.6282828885098571E-2</v>
      </c>
      <c r="Y291" s="9"/>
      <c r="Z291" s="7">
        <v>6106.98</v>
      </c>
      <c r="AA291" s="8">
        <f>IFERROR(Z291/Z444, "NA")</f>
        <v>5.1475590956807345E-3</v>
      </c>
      <c r="AB291" s="9"/>
      <c r="AC291" s="10">
        <f t="shared" si="75"/>
        <v>-4261.5500000000011</v>
      </c>
      <c r="AD291" s="8">
        <f>IFERROR(AC291/AC444, "NA")</f>
        <v>-1.7463331940872788E-2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500.2</v>
      </c>
      <c r="L292" s="8">
        <f>IFERROR(K292/K444, "NA")</f>
        <v>3.4117699378460368E-3</v>
      </c>
      <c r="M292" s="9"/>
      <c r="N292" s="10">
        <f t="shared" si="73"/>
        <v>500.2</v>
      </c>
      <c r="O292" s="8">
        <f>IFERROR(N292/N444, "NA")</f>
        <v>4.0743947666590327E-2</v>
      </c>
      <c r="P292" s="9"/>
      <c r="Q292" s="7">
        <v>681.63</v>
      </c>
      <c r="R292" s="8">
        <f>IFERROR(Q292/Q444, "NA")</f>
        <v>4.7652700258160558E-4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-5.7403993393778307E-3</v>
      </c>
      <c r="Y292" s="9"/>
      <c r="Z292" s="7">
        <v>1839.18</v>
      </c>
      <c r="AA292" s="8">
        <f>IFERROR(Z292/Z444, "NA")</f>
        <v>1.5502405014580192E-3</v>
      </c>
      <c r="AB292" s="9"/>
      <c r="AC292" s="10">
        <f t="shared" si="75"/>
        <v>1157.5500000000002</v>
      </c>
      <c r="AD292" s="8">
        <f>IFERROR(AC292/AC444, "NA")</f>
        <v>4.7435040978416991E-3</v>
      </c>
    </row>
    <row r="293" spans="1:30" ht="16.5" customHeight="1" x14ac:dyDescent="0.45">
      <c r="A293" s="6" t="s">
        <v>266</v>
      </c>
      <c r="B293" s="7">
        <v>649.88</v>
      </c>
      <c r="C293" s="8">
        <f>IFERROR(B293/B444, "NA")</f>
        <v>4.0902078769418145E-3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-649.88</v>
      </c>
      <c r="I293" s="8">
        <f>IFERROR(H293/H444, "NA")</f>
        <v>-0.50735408924834768</v>
      </c>
      <c r="J293" s="9"/>
      <c r="K293" s="7">
        <v>295.24</v>
      </c>
      <c r="L293" s="8">
        <f>IFERROR(K293/K444, "NA")</f>
        <v>2.0137764023383927E-3</v>
      </c>
      <c r="M293" s="9"/>
      <c r="N293" s="10">
        <f t="shared" si="73"/>
        <v>-354.64</v>
      </c>
      <c r="O293" s="8">
        <f>IFERROR(N293/N444, "NA")</f>
        <v>-2.8887312276048766E-2</v>
      </c>
      <c r="P293" s="9"/>
      <c r="Q293" s="7">
        <v>2390.4299999999998</v>
      </c>
      <c r="R293" s="8">
        <f>IFERROR(Q293/Q444, "NA")</f>
        <v>1.6711477528588052E-3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-2390.4299999999998</v>
      </c>
      <c r="X293" s="8">
        <f>IFERROR(W293/W444, "NA")</f>
        <v>-2.0131189637822493E-2</v>
      </c>
      <c r="Y293" s="9"/>
      <c r="Z293" s="7">
        <v>5567.53</v>
      </c>
      <c r="AA293" s="8">
        <f>IFERROR(Z293/Z444, "NA")</f>
        <v>4.6928579579391715E-3</v>
      </c>
      <c r="AB293" s="9"/>
      <c r="AC293" s="10">
        <f t="shared" si="75"/>
        <v>3177.1</v>
      </c>
      <c r="AD293" s="8">
        <f>IFERROR(AC293/AC444, "NA")</f>
        <v>1.3019383067040612E-2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2.0454815658369082E-3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-0.25372388595696588</v>
      </c>
      <c r="J294" s="9"/>
      <c r="K294" s="7">
        <v>25</v>
      </c>
      <c r="L294" s="8">
        <f>IFERROR(K294/K444, "NA")</f>
        <v>1.7052028877679112E-4</v>
      </c>
      <c r="M294" s="9"/>
      <c r="N294" s="10">
        <f t="shared" si="73"/>
        <v>-300</v>
      </c>
      <c r="O294" s="8">
        <f>IFERROR(N294/N444, "NA")</f>
        <v>-2.443659396236925E-2</v>
      </c>
      <c r="P294" s="9"/>
      <c r="Q294" s="7">
        <v>2813.96</v>
      </c>
      <c r="R294" s="8">
        <f>IFERROR(Q294/Q444, "NA")</f>
        <v>1.9672372462839591E-3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-2813.96</v>
      </c>
      <c r="X294" s="8">
        <f>IFERROR(W294/W444, "NA")</f>
        <v>-2.3697980025872749E-2</v>
      </c>
      <c r="Y294" s="9"/>
      <c r="Z294" s="7">
        <v>-457</v>
      </c>
      <c r="AA294" s="8">
        <f>IFERROR(Z294/Z444, "NA")</f>
        <v>-3.8520422643042811E-4</v>
      </c>
      <c r="AB294" s="9"/>
      <c r="AC294" s="10">
        <f t="shared" si="75"/>
        <v>-3270.96</v>
      </c>
      <c r="AD294" s="8">
        <f>IFERROR(AC294/AC444, "NA")</f>
        <v>-1.3404010335515772E-2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3120.33</v>
      </c>
      <c r="C295" s="15">
        <f>IFERROR(B295/B444, "NA")</f>
        <v>1.963869998254732E-2</v>
      </c>
      <c r="D295" s="2"/>
      <c r="E295" s="14">
        <f>IFERROR(E286+E287+E288+E289+E290+E291+E292+E293+E294, "NA")</f>
        <v>2413.88</v>
      </c>
      <c r="F295" s="15">
        <f>IFERROR(E295/E444, "NA")</f>
        <v>1.5315927001957479E-2</v>
      </c>
      <c r="G295" s="2"/>
      <c r="H295" s="14">
        <f t="shared" si="72"/>
        <v>-706.44999999999982</v>
      </c>
      <c r="I295" s="15">
        <f>IFERROR(H295/H444, "NA")</f>
        <v>-0.55151765918245699</v>
      </c>
      <c r="J295" s="2"/>
      <c r="K295" s="14">
        <f>IFERROR(K286+K287+K288+K289+K290+K291+K292+K293+K294, "NA")</f>
        <v>1270.54</v>
      </c>
      <c r="L295" s="15">
        <f>IFERROR(K295/K444, "NA")</f>
        <v>8.6661139080985682E-3</v>
      </c>
      <c r="M295" s="2"/>
      <c r="N295" s="14">
        <f t="shared" si="73"/>
        <v>-1849.79</v>
      </c>
      <c r="O295" s="15">
        <f>IFERROR(N295/N444, "NA")</f>
        <v>-0.15067522381883672</v>
      </c>
      <c r="P295" s="2"/>
      <c r="Q295" s="14">
        <f>IFERROR(Q286+Q287+Q288+Q289+Q290+Q291+Q292+Q293+Q294, "NA")</f>
        <v>27617.710000000003</v>
      </c>
      <c r="R295" s="15">
        <f>IFERROR(Q295/Q444, "NA")</f>
        <v>1.9307519569954426E-2</v>
      </c>
      <c r="S295" s="2"/>
      <c r="T295" s="14">
        <f>IFERROR(T286+T287+T288+T289+T290+T291+T292+T293+T294, "NA")</f>
        <v>19971.7</v>
      </c>
      <c r="U295" s="15">
        <f>IFERROR(T295/T444, "NA")</f>
        <v>1.5226167756236097E-2</v>
      </c>
      <c r="V295" s="2"/>
      <c r="W295" s="14">
        <f t="shared" si="74"/>
        <v>-7646.010000000002</v>
      </c>
      <c r="X295" s="15">
        <f>IFERROR(W295/W444, "NA")</f>
        <v>-6.439145981379385E-2</v>
      </c>
      <c r="Y295" s="2"/>
      <c r="Z295" s="14">
        <f>IFERROR(Z286+Z287+Z288+Z289+Z290+Z291+Z292+Z293+Z294, "NA")</f>
        <v>16905.5</v>
      </c>
      <c r="AA295" s="15">
        <f>IFERROR(Z295/Z444, "NA")</f>
        <v>1.4249606236147926E-2</v>
      </c>
      <c r="AB295" s="2"/>
      <c r="AC295" s="14">
        <f t="shared" si="75"/>
        <v>-10712.210000000003</v>
      </c>
      <c r="AD295" s="15">
        <f>IFERROR(AC295/AC444, "NA")</f>
        <v>-4.3897379838400793E-2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2048.88</v>
      </c>
      <c r="F297" s="8">
        <f>IFERROR(E297/E444, "NA")</f>
        <v>1.3000023412833546E-2</v>
      </c>
      <c r="G297" s="9"/>
      <c r="H297" s="10">
        <f t="shared" ref="H297:H325" si="76">IFERROR(-(B297-E297), "NA")</f>
        <v>2048.88</v>
      </c>
      <c r="I297" s="8">
        <f>IFERROR(H297/H444, "NA")</f>
        <v>1.5995378321831024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17051.7</v>
      </c>
      <c r="U297" s="8">
        <f>IFERROR(T297/T444, "NA")</f>
        <v>1.299999723253459E-2</v>
      </c>
      <c r="V297" s="9"/>
      <c r="W297" s="10">
        <f t="shared" ref="W297:W325" si="78">IFERROR(-(Q297-T297), "NA")</f>
        <v>17051.7</v>
      </c>
      <c r="X297" s="8">
        <f>IFERROR(W297/W444, "NA")</f>
        <v>0.14360219974952534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516.94000000000005</v>
      </c>
      <c r="C299" s="8">
        <f>IFERROR(B299/B444, "NA")</f>
        <v>3.2535115096730197E-3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-516.94000000000005</v>
      </c>
      <c r="I299" s="8">
        <f>IFERROR(H299/H444, "NA")</f>
        <v>-0.40356930955875064</v>
      </c>
      <c r="J299" s="9"/>
      <c r="K299" s="7">
        <v>566.87</v>
      </c>
      <c r="L299" s="8">
        <f>IFERROR(K299/K444, "NA")</f>
        <v>3.8665134439559838E-3</v>
      </c>
      <c r="M299" s="9"/>
      <c r="N299" s="10">
        <f t="shared" si="77"/>
        <v>49.92999999999995</v>
      </c>
      <c r="O299" s="8">
        <f>IFERROR(N299/N444, "NA")</f>
        <v>4.0670637884703178E-3</v>
      </c>
      <c r="P299" s="9"/>
      <c r="Q299" s="7">
        <v>7893.77</v>
      </c>
      <c r="R299" s="8">
        <f>IFERROR(Q299/Q444, "NA")</f>
        <v>5.5185284643701144E-3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-7893.77</v>
      </c>
      <c r="X299" s="8">
        <f>IFERROR(W299/W444, "NA")</f>
        <v>-6.6477989661840792E-2</v>
      </c>
      <c r="Y299" s="9"/>
      <c r="Z299" s="7">
        <v>3734.21</v>
      </c>
      <c r="AA299" s="8">
        <f>IFERROR(Z299/Z444, "NA")</f>
        <v>3.1475568367150307E-3</v>
      </c>
      <c r="AB299" s="9"/>
      <c r="AC299" s="10">
        <f t="shared" si="79"/>
        <v>-4159.5600000000004</v>
      </c>
      <c r="AD299" s="8">
        <f>IFERROR(AC299/AC444, "NA")</f>
        <v>-1.7045388886197933E-2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29.95</v>
      </c>
      <c r="C310" s="8">
        <f>IFERROR(B310/B444, "NA")</f>
        <v>1.8849899352866277E-4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-29.95</v>
      </c>
      <c r="I310" s="8">
        <f>IFERROR(H310/H444, "NA")</f>
        <v>-2.338163195203424E-2</v>
      </c>
      <c r="J310" s="9"/>
      <c r="K310" s="7">
        <v>40.49</v>
      </c>
      <c r="L310" s="8">
        <f>IFERROR(K310/K444, "NA")</f>
        <v>2.7617465970289091E-4</v>
      </c>
      <c r="M310" s="9"/>
      <c r="N310" s="10">
        <f t="shared" si="77"/>
        <v>10.540000000000003</v>
      </c>
      <c r="O310" s="8">
        <f>IFERROR(N310/N444, "NA")</f>
        <v>8.5853900121123984E-4</v>
      </c>
      <c r="P310" s="9"/>
      <c r="Q310" s="7">
        <v>1156.8399999999999</v>
      </c>
      <c r="R310" s="8">
        <f>IFERROR(Q310/Q444, "NA")</f>
        <v>8.0874594379135977E-4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-1156.8399999999999</v>
      </c>
      <c r="X310" s="8">
        <f>IFERROR(W310/W444, "NA")</f>
        <v>-9.7424168122967735E-3</v>
      </c>
      <c r="Y310" s="9"/>
      <c r="Z310" s="7">
        <v>341.92</v>
      </c>
      <c r="AA310" s="8">
        <f>IFERROR(Z310/Z444, "NA")</f>
        <v>2.8820356477263014E-4</v>
      </c>
      <c r="AB310" s="9"/>
      <c r="AC310" s="10">
        <f t="shared" si="79"/>
        <v>-814.91999999999985</v>
      </c>
      <c r="AD310" s="8">
        <f>IFERROR(AC310/AC444, "NA")</f>
        <v>-3.3394465547174259E-3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1.8686922199736392E-5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-2.2510874571478575E-4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-1.0953640407352478E-4</v>
      </c>
    </row>
    <row r="312" spans="1:30" ht="16.5" customHeight="1" x14ac:dyDescent="0.45">
      <c r="A312" s="6" t="s">
        <v>284</v>
      </c>
      <c r="B312" s="7">
        <v>824.01</v>
      </c>
      <c r="C312" s="8">
        <f>IFERROR(B312/B444, "NA")</f>
        <v>5.1861454309700631E-3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-824.01</v>
      </c>
      <c r="I312" s="8">
        <f>IFERROR(H312/H444, "NA")</f>
        <v>-0.64329544389969062</v>
      </c>
      <c r="J312" s="9"/>
      <c r="K312" s="7">
        <v>216</v>
      </c>
      <c r="L312" s="8">
        <f>IFERROR(K312/K444, "NA")</f>
        <v>1.4732952950314753E-3</v>
      </c>
      <c r="M312" s="9"/>
      <c r="N312" s="10">
        <f t="shared" si="77"/>
        <v>-608.01</v>
      </c>
      <c r="O312" s="8">
        <f>IFERROR(N312/N444, "NA")</f>
        <v>-4.9525644983533755E-2</v>
      </c>
      <c r="P312" s="9"/>
      <c r="Q312" s="7">
        <v>4321.45</v>
      </c>
      <c r="R312" s="8">
        <f>IFERROR(Q312/Q444, "NA")</f>
        <v>3.0211223322129006E-3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-4321.45</v>
      </c>
      <c r="X312" s="8">
        <f>IFERROR(W312/W444, "NA")</f>
        <v>-3.6393422714895658E-2</v>
      </c>
      <c r="Y312" s="9"/>
      <c r="Z312" s="7">
        <v>2465.6799999999998</v>
      </c>
      <c r="AA312" s="8">
        <f>IFERROR(Z312/Z444, "NA")</f>
        <v>2.0783158797045469E-3</v>
      </c>
      <c r="AB312" s="9"/>
      <c r="AC312" s="10">
        <f t="shared" si="79"/>
        <v>-1855.77</v>
      </c>
      <c r="AD312" s="8">
        <f>IFERROR(AC312/AC444, "NA")</f>
        <v>-7.6047277436410432E-3</v>
      </c>
    </row>
    <row r="313" spans="1:30" ht="16.5" customHeight="1" x14ac:dyDescent="0.45">
      <c r="A313" s="6" t="s">
        <v>285</v>
      </c>
      <c r="B313" s="7">
        <v>275</v>
      </c>
      <c r="C313" s="8">
        <f>IFERROR(B313/B444, "NA")</f>
        <v>1.7307920941696915E-3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-275</v>
      </c>
      <c r="I313" s="8">
        <f>IFERROR(H313/H444, "NA")</f>
        <v>-0.21468944196358652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-275</v>
      </c>
      <c r="O313" s="8">
        <f>IFERROR(N313/N444, "NA")</f>
        <v>-2.2400211132171811E-2</v>
      </c>
      <c r="P313" s="9"/>
      <c r="Q313" s="7">
        <v>2303.6</v>
      </c>
      <c r="R313" s="8">
        <f>IFERROR(Q313/Q444, "NA")</f>
        <v>1.6104449674265902E-3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-2303.6</v>
      </c>
      <c r="X313" s="8">
        <f>IFERROR(W313/W444, "NA")</f>
        <v>-1.9399944131260026E-2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-2303.6</v>
      </c>
      <c r="AD313" s="8">
        <f>IFERROR(AC313/AC444, "NA")</f>
        <v>-9.4398825448474243E-3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4.3970443486654404E-3</v>
      </c>
      <c r="G318" s="9"/>
      <c r="H318" s="10">
        <f t="shared" si="76"/>
        <v>693</v>
      </c>
      <c r="I318" s="8">
        <f>IFERROR(H318/H444, "NA")</f>
        <v>0.5410173937482381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5544</v>
      </c>
      <c r="U318" s="8">
        <f>IFERROR(T318/T444, "NA")</f>
        <v>4.2266744463702599E-3</v>
      </c>
      <c r="V318" s="9"/>
      <c r="W318" s="10">
        <f t="shared" si="78"/>
        <v>5544</v>
      </c>
      <c r="X318" s="8">
        <f>IFERROR(W318/W444, "NA")</f>
        <v>4.6689221333437045E-2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313.27999999999997</v>
      </c>
      <c r="C319" s="8">
        <f>IFERROR(B319/B444, "NA")</f>
        <v>1.9717183536781123E-3</v>
      </c>
      <c r="D319" s="9"/>
      <c r="E319" s="7">
        <v>294</v>
      </c>
      <c r="F319" s="8">
        <f>IFERROR(E319/E444, "NA")</f>
        <v>1.8654127539792776E-3</v>
      </c>
      <c r="G319" s="9"/>
      <c r="H319" s="10">
        <f t="shared" si="76"/>
        <v>-19.279999999999973</v>
      </c>
      <c r="I319" s="8">
        <f>IFERROR(H319/H444, "NA")</f>
        <v>-1.5051681603847063E-2</v>
      </c>
      <c r="J319" s="9"/>
      <c r="K319" s="7">
        <v>293.61</v>
      </c>
      <c r="L319" s="8">
        <f>IFERROR(K319/K444, "NA")</f>
        <v>2.002658479510146E-3</v>
      </c>
      <c r="M319" s="9"/>
      <c r="N319" s="10">
        <f t="shared" si="77"/>
        <v>-19.669999999999959</v>
      </c>
      <c r="O319" s="8">
        <f>IFERROR(N319/N444, "NA")</f>
        <v>-1.6022260107993404E-3</v>
      </c>
      <c r="P319" s="9"/>
      <c r="Q319" s="7">
        <v>2511</v>
      </c>
      <c r="R319" s="8">
        <f>IFERROR(Q319/Q444, "NA")</f>
        <v>1.7554381460358429E-3</v>
      </c>
      <c r="S319" s="9"/>
      <c r="T319" s="7">
        <v>2352</v>
      </c>
      <c r="U319" s="8">
        <f>IFERROR(T319/T444, "NA")</f>
        <v>1.7931346136116253E-3</v>
      </c>
      <c r="V319" s="9"/>
      <c r="W319" s="10">
        <f t="shared" si="78"/>
        <v>-159</v>
      </c>
      <c r="X319" s="8">
        <f>IFERROR(W319/W444, "NA")</f>
        <v>-1.3390306984156729E-3</v>
      </c>
      <c r="Y319" s="9"/>
      <c r="Z319" s="7">
        <v>2306.67</v>
      </c>
      <c r="AA319" s="8">
        <f>IFERROR(Z319/Z444, "NA")</f>
        <v>1.9442867242456796E-3</v>
      </c>
      <c r="AB319" s="9"/>
      <c r="AC319" s="10">
        <f t="shared" si="79"/>
        <v>-204.32999999999993</v>
      </c>
      <c r="AD319" s="8">
        <f>IFERROR(AC319/AC444, "NA")</f>
        <v>-8.3732036828818967E-4</v>
      </c>
    </row>
    <row r="320" spans="1:30" ht="16.5" customHeight="1" x14ac:dyDescent="0.45">
      <c r="A320" s="6" t="s">
        <v>292</v>
      </c>
      <c r="B320" s="7">
        <v>1228.69</v>
      </c>
      <c r="C320" s="8">
        <f>IFERROR(B320/B444, "NA")</f>
        <v>7.7331161388558478E-3</v>
      </c>
      <c r="D320" s="9"/>
      <c r="E320" s="7">
        <v>833</v>
      </c>
      <c r="F320" s="8">
        <f>IFERROR(E320/E444, "NA")</f>
        <v>5.2853361362746199E-3</v>
      </c>
      <c r="G320" s="9"/>
      <c r="H320" s="10">
        <f t="shared" si="76"/>
        <v>-395.69000000000005</v>
      </c>
      <c r="I320" s="8">
        <f>IFERROR(H320/H444, "NA")</f>
        <v>-0.30891078287480567</v>
      </c>
      <c r="J320" s="9"/>
      <c r="K320" s="7">
        <v>591.19000000000005</v>
      </c>
      <c r="L320" s="8">
        <f>IFERROR(K320/K444, "NA")</f>
        <v>4.0323955808780464E-3</v>
      </c>
      <c r="M320" s="9"/>
      <c r="N320" s="10">
        <f t="shared" si="77"/>
        <v>-637.5</v>
      </c>
      <c r="O320" s="8">
        <f>IFERROR(N320/N444, "NA")</f>
        <v>-5.1927762170034655E-2</v>
      </c>
      <c r="P320" s="9"/>
      <c r="Q320" s="7">
        <v>8677.32</v>
      </c>
      <c r="R320" s="8">
        <f>IFERROR(Q320/Q444, "NA")</f>
        <v>6.0663076596414742E-3</v>
      </c>
      <c r="S320" s="9"/>
      <c r="T320" s="7">
        <v>6664</v>
      </c>
      <c r="U320" s="8">
        <f>IFERROR(T320/T444, "NA")</f>
        <v>5.080548071899605E-3</v>
      </c>
      <c r="V320" s="9"/>
      <c r="W320" s="10">
        <f t="shared" si="78"/>
        <v>-2013.3199999999997</v>
      </c>
      <c r="X320" s="8">
        <f>IFERROR(W320/W444, "NA")</f>
        <v>-1.6955328841095862E-2</v>
      </c>
      <c r="Y320" s="9"/>
      <c r="Z320" s="7">
        <v>6015.83</v>
      </c>
      <c r="AA320" s="8">
        <f>IFERROR(Z320/Z444, "NA")</f>
        <v>5.0707289748073573E-3</v>
      </c>
      <c r="AB320" s="9"/>
      <c r="AC320" s="10">
        <f t="shared" si="79"/>
        <v>-2661.49</v>
      </c>
      <c r="AD320" s="8">
        <f>IFERROR(AC320/AC444, "NA")</f>
        <v>-1.090647377768969E-2</v>
      </c>
    </row>
    <row r="321" spans="1:30" ht="16.5" customHeight="1" x14ac:dyDescent="0.45">
      <c r="A321" s="6" t="s">
        <v>293</v>
      </c>
      <c r="B321" s="7">
        <v>1855.42</v>
      </c>
      <c r="C321" s="8">
        <f>IFERROR(B321/B444, "NA")</f>
        <v>1.1677622790415742E-2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-1855.42</v>
      </c>
      <c r="I321" s="8">
        <f>IFERROR(H321/H444, "NA")</f>
        <v>-1.448505761483919</v>
      </c>
      <c r="J321" s="9"/>
      <c r="K321" s="7">
        <v>6422.33</v>
      </c>
      <c r="L321" s="8">
        <f>IFERROR(K321/K444, "NA")</f>
        <v>4.3805502648793959E-2</v>
      </c>
      <c r="M321" s="9"/>
      <c r="N321" s="10">
        <f t="shared" si="77"/>
        <v>4566.91</v>
      </c>
      <c r="O321" s="8">
        <f>IFERROR(N321/N444, "NA")</f>
        <v>0.37199908444227914</v>
      </c>
      <c r="P321" s="9"/>
      <c r="Q321" s="7">
        <v>18073.68</v>
      </c>
      <c r="R321" s="8">
        <f>IFERROR(Q321/Q444, "NA")</f>
        <v>1.2635295623753522E-2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-18073.68</v>
      </c>
      <c r="X321" s="8">
        <f>IFERROR(W321/W444, "NA")</f>
        <v>-0.15220888272541747</v>
      </c>
      <c r="Y321" s="9"/>
      <c r="Z321" s="7">
        <v>19595.599999999999</v>
      </c>
      <c r="AA321" s="8">
        <f>IFERROR(Z321/Z444, "NA")</f>
        <v>1.651708520665229E-2</v>
      </c>
      <c r="AB321" s="9"/>
      <c r="AC321" s="10">
        <f t="shared" si="79"/>
        <v>1521.9199999999983</v>
      </c>
      <c r="AD321" s="8">
        <f>IFERROR(AC321/AC444, "NA")</f>
        <v>6.2366496104593579E-3</v>
      </c>
    </row>
    <row r="322" spans="1:30" ht="16.5" customHeight="1" x14ac:dyDescent="0.45">
      <c r="A322" s="6" t="s">
        <v>294</v>
      </c>
      <c r="B322" s="7">
        <v>174.48</v>
      </c>
      <c r="C322" s="8">
        <f>IFERROR(B322/B444, "NA")</f>
        <v>1.0981403803299191E-3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-174.48</v>
      </c>
      <c r="I322" s="8">
        <f>IFERROR(H322/H444, "NA")</f>
        <v>-0.13621459575929665</v>
      </c>
      <c r="J322" s="9"/>
      <c r="K322" s="7">
        <v>159.94999999999999</v>
      </c>
      <c r="L322" s="8">
        <f>IFERROR(K322/K444, "NA")</f>
        <v>1.0909888075939095E-3</v>
      </c>
      <c r="M322" s="9"/>
      <c r="N322" s="10">
        <f t="shared" si="77"/>
        <v>-14.530000000000001</v>
      </c>
      <c r="O322" s="8">
        <f>IFERROR(N322/N444, "NA")</f>
        <v>-1.1835457009107507E-3</v>
      </c>
      <c r="P322" s="9"/>
      <c r="Q322" s="7">
        <v>1519.28</v>
      </c>
      <c r="R322" s="8">
        <f>IFERROR(Q322/Q444, "NA")</f>
        <v>1.0621274657544148E-3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-1519.28</v>
      </c>
      <c r="X322" s="8">
        <f>IFERROR(W322/W444, "NA")</f>
        <v>-1.2794733078546941E-2</v>
      </c>
      <c r="Y322" s="9"/>
      <c r="Z322" s="7">
        <v>1681.16</v>
      </c>
      <c r="AA322" s="8">
        <f>IFERROR(Z322/Z444, "NA")</f>
        <v>1.4170458146734761E-3</v>
      </c>
      <c r="AB322" s="9"/>
      <c r="AC322" s="10">
        <f t="shared" si="79"/>
        <v>161.88000000000011</v>
      </c>
      <c r="AD322" s="8">
        <f>IFERROR(AC322/AC444, "NA")</f>
        <v>6.6336524846323248E-4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-2.6374267494547253E-5</v>
      </c>
      <c r="AB323" s="9"/>
      <c r="AC323" s="10">
        <f t="shared" si="79"/>
        <v>-31.29</v>
      </c>
      <c r="AD323" s="8">
        <f>IFERROR(AC323/AC444, "NA")</f>
        <v>-1.2822274910065807E-4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5217.7699999999995</v>
      </c>
      <c r="C324" s="15">
        <f>IFERROR(B324/B444, "NA")</f>
        <v>3.2839545691621057E-2</v>
      </c>
      <c r="D324" s="2"/>
      <c r="E324" s="14">
        <f>IFERROR(E297+E298+E299+E300+E301+E302+E303+E304+E305+E306+E307+E308+E309+E310+E311+E312+E313+E314+E315+E316+E317+E318+E319+E320+E321+E322+E323, "NA")</f>
        <v>3868.88</v>
      </c>
      <c r="F324" s="15">
        <f>IFERROR(E324/E444, "NA")</f>
        <v>2.4547816651752884E-2</v>
      </c>
      <c r="G324" s="2"/>
      <c r="H324" s="14">
        <f t="shared" si="76"/>
        <v>-1348.8899999999994</v>
      </c>
      <c r="I324" s="15">
        <f>IFERROR(H324/H444, "NA")</f>
        <v>-1.0530634231645895</v>
      </c>
      <c r="J324" s="2"/>
      <c r="K324" s="14">
        <f>IFERROR(K297+K298+K299+K300+K301+K302+K303+K304+K305+K306+K307+K308+K309+K310+K311+K312+K313+K314+K315+K316+K317+K318+K319+K320+K321+K322+K323, "NA")</f>
        <v>8290.44</v>
      </c>
      <c r="L324" s="15">
        <f>IFERROR(K324/K444, "NA")</f>
        <v>5.6547528915466411E-2</v>
      </c>
      <c r="M324" s="2"/>
      <c r="N324" s="14">
        <f t="shared" si="77"/>
        <v>3072.670000000001</v>
      </c>
      <c r="O324" s="15">
        <f>IFERROR(N324/N444, "NA")</f>
        <v>0.25028529723451048</v>
      </c>
      <c r="P324" s="2"/>
      <c r="Q324" s="14">
        <f>IFERROR(Q297+Q298+Q299+Q300+Q301+Q302+Q303+Q304+Q305+Q306+Q307+Q308+Q309+Q310+Q311+Q312+Q313+Q314+Q315+Q316+Q317+Q318+Q319+Q320+Q321+Q322+Q323, "NA")</f>
        <v>46483.67</v>
      </c>
      <c r="R324" s="15">
        <f>IFERROR(Q324/Q444, "NA")</f>
        <v>3.2496697525185955E-2</v>
      </c>
      <c r="S324" s="2"/>
      <c r="T324" s="14">
        <f>IFERROR(T297+T298+T299+T300+T301+T302+T303+T304+T305+T306+T307+T308+T309+T310+T311+T312+T313+T314+T315+T316+T317+T318+T319+T320+T321+T322+T323, "NA")</f>
        <v>31611.7</v>
      </c>
      <c r="U324" s="15">
        <f>IFERROR(T324/T444, "NA")</f>
        <v>2.4100354364416078E-2</v>
      </c>
      <c r="V324" s="2"/>
      <c r="W324" s="14">
        <f t="shared" si="78"/>
        <v>-14871.969999999998</v>
      </c>
      <c r="X324" s="15">
        <f>IFERROR(W324/W444, "NA")</f>
        <v>-0.12524543632652158</v>
      </c>
      <c r="Y324" s="2"/>
      <c r="Z324" s="14">
        <f>IFERROR(Z297+Z298+Z299+Z300+Z301+Z302+Z303+Z304+Z305+Z306+Z307+Z308+Z309+Z310+Z311+Z312+Z313+Z314+Z315+Z316+Z317+Z318+Z319+Z320+Z321+Z322+Z323, "NA")</f>
        <v>36109.78</v>
      </c>
      <c r="AA324" s="15">
        <f>IFERROR(Z324/Z444, "NA")</f>
        <v>3.0436848734076462E-2</v>
      </c>
      <c r="AB324" s="2"/>
      <c r="AC324" s="14">
        <f t="shared" si="79"/>
        <v>-10373.89</v>
      </c>
      <c r="AD324" s="15">
        <f>IFERROR(AC324/AC444, "NA")</f>
        <v>-4.2510984169633295E-2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36407.620000000003</v>
      </c>
      <c r="C325" s="15">
        <f>IFERROR(B325/B444, "NA")</f>
        <v>0.22914189404921581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40499.919999999998</v>
      </c>
      <c r="F325" s="15">
        <f>IFERROR(E325/E444, "NA")</f>
        <v>0.25696961667734836</v>
      </c>
      <c r="G325" s="2"/>
      <c r="H325" s="14">
        <f t="shared" si="76"/>
        <v>4092.2999999999956</v>
      </c>
      <c r="I325" s="15">
        <f>IFERROR(H325/H444, "NA")</f>
        <v>3.1948131030821245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46324.57</v>
      </c>
      <c r="L325" s="15">
        <f>IFERROR(K325/K444, "NA")</f>
        <v>0.315971162154427</v>
      </c>
      <c r="M325" s="2"/>
      <c r="N325" s="14">
        <f t="shared" si="77"/>
        <v>9916.9499999999971</v>
      </c>
      <c r="O325" s="15">
        <f>IFERROR(N325/N444, "NA")</f>
        <v>0.80778826831705886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377444.11000000004</v>
      </c>
      <c r="R325" s="15">
        <f>IFERROR(Q325/Q444, "NA")</f>
        <v>0.26387088358843047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336238.82</v>
      </c>
      <c r="U325" s="15">
        <f>IFERROR(T325/T444, "NA")</f>
        <v>0.25634416096170443</v>
      </c>
      <c r="V325" s="2"/>
      <c r="W325" s="14">
        <f t="shared" si="78"/>
        <v>-41205.290000000037</v>
      </c>
      <c r="X325" s="15">
        <f>IFERROR(W325/W444, "NA")</f>
        <v>-0.34701351098817856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282854.36999999994</v>
      </c>
      <c r="AA325" s="15">
        <f>IFERROR(Z325/Z444, "NA")</f>
        <v>0.23841728400069162</v>
      </c>
      <c r="AB325" s="2"/>
      <c r="AC325" s="14">
        <f t="shared" si="79"/>
        <v>-94589.740000000107</v>
      </c>
      <c r="AD325" s="15">
        <f>IFERROR(AC325/AC444, "NA")</f>
        <v>-0.38761765738307752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6.3796367212151484E-2</v>
      </c>
      <c r="D329" s="9"/>
      <c r="E329" s="7">
        <v>9355</v>
      </c>
      <c r="F329" s="8">
        <f>IFERROR(E329/E444, "NA")</f>
        <v>5.9356926236313411E-2</v>
      </c>
      <c r="G329" s="9"/>
      <c r="H329" s="10">
        <f t="shared" si="80"/>
        <v>-781.39999999999964</v>
      </c>
      <c r="I329" s="8">
        <f>IFERROR(H329/H444, "NA")</f>
        <v>-0.61003029072853243</v>
      </c>
      <c r="J329" s="9"/>
      <c r="K329" s="7">
        <v>9841.17</v>
      </c>
      <c r="L329" s="8">
        <f>IFERROR(K329/K444, "NA")</f>
        <v>6.7124766012059744E-2</v>
      </c>
      <c r="M329" s="9"/>
      <c r="N329" s="10">
        <f t="shared" si="81"/>
        <v>-295.22999999999956</v>
      </c>
      <c r="O329" s="8">
        <f>IFERROR(N329/N444, "NA")</f>
        <v>-2.4048052118367542E-2</v>
      </c>
      <c r="P329" s="9"/>
      <c r="Q329" s="7">
        <v>81091.199999999997</v>
      </c>
      <c r="R329" s="8">
        <f>IFERROR(Q329/Q444, "NA")</f>
        <v>5.669079481792981E-2</v>
      </c>
      <c r="S329" s="9"/>
      <c r="T329" s="7">
        <v>79524</v>
      </c>
      <c r="U329" s="8">
        <f>IFERROR(T329/T444, "NA")</f>
        <v>6.0628076961246127E-2</v>
      </c>
      <c r="V329" s="9"/>
      <c r="W329" s="10">
        <f t="shared" si="82"/>
        <v>-1567.1999999999971</v>
      </c>
      <c r="X329" s="8">
        <f>IFERROR(W329/W444, "NA")</f>
        <v>-1.3198295034949929E-2</v>
      </c>
      <c r="Y329" s="9"/>
      <c r="Z329" s="7">
        <v>78729.36</v>
      </c>
      <c r="AA329" s="8">
        <f>IFERROR(Z329/Z444, "NA")</f>
        <v>6.6360792595541993E-2</v>
      </c>
      <c r="AB329" s="9"/>
      <c r="AC329" s="10">
        <f t="shared" si="83"/>
        <v>-2361.8399999999965</v>
      </c>
      <c r="AD329" s="8">
        <f>IFERROR(AC329/AC444, "NA")</f>
        <v>-9.6785432322114996E-3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4.5859696706063479E-3</v>
      </c>
      <c r="D330" s="9"/>
      <c r="E330" s="7">
        <v>728</v>
      </c>
      <c r="F330" s="8">
        <f>IFERROR(E330/E444, "NA")</f>
        <v>4.6191172955677351E-3</v>
      </c>
      <c r="G330" s="9"/>
      <c r="H330" s="10">
        <f t="shared" si="80"/>
        <v>-0.64999999999997726</v>
      </c>
      <c r="I330" s="8">
        <f>IFERROR(H330/H444, "NA")</f>
        <v>-5.0744777191391404E-4</v>
      </c>
      <c r="J330" s="9"/>
      <c r="K330" s="7">
        <v>844.12</v>
      </c>
      <c r="L330" s="8">
        <f>IFERROR(K330/K444, "NA")</f>
        <v>5.7575834464905972E-3</v>
      </c>
      <c r="M330" s="9"/>
      <c r="N330" s="10">
        <f t="shared" si="81"/>
        <v>115.47000000000003</v>
      </c>
      <c r="O330" s="8">
        <f>IFERROR(N330/N444, "NA")</f>
        <v>9.405645016115927E-3</v>
      </c>
      <c r="P330" s="9"/>
      <c r="Q330" s="7">
        <v>4915.47</v>
      </c>
      <c r="R330" s="8">
        <f>IFERROR(Q330/Q444, "NA")</f>
        <v>3.4364012519692575E-3</v>
      </c>
      <c r="S330" s="9"/>
      <c r="T330" s="7">
        <v>5824</v>
      </c>
      <c r="U330" s="8">
        <f>IFERROR(T330/T444, "NA")</f>
        <v>4.4401428527525962E-3</v>
      </c>
      <c r="V330" s="9"/>
      <c r="W330" s="10">
        <f t="shared" si="82"/>
        <v>908.52999999999975</v>
      </c>
      <c r="X330" s="8">
        <f>IFERROR(W330/W444, "NA")</f>
        <v>7.6512550970540315E-3</v>
      </c>
      <c r="Y330" s="9"/>
      <c r="Z330" s="7">
        <v>6175.61</v>
      </c>
      <c r="AA330" s="8">
        <f>IFERROR(Z330/Z444, "NA")</f>
        <v>5.2054071614573653E-3</v>
      </c>
      <c r="AB330" s="9"/>
      <c r="AC330" s="10">
        <f t="shared" si="83"/>
        <v>1260.1399999999994</v>
      </c>
      <c r="AD330" s="8">
        <f>IFERROR(AC330/AC444, "NA")</f>
        <v>5.1639058821253813E-3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9.5413847809500084E-5</v>
      </c>
      <c r="D332" s="9"/>
      <c r="E332" s="7">
        <v>15</v>
      </c>
      <c r="F332" s="8">
        <f>IFERROR(E332/E444, "NA")</f>
        <v>9.5174120100983555E-5</v>
      </c>
      <c r="G332" s="9"/>
      <c r="H332" s="10">
        <f t="shared" si="80"/>
        <v>-0.16000000000000014</v>
      </c>
      <c r="I332" s="8">
        <f>IFERROR(H332/H444, "NA")</f>
        <v>-1.2491022077881409E-4</v>
      </c>
      <c r="J332" s="9"/>
      <c r="K332" s="7">
        <v>15.16</v>
      </c>
      <c r="L332" s="8">
        <f>IFERROR(K332/K444, "NA")</f>
        <v>1.0340350311424615E-4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1416.52</v>
      </c>
      <c r="R332" s="8">
        <f>IFERROR(Q332/Q444, "NA")</f>
        <v>9.9028802971831633E-4</v>
      </c>
      <c r="S332" s="9"/>
      <c r="T332" s="7">
        <v>120</v>
      </c>
      <c r="U332" s="8">
        <f>IFERROR(T332/T444, "NA")</f>
        <v>9.1486459878144149E-5</v>
      </c>
      <c r="V332" s="9"/>
      <c r="W332" s="10">
        <f t="shared" si="82"/>
        <v>-1296.52</v>
      </c>
      <c r="X332" s="8">
        <f>IFERROR(W332/W444, "NA")</f>
        <v>-1.0918742648489863E-2</v>
      </c>
      <c r="Y332" s="9"/>
      <c r="Z332" s="7">
        <v>121.28</v>
      </c>
      <c r="AA332" s="8">
        <f>IFERROR(Z332/Z444, "NA")</f>
        <v>1.0222662709295912E-4</v>
      </c>
      <c r="AB332" s="9"/>
      <c r="AC332" s="10">
        <f t="shared" si="83"/>
        <v>-1295.24</v>
      </c>
      <c r="AD332" s="8">
        <f>IFERROR(AC332/AC444, "NA")</f>
        <v>-5.3077415642421334E-3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6.068094144264605E-3</v>
      </c>
      <c r="D333" s="9"/>
      <c r="E333" s="7">
        <v>728</v>
      </c>
      <c r="F333" s="8">
        <f>IFERROR(E333/E444, "NA")</f>
        <v>4.6191172955677351E-3</v>
      </c>
      <c r="G333" s="9"/>
      <c r="H333" s="10">
        <f t="shared" si="80"/>
        <v>-236.14</v>
      </c>
      <c r="I333" s="8">
        <f>IFERROR(H333/H444, "NA")</f>
        <v>-0.18435187209193207</v>
      </c>
      <c r="J333" s="9"/>
      <c r="K333" s="7">
        <v>964.14</v>
      </c>
      <c r="L333" s="8">
        <f>IFERROR(K333/K444, "NA")</f>
        <v>6.5762172488502161E-3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7713.12</v>
      </c>
      <c r="R333" s="8">
        <f>IFERROR(Q333/Q444, "NA")</f>
        <v>5.3922361899450344E-3</v>
      </c>
      <c r="S333" s="9"/>
      <c r="T333" s="7">
        <v>5824</v>
      </c>
      <c r="U333" s="8">
        <f>IFERROR(T333/T444, "NA")</f>
        <v>4.4401428527525962E-3</v>
      </c>
      <c r="V333" s="9"/>
      <c r="W333" s="10">
        <f t="shared" si="82"/>
        <v>-1889.12</v>
      </c>
      <c r="X333" s="8">
        <f>IFERROR(W333/W444, "NA")</f>
        <v>-1.5909369012522111E-2</v>
      </c>
      <c r="Y333" s="9"/>
      <c r="Z333" s="7">
        <v>7713.12</v>
      </c>
      <c r="AA333" s="8">
        <f>IFERROR(Z333/Z444, "NA")</f>
        <v>6.5013707285887607E-3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-4.9123026527252518E-3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0.60932767073665195</v>
      </c>
      <c r="J334" s="9"/>
      <c r="K334" s="7">
        <v>-757.77</v>
      </c>
      <c r="L334" s="8">
        <f>IFERROR(K334/K444, "NA")</f>
        <v>-5.1686063690555605E-3</v>
      </c>
      <c r="M334" s="9"/>
      <c r="N334" s="10">
        <f t="shared" si="81"/>
        <v>22.730000000000018</v>
      </c>
      <c r="O334" s="8">
        <f>IFERROR(N334/N444, "NA")</f>
        <v>1.8514792692155115E-3</v>
      </c>
      <c r="P334" s="9"/>
      <c r="Q334" s="7">
        <v>-1561</v>
      </c>
      <c r="R334" s="8">
        <f>IFERROR(Q334/Q444, "NA")</f>
        <v>-1.0912938852895065E-3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1561</v>
      </c>
      <c r="X334" s="8">
        <f>IFERROR(W334/W444, "NA")</f>
        <v>1.3146081259288461E-2</v>
      </c>
      <c r="Y334" s="9"/>
      <c r="Z334" s="7">
        <v>-1515.54</v>
      </c>
      <c r="AA334" s="8">
        <f>IFERROR(Z334/Z444, "NA")</f>
        <v>-1.2774451057426062E-3</v>
      </c>
      <c r="AB334" s="9"/>
      <c r="AC334" s="10">
        <f t="shared" si="83"/>
        <v>45.460000000000036</v>
      </c>
      <c r="AD334" s="8">
        <f>IFERROR(AC334/AC444, "NA")</f>
        <v>1.8628974669593866E-4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2.3137527665803054E-3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-2.7872218742707417E-2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-1.3562434479978267E-2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4779.78</v>
      </c>
      <c r="F337" s="8">
        <f>IFERROR(E337/E444, "NA")</f>
        <v>3.0327423718418609E-2</v>
      </c>
      <c r="G337" s="9"/>
      <c r="H337" s="10">
        <f t="shared" ref="H337:H344" si="84">IFERROR(-(B337-E337), "NA")</f>
        <v>4779.78</v>
      </c>
      <c r="I337" s="8">
        <f>IFERROR(H337/H444, "NA")</f>
        <v>3.7315210942134964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32486.75</v>
      </c>
      <c r="U337" s="8">
        <f>IFERROR(T337/T444, "NA")</f>
        <v>2.4767481253719161E-2</v>
      </c>
      <c r="V337" s="9"/>
      <c r="W337" s="10">
        <f t="shared" ref="W337:W344" si="86">IFERROR(-(Q337-T337), "NA")</f>
        <v>32486.75</v>
      </c>
      <c r="X337" s="8">
        <f>IFERROR(W337/W444, "NA")</f>
        <v>0.27358965749531672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3915.94</v>
      </c>
      <c r="C338" s="8">
        <f>IFERROR(B338/B444, "NA")</f>
        <v>2.4646101793610407E-2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-3915.94</v>
      </c>
      <c r="I338" s="8">
        <f>IFERROR(H338/H444, "NA")</f>
        <v>-3.0571308122286802</v>
      </c>
      <c r="J338" s="9"/>
      <c r="K338" s="7">
        <v>3024.82</v>
      </c>
      <c r="L338" s="8">
        <f>IFERROR(K338/K444, "NA")</f>
        <v>2.0631727195912535E-2</v>
      </c>
      <c r="M338" s="9"/>
      <c r="N338" s="10">
        <f t="shared" si="85"/>
        <v>-891.11999999999989</v>
      </c>
      <c r="O338" s="8">
        <f>IFERROR(N338/N444, "NA")</f>
        <v>-7.2586458705821602E-2</v>
      </c>
      <c r="P338" s="9"/>
      <c r="Q338" s="7">
        <v>30671.53</v>
      </c>
      <c r="R338" s="8">
        <f>IFERROR(Q338/Q444, "NA")</f>
        <v>2.1442442755588507E-2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-30671.53</v>
      </c>
      <c r="X338" s="8">
        <f>IFERROR(W338/W444, "NA")</f>
        <v>-0.25830264300237271</v>
      </c>
      <c r="Y338" s="9"/>
      <c r="Z338" s="7">
        <v>21051.99</v>
      </c>
      <c r="AA338" s="8">
        <f>IFERROR(Z338/Z444, "NA")</f>
        <v>1.774467291634816E-2</v>
      </c>
      <c r="AB338" s="9"/>
      <c r="AC338" s="10">
        <f t="shared" si="87"/>
        <v>-9619.5399999999972</v>
      </c>
      <c r="AD338" s="8">
        <f>IFERROR(AC338/AC444, "NA")</f>
        <v>-3.9419746368927581E-2</v>
      </c>
    </row>
    <row r="339" spans="1:30" ht="16.5" customHeight="1" x14ac:dyDescent="0.45">
      <c r="A339" s="12" t="s">
        <v>309</v>
      </c>
      <c r="B339" s="7">
        <v>388.26</v>
      </c>
      <c r="C339" s="8">
        <f>IFERROR(B339/B444, "NA")</f>
        <v>2.4436266853902705E-3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-388.26</v>
      </c>
      <c r="I339" s="8">
        <f>IFERROR(H339/H444, "NA")</f>
        <v>-0.30311026449738948</v>
      </c>
      <c r="J339" s="9"/>
      <c r="K339" s="7">
        <v>320.64</v>
      </c>
      <c r="L339" s="8">
        <f>IFERROR(K339/K444, "NA")</f>
        <v>2.187025015735612E-3</v>
      </c>
      <c r="M339" s="9"/>
      <c r="N339" s="10">
        <f t="shared" si="85"/>
        <v>-67.62</v>
      </c>
      <c r="O339" s="8">
        <f>IFERROR(N339/N444, "NA")</f>
        <v>-5.508008279118029E-3</v>
      </c>
      <c r="P339" s="9"/>
      <c r="Q339" s="7">
        <v>2796.44</v>
      </c>
      <c r="R339" s="8">
        <f>IFERROR(Q339/Q444, "NA")</f>
        <v>1.9549890279173528E-3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-2796.44</v>
      </c>
      <c r="X339" s="8">
        <f>IFERROR(W339/W444, "NA")</f>
        <v>-2.3550434001745436E-2</v>
      </c>
      <c r="Y339" s="9"/>
      <c r="Z339" s="7">
        <v>3257.28</v>
      </c>
      <c r="AA339" s="8">
        <f>IFERROR(Z339/Z444, "NA")</f>
        <v>2.7455536601035118E-3</v>
      </c>
      <c r="AB339" s="9"/>
      <c r="AC339" s="10">
        <f t="shared" si="87"/>
        <v>460.84000000000015</v>
      </c>
      <c r="AD339" s="8">
        <f>IFERROR(AC339/AC444, "NA")</f>
        <v>1.8884682548912523E-3</v>
      </c>
    </row>
    <row r="340" spans="1:30" ht="16.5" customHeight="1" x14ac:dyDescent="0.45">
      <c r="A340" s="12" t="s">
        <v>310</v>
      </c>
      <c r="B340" s="7">
        <v>2079.67</v>
      </c>
      <c r="C340" s="8">
        <f>IFERROR(B340/B444, "NA")</f>
        <v>1.3089005070843209E-2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-2079.67</v>
      </c>
      <c r="I340" s="8">
        <f>IFERROR(H340/H444, "NA")</f>
        <v>-1.6235752427942254</v>
      </c>
      <c r="J340" s="9"/>
      <c r="K340" s="7">
        <v>430</v>
      </c>
      <c r="L340" s="8">
        <f>IFERROR(K340/K444, "NA")</f>
        <v>2.9329489669608073E-3</v>
      </c>
      <c r="M340" s="9"/>
      <c r="N340" s="10">
        <f t="shared" si="85"/>
        <v>-1649.67</v>
      </c>
      <c r="O340" s="8">
        <f>IFERROR(N340/N444, "NA")</f>
        <v>-0.13437438653967226</v>
      </c>
      <c r="P340" s="9"/>
      <c r="Q340" s="7">
        <v>6227.51</v>
      </c>
      <c r="R340" s="8">
        <f>IFERROR(Q340/Q444, "NA")</f>
        <v>4.3536473949899136E-3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-6227.51</v>
      </c>
      <c r="X340" s="8">
        <f>IFERROR(W340/W444, "NA")</f>
        <v>-5.2445453237047718E-2</v>
      </c>
      <c r="Y340" s="9"/>
      <c r="Z340" s="7">
        <v>3455.79</v>
      </c>
      <c r="AA340" s="8">
        <f>IFERROR(Z340/Z444, "NA")</f>
        <v>2.9128772727702607E-3</v>
      </c>
      <c r="AB340" s="9"/>
      <c r="AC340" s="10">
        <f t="shared" si="87"/>
        <v>-2771.7200000000003</v>
      </c>
      <c r="AD340" s="8">
        <f>IFERROR(AC340/AC444, "NA")</f>
        <v>-1.1358183385659189E-2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2.3927099288745149E-3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-0.29679449145926068</v>
      </c>
      <c r="J341" s="9"/>
      <c r="K341" s="7">
        <v>351.45</v>
      </c>
      <c r="L341" s="8">
        <f>IFERROR(K341/K444, "NA")</f>
        <v>2.3971742196241298E-3</v>
      </c>
      <c r="M341" s="9"/>
      <c r="N341" s="10">
        <f t="shared" si="85"/>
        <v>-28.720000000000027</v>
      </c>
      <c r="O341" s="8">
        <f>IFERROR(N341/N444, "NA")</f>
        <v>-2.3393965953308182E-3</v>
      </c>
      <c r="P341" s="9"/>
      <c r="Q341" s="7">
        <v>3041.36</v>
      </c>
      <c r="R341" s="8">
        <f>IFERROR(Q341/Q444, "NA")</f>
        <v>2.1262124093299768E-3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-3041.36</v>
      </c>
      <c r="X341" s="8">
        <f>IFERROR(W341/W444, "NA")</f>
        <v>-2.561304657190875E-2</v>
      </c>
      <c r="Y341" s="9"/>
      <c r="Z341" s="7">
        <v>2811.6</v>
      </c>
      <c r="AA341" s="8">
        <f>IFERROR(Z341/Z444, "NA")</f>
        <v>2.3698910350805069E-3</v>
      </c>
      <c r="AB341" s="9"/>
      <c r="AC341" s="10">
        <f t="shared" si="87"/>
        <v>-229.76000000000022</v>
      </c>
      <c r="AD341" s="8">
        <f>IFERROR(AC341/AC444, "NA")</f>
        <v>-9.4152952487591007E-4</v>
      </c>
    </row>
    <row r="342" spans="1:30" ht="16.5" customHeight="1" x14ac:dyDescent="0.45">
      <c r="A342" s="13" t="s">
        <v>312</v>
      </c>
      <c r="B342" s="14">
        <f>IFERROR(B337+B338+B339+B340+B341, "NA")</f>
        <v>6764.04</v>
      </c>
      <c r="C342" s="15">
        <f>IFERROR(B342/B444, "NA")</f>
        <v>4.2571443478718399E-2</v>
      </c>
      <c r="D342" s="2"/>
      <c r="E342" s="14">
        <f>IFERROR(E337+E338+E339+E340+E341, "NA")</f>
        <v>4779.78</v>
      </c>
      <c r="F342" s="15">
        <f>IFERROR(E342/E444, "NA")</f>
        <v>3.0327423718418609E-2</v>
      </c>
      <c r="G342" s="2"/>
      <c r="H342" s="14">
        <f t="shared" si="84"/>
        <v>-1984.2600000000002</v>
      </c>
      <c r="I342" s="15">
        <f>IFERROR(H342/H444, "NA")</f>
        <v>-1.5490897167660591</v>
      </c>
      <c r="J342" s="2"/>
      <c r="K342" s="14">
        <f>IFERROR(K337+K338+K339+K340+K341, "NA")</f>
        <v>4126.91</v>
      </c>
      <c r="L342" s="15">
        <f>IFERROR(K342/K444, "NA")</f>
        <v>2.8148875398233082E-2</v>
      </c>
      <c r="M342" s="2"/>
      <c r="N342" s="14">
        <f t="shared" si="85"/>
        <v>-2637.13</v>
      </c>
      <c r="O342" s="15">
        <f>IFERROR(N342/N444, "NA")</f>
        <v>-0.21480825011994273</v>
      </c>
      <c r="P342" s="2"/>
      <c r="Q342" s="14">
        <f>IFERROR(Q337+Q338+Q339+Q340+Q341, "NA")</f>
        <v>42736.840000000004</v>
      </c>
      <c r="R342" s="15">
        <f>IFERROR(Q342/Q444, "NA")</f>
        <v>2.9877291587825754E-2</v>
      </c>
      <c r="S342" s="2"/>
      <c r="T342" s="14">
        <f>IFERROR(T337+T338+T339+T340+T341, "NA")</f>
        <v>32486.75</v>
      </c>
      <c r="U342" s="15">
        <f>IFERROR(T342/T444, "NA")</f>
        <v>2.4767481253719161E-2</v>
      </c>
      <c r="V342" s="2"/>
      <c r="W342" s="14">
        <f t="shared" si="86"/>
        <v>-10250.090000000004</v>
      </c>
      <c r="X342" s="15">
        <f>IFERROR(W342/W444, "NA")</f>
        <v>-8.6321919317757928E-2</v>
      </c>
      <c r="Y342" s="2"/>
      <c r="Z342" s="14">
        <f>IFERROR(Z337+Z338+Z339+Z340+Z341, "NA")</f>
        <v>30576.66</v>
      </c>
      <c r="AA342" s="15">
        <f>IFERROR(Z342/Z444, "NA")</f>
        <v>2.5772994884302437E-2</v>
      </c>
      <c r="AB342" s="2"/>
      <c r="AC342" s="14">
        <f t="shared" si="87"/>
        <v>-12160.180000000004</v>
      </c>
      <c r="AD342" s="15">
        <f>IFERROR(AC342/AC444, "NA")</f>
        <v>-4.9830991024571454E-2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17827.89</v>
      </c>
      <c r="C343" s="15">
        <f>IFERROR(B343/B444, "NA")</f>
        <v>0.11220498570082509</v>
      </c>
      <c r="D343" s="2"/>
      <c r="E343" s="14">
        <f>IFERROR(E328+E329+E330+E331+E332+E333+E334+E335+E337+E338+E339+E340+E341, "NA")</f>
        <v>15605.779999999999</v>
      </c>
      <c r="F343" s="15">
        <f>IFERROR(E343/E444, "NA")</f>
        <v>9.9017758665968458E-2</v>
      </c>
      <c r="G343" s="2"/>
      <c r="H343" s="14">
        <f t="shared" si="84"/>
        <v>-2222.1100000000006</v>
      </c>
      <c r="I343" s="15">
        <f>IFERROR(H343/H444, "NA")</f>
        <v>-1.734776566842565</v>
      </c>
      <c r="J343" s="2"/>
      <c r="K343" s="14">
        <f>IFERROR(K328+K329+K330+K331+K332+K333+K334+K335+K337+K338+K339+K340+K341, "NA")</f>
        <v>15033.73</v>
      </c>
      <c r="L343" s="15">
        <f>IFERROR(K343/K444, "NA")</f>
        <v>0.10254223923969231</v>
      </c>
      <c r="M343" s="2"/>
      <c r="N343" s="14">
        <f t="shared" si="85"/>
        <v>-2794.16</v>
      </c>
      <c r="O343" s="15">
        <f>IFERROR(N343/N444, "NA")</f>
        <v>-0.22759917795297885</v>
      </c>
      <c r="P343" s="2"/>
      <c r="Q343" s="14">
        <f>IFERROR(Q328+Q329+Q330+Q331+Q332+Q333+Q334+Q335+Q337+Q338+Q339+Q340+Q341, "NA")</f>
        <v>139621.76999999999</v>
      </c>
      <c r="R343" s="15">
        <f>IFERROR(Q343/Q444, "NA")</f>
        <v>9.7609470758678957E-2</v>
      </c>
      <c r="S343" s="2"/>
      <c r="T343" s="14">
        <f>IFERROR(T328+T329+T330+T331+T332+T333+T334+T335+T337+T338+T339+T340+T341, "NA")</f>
        <v>123778.75</v>
      </c>
      <c r="U343" s="15">
        <f>IFERROR(T343/T444, "NA")</f>
        <v>9.4367330380348627E-2</v>
      </c>
      <c r="V343" s="2"/>
      <c r="W343" s="14">
        <f t="shared" si="86"/>
        <v>-15843.01999999999</v>
      </c>
      <c r="X343" s="15">
        <f>IFERROR(W343/W444, "NA")</f>
        <v>-0.13342320840008465</v>
      </c>
      <c r="Y343" s="2"/>
      <c r="Z343" s="14">
        <f>IFERROR(Z328+Z329+Z330+Z331+Z332+Z333+Z334+Z335+Z337+Z338+Z339+Z340+Z341, "NA")</f>
        <v>121800.49</v>
      </c>
      <c r="AA343" s="15">
        <f>IFERROR(Z343/Z444, "NA")</f>
        <v>0.10266534689124091</v>
      </c>
      <c r="AB343" s="2"/>
      <c r="AC343" s="14">
        <f t="shared" si="87"/>
        <v>-17821.279999999984</v>
      </c>
      <c r="AD343" s="15">
        <f>IFERROR(AC343/AC444, "NA")</f>
        <v>-7.3029514672181967E-2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17827.89</v>
      </c>
      <c r="C344" s="15">
        <f>IFERROR(B344/B444, "NA")</f>
        <v>0.11220498570082509</v>
      </c>
      <c r="D344" s="2"/>
      <c r="E344" s="14">
        <f>IFERROR(E328+E329+E330+E331+E332+E333+E334+E335+E337+E338+E339+E340+E341, "NA")</f>
        <v>15605.779999999999</v>
      </c>
      <c r="F344" s="15">
        <f>IFERROR(E344/E444, "NA")</f>
        <v>9.9017758665968458E-2</v>
      </c>
      <c r="G344" s="2"/>
      <c r="H344" s="14">
        <f t="shared" si="84"/>
        <v>-2222.1100000000006</v>
      </c>
      <c r="I344" s="15">
        <f>IFERROR(H344/H444, "NA")</f>
        <v>-1.734776566842565</v>
      </c>
      <c r="J344" s="2"/>
      <c r="K344" s="14">
        <f>IFERROR(K328+K329+K330+K331+K332+K333+K334+K335+K337+K338+K339+K340+K341, "NA")</f>
        <v>15033.73</v>
      </c>
      <c r="L344" s="15">
        <f>IFERROR(K344/K444, "NA")</f>
        <v>0.10254223923969231</v>
      </c>
      <c r="M344" s="2"/>
      <c r="N344" s="14">
        <f t="shared" si="85"/>
        <v>-2794.16</v>
      </c>
      <c r="O344" s="15">
        <f>IFERROR(N344/N444, "NA")</f>
        <v>-0.22759917795297885</v>
      </c>
      <c r="P344" s="2"/>
      <c r="Q344" s="14">
        <f>IFERROR(Q328+Q329+Q330+Q331+Q332+Q333+Q334+Q335+Q337+Q338+Q339+Q340+Q341, "NA")</f>
        <v>139621.76999999999</v>
      </c>
      <c r="R344" s="15">
        <f>IFERROR(Q344/Q444, "NA")</f>
        <v>9.7609470758678957E-2</v>
      </c>
      <c r="S344" s="2"/>
      <c r="T344" s="14">
        <f>IFERROR(T328+T329+T330+T331+T332+T333+T334+T335+T337+T338+T339+T340+T341, "NA")</f>
        <v>123778.75</v>
      </c>
      <c r="U344" s="15">
        <f>IFERROR(T344/T444, "NA")</f>
        <v>9.4367330380348627E-2</v>
      </c>
      <c r="V344" s="2"/>
      <c r="W344" s="14">
        <f t="shared" si="86"/>
        <v>-15843.01999999999</v>
      </c>
      <c r="X344" s="15">
        <f>IFERROR(W344/W444, "NA")</f>
        <v>-0.13342320840008465</v>
      </c>
      <c r="Y344" s="2"/>
      <c r="Z344" s="14">
        <f>IFERROR(Z328+Z329+Z330+Z331+Z332+Z333+Z334+Z335+Z337+Z338+Z339+Z340+Z341, "NA")</f>
        <v>121800.49</v>
      </c>
      <c r="AA344" s="15">
        <f>IFERROR(Z344/Z444, "NA")</f>
        <v>0.10266534689124091</v>
      </c>
      <c r="AB344" s="2"/>
      <c r="AC344" s="14">
        <f t="shared" si="87"/>
        <v>-17821.279999999984</v>
      </c>
      <c r="AD344" s="15">
        <f>IFERROR(AC344/AC444, "NA")</f>
        <v>-7.3029514672181967E-2</v>
      </c>
    </row>
    <row r="345" spans="1:30" ht="16.5" customHeight="1" x14ac:dyDescent="0.45">
      <c r="A345" s="22" t="s">
        <v>315</v>
      </c>
      <c r="B345" s="23">
        <f>IFERROR(B198-B325-B344, "NA")</f>
        <v>19316.60999999995</v>
      </c>
      <c r="C345" s="24">
        <f>IFERROR(B345/B444, "NA")</f>
        <v>0.12157467590603314</v>
      </c>
      <c r="D345" s="25"/>
      <c r="E345" s="23">
        <f>IFERROR(E198-E325-E344, "NA")</f>
        <v>24658.760000000024</v>
      </c>
      <c r="F345" s="24">
        <f>IFERROR(E345/E444, "NA")</f>
        <v>0.15645838571875542</v>
      </c>
      <c r="G345" s="25"/>
      <c r="H345" s="23">
        <f>IFERROR(B345-E345, "NA")</f>
        <v>-5342.1500000000742</v>
      </c>
      <c r="I345" s="24">
        <f>IFERROR(H345/H444, "NA")</f>
        <v>-4.1705570995846895</v>
      </c>
      <c r="J345" s="25"/>
      <c r="K345" s="23">
        <f>IFERROR(K198-K325-K344, "NA")</f>
        <v>16198.079999999962</v>
      </c>
      <c r="L345" s="24">
        <f>IFERROR(K345/K444, "NA")</f>
        <v>0.11048405116918233</v>
      </c>
      <c r="M345" s="25"/>
      <c r="N345" s="23">
        <f>IFERROR(B345-K345, "NA")</f>
        <v>3118.5299999999879</v>
      </c>
      <c r="O345" s="24">
        <f>IFERROR(N345/N444, "NA")</f>
        <v>0.25402083789822361</v>
      </c>
      <c r="P345" s="25"/>
      <c r="Q345" s="23">
        <f>IFERROR(Q198-Q325-Q344, "NA")</f>
        <v>165360.69999999911</v>
      </c>
      <c r="R345" s="24">
        <f>IFERROR(Q345/Q444, "NA")</f>
        <v>0.1156035366926275</v>
      </c>
      <c r="S345" s="25"/>
      <c r="T345" s="23">
        <f>IFERROR(T198-T325-T344, "NA")</f>
        <v>191265.39999999997</v>
      </c>
      <c r="U345" s="24">
        <f>IFERROR(T345/T444, "NA")</f>
        <v>0.14581828619314324</v>
      </c>
      <c r="V345" s="25"/>
      <c r="W345" s="23">
        <f>IFERROR(Q345-T345, "NA")</f>
        <v>-25904.700000000856</v>
      </c>
      <c r="X345" s="24">
        <f>IFERROR(W345/W444, "NA")</f>
        <v>-0.21815841844811087</v>
      </c>
      <c r="Y345" s="25"/>
      <c r="Z345" s="23">
        <f>IFERROR(Z198-Z325-Z344, "NA")</f>
        <v>166958.56</v>
      </c>
      <c r="AA345" s="24">
        <f>IFERROR(Z345/Z444, "NA")</f>
        <v>0.1407289780103681</v>
      </c>
      <c r="AB345" s="25"/>
      <c r="AC345" s="23">
        <f>IFERROR(Q345-Z345, "NA")</f>
        <v>-1597.8600000008882</v>
      </c>
      <c r="AD345" s="24">
        <f>IFERROR(AC345/AC444, "NA")</f>
        <v>-6.5478428212876767E-3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19316.60999999995</v>
      </c>
      <c r="C404" s="24">
        <f>IFERROR(B404/B444, "NA")</f>
        <v>0.12157467590603314</v>
      </c>
      <c r="D404" s="25"/>
      <c r="E404" s="23">
        <f>IFERROR(E345-E403, "NA")</f>
        <v>24658.760000000024</v>
      </c>
      <c r="F404" s="24">
        <f>IFERROR(E404/E444, "NA")</f>
        <v>0.15645838571875542</v>
      </c>
      <c r="G404" s="25"/>
      <c r="H404" s="23">
        <f>IFERROR(B404-E404, "NA")</f>
        <v>-5342.1500000000742</v>
      </c>
      <c r="I404" s="24">
        <f>IFERROR(H404/H444, "NA")</f>
        <v>-4.1705570995846895</v>
      </c>
      <c r="J404" s="25"/>
      <c r="K404" s="23">
        <f>IFERROR(K345-K403, "NA")</f>
        <v>16198.079999999962</v>
      </c>
      <c r="L404" s="24">
        <f>IFERROR(K404/K444, "NA")</f>
        <v>0.11048405116918233</v>
      </c>
      <c r="M404" s="25"/>
      <c r="N404" s="23">
        <f>IFERROR(B404-K404, "NA")</f>
        <v>3118.5299999999879</v>
      </c>
      <c r="O404" s="24">
        <f>IFERROR(N404/N444, "NA")</f>
        <v>0.25402083789822361</v>
      </c>
      <c r="P404" s="25"/>
      <c r="Q404" s="23">
        <f>IFERROR(Q345-Q403, "NA")</f>
        <v>165360.69999999911</v>
      </c>
      <c r="R404" s="24">
        <f>IFERROR(Q404/Q444, "NA")</f>
        <v>0.1156035366926275</v>
      </c>
      <c r="S404" s="25"/>
      <c r="T404" s="23">
        <f>IFERROR(T345-T403, "NA")</f>
        <v>191265.39999999997</v>
      </c>
      <c r="U404" s="24">
        <f>IFERROR(T404/T444, "NA")</f>
        <v>0.14581828619314324</v>
      </c>
      <c r="V404" s="25"/>
      <c r="W404" s="23">
        <f>IFERROR(Q404-T404, "NA")</f>
        <v>-25904.700000000856</v>
      </c>
      <c r="X404" s="24">
        <f>IFERROR(W404/W444, "NA")</f>
        <v>-0.21815841844811087</v>
      </c>
      <c r="Y404" s="25"/>
      <c r="Z404" s="23">
        <f>IFERROR(Z345-Z403, "NA")</f>
        <v>166958.56</v>
      </c>
      <c r="AA404" s="24">
        <f>IFERROR(Z404/Z444, "NA")</f>
        <v>0.1407289780103681</v>
      </c>
      <c r="AB404" s="25"/>
      <c r="AC404" s="23">
        <f>IFERROR(Q404-Z404, "NA")</f>
        <v>-1597.8600000008882</v>
      </c>
      <c r="AD404" s="24">
        <f>IFERROR(AC404/AC444, "NA")</f>
        <v>-6.5478428212876767E-3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-3.3715906033297865E-5</v>
      </c>
      <c r="AB407" s="9"/>
      <c r="AC407" s="10">
        <f t="shared" ref="AC407:AC429" si="103">IFERROR(-(Q407-Z407), "NA")</f>
        <v>-40</v>
      </c>
      <c r="AD407" s="8">
        <f>IFERROR(AC407/AC444, "NA")</f>
        <v>-1.6391530725555522E-4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250</v>
      </c>
      <c r="R408" s="8">
        <f>IFERROR(Q408/Q444, "NA")</f>
        <v>1.7477480545956224E-4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-250</v>
      </c>
      <c r="X408" s="8">
        <f>IFERROR(W408/W444, "NA")</f>
        <v>-2.1053941798988567E-3</v>
      </c>
      <c r="Y408" s="9"/>
      <c r="Z408" s="7">
        <v>966</v>
      </c>
      <c r="AA408" s="8">
        <f>IFERROR(Z408/Z444, "NA")</f>
        <v>8.1423913070414339E-4</v>
      </c>
      <c r="AB408" s="9"/>
      <c r="AC408" s="10">
        <f t="shared" si="103"/>
        <v>716</v>
      </c>
      <c r="AD408" s="8">
        <f>IFERROR(AC408/AC444, "NA")</f>
        <v>2.9340839998744385E-3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3920.93</v>
      </c>
      <c r="C410" s="8">
        <f>IFERROR(B410/B444, "NA")</f>
        <v>2.4677507802882793E-2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-3920.93</v>
      </c>
      <c r="I410" s="8">
        <f>IFERROR(H410/H444, "NA")</f>
        <v>-3.0610264497392192</v>
      </c>
      <c r="J410" s="9"/>
      <c r="K410" s="7">
        <v>4690.57</v>
      </c>
      <c r="L410" s="8">
        <f>IFERROR(K410/K444, "NA")</f>
        <v>3.1993494037110125E-2</v>
      </c>
      <c r="M410" s="9"/>
      <c r="N410" s="10">
        <f t="shared" si="101"/>
        <v>769.63999999999987</v>
      </c>
      <c r="O410" s="8">
        <f>IFERROR(N410/N444, "NA")</f>
        <v>6.2691267257326225E-2</v>
      </c>
      <c r="P410" s="9"/>
      <c r="Q410" s="7">
        <v>26985.3</v>
      </c>
      <c r="R410" s="8">
        <f>IFERROR(Q410/Q444, "NA")</f>
        <v>1.8865402231071696E-2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-26985.3</v>
      </c>
      <c r="X410" s="8">
        <f>IFERROR(W410/W444, "NA")</f>
        <v>-0.22725877425129848</v>
      </c>
      <c r="Y410" s="9"/>
      <c r="Z410" s="7">
        <v>36828.49</v>
      </c>
      <c r="AA410" s="8">
        <f>IFERROR(Z410/Z444, "NA")</f>
        <v>3.1042647704706251E-2</v>
      </c>
      <c r="AB410" s="9"/>
      <c r="AC410" s="10">
        <f t="shared" si="103"/>
        <v>9843.1899999999987</v>
      </c>
      <c r="AD410" s="8">
        <f>IFERROR(AC410/AC444, "NA")</f>
        <v>4.0336237830620209E-2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-116.16</v>
      </c>
      <c r="C417" s="8">
        <f>IFERROR(B417/B444, "NA")</f>
        <v>-7.3108658057727759E-4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116.16</v>
      </c>
      <c r="I417" s="8">
        <f>IFERROR(H417/H444, "NA")</f>
        <v>9.0684820285418952E-2</v>
      </c>
      <c r="J417" s="9"/>
      <c r="K417" s="7">
        <v>-112.87</v>
      </c>
      <c r="L417" s="8">
        <f>IFERROR(K417/K444, "NA")</f>
        <v>-7.6986499976945666E-4</v>
      </c>
      <c r="M417" s="9"/>
      <c r="N417" s="10">
        <f t="shared" si="101"/>
        <v>3.289999999999992</v>
      </c>
      <c r="O417" s="8">
        <f>IFERROR(N417/N444, "NA")</f>
        <v>2.6798798045398213E-4</v>
      </c>
      <c r="P417" s="9"/>
      <c r="Q417" s="7">
        <v>49.56</v>
      </c>
      <c r="R417" s="8">
        <f>IFERROR(Q417/Q444, "NA")</f>
        <v>3.464735743430362E-5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-49.56</v>
      </c>
      <c r="X417" s="8">
        <f>IFERROR(W417/W444, "NA")</f>
        <v>-4.1737334222314936E-4</v>
      </c>
      <c r="Y417" s="9"/>
      <c r="Z417" s="7">
        <v>-135.87</v>
      </c>
      <c r="AA417" s="8">
        <f>IFERROR(Z417/Z444, "NA")</f>
        <v>-1.1452450381860453E-4</v>
      </c>
      <c r="AB417" s="9"/>
      <c r="AC417" s="10">
        <f t="shared" si="103"/>
        <v>-185.43</v>
      </c>
      <c r="AD417" s="8">
        <f>IFERROR(AC417/AC444, "NA")</f>
        <v>-7.5987038560994019E-4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-3.4954961091912446E-5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4.2107883597977132E-4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2.0489413406944403E-4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3804.77</v>
      </c>
      <c r="C428" s="15">
        <f>IFERROR(B428/B444, "NA")</f>
        <v>2.3946421222305517E-2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-3804.77</v>
      </c>
      <c r="I428" s="15">
        <f>IFERROR(H428/H444, "NA")</f>
        <v>-2.9703416294538005</v>
      </c>
      <c r="J428" s="2"/>
      <c r="K428" s="14">
        <f>IFERROR(K407+K408+K409+K410+K411+K412+K413+K414+K415+K416+K417+K418+K419+K420+K421+K422+K423+K424+K425+K426+K427, "NA")</f>
        <v>4577.7</v>
      </c>
      <c r="L428" s="15">
        <f>IFERROR(K428/K444, "NA")</f>
        <v>3.1223629037340668E-2</v>
      </c>
      <c r="M428" s="2"/>
      <c r="N428" s="14">
        <f t="shared" si="101"/>
        <v>772.92999999999984</v>
      </c>
      <c r="O428" s="15">
        <f>IFERROR(N428/N444, "NA")</f>
        <v>6.2959255237780204E-2</v>
      </c>
      <c r="P428" s="2"/>
      <c r="Q428" s="14">
        <f>IFERROR(Q407+Q408+Q409+Q410+Q411+Q412+Q413+Q414+Q415+Q416+Q417+Q418+Q419+Q420+Q421+Q422+Q423+Q424+Q425+Q426+Q427, "NA")</f>
        <v>27234.86</v>
      </c>
      <c r="R428" s="15">
        <f>IFERROR(Q428/Q444, "NA")</f>
        <v>1.9039869432873651E-2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-27234.86</v>
      </c>
      <c r="X428" s="15">
        <f>IFERROR(W428/W444, "NA")</f>
        <v>-0.22936046293744072</v>
      </c>
      <c r="Y428" s="2"/>
      <c r="Z428" s="14">
        <f>IFERROR(Z407+Z408+Z409+Z410+Z411+Z412+Z413+Z414+Z415+Z416+Z417+Z418+Z419+Z420+Z421+Z422+Z423+Z424+Z425+Z426+Z427, "NA")</f>
        <v>37618.619999999995</v>
      </c>
      <c r="AA428" s="15">
        <f>IFERROR(Z428/Z444, "NA")</f>
        <v>3.1708646425558491E-2</v>
      </c>
      <c r="AB428" s="2"/>
      <c r="AC428" s="14">
        <f t="shared" si="103"/>
        <v>10383.759999999995</v>
      </c>
      <c r="AD428" s="15">
        <f>IFERROR(AC428/AC444, "NA")</f>
        <v>4.2551430271698581E-2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3804.77</v>
      </c>
      <c r="C429" s="15">
        <f>IFERROR(B429/B444, "NA")</f>
        <v>2.3946421222305517E-2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-3804.77</v>
      </c>
      <c r="I429" s="15">
        <f>IFERROR(H429/H444, "NA")</f>
        <v>-2.9703416294538005</v>
      </c>
      <c r="J429" s="2"/>
      <c r="K429" s="14">
        <f>IFERROR(K407+K408+K409+K410+K411+K412+K413+K414+K415+K416+K417+K418+K419+K420+K421+K422+K423+K424+K425+K426+K427, "NA")</f>
        <v>4577.7</v>
      </c>
      <c r="L429" s="15">
        <f>IFERROR(K429/K444, "NA")</f>
        <v>3.1223629037340668E-2</v>
      </c>
      <c r="M429" s="2"/>
      <c r="N429" s="14">
        <f t="shared" si="101"/>
        <v>772.92999999999984</v>
      </c>
      <c r="O429" s="15">
        <f>IFERROR(N429/N444, "NA")</f>
        <v>6.2959255237780204E-2</v>
      </c>
      <c r="P429" s="2"/>
      <c r="Q429" s="14">
        <f>IFERROR(Q407+Q408+Q409+Q410+Q411+Q412+Q413+Q414+Q415+Q416+Q417+Q418+Q419+Q420+Q421+Q422+Q423+Q424+Q425+Q426+Q427, "NA")</f>
        <v>27234.86</v>
      </c>
      <c r="R429" s="15">
        <f>IFERROR(Q429/Q444, "NA")</f>
        <v>1.9039869432873651E-2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-27234.86</v>
      </c>
      <c r="X429" s="15">
        <f>IFERROR(W429/W444, "NA")</f>
        <v>-0.22936046293744072</v>
      </c>
      <c r="Y429" s="2"/>
      <c r="Z429" s="14">
        <f>IFERROR(Z407+Z408+Z409+Z410+Z411+Z412+Z413+Z414+Z415+Z416+Z417+Z418+Z419+Z420+Z421+Z422+Z423+Z424+Z425+Z426+Z427, "NA")</f>
        <v>37618.619999999995</v>
      </c>
      <c r="AA429" s="15">
        <f>IFERROR(Z429/Z444, "NA")</f>
        <v>3.1708646425558491E-2</v>
      </c>
      <c r="AB429" s="2"/>
      <c r="AC429" s="14">
        <f t="shared" si="103"/>
        <v>10383.759999999995</v>
      </c>
      <c r="AD429" s="15">
        <f>IFERROR(AC429/AC444, "NA")</f>
        <v>4.2551430271698581E-2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15511.839999999949</v>
      </c>
      <c r="C443" s="24">
        <f>IFERROR(B443/B444, "NA")</f>
        <v>9.7628254683727628E-2</v>
      </c>
      <c r="D443" s="25"/>
      <c r="E443" s="23">
        <f>IFERROR(E404-E429-E442, "NA")</f>
        <v>24658.760000000024</v>
      </c>
      <c r="F443" s="24">
        <f>IFERROR(E443/E444, "NA")</f>
        <v>0.15645838571875542</v>
      </c>
      <c r="G443" s="25"/>
      <c r="H443" s="23">
        <f>IFERROR(B443-E443, "NA")</f>
        <v>-9146.9200000000747</v>
      </c>
      <c r="I443" s="24">
        <f>IFERROR(H443/H444, "NA")</f>
        <v>-7.1408987290384909</v>
      </c>
      <c r="J443" s="25"/>
      <c r="K443" s="23">
        <f>IFERROR(K404-K429-K442, "NA")</f>
        <v>11620.379999999961</v>
      </c>
      <c r="L443" s="24">
        <f>IFERROR(K443/K444, "NA")</f>
        <v>7.926042213184166E-2</v>
      </c>
      <c r="M443" s="25"/>
      <c r="N443" s="23">
        <f>IFERROR(B443-K443, "NA")</f>
        <v>3891.4599999999882</v>
      </c>
      <c r="O443" s="24">
        <f>IFERROR(N443/N444, "NA")</f>
        <v>0.31698009313600384</v>
      </c>
      <c r="P443" s="25"/>
      <c r="Q443" s="23">
        <f>IFERROR(Q404-Q429-Q442, "NA")</f>
        <v>138125.83999999909</v>
      </c>
      <c r="R443" s="24">
        <f>IFERROR(Q443/Q444, "NA")</f>
        <v>9.6563667259753835E-2</v>
      </c>
      <c r="S443" s="25"/>
      <c r="T443" s="23">
        <f>IFERROR(T404-T429-T442, "NA")</f>
        <v>191265.39999999997</v>
      </c>
      <c r="U443" s="24">
        <f>IFERROR(T443/T444, "NA")</f>
        <v>0.14581828619314324</v>
      </c>
      <c r="V443" s="25"/>
      <c r="W443" s="23">
        <f>IFERROR(Q443-T443, "NA")</f>
        <v>-53139.560000000871</v>
      </c>
      <c r="X443" s="24">
        <f>IFERROR(W443/W444, "NA")</f>
        <v>-0.44751888138555168</v>
      </c>
      <c r="Y443" s="25"/>
      <c r="Z443" s="23">
        <f>IFERROR(Z404-Z429-Z442, "NA")</f>
        <v>129339.94</v>
      </c>
      <c r="AA443" s="24">
        <f>IFERROR(Z443/Z444, "NA")</f>
        <v>0.1090203315848096</v>
      </c>
      <c r="AB443" s="25"/>
      <c r="AC443" s="23">
        <f>IFERROR(Q443-Z443, "NA")</f>
        <v>8785.899999999092</v>
      </c>
      <c r="AD443" s="24">
        <f>IFERROR(AC443/AC444, "NA")</f>
        <v>3.6003587450410844E-2</v>
      </c>
    </row>
    <row r="444" spans="1:30" ht="15.75" hidden="1" x14ac:dyDescent="0.45">
      <c r="A444" s="26" t="s">
        <v>117</v>
      </c>
      <c r="B444" s="7">
        <v>158886.79</v>
      </c>
      <c r="C444" s="27"/>
      <c r="D444" s="9"/>
      <c r="E444" s="7">
        <v>157605.87</v>
      </c>
      <c r="F444" s="27"/>
      <c r="G444" s="9"/>
      <c r="H444" s="10">
        <f>IFERROR(B444-E444, "NA")</f>
        <v>1280.9200000000128</v>
      </c>
      <c r="I444" s="27"/>
      <c r="J444" s="9"/>
      <c r="K444" s="7">
        <v>146610.12</v>
      </c>
      <c r="L444" s="27"/>
      <c r="M444" s="9"/>
      <c r="N444" s="10">
        <f>IFERROR(B444-K444, "NA")</f>
        <v>12276.670000000013</v>
      </c>
      <c r="O444" s="27"/>
      <c r="P444" s="9"/>
      <c r="Q444" s="7">
        <v>1430412.12</v>
      </c>
      <c r="R444" s="27"/>
      <c r="S444" s="9"/>
      <c r="T444" s="7">
        <v>1311669.51</v>
      </c>
      <c r="U444" s="27"/>
      <c r="V444" s="9"/>
      <c r="W444" s="10">
        <f>IFERROR(Q444-T444, "NA")</f>
        <v>118742.6100000001</v>
      </c>
      <c r="X444" s="27"/>
      <c r="Y444" s="9"/>
      <c r="Z444" s="7">
        <v>1186383.6599999999</v>
      </c>
      <c r="AA444" s="27"/>
      <c r="AB444" s="9"/>
      <c r="AC444" s="10">
        <f>IFERROR(Q444-Z444, "NA")</f>
        <v>244028.4600000002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48776.06</v>
      </c>
      <c r="F10" s="8">
        <f>IFERROR(E10/E444, "NA")</f>
        <v>0.49400001782513858</v>
      </c>
      <c r="G10" s="9"/>
      <c r="H10" s="10">
        <f t="shared" ref="H10:H19" si="0">IFERROR(B10-E10, "NA")</f>
        <v>-48776.06</v>
      </c>
      <c r="I10" s="8">
        <f>IFERROR(H10/H444, "NA")</f>
        <v>4.9369731015460916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400895.83</v>
      </c>
      <c r="U10" s="8">
        <f>IFERROR(T10/T444, "NA")</f>
        <v>0.49400002449693853</v>
      </c>
      <c r="V10" s="9"/>
      <c r="W10" s="10">
        <f t="shared" ref="W10:W19" si="2">IFERROR(Q10-T10, "NA")</f>
        <v>-400895.83</v>
      </c>
      <c r="X10" s="8">
        <f>IFERROR(W10/W444, "NA")</f>
        <v>5.1394641235648271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43476.3</v>
      </c>
      <c r="C11" s="8">
        <f>IFERROR(B11/B444, "NA")</f>
        <v>0.4892827492558004</v>
      </c>
      <c r="D11" s="9"/>
      <c r="E11" s="7">
        <v>0</v>
      </c>
      <c r="F11" s="8">
        <f>IFERROR(E11/E444, "NA")</f>
        <v>0</v>
      </c>
      <c r="G11" s="9"/>
      <c r="H11" s="10">
        <f t="shared" si="0"/>
        <v>43476.3</v>
      </c>
      <c r="I11" s="8">
        <f>IFERROR(H11/H444, "NA")</f>
        <v>-4.4005465725347301</v>
      </c>
      <c r="J11" s="9"/>
      <c r="K11" s="7">
        <v>43489.01</v>
      </c>
      <c r="L11" s="8">
        <f>IFERROR(K11/K444, "NA")</f>
        <v>0.48229625264248688</v>
      </c>
      <c r="M11" s="9"/>
      <c r="N11" s="10">
        <f t="shared" si="1"/>
        <v>-12.709999999999127</v>
      </c>
      <c r="O11" s="8">
        <f>IFERROR(N11/N444, "NA")</f>
        <v>9.6762159981113021E-3</v>
      </c>
      <c r="P11" s="9"/>
      <c r="Q11" s="7">
        <v>337584.64000000001</v>
      </c>
      <c r="R11" s="8">
        <f>IFERROR(Q11/Q444, "NA")</f>
        <v>0.46022143302106788</v>
      </c>
      <c r="S11" s="9"/>
      <c r="T11" s="7">
        <v>0</v>
      </c>
      <c r="U11" s="8">
        <f>IFERROR(T11/T444, "NA")</f>
        <v>0</v>
      </c>
      <c r="V11" s="9"/>
      <c r="W11" s="10">
        <f t="shared" si="2"/>
        <v>337584.64000000001</v>
      </c>
      <c r="X11" s="8">
        <f>IFERROR(W11/W444, "NA")</f>
        <v>-4.3278178921106454</v>
      </c>
      <c r="Y11" s="9"/>
      <c r="Z11" s="7">
        <v>339431.17</v>
      </c>
      <c r="AA11" s="8">
        <f>IFERROR(Z11/Z444, "NA")</f>
        <v>0.48040163946560799</v>
      </c>
      <c r="AB11" s="9"/>
      <c r="AC11" s="10">
        <f t="shared" si="3"/>
        <v>-1846.5299999999697</v>
      </c>
      <c r="AD11" s="8">
        <f>IFERROR(AC11/AC444, "NA")</f>
        <v>-6.8467368125981268E-2</v>
      </c>
    </row>
    <row r="12" spans="1:30" ht="16.5" customHeight="1" x14ac:dyDescent="0.45">
      <c r="A12" s="12" t="s">
        <v>14</v>
      </c>
      <c r="B12" s="7">
        <v>4140.8999999999996</v>
      </c>
      <c r="C12" s="8">
        <f>IFERROR(B12/B444, "NA")</f>
        <v>4.6601733275217612E-2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4140.8999999999996</v>
      </c>
      <c r="I12" s="8">
        <f>IFERROR(H12/H444, "NA")</f>
        <v>-0.41913003871555449</v>
      </c>
      <c r="J12" s="9"/>
      <c r="K12" s="7">
        <v>4421.55</v>
      </c>
      <c r="L12" s="8">
        <f>IFERROR(K12/K444, "NA")</f>
        <v>4.9035307905868353E-2</v>
      </c>
      <c r="M12" s="9"/>
      <c r="N12" s="10">
        <f t="shared" si="1"/>
        <v>-280.65000000000055</v>
      </c>
      <c r="O12" s="8">
        <f>IFERROR(N12/N444, "NA")</f>
        <v>0.21366089849489603</v>
      </c>
      <c r="P12" s="9"/>
      <c r="Q12" s="7">
        <v>32802.199999999997</v>
      </c>
      <c r="R12" s="8">
        <f>IFERROR(Q12/Q444, "NA")</f>
        <v>4.4718490421376017E-2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32802.199999999997</v>
      </c>
      <c r="X12" s="8">
        <f>IFERROR(W12/W444, "NA")</f>
        <v>-0.42052253343218399</v>
      </c>
      <c r="Y12" s="9"/>
      <c r="Z12" s="7">
        <v>34687.35</v>
      </c>
      <c r="AA12" s="8">
        <f>IFERROR(Z12/Z444, "NA")</f>
        <v>4.9093487226636721E-2</v>
      </c>
      <c r="AB12" s="9"/>
      <c r="AC12" s="10">
        <f t="shared" si="3"/>
        <v>-1885.1500000000015</v>
      </c>
      <c r="AD12" s="8">
        <f>IFERROR(AC12/AC444, "NA")</f>
        <v>-6.9899356643377458E-2</v>
      </c>
    </row>
    <row r="13" spans="1:30" ht="16.5" customHeight="1" x14ac:dyDescent="0.45">
      <c r="A13" s="12" t="s">
        <v>15</v>
      </c>
      <c r="B13" s="7">
        <v>156.5</v>
      </c>
      <c r="C13" s="8">
        <f>IFERROR(B13/B444, "NA")</f>
        <v>1.7612526884425023E-3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156.5</v>
      </c>
      <c r="I13" s="8">
        <f>IFERROR(H13/H444, "NA")</f>
        <v>-1.5840481793567653E-2</v>
      </c>
      <c r="J13" s="9"/>
      <c r="K13" s="7">
        <v>88</v>
      </c>
      <c r="L13" s="8">
        <f>IFERROR(K13/K444, "NA")</f>
        <v>9.7592633708007718E-4</v>
      </c>
      <c r="M13" s="9"/>
      <c r="N13" s="10">
        <f t="shared" si="1"/>
        <v>68.5</v>
      </c>
      <c r="O13" s="8">
        <f>IFERROR(N13/N444, "NA")</f>
        <v>-5.2149551209336717E-2</v>
      </c>
      <c r="P13" s="9"/>
      <c r="Q13" s="7">
        <v>1244</v>
      </c>
      <c r="R13" s="8">
        <f>IFERROR(Q13/Q444, "NA")</f>
        <v>1.6959168008301813E-3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1244</v>
      </c>
      <c r="X13" s="8">
        <f>IFERROR(W13/W444, "NA")</f>
        <v>-1.594801664490909E-2</v>
      </c>
      <c r="Y13" s="9"/>
      <c r="Z13" s="7">
        <v>1002.5</v>
      </c>
      <c r="AA13" s="8">
        <f>IFERROR(Z13/Z444, "NA")</f>
        <v>1.4188521447935146E-3</v>
      </c>
      <c r="AB13" s="9"/>
      <c r="AC13" s="10">
        <f t="shared" si="3"/>
        <v>241.5</v>
      </c>
      <c r="AD13" s="8">
        <f>IFERROR(AC13/AC444, "NA")</f>
        <v>8.9545631007482938E-3</v>
      </c>
    </row>
    <row r="14" spans="1:30" ht="16.5" customHeight="1" x14ac:dyDescent="0.45">
      <c r="A14" s="12" t="s">
        <v>16</v>
      </c>
      <c r="B14" s="7">
        <v>240</v>
      </c>
      <c r="C14" s="8">
        <f>IFERROR(B14/B444, "NA")</f>
        <v>2.7009625893047958E-3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240</v>
      </c>
      <c r="I14" s="8">
        <f>IFERROR(H14/H444, "NA")</f>
        <v>-2.4292112654672435E-2</v>
      </c>
      <c r="J14" s="9"/>
      <c r="K14" s="7">
        <v>550</v>
      </c>
      <c r="L14" s="8">
        <f>IFERROR(K14/K444, "NA")</f>
        <v>6.0995396067504825E-3</v>
      </c>
      <c r="M14" s="9"/>
      <c r="N14" s="10">
        <f t="shared" si="1"/>
        <v>-310</v>
      </c>
      <c r="O14" s="8">
        <f>IFERROR(N14/N444, "NA")</f>
        <v>0.23600526824663332</v>
      </c>
      <c r="P14" s="9"/>
      <c r="Q14" s="7">
        <v>2210</v>
      </c>
      <c r="R14" s="8">
        <f>IFERROR(Q14/Q444, "NA")</f>
        <v>3.0128425480986337E-3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2210</v>
      </c>
      <c r="X14" s="8">
        <f>IFERROR(W14/W444, "NA")</f>
        <v>-2.8332087447949426E-2</v>
      </c>
      <c r="Y14" s="9"/>
      <c r="Z14" s="7">
        <v>4700</v>
      </c>
      <c r="AA14" s="8">
        <f>IFERROR(Z14/Z444, "NA")</f>
        <v>6.6519751426728363E-3</v>
      </c>
      <c r="AB14" s="9"/>
      <c r="AC14" s="10">
        <f t="shared" si="3"/>
        <v>-2490</v>
      </c>
      <c r="AD14" s="8">
        <f>IFERROR(AC14/AC444, "NA")</f>
        <v>-9.2326551225106621E-2</v>
      </c>
    </row>
    <row r="15" spans="1:30" ht="16.5" customHeight="1" x14ac:dyDescent="0.45">
      <c r="A15" s="12" t="s">
        <v>17</v>
      </c>
      <c r="B15" s="7">
        <v>46</v>
      </c>
      <c r="C15" s="8">
        <f>IFERROR(B15/B444, "NA")</f>
        <v>5.1768449628341912E-4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46</v>
      </c>
      <c r="I15" s="8">
        <f>IFERROR(H15/H444, "NA")</f>
        <v>-4.6559882588122171E-3</v>
      </c>
      <c r="J15" s="9"/>
      <c r="K15" s="7">
        <v>54</v>
      </c>
      <c r="L15" s="8">
        <f>IFERROR(K15/K444, "NA")</f>
        <v>5.988638886627746E-4</v>
      </c>
      <c r="M15" s="9"/>
      <c r="N15" s="10">
        <f t="shared" si="1"/>
        <v>-8</v>
      </c>
      <c r="O15" s="8">
        <f>IFERROR(N15/N444, "NA")</f>
        <v>6.0904585353969889E-3</v>
      </c>
      <c r="P15" s="9"/>
      <c r="Q15" s="7">
        <v>192</v>
      </c>
      <c r="R15" s="8">
        <f>IFERROR(Q15/Q444, "NA")</f>
        <v>2.6174921684838807E-4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192</v>
      </c>
      <c r="X15" s="8">
        <f>IFERROR(W15/W444, "NA")</f>
        <v>-2.4614302217223034E-3</v>
      </c>
      <c r="Y15" s="9"/>
      <c r="Z15" s="7">
        <v>375</v>
      </c>
      <c r="AA15" s="8">
        <f>IFERROR(Z15/Z444, "NA")</f>
        <v>5.3074269755368371E-4</v>
      </c>
      <c r="AB15" s="9"/>
      <c r="AC15" s="10">
        <f t="shared" si="3"/>
        <v>-183</v>
      </c>
      <c r="AD15" s="8">
        <f>IFERROR(AC15/AC444, "NA")</f>
        <v>-6.7854453310018121E-3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1.4996048881938902E-6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-1.4101943978617363E-5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4.0786829858480841E-5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48059.700000000004</v>
      </c>
      <c r="C18" s="15">
        <f>IFERROR(B18/B444, "NA")</f>
        <v>0.54086438230504874</v>
      </c>
      <c r="D18" s="2"/>
      <c r="E18" s="14">
        <f>IFERROR(E10+E11+E12+E13+E14+E15+E16+E17, "NA")</f>
        <v>48776.06</v>
      </c>
      <c r="F18" s="15">
        <f>IFERROR(E18/E444, "NA")</f>
        <v>0.49400001782513858</v>
      </c>
      <c r="G18" s="2"/>
      <c r="H18" s="14">
        <f t="shared" si="0"/>
        <v>-716.35999999999331</v>
      </c>
      <c r="I18" s="15">
        <f>IFERROR(H18/H444, "NA")</f>
        <v>7.2507907588754097E-2</v>
      </c>
      <c r="J18" s="2"/>
      <c r="K18" s="14">
        <f>IFERROR(K10+K11+K12+K13+K14+K15+K16+K17, "NA")</f>
        <v>48602.560000000005</v>
      </c>
      <c r="L18" s="15">
        <f>IFERROR(K18/K444, "NA")</f>
        <v>0.53900589038084867</v>
      </c>
      <c r="M18" s="2"/>
      <c r="N18" s="14">
        <f t="shared" si="1"/>
        <v>-542.86000000000058</v>
      </c>
      <c r="O18" s="15">
        <f>IFERROR(N18/N444, "NA")</f>
        <v>0.41328329006570164</v>
      </c>
      <c r="P18" s="2"/>
      <c r="Q18" s="14">
        <f>IFERROR(Q10+Q11+Q12+Q13+Q14+Q15+Q16+Q17, "NA")</f>
        <v>374033.94</v>
      </c>
      <c r="R18" s="15">
        <f>IFERROR(Q18/Q444, "NA")</f>
        <v>0.50991193161310933</v>
      </c>
      <c r="S18" s="2"/>
      <c r="T18" s="14">
        <f>IFERROR(T10+T11+T12+T13+T14+T15+T16+T17, "NA")</f>
        <v>400895.83</v>
      </c>
      <c r="U18" s="15">
        <f>IFERROR(T18/T444, "NA")</f>
        <v>0.49400002449693853</v>
      </c>
      <c r="V18" s="2"/>
      <c r="W18" s="14">
        <f t="shared" si="2"/>
        <v>-26861.890000000014</v>
      </c>
      <c r="X18" s="15">
        <f>IFERROR(W18/W444, "NA")</f>
        <v>0.34436806176343832</v>
      </c>
      <c r="Y18" s="2"/>
      <c r="Z18" s="14">
        <f>IFERROR(Z10+Z11+Z12+Z13+Z14+Z15+Z16+Z17, "NA")</f>
        <v>380196.01999999996</v>
      </c>
      <c r="AA18" s="15">
        <f>IFERROR(Z18/Z444, "NA")</f>
        <v>0.53809669667726467</v>
      </c>
      <c r="AB18" s="2"/>
      <c r="AC18" s="14">
        <f t="shared" si="3"/>
        <v>-6162.0799999999581</v>
      </c>
      <c r="AD18" s="15">
        <f>IFERROR(AC18/AC444, "NA")</f>
        <v>-0.22848337139485991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7701.48</v>
      </c>
      <c r="F21" s="8">
        <f>IFERROR(E21/E444, "NA")</f>
        <v>7.7999970831591325E-2</v>
      </c>
      <c r="G21" s="9"/>
      <c r="H21" s="10">
        <f t="shared" ref="H21:H29" si="4">IFERROR(B21-E21, "NA")</f>
        <v>-7701.48</v>
      </c>
      <c r="I21" s="8">
        <f>IFERROR(H21/H444, "NA")</f>
        <v>0.77952174903211113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63299.34</v>
      </c>
      <c r="U21" s="8">
        <f>IFERROR(T21/T444, "NA")</f>
        <v>7.8000001922294976E-2</v>
      </c>
      <c r="V21" s="9"/>
      <c r="W21" s="10">
        <f t="shared" ref="W21:W29" si="6">IFERROR(Q21-T21, "NA")</f>
        <v>-63299.34</v>
      </c>
      <c r="X21" s="8">
        <f>IFERROR(W21/W444, "NA")</f>
        <v>0.81149431505768466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6158.5</v>
      </c>
      <c r="C22" s="8">
        <f>IFERROR(B22/B444, "NA")</f>
        <v>6.9307825442639928E-2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6158.5</v>
      </c>
      <c r="I22" s="8">
        <f>IFERROR(H22/H444, "NA")</f>
        <v>-0.6233457324325008</v>
      </c>
      <c r="J22" s="9"/>
      <c r="K22" s="7">
        <v>6285.23</v>
      </c>
      <c r="L22" s="8">
        <f>IFERROR(K22/K444, "NA")</f>
        <v>6.9703653313702416E-2</v>
      </c>
      <c r="M22" s="9"/>
      <c r="N22" s="10">
        <f t="shared" si="5"/>
        <v>-126.72999999999956</v>
      </c>
      <c r="O22" s="8">
        <f>IFERROR(N22/N444, "NA")</f>
        <v>9.6480476273857224E-2</v>
      </c>
      <c r="P22" s="9"/>
      <c r="Q22" s="7">
        <v>50883.33</v>
      </c>
      <c r="R22" s="8">
        <f>IFERROR(Q22/Q444, "NA")</f>
        <v>6.9368082177802562E-2</v>
      </c>
      <c r="S22" s="9"/>
      <c r="T22" s="7">
        <v>0</v>
      </c>
      <c r="U22" s="8">
        <f>IFERROR(T22/T444, "NA")</f>
        <v>0</v>
      </c>
      <c r="V22" s="9"/>
      <c r="W22" s="10">
        <f t="shared" si="6"/>
        <v>50883.33</v>
      </c>
      <c r="X22" s="8">
        <f>IFERROR(W22/W444, "NA")</f>
        <v>-0.65232169918681837</v>
      </c>
      <c r="Y22" s="9"/>
      <c r="Z22" s="7">
        <v>43360.78</v>
      </c>
      <c r="AA22" s="8">
        <f>IFERROR(Z22/Z444, "NA")</f>
        <v>6.1369112920618182E-2</v>
      </c>
      <c r="AB22" s="9"/>
      <c r="AC22" s="10">
        <f t="shared" si="7"/>
        <v>7522.5500000000029</v>
      </c>
      <c r="AD22" s="8">
        <f>IFERROR(AC22/AC444, "NA")</f>
        <v>0.27892815177446834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320.67</v>
      </c>
      <c r="C24" s="8">
        <f>IFERROR(B24/B444, "NA")</f>
        <v>3.6088236396348704E-3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320.67</v>
      </c>
      <c r="I24" s="8">
        <f>IFERROR(H24/H444, "NA")</f>
        <v>-3.2457299020724209E-2</v>
      </c>
      <c r="J24" s="9"/>
      <c r="K24" s="7">
        <v>497.89</v>
      </c>
      <c r="L24" s="8">
        <f>IFERROR(K24/K444, "NA")</f>
        <v>5.5216359541909047E-3</v>
      </c>
      <c r="M24" s="9"/>
      <c r="N24" s="10">
        <f t="shared" si="5"/>
        <v>-177.21999999999997</v>
      </c>
      <c r="O24" s="8">
        <f>IFERROR(N24/N444, "NA")</f>
        <v>0.13491888270538177</v>
      </c>
      <c r="P24" s="9"/>
      <c r="Q24" s="7">
        <v>8108.32</v>
      </c>
      <c r="R24" s="8">
        <f>IFERROR(Q24/Q444, "NA")</f>
        <v>1.1053887551854802E-2</v>
      </c>
      <c r="S24" s="9"/>
      <c r="T24" s="7">
        <v>0</v>
      </c>
      <c r="U24" s="8">
        <f>IFERROR(T24/T444, "NA")</f>
        <v>0</v>
      </c>
      <c r="V24" s="9"/>
      <c r="W24" s="10">
        <f t="shared" si="6"/>
        <v>8108.32</v>
      </c>
      <c r="X24" s="8">
        <f>IFERROR(W24/W444, "NA")</f>
        <v>-0.1039482494551843</v>
      </c>
      <c r="Y24" s="9"/>
      <c r="Z24" s="7">
        <v>3367.6</v>
      </c>
      <c r="AA24" s="8">
        <f>IFERROR(Z24/Z444, "NA")</f>
        <v>4.7662109554180944E-3</v>
      </c>
      <c r="AB24" s="9"/>
      <c r="AC24" s="10">
        <f t="shared" si="7"/>
        <v>4740.7199999999993</v>
      </c>
      <c r="AD24" s="8">
        <f>IFERROR(AC24/AC444, "NA")</f>
        <v>0.1757808545879066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1425.11</v>
      </c>
      <c r="AA27" s="8">
        <f>IFERROR(Z27/Z444, "NA")</f>
        <v>2.0169779352286138E-3</v>
      </c>
      <c r="AB27" s="9"/>
      <c r="AC27" s="10">
        <f t="shared" si="7"/>
        <v>-1425.11</v>
      </c>
      <c r="AD27" s="8">
        <f>IFERROR(AC27/AC444, "NA")</f>
        <v>-5.2841562817836023E-2</v>
      </c>
    </row>
    <row r="28" spans="1:30" ht="16.5" customHeight="1" x14ac:dyDescent="0.45">
      <c r="A28" s="12" t="s">
        <v>29</v>
      </c>
      <c r="B28" s="7">
        <v>904.49</v>
      </c>
      <c r="C28" s="8">
        <f>IFERROR(B28/B444, "NA")</f>
        <v>1.017914021833456E-2</v>
      </c>
      <c r="D28" s="9"/>
      <c r="E28" s="7">
        <v>0</v>
      </c>
      <c r="F28" s="8">
        <f>IFERROR(E28/E444, "NA")</f>
        <v>0</v>
      </c>
      <c r="G28" s="9"/>
      <c r="H28" s="10">
        <f t="shared" si="4"/>
        <v>904.49</v>
      </c>
      <c r="I28" s="8">
        <f>IFERROR(H28/H444, "NA")</f>
        <v>-9.1549887395936128E-2</v>
      </c>
      <c r="J28" s="9"/>
      <c r="K28" s="7">
        <v>904.63</v>
      </c>
      <c r="L28" s="8">
        <f>IFERROR(K28/K444, "NA")</f>
        <v>1.003241184446307E-2</v>
      </c>
      <c r="M28" s="9"/>
      <c r="N28" s="10">
        <f t="shared" si="5"/>
        <v>-0.13999999999998636</v>
      </c>
      <c r="O28" s="8">
        <f>IFERROR(N28/N444, "NA")</f>
        <v>1.0658302436943692E-4</v>
      </c>
      <c r="P28" s="9"/>
      <c r="Q28" s="7">
        <v>6995</v>
      </c>
      <c r="R28" s="8">
        <f>IFERROR(Q28/Q444, "NA")</f>
        <v>9.536123811742056E-3</v>
      </c>
      <c r="S28" s="9"/>
      <c r="T28" s="7">
        <v>0</v>
      </c>
      <c r="U28" s="8">
        <f>IFERROR(T28/T444, "NA")</f>
        <v>0</v>
      </c>
      <c r="V28" s="9"/>
      <c r="W28" s="10">
        <f t="shared" si="6"/>
        <v>6995</v>
      </c>
      <c r="X28" s="8">
        <f>IFERROR(W28/W444, "NA")</f>
        <v>-8.9675543754934958E-2</v>
      </c>
      <c r="Y28" s="9"/>
      <c r="Z28" s="7">
        <v>6787.72</v>
      </c>
      <c r="AA28" s="8">
        <f>IFERROR(Z28/Z444, "NA")</f>
        <v>9.6067541947709081E-3</v>
      </c>
      <c r="AB28" s="9"/>
      <c r="AC28" s="10">
        <f t="shared" si="7"/>
        <v>207.27999999999975</v>
      </c>
      <c r="AD28" s="8">
        <f>IFERROR(AC28/AC444, "NA")</f>
        <v>7.6857219027871796E-3</v>
      </c>
    </row>
    <row r="29" spans="1:30" ht="16.5" customHeight="1" x14ac:dyDescent="0.45">
      <c r="A29" s="13" t="s">
        <v>30</v>
      </c>
      <c r="B29" s="14">
        <f>IFERROR(B21+B22+B23+B24+B25+B26+B27+B28, "NA")</f>
        <v>7383.66</v>
      </c>
      <c r="C29" s="15">
        <f>IFERROR(B29/B444, "NA")</f>
        <v>8.309578930060936E-2</v>
      </c>
      <c r="D29" s="2"/>
      <c r="E29" s="14">
        <f>IFERROR(E21+E22+E23+E24+E25+E26+E27+E28, "NA")</f>
        <v>7701.48</v>
      </c>
      <c r="F29" s="15">
        <f>IFERROR(E29/E444, "NA")</f>
        <v>7.7999970831591325E-2</v>
      </c>
      <c r="G29" s="2"/>
      <c r="H29" s="14">
        <f t="shared" si="4"/>
        <v>-317.81999999999971</v>
      </c>
      <c r="I29" s="15">
        <f>IFERROR(H29/H444, "NA")</f>
        <v>3.2168830182949942E-2</v>
      </c>
      <c r="J29" s="2"/>
      <c r="K29" s="14">
        <f>IFERROR(K21+K22+K23+K24+K25+K26+K27+K28, "NA")</f>
        <v>7687.75</v>
      </c>
      <c r="L29" s="15">
        <f>IFERROR(K29/K444, "NA")</f>
        <v>8.5257701112356393E-2</v>
      </c>
      <c r="M29" s="2"/>
      <c r="N29" s="14">
        <f t="shared" si="5"/>
        <v>-304.09000000000015</v>
      </c>
      <c r="O29" s="15">
        <f>IFERROR(N29/N444, "NA")</f>
        <v>0.23150594200360891</v>
      </c>
      <c r="P29" s="2"/>
      <c r="Q29" s="14">
        <f>IFERROR(Q21+Q22+Q23+Q24+Q25+Q26+Q27+Q28, "NA")</f>
        <v>65986.649999999994</v>
      </c>
      <c r="R29" s="15">
        <f>IFERROR(Q29/Q444, "NA")</f>
        <v>8.9958093541399414E-2</v>
      </c>
      <c r="S29" s="2"/>
      <c r="T29" s="14">
        <f>IFERROR(T21+T22+T23+T24+T25+T26+T27+T28, "NA")</f>
        <v>63299.34</v>
      </c>
      <c r="U29" s="15">
        <f>IFERROR(T29/T444, "NA")</f>
        <v>7.8000001922294976E-2</v>
      </c>
      <c r="V29" s="2"/>
      <c r="W29" s="14">
        <f t="shared" si="6"/>
        <v>2687.3099999999977</v>
      </c>
      <c r="X29" s="15">
        <f>IFERROR(W29/W444, "NA")</f>
        <v>-3.4451177339252903E-2</v>
      </c>
      <c r="Y29" s="2"/>
      <c r="Z29" s="14">
        <f>IFERROR(Z21+Z22+Z23+Z24+Z25+Z26+Z27+Z28, "NA")</f>
        <v>54941.21</v>
      </c>
      <c r="AA29" s="15">
        <f>IFERROR(Z29/Z444, "NA")</f>
        <v>7.775905600603579E-2</v>
      </c>
      <c r="AB29" s="2"/>
      <c r="AC29" s="14">
        <f t="shared" si="7"/>
        <v>11045.439999999995</v>
      </c>
      <c r="AD29" s="15">
        <f>IFERROR(AC29/AC444, "NA")</f>
        <v>0.40955316544732578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23993.08</v>
      </c>
      <c r="F31" s="8">
        <f>IFERROR(E31/E444, "NA")</f>
        <v>0.24299998703626283</v>
      </c>
      <c r="G31" s="9"/>
      <c r="H31" s="10">
        <f t="shared" ref="H31:H40" si="8">IFERROR(B31-E31, "NA")</f>
        <v>-23993.08</v>
      </c>
      <c r="I31" s="8">
        <f>IFERROR(H31/H444, "NA")</f>
        <v>2.4285108428857005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197201.78</v>
      </c>
      <c r="U31" s="8">
        <f>IFERROR(T31/T444, "NA")</f>
        <v>0.24299999366628453</v>
      </c>
      <c r="V31" s="9"/>
      <c r="W31" s="10">
        <f t="shared" ref="W31:W40" si="10">IFERROR(Q31-T31, "NA")</f>
        <v>-197201.78</v>
      </c>
      <c r="X31" s="8">
        <f>IFERROR(W31/W444, "NA")</f>
        <v>2.5281167764032961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7929.23</v>
      </c>
      <c r="C33" s="8">
        <f>IFERROR(B33/B444, "NA")</f>
        <v>8.9235639966638594E-2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7929.23</v>
      </c>
      <c r="I33" s="8">
        <f>IFERROR(H33/H444, "NA")</f>
        <v>-0.80257395177003465</v>
      </c>
      <c r="J33" s="9"/>
      <c r="K33" s="7">
        <v>7326.29</v>
      </c>
      <c r="L33" s="8">
        <f>IFERROR(K33/K444, "NA")</f>
        <v>8.1249083682799983E-2</v>
      </c>
      <c r="M33" s="9"/>
      <c r="N33" s="10">
        <f t="shared" si="9"/>
        <v>602.9399999999996</v>
      </c>
      <c r="O33" s="8">
        <f>IFERROR(N33/N444, "NA")</f>
        <v>-0.45902263366653229</v>
      </c>
      <c r="P33" s="9"/>
      <c r="Q33" s="7">
        <v>83836.17</v>
      </c>
      <c r="R33" s="8">
        <f>IFERROR(Q33/Q444, "NA")</f>
        <v>0.11429193667223088</v>
      </c>
      <c r="S33" s="9"/>
      <c r="T33" s="7">
        <v>0</v>
      </c>
      <c r="U33" s="8">
        <f>IFERROR(T33/T444, "NA")</f>
        <v>0</v>
      </c>
      <c r="V33" s="9"/>
      <c r="W33" s="10">
        <f t="shared" si="10"/>
        <v>83836.17</v>
      </c>
      <c r="X33" s="8">
        <f>IFERROR(W33/W444, "NA")</f>
        <v>-1.0747754297471286</v>
      </c>
      <c r="Y33" s="9"/>
      <c r="Z33" s="7">
        <v>56598.1</v>
      </c>
      <c r="AA33" s="8">
        <f>IFERROR(Z33/Z444, "NA")</f>
        <v>8.0104075387768398E-2</v>
      </c>
      <c r="AB33" s="9"/>
      <c r="AC33" s="10">
        <f t="shared" si="11"/>
        <v>27238.07</v>
      </c>
      <c r="AD33" s="8">
        <f>IFERROR(AC33/AC444, "NA")</f>
        <v>1.0099586606939919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1154.1199999999999</v>
      </c>
      <c r="C35" s="8">
        <f>IFERROR(B35/B444, "NA")</f>
        <v>1.298847893153521E-2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1154.1199999999999</v>
      </c>
      <c r="I35" s="8">
        <f>IFERROR(H35/H444, "NA")</f>
        <v>-0.11681672107087729</v>
      </c>
      <c r="J35" s="9"/>
      <c r="K35" s="7">
        <v>848.39</v>
      </c>
      <c r="L35" s="8">
        <f>IFERROR(K35/K444, "NA")</f>
        <v>9.4087061944928031E-3</v>
      </c>
      <c r="M35" s="9"/>
      <c r="N35" s="10">
        <f t="shared" si="9"/>
        <v>305.7299999999999</v>
      </c>
      <c r="O35" s="8">
        <f>IFERROR(N35/N444, "NA")</f>
        <v>-0.23275448600336512</v>
      </c>
      <c r="P35" s="9"/>
      <c r="Q35" s="7">
        <v>11214.27</v>
      </c>
      <c r="R35" s="8">
        <f>IFERROR(Q35/Q444, "NA")</f>
        <v>1.5288158281387361E-2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11214.27</v>
      </c>
      <c r="X35" s="8">
        <f>IFERROR(W35/W444, "NA")</f>
        <v>-0.14376637027371758</v>
      </c>
      <c r="Y35" s="9"/>
      <c r="Z35" s="7">
        <v>1182.49</v>
      </c>
      <c r="AA35" s="8">
        <f>IFERROR(Z35/Z444, "NA")</f>
        <v>1.6735944864806813E-3</v>
      </c>
      <c r="AB35" s="9"/>
      <c r="AC35" s="10">
        <f t="shared" si="11"/>
        <v>10031.780000000001</v>
      </c>
      <c r="AD35" s="8">
        <f>IFERROR(AC35/AC444, "NA")</f>
        <v>0.3719677309433736</v>
      </c>
    </row>
    <row r="36" spans="1:30" ht="16.5" customHeight="1" x14ac:dyDescent="0.45">
      <c r="A36" s="12" t="s">
        <v>36</v>
      </c>
      <c r="B36" s="7">
        <v>5814.95</v>
      </c>
      <c r="C36" s="8">
        <f>IFERROR(B36/B444, "NA")</f>
        <v>6.5441510036158002E-2</v>
      </c>
      <c r="D36" s="9"/>
      <c r="E36" s="7">
        <v>0</v>
      </c>
      <c r="F36" s="8">
        <f>IFERROR(E36/E444, "NA")</f>
        <v>0</v>
      </c>
      <c r="G36" s="9"/>
      <c r="H36" s="10">
        <f t="shared" si="8"/>
        <v>5814.95</v>
      </c>
      <c r="I36" s="8">
        <f>IFERROR(H36/H444, "NA")</f>
        <v>-0.58857258533869783</v>
      </c>
      <c r="J36" s="9"/>
      <c r="K36" s="7">
        <v>12676.56</v>
      </c>
      <c r="L36" s="8">
        <f>IFERROR(K36/K444, "NA")</f>
        <v>0.14058396326790706</v>
      </c>
      <c r="M36" s="9"/>
      <c r="N36" s="10">
        <f t="shared" si="9"/>
        <v>-6861.61</v>
      </c>
      <c r="O36" s="8">
        <f>IFERROR(N36/N444, "NA")</f>
        <v>5.2237938988831667</v>
      </c>
      <c r="P36" s="9"/>
      <c r="Q36" s="7">
        <v>102485.22</v>
      </c>
      <c r="R36" s="8">
        <f>IFERROR(Q36/Q444, "NA")</f>
        <v>0.13971576079966022</v>
      </c>
      <c r="S36" s="9"/>
      <c r="T36" s="7">
        <v>0</v>
      </c>
      <c r="U36" s="8">
        <f>IFERROR(T36/T444, "NA")</f>
        <v>0</v>
      </c>
      <c r="V36" s="9"/>
      <c r="W36" s="10">
        <f t="shared" si="10"/>
        <v>102485.22</v>
      </c>
      <c r="X36" s="8">
        <f>IFERROR(W36/W444, "NA")</f>
        <v>-1.3138553009784324</v>
      </c>
      <c r="Y36" s="9"/>
      <c r="Z36" s="7">
        <v>81221.08</v>
      </c>
      <c r="AA36" s="8">
        <f>IFERROR(Z36/Z444, "NA")</f>
        <v>0.11495332025979614</v>
      </c>
      <c r="AB36" s="9"/>
      <c r="AC36" s="10">
        <f t="shared" si="11"/>
        <v>21264.14</v>
      </c>
      <c r="AD36" s="8">
        <f>IFERROR(AC36/AC444, "NA")</f>
        <v>0.78845169115174241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444.55</v>
      </c>
      <c r="C39" s="8">
        <f>IFERROR(B39/B444, "NA")</f>
        <v>5.0029704961476957E-3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444.55</v>
      </c>
      <c r="I39" s="8">
        <f>IFERROR(H39/H444, "NA")</f>
        <v>-4.499607783597763E-2</v>
      </c>
      <c r="J39" s="9"/>
      <c r="K39" s="7">
        <v>681.2</v>
      </c>
      <c r="L39" s="8">
        <f>IFERROR(K39/K444, "NA")</f>
        <v>7.5545570547607792E-3</v>
      </c>
      <c r="M39" s="9"/>
      <c r="N39" s="10">
        <f t="shared" si="9"/>
        <v>-236.65000000000003</v>
      </c>
      <c r="O39" s="8">
        <f>IFERROR(N39/N444, "NA")</f>
        <v>0.18016337655021222</v>
      </c>
      <c r="P39" s="9"/>
      <c r="Q39" s="7">
        <v>6552.7</v>
      </c>
      <c r="R39" s="8">
        <f>IFERROR(Q39/Q444, "NA")</f>
        <v>8.9331463189710036E-3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6552.7</v>
      </c>
      <c r="X39" s="8">
        <f>IFERROR(W39/W444, "NA")</f>
        <v>-8.4005280280623623E-2</v>
      </c>
      <c r="Y39" s="9"/>
      <c r="Z39" s="7">
        <v>8788.18</v>
      </c>
      <c r="AA39" s="8">
        <f>IFERROR(Z39/Z444, "NA")</f>
        <v>1.2438032959432887E-2</v>
      </c>
      <c r="AB39" s="9"/>
      <c r="AC39" s="10">
        <f t="shared" si="11"/>
        <v>-2235.4800000000005</v>
      </c>
      <c r="AD39" s="8">
        <f>IFERROR(AC39/AC444, "NA")</f>
        <v>-8.2889220374578881E-2</v>
      </c>
    </row>
    <row r="40" spans="1:30" ht="16.5" customHeight="1" x14ac:dyDescent="0.45">
      <c r="A40" s="13" t="s">
        <v>40</v>
      </c>
      <c r="B40" s="14">
        <f>IFERROR(B31+B32+B33+B34+B35+B36+B37+B38+B39, "NA")</f>
        <v>15342.849999999999</v>
      </c>
      <c r="C40" s="15">
        <f>IFERROR(B40/B444, "NA")</f>
        <v>0.17266859943047949</v>
      </c>
      <c r="D40" s="2"/>
      <c r="E40" s="14">
        <f>IFERROR(E31+E32+E33+E34+E35+E36+E37+E38+E39, "NA")</f>
        <v>23993.08</v>
      </c>
      <c r="F40" s="15">
        <f>IFERROR(E40/E444, "NA")</f>
        <v>0.24299998703626283</v>
      </c>
      <c r="G40" s="2"/>
      <c r="H40" s="14">
        <f t="shared" si="8"/>
        <v>-8650.2300000000032</v>
      </c>
      <c r="I40" s="15">
        <f>IFERROR(H40/H444, "NA")</f>
        <v>0.87555150687011341</v>
      </c>
      <c r="J40" s="2"/>
      <c r="K40" s="14">
        <f>IFERROR(K31+K32+K33+K34+K35+K36+K37+K38+K39, "NA")</f>
        <v>21532.44</v>
      </c>
      <c r="L40" s="15">
        <f>IFERROR(K40/K444, "NA")</f>
        <v>0.23879631019996062</v>
      </c>
      <c r="M40" s="2"/>
      <c r="N40" s="14">
        <f t="shared" si="9"/>
        <v>-6189.59</v>
      </c>
      <c r="O40" s="15">
        <f>IFERROR(N40/N444, "NA")</f>
        <v>4.7121801557634813</v>
      </c>
      <c r="P40" s="2"/>
      <c r="Q40" s="14">
        <f>IFERROR(Q31+Q32+Q33+Q34+Q35+Q36+Q37+Q38+Q39, "NA")</f>
        <v>204088.36000000002</v>
      </c>
      <c r="R40" s="15">
        <f>IFERROR(Q40/Q444, "NA")</f>
        <v>0.27822900207224949</v>
      </c>
      <c r="S40" s="2"/>
      <c r="T40" s="14">
        <f>IFERROR(T31+T32+T33+T34+T35+T36+T37+T38+T39, "NA")</f>
        <v>197201.78</v>
      </c>
      <c r="U40" s="15">
        <f>IFERROR(T40/T444, "NA")</f>
        <v>0.24299999366628453</v>
      </c>
      <c r="V40" s="2"/>
      <c r="W40" s="14">
        <f t="shared" si="10"/>
        <v>6886.5800000000163</v>
      </c>
      <c r="X40" s="15">
        <f>IFERROR(W40/W444, "NA")</f>
        <v>-8.8285604876606347E-2</v>
      </c>
      <c r="Y40" s="2"/>
      <c r="Z40" s="14">
        <f>IFERROR(Z31+Z32+Z33+Z34+Z35+Z36+Z37+Z38+Z39, "NA")</f>
        <v>147789.84999999998</v>
      </c>
      <c r="AA40" s="15">
        <f>IFERROR(Z40/Z444, "NA")</f>
        <v>0.20916902309347807</v>
      </c>
      <c r="AB40" s="2"/>
      <c r="AC40" s="14">
        <f t="shared" si="11"/>
        <v>56298.510000000038</v>
      </c>
      <c r="AD40" s="15">
        <f>IFERROR(AC40/AC444, "NA")</f>
        <v>2.0874888624145305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3134.08</v>
      </c>
      <c r="C43" s="8">
        <f>IFERROR(B43/B444, "NA")</f>
        <v>3.5270970132868222E-2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3134.08</v>
      </c>
      <c r="I43" s="8">
        <f>IFERROR(H43/H444, "NA")</f>
        <v>-0.31722260178648243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3134.08</v>
      </c>
      <c r="O43" s="8">
        <f>IFERROR(N43/N444, "NA")</f>
        <v>-2.3859980358271242</v>
      </c>
      <c r="P43" s="9"/>
      <c r="Q43" s="7">
        <v>28136.67</v>
      </c>
      <c r="R43" s="8">
        <f>IFERROR(Q43/Q444, "NA")</f>
        <v>3.835807988136216E-2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28136.67</v>
      </c>
      <c r="X43" s="8">
        <f>IFERROR(W43/W444, "NA")</f>
        <v>-0.36071067644076704</v>
      </c>
      <c r="Y43" s="9"/>
      <c r="Z43" s="7">
        <v>2534.25</v>
      </c>
      <c r="AA43" s="8">
        <f>IFERROR(Z43/Z444, "NA")</f>
        <v>3.5867591500677947E-3</v>
      </c>
      <c r="AB43" s="9"/>
      <c r="AC43" s="10">
        <f>IFERROR(Q43-Z43, "NA")</f>
        <v>25602.42</v>
      </c>
      <c r="AD43" s="8">
        <f>IFERROR(AC43/AC444, "NA")</f>
        <v>0.94931049864124262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20043.599999999999</v>
      </c>
      <c r="F46" s="8">
        <f>IFERROR(E46/E444, "NA")</f>
        <v>0.2029999708315913</v>
      </c>
      <c r="G46" s="9"/>
      <c r="H46" s="10">
        <f t="shared" ref="H46:H62" si="12">IFERROR(B46-E46, "NA")</f>
        <v>-20043.599999999999</v>
      </c>
      <c r="I46" s="8">
        <f>IFERROR(H46/H444, "NA")</f>
        <v>2.0287557883549683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164740.57</v>
      </c>
      <c r="U46" s="8">
        <f>IFERROR(T46/T444, "NA")</f>
        <v>0.20299998035808858</v>
      </c>
      <c r="V46" s="9"/>
      <c r="W46" s="10">
        <f t="shared" ref="W46:W62" si="14">IFERROR(Q46-T46, "NA")</f>
        <v>-164740.57</v>
      </c>
      <c r="X46" s="8">
        <f>IFERROR(W46/W444, "NA")</f>
        <v>2.1119657174049928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10271.39</v>
      </c>
      <c r="C48" s="8">
        <f>IFERROR(B48/B444, "NA")</f>
        <v>0.1155943338756641</v>
      </c>
      <c r="D48" s="9"/>
      <c r="E48" s="7">
        <v>0</v>
      </c>
      <c r="F48" s="8">
        <f>IFERROR(E48/E444, "NA")</f>
        <v>0</v>
      </c>
      <c r="G48" s="9"/>
      <c r="H48" s="10">
        <f t="shared" si="12"/>
        <v>10271.39</v>
      </c>
      <c r="I48" s="8">
        <f>IFERROR(H48/H444, "NA")</f>
        <v>-1.039640679166983</v>
      </c>
      <c r="J48" s="9"/>
      <c r="K48" s="7">
        <v>15233.25</v>
      </c>
      <c r="L48" s="8">
        <f>IFERROR(K48/K444, "NA")</f>
        <v>0.16893783948096688</v>
      </c>
      <c r="M48" s="9"/>
      <c r="N48" s="10">
        <f t="shared" si="13"/>
        <v>-4961.8600000000006</v>
      </c>
      <c r="O48" s="8">
        <f>IFERROR(N48/N444, "NA")</f>
        <v>3.7775003235556133</v>
      </c>
      <c r="P48" s="9"/>
      <c r="Q48" s="7">
        <v>57327.34</v>
      </c>
      <c r="R48" s="8">
        <f>IFERROR(Q48/Q444, "NA")</f>
        <v>7.8153053901048292E-2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57327.34</v>
      </c>
      <c r="X48" s="8">
        <f>IFERROR(W48/W444, "NA")</f>
        <v>-0.73493357920286384</v>
      </c>
      <c r="Y48" s="9"/>
      <c r="Z48" s="7">
        <v>124353.2</v>
      </c>
      <c r="AA48" s="8">
        <f>IFERROR(Z48/Z444, "NA")</f>
        <v>0.17599880751315397</v>
      </c>
      <c r="AB48" s="9"/>
      <c r="AC48" s="10">
        <f t="shared" si="15"/>
        <v>-67025.86</v>
      </c>
      <c r="AD48" s="8">
        <f>IFERROR(AC48/AC444, "NA")</f>
        <v>-2.4852475890348695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805.47</v>
      </c>
      <c r="R49" s="8">
        <f>IFERROR(Q49/Q444, "NA")</f>
        <v>1.0980788629941206E-3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805.47</v>
      </c>
      <c r="X49" s="8">
        <f>IFERROR(W49/W444, "NA")</f>
        <v>-1.0326084378597207E-2</v>
      </c>
      <c r="Y49" s="9"/>
      <c r="Z49" s="7">
        <v>890.27</v>
      </c>
      <c r="AA49" s="8">
        <f>IFERROR(Z49/Z444, "NA")</f>
        <v>1.260011470269648E-3</v>
      </c>
      <c r="AB49" s="9"/>
      <c r="AC49" s="10">
        <f t="shared" si="15"/>
        <v>-84.799999999999955</v>
      </c>
      <c r="AD49" s="8">
        <f>IFERROR(AC49/AC444, "NA")</f>
        <v>-3.144293792726521E-3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31.15</v>
      </c>
      <c r="R54" s="8">
        <f>IFERROR(Q54/Q444, "NA")</f>
        <v>4.2466083879308796E-5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-3.9934141357630075E-4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1.1550088637197074E-3</v>
      </c>
    </row>
    <row r="55" spans="1:30" ht="16.5" customHeight="1" x14ac:dyDescent="0.45">
      <c r="A55" s="17" t="s">
        <v>53</v>
      </c>
      <c r="B55" s="7">
        <v>313.92</v>
      </c>
      <c r="C55" s="8">
        <f>IFERROR(B55/B444, "NA")</f>
        <v>3.5328590668106731E-3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313.92</v>
      </c>
      <c r="I55" s="8">
        <f>IFERROR(H55/H444, "NA")</f>
        <v>-3.177408335231155E-2</v>
      </c>
      <c r="J55" s="9"/>
      <c r="K55" s="7">
        <v>279.76</v>
      </c>
      <c r="L55" s="8">
        <f>IFERROR(K55/K444, "NA")</f>
        <v>3.1025585461536631E-3</v>
      </c>
      <c r="M55" s="9"/>
      <c r="N55" s="10">
        <f t="shared" si="13"/>
        <v>34.160000000000025</v>
      </c>
      <c r="O55" s="8">
        <f>IFERROR(N55/N444, "NA")</f>
        <v>-2.6006257946145164E-2</v>
      </c>
      <c r="P55" s="9"/>
      <c r="Q55" s="7">
        <v>2579.14</v>
      </c>
      <c r="R55" s="8">
        <f>IFERROR(Q55/Q444, "NA")</f>
        <v>3.5160826830330813E-3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2579.14</v>
      </c>
      <c r="X55" s="8">
        <f>IFERROR(W55/W444, "NA")</f>
        <v>-3.3064443448191982E-2</v>
      </c>
      <c r="Y55" s="9"/>
      <c r="Z55" s="7">
        <v>3327.83</v>
      </c>
      <c r="AA55" s="8">
        <f>IFERROR(Z55/Z444, "NA")</f>
        <v>4.7099239232002007E-3</v>
      </c>
      <c r="AB55" s="9"/>
      <c r="AC55" s="10">
        <f t="shared" si="15"/>
        <v>-748.69</v>
      </c>
      <c r="AD55" s="8">
        <f>IFERROR(AC55/AC444, "NA")</f>
        <v>-2.7760628769769109E-2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4294.58</v>
      </c>
      <c r="AA59" s="8">
        <f>IFERROR(Z59/Z444, "NA")</f>
        <v>6.0781785974935972E-3</v>
      </c>
      <c r="AB59" s="9"/>
      <c r="AC59" s="10">
        <f t="shared" si="15"/>
        <v>-4294.58</v>
      </c>
      <c r="AD59" s="8">
        <f>IFERROR(AC59/AC444, "NA")</f>
        <v>-0.15923845797603148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202.58</v>
      </c>
      <c r="L60" s="8">
        <f>IFERROR(K60/K444, "NA")</f>
        <v>2.2466267882463868E-3</v>
      </c>
      <c r="M60" s="9"/>
      <c r="N60" s="10">
        <f t="shared" si="13"/>
        <v>-202.58</v>
      </c>
      <c r="O60" s="8">
        <f>IFERROR(N60/N444, "NA")</f>
        <v>0.15422563626259025</v>
      </c>
      <c r="P60" s="9"/>
      <c r="Q60" s="7">
        <v>12.85</v>
      </c>
      <c r="R60" s="8">
        <f>IFERROR(Q60/Q444, "NA")</f>
        <v>1.7518111648446806E-5</v>
      </c>
      <c r="S60" s="9"/>
      <c r="T60" s="7">
        <v>0</v>
      </c>
      <c r="U60" s="8">
        <f>IFERROR(T60/T444, "NA")</f>
        <v>0</v>
      </c>
      <c r="V60" s="9"/>
      <c r="W60" s="10">
        <f t="shared" si="14"/>
        <v>12.85</v>
      </c>
      <c r="X60" s="8">
        <f>IFERROR(W60/W444, "NA")</f>
        <v>-1.6473634556839374E-4</v>
      </c>
      <c r="Y60" s="9"/>
      <c r="Z60" s="7">
        <v>319.54000000000002</v>
      </c>
      <c r="AA60" s="8">
        <f>IFERROR(Z60/Z444, "NA")</f>
        <v>4.522493908701443E-4</v>
      </c>
      <c r="AB60" s="9"/>
      <c r="AC60" s="10">
        <f t="shared" si="15"/>
        <v>-306.69</v>
      </c>
      <c r="AD60" s="8">
        <f>IFERROR(AC60/AC444, "NA")</f>
        <v>-1.1371738953906807E-2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10585.31</v>
      </c>
      <c r="C61" s="15">
        <f>IFERROR(B61/B444, "NA")</f>
        <v>0.11912719294247477</v>
      </c>
      <c r="D61" s="2"/>
      <c r="E61" s="14">
        <f>IFERROR(E46+E47+E48+E49+E50+E51+E52+E53+E54+E55+E56+E57+E58+E59+E60, "NA")</f>
        <v>20043.599999999999</v>
      </c>
      <c r="F61" s="15">
        <f>IFERROR(E61/E444, "NA")</f>
        <v>0.2029999708315913</v>
      </c>
      <c r="G61" s="2"/>
      <c r="H61" s="14">
        <f t="shared" si="12"/>
        <v>-9458.2899999999991</v>
      </c>
      <c r="I61" s="15">
        <f>IFERROR(H61/H444, "NA")</f>
        <v>0.95734102583567393</v>
      </c>
      <c r="J61" s="2"/>
      <c r="K61" s="14">
        <f>IFERROR(K46+K47+K48+K49+K50+K51+K52+K53+K54+K55+K56+K57+K58+K59+K60, "NA")</f>
        <v>15715.59</v>
      </c>
      <c r="L61" s="15">
        <f>IFERROR(K61/K444, "NA")</f>
        <v>0.17428702481536693</v>
      </c>
      <c r="M61" s="2"/>
      <c r="N61" s="14">
        <f t="shared" si="13"/>
        <v>-5130.2800000000007</v>
      </c>
      <c r="O61" s="15">
        <f>IFERROR(N61/N444, "NA")</f>
        <v>3.9057197018720586</v>
      </c>
      <c r="P61" s="2"/>
      <c r="Q61" s="14">
        <f>IFERROR(Q46+Q47+Q48+Q49+Q50+Q51+Q52+Q53+Q54+Q55+Q56+Q57+Q58+Q59+Q60, "NA")</f>
        <v>60755.95</v>
      </c>
      <c r="R61" s="15">
        <f>IFERROR(Q61/Q444, "NA")</f>
        <v>8.2827199642603253E-2</v>
      </c>
      <c r="S61" s="2"/>
      <c r="T61" s="14">
        <f>IFERROR(T46+T47+T48+T49+T50+T51+T52+T53+T54+T55+T56+T57+T58+T59+T60, "NA")</f>
        <v>164740.57</v>
      </c>
      <c r="U61" s="15">
        <f>IFERROR(T61/T444, "NA")</f>
        <v>0.20299998035808858</v>
      </c>
      <c r="V61" s="2"/>
      <c r="W61" s="14">
        <f t="shared" si="14"/>
        <v>-103984.62000000001</v>
      </c>
      <c r="X61" s="15">
        <f>IFERROR(W61/W444, "NA")</f>
        <v>1.3330775326161952</v>
      </c>
      <c r="Y61" s="2"/>
      <c r="Z61" s="14">
        <f>IFERROR(Z46+Z47+Z48+Z49+Z50+Z51+Z52+Z53+Z54+Z55+Z56+Z57+Z58+Z59+Z60, "NA")</f>
        <v>133185.42000000001</v>
      </c>
      <c r="AA61" s="15">
        <f>IFERROR(Z61/Z444, "NA")</f>
        <v>0.18849917089498761</v>
      </c>
      <c r="AB61" s="2"/>
      <c r="AC61" s="14">
        <f t="shared" si="15"/>
        <v>-72429.470000000016</v>
      </c>
      <c r="AD61" s="15">
        <f>IFERROR(AC61/AC444, "NA")</f>
        <v>-2.6856076996635845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13719.39</v>
      </c>
      <c r="C62" s="15">
        <f>IFERROR(B62/B444, "NA")</f>
        <v>0.15439816307534299</v>
      </c>
      <c r="D62" s="2"/>
      <c r="E62" s="14">
        <f>IFERROR(E42+E43+E44+E46+E47+E48+E49+E50+E51+E52+E53+E54+E55+E56+E57+E58+E59+E60, "NA")</f>
        <v>20043.599999999999</v>
      </c>
      <c r="F62" s="15">
        <f>IFERROR(E62/E444, "NA")</f>
        <v>0.2029999708315913</v>
      </c>
      <c r="G62" s="2"/>
      <c r="H62" s="14">
        <f t="shared" si="12"/>
        <v>-6324.2099999999991</v>
      </c>
      <c r="I62" s="15">
        <f>IFERROR(H62/H444, "NA")</f>
        <v>0.64011842404919139</v>
      </c>
      <c r="J62" s="2"/>
      <c r="K62" s="14">
        <f>IFERROR(K42+K43+K44+K46+K47+K48+K49+K50+K51+K52+K53+K54+K55+K56+K57+K58+K59+K60, "NA")</f>
        <v>15715.59</v>
      </c>
      <c r="L62" s="15">
        <f>IFERROR(K62/K444, "NA")</f>
        <v>0.17428702481536693</v>
      </c>
      <c r="M62" s="2"/>
      <c r="N62" s="14">
        <f t="shared" si="13"/>
        <v>-1996.2000000000007</v>
      </c>
      <c r="O62" s="15">
        <f>IFERROR(N62/N444, "NA")</f>
        <v>1.5197216660449342</v>
      </c>
      <c r="P62" s="2"/>
      <c r="Q62" s="14">
        <f>IFERROR(Q42+Q43+Q44+Q46+Q47+Q48+Q49+Q50+Q51+Q52+Q53+Q54+Q55+Q56+Q57+Q58+Q59+Q60, "NA")</f>
        <v>88892.62</v>
      </c>
      <c r="R62" s="15">
        <f>IFERROR(Q62/Q444, "NA")</f>
        <v>0.12118527952396541</v>
      </c>
      <c r="S62" s="2"/>
      <c r="T62" s="14">
        <f>IFERROR(T42+T43+T44+T46+T47+T48+T49+T50+T51+T52+T53+T54+T55+T56+T57+T58+T59+T60, "NA")</f>
        <v>164740.57</v>
      </c>
      <c r="U62" s="15">
        <f>IFERROR(T62/T444, "NA")</f>
        <v>0.20299998035808858</v>
      </c>
      <c r="V62" s="2"/>
      <c r="W62" s="14">
        <f t="shared" si="14"/>
        <v>-75847.950000000012</v>
      </c>
      <c r="X62" s="15">
        <f>IFERROR(W62/W444, "NA")</f>
        <v>0.97236685617542817</v>
      </c>
      <c r="Y62" s="2"/>
      <c r="Z62" s="14">
        <f>IFERROR(Z42+Z43+Z44+Z46+Z47+Z48+Z49+Z50+Z51+Z52+Z53+Z54+Z55+Z56+Z57+Z58+Z59+Z60, "NA")</f>
        <v>135719.66999999998</v>
      </c>
      <c r="AA62" s="15">
        <f>IFERROR(Z62/Z444, "NA")</f>
        <v>0.19208593004505534</v>
      </c>
      <c r="AB62" s="2"/>
      <c r="AC62" s="14">
        <f t="shared" si="15"/>
        <v>-46827.049999999988</v>
      </c>
      <c r="AD62" s="15">
        <f>IFERROR(AC62/AC444, "NA")</f>
        <v>-1.7362972010223405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3389.01</v>
      </c>
      <c r="C65" s="8">
        <f>IFERROR(B65/B444, "NA")</f>
        <v>3.8139955103249357E-2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3389.01</v>
      </c>
      <c r="I65" s="8">
        <f>IFERROR(H65/H444, "NA")</f>
        <v>-0.34302588628254765</v>
      </c>
      <c r="J65" s="9"/>
      <c r="K65" s="7">
        <v>0</v>
      </c>
      <c r="L65" s="8">
        <f>IFERROR(K65/K444, "NA")</f>
        <v>0</v>
      </c>
      <c r="M65" s="9"/>
      <c r="N65" s="10">
        <f t="shared" si="17"/>
        <v>3389.01</v>
      </c>
      <c r="O65" s="8">
        <f>IFERROR(N65/N444, "NA")</f>
        <v>-2.5800781101307191</v>
      </c>
      <c r="P65" s="9"/>
      <c r="Q65" s="7">
        <v>20501.68</v>
      </c>
      <c r="R65" s="8">
        <f>IFERROR(Q65/Q444, "NA")</f>
        <v>2.7949472312897194E-2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20501.68</v>
      </c>
      <c r="X65" s="8">
        <f>IFERROR(W65/W444, "NA")</f>
        <v>-0.26283049347958182</v>
      </c>
      <c r="Y65" s="9"/>
      <c r="Z65" s="7">
        <v>1640.04</v>
      </c>
      <c r="AA65" s="8">
        <f>IFERROR(Z65/Z444, "NA")</f>
        <v>2.3211713431891827E-3</v>
      </c>
      <c r="AB65" s="9"/>
      <c r="AC65" s="10">
        <f t="shared" si="19"/>
        <v>18861.64</v>
      </c>
      <c r="AD65" s="8">
        <f>IFERROR(AC65/AC444, "NA")</f>
        <v>0.69936954684719677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5163.1000000000004</v>
      </c>
      <c r="C68" s="8">
        <f>IFERROR(B68/B444, "NA")</f>
        <v>5.8105583103498296E-2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5163.1000000000004</v>
      </c>
      <c r="I68" s="8">
        <f>IFERROR(H68/H444, "NA")</f>
        <v>-0.52259419519724692</v>
      </c>
      <c r="J68" s="9"/>
      <c r="K68" s="7">
        <v>0</v>
      </c>
      <c r="L68" s="8">
        <f>IFERROR(K68/K444, "NA")</f>
        <v>0</v>
      </c>
      <c r="M68" s="9"/>
      <c r="N68" s="10">
        <f t="shared" si="17"/>
        <v>5163.1000000000004</v>
      </c>
      <c r="O68" s="8">
        <f>IFERROR(N68/N444, "NA")</f>
        <v>-3.9307058080135246</v>
      </c>
      <c r="P68" s="9"/>
      <c r="Q68" s="7">
        <v>13841.15</v>
      </c>
      <c r="R68" s="8">
        <f>IFERROR(Q68/Q444, "NA")</f>
        <v>1.8869323816568057E-2</v>
      </c>
      <c r="S68" s="9"/>
      <c r="T68" s="7">
        <v>0</v>
      </c>
      <c r="U68" s="8">
        <f>IFERROR(T68/T444, "NA")</f>
        <v>0</v>
      </c>
      <c r="V68" s="9"/>
      <c r="W68" s="10">
        <f t="shared" si="18"/>
        <v>13841.15</v>
      </c>
      <c r="X68" s="8">
        <f>IFERROR(W68/W444, "NA")</f>
        <v>-0.17744283809058153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13841.15</v>
      </c>
      <c r="AD68" s="8">
        <f>IFERROR(AC68/AC444, "NA")</f>
        <v>0.51321511826882915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8552.11</v>
      </c>
      <c r="C73" s="15">
        <f>IFERROR(B73/B444, "NA")</f>
        <v>9.6245538206747652E-2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8552.11</v>
      </c>
      <c r="I73" s="15">
        <f>IFERROR(H73/H444, "NA")</f>
        <v>-0.86562008147979463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8552.11</v>
      </c>
      <c r="O73" s="15">
        <f>IFERROR(N73/N444, "NA")</f>
        <v>-6.5107839181442433</v>
      </c>
      <c r="P73" s="2"/>
      <c r="Q73" s="14">
        <f>IFERROR(Q64+Q65+Q66+Q67+Q68+Q69+Q70+Q71+Q72, "NA")</f>
        <v>34342.83</v>
      </c>
      <c r="R73" s="15">
        <f>IFERROR(Q73/Q444, "NA")</f>
        <v>4.6818796129465254E-2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34342.83</v>
      </c>
      <c r="X73" s="15">
        <f>IFERROR(W73/W444, "NA")</f>
        <v>-0.44027333157016341</v>
      </c>
      <c r="Y73" s="2"/>
      <c r="Z73" s="14">
        <f>IFERROR(Z64+Z65+Z66+Z67+Z68+Z69+Z70+Z71+Z72, "NA")</f>
        <v>1640.04</v>
      </c>
      <c r="AA73" s="15">
        <f>IFERROR(Z73/Z444, "NA")</f>
        <v>2.3211713431891827E-3</v>
      </c>
      <c r="AB73" s="2"/>
      <c r="AC73" s="14">
        <f t="shared" si="19"/>
        <v>32702.79</v>
      </c>
      <c r="AD73" s="15">
        <f>IFERROR(AC73/AC444, "NA")</f>
        <v>1.2125846651160259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1678.53</v>
      </c>
      <c r="F75" s="8">
        <f>IFERROR(E75/E444, "NA")</f>
        <v>1.7000017014905056E-2</v>
      </c>
      <c r="G75" s="9"/>
      <c r="H75" s="10">
        <f t="shared" ref="H75:H92" si="20">IFERROR(B75-E75, "NA")</f>
        <v>-1678.53</v>
      </c>
      <c r="I75" s="8">
        <f>IFERROR(H75/H444, "NA")</f>
        <v>0.16989599939269717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13796.01</v>
      </c>
      <c r="U75" s="8">
        <f>IFERROR(T75/T444, "NA")</f>
        <v>1.7000000418961724E-2</v>
      </c>
      <c r="V75" s="9"/>
      <c r="W75" s="10">
        <f t="shared" ref="W75:W92" si="22">IFERROR(Q75-T75, "NA")</f>
        <v>-13796.01</v>
      </c>
      <c r="X75" s="8">
        <f>IFERROR(W75/W444, "NA")</f>
        <v>0.17686414558949537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373.12</v>
      </c>
      <c r="C77" s="8">
        <f>IFERROR(B77/B444, "NA")</f>
        <v>4.1990965055058553E-3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373.12</v>
      </c>
      <c r="I77" s="8">
        <f>IFERROR(H77/H444, "NA")</f>
        <v>-3.7766137807130749E-2</v>
      </c>
      <c r="J77" s="9"/>
      <c r="K77" s="7">
        <v>98.67</v>
      </c>
      <c r="L77" s="8">
        <f>IFERROR(K77/K444, "NA")</f>
        <v>1.0942574054510364E-3</v>
      </c>
      <c r="M77" s="9"/>
      <c r="N77" s="10">
        <f t="shared" si="21"/>
        <v>274.45</v>
      </c>
      <c r="O77" s="8">
        <f>IFERROR(N77/N444, "NA")</f>
        <v>-0.20894079312996294</v>
      </c>
      <c r="P77" s="9"/>
      <c r="Q77" s="7">
        <v>2916.13</v>
      </c>
      <c r="R77" s="8">
        <f>IFERROR(Q77/Q444, "NA")</f>
        <v>3.9754934569171353E-3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2916.13</v>
      </c>
      <c r="X77" s="8">
        <f>IFERROR(W77/W444, "NA")</f>
        <v>-3.7384638085786771E-2</v>
      </c>
      <c r="Y77" s="9"/>
      <c r="Z77" s="7">
        <v>941.85</v>
      </c>
      <c r="AA77" s="8">
        <f>IFERROR(Z77/Z444, "NA")</f>
        <v>1.3330133591758322E-3</v>
      </c>
      <c r="AB77" s="9"/>
      <c r="AC77" s="10">
        <f t="shared" si="23"/>
        <v>1974.2800000000002</v>
      </c>
      <c r="AD77" s="8">
        <f>IFERROR(AC77/AC444, "NA")</f>
        <v>7.3204202230001417E-2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56.81</v>
      </c>
      <c r="AA79" s="8">
        <f>IFERROR(Z79/Z444, "NA")</f>
        <v>8.0403980394732732E-5</v>
      </c>
      <c r="AB79" s="9"/>
      <c r="AC79" s="10">
        <f t="shared" si="23"/>
        <v>-56.81</v>
      </c>
      <c r="AD79" s="8">
        <f>IFERROR(AC79/AC444, "NA")</f>
        <v>-2.1064543675093604E-3</v>
      </c>
    </row>
    <row r="80" spans="1:30" ht="16.5" customHeight="1" x14ac:dyDescent="0.45">
      <c r="A80" s="12" t="s">
        <v>76</v>
      </c>
      <c r="B80" s="7">
        <v>1041.6600000000001</v>
      </c>
      <c r="C80" s="8">
        <f>IFERROR(B80/B444, "NA")</f>
        <v>1.172285287823014E-2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1041.6600000000001</v>
      </c>
      <c r="I80" s="8">
        <f>IFERROR(H80/H444, "NA")</f>
        <v>-0.10543384194944205</v>
      </c>
      <c r="J80" s="9"/>
      <c r="K80" s="7">
        <v>1533.58</v>
      </c>
      <c r="L80" s="8">
        <f>IFERROR(K80/K444, "NA")</f>
        <v>1.7007512636582553E-2</v>
      </c>
      <c r="M80" s="9"/>
      <c r="N80" s="10">
        <f t="shared" si="21"/>
        <v>-491.91999999999985</v>
      </c>
      <c r="O80" s="8">
        <f>IFERROR(N80/N444, "NA")</f>
        <v>0.37450229534156076</v>
      </c>
      <c r="P80" s="9"/>
      <c r="Q80" s="7">
        <v>6127.47</v>
      </c>
      <c r="R80" s="8">
        <f>IFERROR(Q80/Q444, "NA")</f>
        <v>8.3534399675103781E-3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6127.47</v>
      </c>
      <c r="X80" s="8">
        <f>IFERROR(W80/W444, "NA")</f>
        <v>-7.8553853336962298E-2</v>
      </c>
      <c r="Y80" s="9"/>
      <c r="Z80" s="7">
        <v>11655.07</v>
      </c>
      <c r="AA80" s="8">
        <f>IFERROR(Z80/Z444, "NA")</f>
        <v>1.64955821119387E-2</v>
      </c>
      <c r="AB80" s="9"/>
      <c r="AC80" s="10">
        <f t="shared" si="23"/>
        <v>-5527.5999999999995</v>
      </c>
      <c r="AD80" s="8">
        <f>IFERROR(AC80/AC444, "NA")</f>
        <v>-0.2049575279324897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25</v>
      </c>
      <c r="R82" s="8">
        <f>IFERROR(Q82/Q444, "NA")</f>
        <v>3.4081929277133868E-5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-3.2049872678675822E-4</v>
      </c>
      <c r="Y82" s="9"/>
      <c r="Z82" s="7">
        <v>25</v>
      </c>
      <c r="AA82" s="8">
        <f>IFERROR(Z82/Z444, "NA")</f>
        <v>3.5382846503578917E-5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1414.7800000000002</v>
      </c>
      <c r="C88" s="15">
        <f>IFERROR(B88/B444, "NA")</f>
        <v>1.5921949383735999E-2</v>
      </c>
      <c r="D88" s="2"/>
      <c r="E88" s="14">
        <f>IFERROR(E75+E76+E77+E78+E79+E80+E81+E82+E83+E84+E85+E86+E87, "NA")</f>
        <v>1678.53</v>
      </c>
      <c r="F88" s="15">
        <f>IFERROR(E88/E444, "NA")</f>
        <v>1.7000017014905056E-2</v>
      </c>
      <c r="G88" s="2"/>
      <c r="H88" s="14">
        <f t="shared" si="20"/>
        <v>-263.74999999999977</v>
      </c>
      <c r="I88" s="15">
        <f>IFERROR(H88/H444, "NA")</f>
        <v>2.6696019636124373E-2</v>
      </c>
      <c r="J88" s="2"/>
      <c r="K88" s="14">
        <f>IFERROR(K75+K76+K77+K78+K79+K80+K81+K82+K83+K84+K85+K86+K87, "NA")</f>
        <v>1632.25</v>
      </c>
      <c r="L88" s="15">
        <f>IFERROR(K88/K444, "NA")</f>
        <v>1.8101770042033592E-2</v>
      </c>
      <c r="M88" s="2"/>
      <c r="N88" s="14">
        <f t="shared" si="21"/>
        <v>-217.4699999999998</v>
      </c>
      <c r="O88" s="15">
        <f>IFERROR(N88/N444, "NA")</f>
        <v>0.16556150221159774</v>
      </c>
      <c r="P88" s="2"/>
      <c r="Q88" s="14">
        <f>IFERROR(Q75+Q76+Q77+Q78+Q79+Q80+Q81+Q82+Q83+Q84+Q85+Q86+Q87, "NA")</f>
        <v>9068.6</v>
      </c>
      <c r="R88" s="15">
        <f>IFERROR(Q88/Q444, "NA")</f>
        <v>1.2363015353704647E-2</v>
      </c>
      <c r="S88" s="2"/>
      <c r="T88" s="14">
        <f>IFERROR(T75+T76+T77+T78+T79+T80+T81+T82+T83+T84+T85+T86+T87, "NA")</f>
        <v>13796.01</v>
      </c>
      <c r="U88" s="15">
        <f>IFERROR(T88/T444, "NA")</f>
        <v>1.7000000418961724E-2</v>
      </c>
      <c r="V88" s="2"/>
      <c r="W88" s="14">
        <f t="shared" si="22"/>
        <v>-4727.41</v>
      </c>
      <c r="X88" s="15">
        <f>IFERROR(W88/W444, "NA")</f>
        <v>6.0605155439959549E-2</v>
      </c>
      <c r="Y88" s="2"/>
      <c r="Z88" s="14">
        <f>IFERROR(Z75+Z76+Z77+Z78+Z79+Z80+Z81+Z82+Z83+Z84+Z85+Z86+Z87, "NA")</f>
        <v>12678.73</v>
      </c>
      <c r="AA88" s="15">
        <f>IFERROR(Z88/Z444, "NA")</f>
        <v>1.7944382298012842E-2</v>
      </c>
      <c r="AB88" s="2"/>
      <c r="AC88" s="14">
        <f t="shared" si="23"/>
        <v>-3610.1299999999992</v>
      </c>
      <c r="AD88" s="15">
        <f>IFERROR(AC88/AC444, "NA")</f>
        <v>-0.13385978006999763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139.47999999999999</v>
      </c>
      <c r="L89" s="8">
        <f>IFERROR(K89/K444, "NA")</f>
        <v>1.5468432442719221E-3</v>
      </c>
      <c r="M89" s="9"/>
      <c r="N89" s="10">
        <f t="shared" si="21"/>
        <v>-139.47999999999999</v>
      </c>
      <c r="O89" s="8">
        <f>IFERROR(N89/N444, "NA")</f>
        <v>0.10618714456464649</v>
      </c>
      <c r="P89" s="9"/>
      <c r="Q89" s="7">
        <v>-140.33000000000001</v>
      </c>
      <c r="R89" s="8">
        <f>IFERROR(Q89/Q444, "NA")</f>
        <v>-1.9130868541840783E-4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-140.33000000000001</v>
      </c>
      <c r="X89" s="8">
        <f>IFERROR(W89/W444, "NA")</f>
        <v>1.7990234531994314E-3</v>
      </c>
      <c r="Y89" s="9"/>
      <c r="Z89" s="7">
        <v>1285.6400000000001</v>
      </c>
      <c r="AA89" s="8">
        <f>IFERROR(Z89/Z444, "NA")</f>
        <v>1.819584111154448E-3</v>
      </c>
      <c r="AB89" s="9"/>
      <c r="AC89" s="10">
        <f t="shared" si="23"/>
        <v>-1425.97</v>
      </c>
      <c r="AD89" s="8">
        <f>IFERROR(AC89/AC444, "NA")</f>
        <v>-5.2873450702998114E-2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-3455.79</v>
      </c>
      <c r="F94" s="8">
        <f>IFERROR(E94/E444, "NA")</f>
        <v>-3.4999963539489164E-2</v>
      </c>
      <c r="G94" s="9"/>
      <c r="H94" s="10">
        <f t="shared" ref="H94:H124" si="24">IFERROR(B94-E94, "NA")</f>
        <v>3455.79</v>
      </c>
      <c r="I94" s="8">
        <f>IFERROR(H94/H444, "NA")</f>
        <v>-0.34978516662871023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-28403.55</v>
      </c>
      <c r="U94" s="8">
        <f>IFERROR(T94/T444, "NA")</f>
        <v>-3.5000000862568256E-2</v>
      </c>
      <c r="V94" s="9"/>
      <c r="W94" s="10">
        <f t="shared" ref="W94:W124" si="26">IFERROR(Q94-T94, "NA")</f>
        <v>28403.55</v>
      </c>
      <c r="X94" s="8">
        <f>IFERROR(W94/W444, "NA")</f>
        <v>-0.36413206444896107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-2012.2</v>
      </c>
      <c r="C96" s="8">
        <f>IFERROR(B96/B444, "NA")</f>
        <v>-2.2645320509162958E-2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-2012.2</v>
      </c>
      <c r="I96" s="8">
        <f>IFERROR(H96/H444, "NA")</f>
        <v>0.20366912118221617</v>
      </c>
      <c r="J96" s="9"/>
      <c r="K96" s="7">
        <v>-144.05000000000001</v>
      </c>
      <c r="L96" s="8">
        <f>IFERROR(K96/K444, "NA")</f>
        <v>-1.5975248733680128E-3</v>
      </c>
      <c r="M96" s="9"/>
      <c r="N96" s="10">
        <f t="shared" si="25"/>
        <v>-1868.15</v>
      </c>
      <c r="O96" s="8">
        <f>IFERROR(N96/N444, "NA")</f>
        <v>1.4222362641127357</v>
      </c>
      <c r="P96" s="9"/>
      <c r="Q96" s="7">
        <v>-15118.95</v>
      </c>
      <c r="R96" s="8">
        <f>IFERROR(Q96/Q444, "NA")</f>
        <v>-2.0611319385780924E-2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-15118.95</v>
      </c>
      <c r="X96" s="8">
        <f>IFERROR(W96/W444, "NA")</f>
        <v>0.19382416901410635</v>
      </c>
      <c r="Y96" s="9"/>
      <c r="Z96" s="7">
        <v>-694.83</v>
      </c>
      <c r="AA96" s="8">
        <f>IFERROR(Z96/Z444, "NA")</f>
        <v>-9.8340252944326958E-4</v>
      </c>
      <c r="AB96" s="9"/>
      <c r="AC96" s="10">
        <f t="shared" si="27"/>
        <v>-14424.12</v>
      </c>
      <c r="AD96" s="8">
        <f>IFERROR(AC96/AC444, "NA")</f>
        <v>-0.53483102572573693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-2055.87</v>
      </c>
      <c r="C98" s="8">
        <f>IFERROR(B98/B444, "NA")</f>
        <v>-2.3136783160308542E-2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-2055.87</v>
      </c>
      <c r="I98" s="8">
        <f>IFERROR(H98/H444, "NA")</f>
        <v>0.20808927351400591</v>
      </c>
      <c r="J98" s="9"/>
      <c r="K98" s="7">
        <v>-3105.39</v>
      </c>
      <c r="L98" s="8">
        <f>IFERROR(K98/K444, "NA")</f>
        <v>-3.4438998726194325E-2</v>
      </c>
      <c r="M98" s="9"/>
      <c r="N98" s="10">
        <f t="shared" si="25"/>
        <v>1049.52</v>
      </c>
      <c r="O98" s="8">
        <f>IFERROR(N98/N444, "NA")</f>
        <v>-0.79900725525873095</v>
      </c>
      <c r="P98" s="9"/>
      <c r="Q98" s="7">
        <v>-15106.82</v>
      </c>
      <c r="R98" s="8">
        <f>IFERROR(Q98/Q444, "NA")</f>
        <v>-2.0594782833695657E-2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-15106.82</v>
      </c>
      <c r="X98" s="8">
        <f>IFERROR(W98/W444, "NA")</f>
        <v>0.19366866303186939</v>
      </c>
      <c r="Y98" s="9"/>
      <c r="Z98" s="7">
        <v>-13394.98</v>
      </c>
      <c r="AA98" s="8">
        <f>IFERROR(Z98/Z444, "NA")</f>
        <v>-1.895810085034038E-2</v>
      </c>
      <c r="AB98" s="9"/>
      <c r="AC98" s="10">
        <f t="shared" si="27"/>
        <v>-1711.8400000000001</v>
      </c>
      <c r="AD98" s="8">
        <f>IFERROR(AC98/AC444, "NA")</f>
        <v>-6.347320620449258E-2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-23.25</v>
      </c>
      <c r="C100" s="8">
        <f>IFERROR(B100/B444, "NA")</f>
        <v>-2.6165575083890208E-4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-23.25</v>
      </c>
      <c r="I100" s="8">
        <f>IFERROR(H100/H444, "NA")</f>
        <v>2.3532984134213924E-3</v>
      </c>
      <c r="J100" s="9"/>
      <c r="K100" s="7">
        <v>-1203.18</v>
      </c>
      <c r="L100" s="8">
        <f>IFERROR(K100/K444, "NA")</f>
        <v>-1.3343352843727355E-2</v>
      </c>
      <c r="M100" s="9"/>
      <c r="N100" s="10">
        <f t="shared" si="25"/>
        <v>1179.93</v>
      </c>
      <c r="O100" s="8">
        <f>IFERROR(N100/N444, "NA")</f>
        <v>-0.89828934245887126</v>
      </c>
      <c r="P100" s="9"/>
      <c r="Q100" s="7">
        <v>-2172.63</v>
      </c>
      <c r="R100" s="8">
        <f>IFERROR(Q100/Q444, "NA")</f>
        <v>-2.9618968802151741E-3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-2172.63</v>
      </c>
      <c r="X100" s="8">
        <f>IFERROR(W100/W444, "NA")</f>
        <v>2.7853005951148584E-2</v>
      </c>
      <c r="Y100" s="9"/>
      <c r="Z100" s="7">
        <v>-5632.14</v>
      </c>
      <c r="AA100" s="8">
        <f>IFERROR(Z100/Z444, "NA")</f>
        <v>-7.9712458042666794E-3</v>
      </c>
      <c r="AB100" s="9"/>
      <c r="AC100" s="10">
        <f t="shared" si="27"/>
        <v>3459.51</v>
      </c>
      <c r="AD100" s="8">
        <f>IFERROR(AC100/AC444, "NA")</f>
        <v>0.1282749506942846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-1113.55</v>
      </c>
      <c r="C102" s="8">
        <f>IFERROR(B102/B444, "NA")</f>
        <v>-1.2531903713834813E-2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-1113.55</v>
      </c>
      <c r="I102" s="8">
        <f>IFERROR(H102/H444, "NA")</f>
        <v>0.11271034186087704</v>
      </c>
      <c r="J102" s="9"/>
      <c r="K102" s="7">
        <v>-268</v>
      </c>
      <c r="L102" s="8">
        <f>IFERROR(K102/K444, "NA")</f>
        <v>-2.9721392992893259E-3</v>
      </c>
      <c r="M102" s="9"/>
      <c r="N102" s="10">
        <f t="shared" si="25"/>
        <v>-845.55</v>
      </c>
      <c r="O102" s="8">
        <f>IFERROR(N102/N444, "NA")</f>
        <v>0.64372340182561549</v>
      </c>
      <c r="P102" s="9"/>
      <c r="Q102" s="7">
        <v>-6198.55</v>
      </c>
      <c r="R102" s="8">
        <f>IFERROR(Q102/Q444, "NA")</f>
        <v>-8.4503417088311258E-3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-6198.55</v>
      </c>
      <c r="X102" s="8">
        <f>IFERROR(W102/W444, "NA")</f>
        <v>7.9465095316962414E-2</v>
      </c>
      <c r="Y102" s="9"/>
      <c r="Z102" s="7">
        <v>-1907.18</v>
      </c>
      <c r="AA102" s="8">
        <f>IFERROR(Z102/Z444, "NA")</f>
        <v>-2.6992582877878256E-3</v>
      </c>
      <c r="AB102" s="9"/>
      <c r="AC102" s="10">
        <f t="shared" si="27"/>
        <v>-4291.37</v>
      </c>
      <c r="AD102" s="8">
        <f>IFERROR(AC102/AC444, "NA")</f>
        <v>-0.1591194345907172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-410.41</v>
      </c>
      <c r="C104" s="8">
        <f>IFERROR(B104/B444, "NA")</f>
        <v>-4.6187585678190883E-3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-410.41</v>
      </c>
      <c r="I104" s="8">
        <f>IFERROR(H104/H444, "NA")</f>
        <v>4.1540524810850479E-2</v>
      </c>
      <c r="J104" s="9"/>
      <c r="K104" s="7">
        <v>-413.71</v>
      </c>
      <c r="L104" s="8">
        <f>IFERROR(K104/K444, "NA")</f>
        <v>-4.5880736921977121E-3</v>
      </c>
      <c r="M104" s="9"/>
      <c r="N104" s="10">
        <f t="shared" si="25"/>
        <v>3.2999999999999545</v>
      </c>
      <c r="O104" s="8">
        <f>IFERROR(N104/N444, "NA")</f>
        <v>-2.5123141458512233E-3</v>
      </c>
      <c r="P104" s="9"/>
      <c r="Q104" s="7">
        <v>-4086.92</v>
      </c>
      <c r="R104" s="8">
        <f>IFERROR(Q104/Q444, "NA")</f>
        <v>-5.5716047360521576E-3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-4086.92</v>
      </c>
      <c r="X104" s="8">
        <f>IFERROR(W104/W444, "NA")</f>
        <v>5.2394106259173519E-2</v>
      </c>
      <c r="Y104" s="9"/>
      <c r="Z104" s="7">
        <v>-4542.68</v>
      </c>
      <c r="AA104" s="8">
        <f>IFERROR(Z104/Z444, "NA")</f>
        <v>-6.4293179661951147E-3</v>
      </c>
      <c r="AB104" s="9"/>
      <c r="AC104" s="10">
        <f t="shared" si="27"/>
        <v>455.76000000000022</v>
      </c>
      <c r="AD104" s="8">
        <f>IFERROR(AC104/AC444, "NA")</f>
        <v>1.689909597845567E-2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0</v>
      </c>
      <c r="O106" s="8">
        <f>IFERROR(N106/N444, "NA")</f>
        <v>0</v>
      </c>
      <c r="P106" s="9"/>
      <c r="Q106" s="7">
        <v>-62.25</v>
      </c>
      <c r="R106" s="8">
        <f>IFERROR(Q106/Q444, "NA")</f>
        <v>-8.486400390006333E-5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7.98041829699028E-4</v>
      </c>
      <c r="Y106" s="9"/>
      <c r="Z106" s="7">
        <v>-1447.29</v>
      </c>
      <c r="AA106" s="8">
        <f>IFERROR(Z106/Z444, "NA")</f>
        <v>-2.0483695966465893E-3</v>
      </c>
      <c r="AB106" s="9"/>
      <c r="AC106" s="10">
        <f t="shared" si="27"/>
        <v>1385.04</v>
      </c>
      <c r="AD106" s="8">
        <f>IFERROR(AC106/AC444, "NA")</f>
        <v>5.1355809842900273E-2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-5.5450360061368022E-5</v>
      </c>
      <c r="M108" s="9"/>
      <c r="N108" s="10">
        <f t="shared" si="25"/>
        <v>5</v>
      </c>
      <c r="O108" s="8">
        <f>IFERROR(N108/N444, "NA")</f>
        <v>-3.8065365846231183E-3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-75</v>
      </c>
      <c r="AA108" s="8">
        <f>IFERROR(Z108/Z444, "NA")</f>
        <v>-1.0614853951073675E-4</v>
      </c>
      <c r="AB108" s="9"/>
      <c r="AC108" s="10">
        <f t="shared" si="27"/>
        <v>75</v>
      </c>
      <c r="AD108" s="8">
        <f>IFERROR(AC108/AC444, "NA")</f>
        <v>2.7809202176236935E-3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-5615.28</v>
      </c>
      <c r="C118" s="15">
        <f>IFERROR(B118/B444, "NA")</f>
        <v>-6.3194421701964307E-2</v>
      </c>
      <c r="D118" s="2"/>
      <c r="E118" s="14">
        <f>IFERROR(E94+E95+E96+E97+E98+E99+E100+E101+E102+E103+E104+E105+E106+E107+E108+E109+E110+E111+E112+E113+E114+E115+E116+E117, "NA")</f>
        <v>-3455.79</v>
      </c>
      <c r="F118" s="15">
        <f>IFERROR(E118/E444, "NA")</f>
        <v>-3.4999963539489164E-2</v>
      </c>
      <c r="G118" s="2"/>
      <c r="H118" s="14">
        <f t="shared" si="24"/>
        <v>-2159.4899999999998</v>
      </c>
      <c r="I118" s="15">
        <f>IFERROR(H118/H444, "NA")</f>
        <v>0.21857739315266073</v>
      </c>
      <c r="J118" s="2"/>
      <c r="K118" s="14">
        <f>IFERROR(K94+K95+K96+K97+K98+K99+K100+K101+K102+K103+K104+K105+K106+K107+K108+K109+K110+K111+K112+K113+K114+K115+K116+K117, "NA")</f>
        <v>-5139.33</v>
      </c>
      <c r="L118" s="15">
        <f>IFERROR(K118/K444, "NA")</f>
        <v>-5.6995539794838103E-2</v>
      </c>
      <c r="M118" s="2"/>
      <c r="N118" s="14">
        <f t="shared" si="25"/>
        <v>-475.94999999999982</v>
      </c>
      <c r="O118" s="15">
        <f>IFERROR(N118/N444, "NA")</f>
        <v>0.36234421749027446</v>
      </c>
      <c r="P118" s="2"/>
      <c r="Q118" s="14">
        <f>IFERROR(Q94+Q95+Q96+Q97+Q98+Q99+Q100+Q101+Q102+Q103+Q104+Q105+Q106+Q107+Q108+Q109+Q110+Q111+Q112+Q113+Q114+Q115+Q116+Q117, "NA")</f>
        <v>-42746.12</v>
      </c>
      <c r="R118" s="15">
        <f>IFERROR(Q118/Q444, "NA")</f>
        <v>-5.8274809548475102E-2</v>
      </c>
      <c r="S118" s="2"/>
      <c r="T118" s="14">
        <f>IFERROR(T94+T95+T96+T97+T98+T99+T100+T101+T102+T103+T104+T105+T106+T107+T108+T109+T110+T111+T112+T113+T114+T115+T116+T117, "NA")</f>
        <v>-28403.55</v>
      </c>
      <c r="U118" s="15">
        <f>IFERROR(T118/T444, "NA")</f>
        <v>-3.5000000862568256E-2</v>
      </c>
      <c r="V118" s="2"/>
      <c r="W118" s="14">
        <f t="shared" si="26"/>
        <v>-14342.570000000003</v>
      </c>
      <c r="X118" s="15">
        <f>IFERROR(W118/W444, "NA")</f>
        <v>0.18387101695399824</v>
      </c>
      <c r="Y118" s="2"/>
      <c r="Z118" s="14">
        <f>IFERROR(Z94+Z95+Z96+Z97+Z98+Z99+Z100+Z101+Z102+Z103+Z104+Z105+Z106+Z107+Z108+Z109+Z110+Z111+Z112+Z113+Z114+Z115+Z116+Z117, "NA")</f>
        <v>-27694.100000000002</v>
      </c>
      <c r="AA118" s="15">
        <f>IFERROR(Z118/Z444, "NA")</f>
        <v>-3.9195843574190599E-2</v>
      </c>
      <c r="AB118" s="2"/>
      <c r="AC118" s="14">
        <f t="shared" si="27"/>
        <v>-15052.02</v>
      </c>
      <c r="AD118" s="15">
        <f>IFERROR(AC118/AC444, "NA")</f>
        <v>-0.55811288978768248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88857.21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98736.960000000006</v>
      </c>
      <c r="F122" s="15">
        <f>IFERROR(E122/E444, "NA")</f>
        <v>1</v>
      </c>
      <c r="G122" s="2"/>
      <c r="H122" s="14">
        <f t="shared" si="24"/>
        <v>-9879.75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90170.739999999991</v>
      </c>
      <c r="L122" s="15">
        <f>IFERROR(K122/K444, "NA")</f>
        <v>0.99999999999999989</v>
      </c>
      <c r="M122" s="2"/>
      <c r="N122" s="14">
        <f t="shared" si="25"/>
        <v>-1313.5299999999843</v>
      </c>
      <c r="O122" s="15">
        <f>IFERROR(N122/N444, "NA")</f>
        <v>0.9999999999999889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733526.55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811529.98</v>
      </c>
      <c r="U122" s="15">
        <f>IFERROR(T122/T444, "NA")</f>
        <v>1</v>
      </c>
      <c r="V122" s="2"/>
      <c r="W122" s="14">
        <f t="shared" si="26"/>
        <v>-78003.429999999935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706557.05999999971</v>
      </c>
      <c r="AA122" s="15">
        <f>IFERROR(Z122/Z444, "NA")</f>
        <v>0.99999999999999956</v>
      </c>
      <c r="AB122" s="2"/>
      <c r="AC122" s="14">
        <f t="shared" si="27"/>
        <v>26969.49000000034</v>
      </c>
      <c r="AD122" s="15">
        <f>IFERROR(AC122/AC444, "NA")</f>
        <v>1.0000000000000129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88857.21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98736.960000000006</v>
      </c>
      <c r="F124" s="15">
        <f>IFERROR(E124/E444, "NA")</f>
        <v>1</v>
      </c>
      <c r="G124" s="2"/>
      <c r="H124" s="14">
        <f t="shared" si="24"/>
        <v>-9879.75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90170.739999999991</v>
      </c>
      <c r="L124" s="15">
        <f>IFERROR(K124/K444, "NA")</f>
        <v>0.99999999999999989</v>
      </c>
      <c r="M124" s="2"/>
      <c r="N124" s="14">
        <f t="shared" si="25"/>
        <v>-1313.5299999999843</v>
      </c>
      <c r="O124" s="15">
        <f>IFERROR(N124/N444, "NA")</f>
        <v>0.9999999999999889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733526.55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811529.98</v>
      </c>
      <c r="U124" s="15">
        <f>IFERROR(T124/T444, "NA")</f>
        <v>1</v>
      </c>
      <c r="V124" s="2"/>
      <c r="W124" s="14">
        <f t="shared" si="26"/>
        <v>-78003.429999999935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706557.05999999971</v>
      </c>
      <c r="AA124" s="15">
        <f>IFERROR(Z124/Z444, "NA")</f>
        <v>0.99999999999999956</v>
      </c>
      <c r="AB124" s="2"/>
      <c r="AC124" s="14">
        <f t="shared" si="27"/>
        <v>26969.49000000034</v>
      </c>
      <c r="AD124" s="15">
        <f>IFERROR(AC124/AC444, "NA")</f>
        <v>1.0000000000000129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21820.87</v>
      </c>
      <c r="F129" s="8">
        <f>IFERROR(E129/E444, "NA")</f>
        <v>0.22100001863537219</v>
      </c>
      <c r="G129" s="9"/>
      <c r="H129" s="10">
        <f t="shared" ref="H129:H141" si="28">IFERROR(-(B129-E129), "NA")</f>
        <v>21820.87</v>
      </c>
      <c r="I129" s="8">
        <f>IFERROR(H129/H444, "NA")</f>
        <v>-2.208645967762342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182704.93</v>
      </c>
      <c r="U129" s="8">
        <f>IFERROR(T129/T444, "NA")</f>
        <v>0.22513638990884846</v>
      </c>
      <c r="V129" s="9"/>
      <c r="W129" s="10">
        <f t="shared" ref="W129:W141" si="30">IFERROR(-(Q129-T129), "NA")</f>
        <v>182704.93</v>
      </c>
      <c r="X129" s="8">
        <f>IFERROR(W129/W444, "NA")</f>
        <v>-2.3422678977065514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3524.23</v>
      </c>
      <c r="C130" s="8">
        <f>IFERROR(B130/B444, "NA")</f>
        <v>3.9661722442106834E-2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-3524.23</v>
      </c>
      <c r="I130" s="8">
        <f>IFERROR(H130/H444, "NA")</f>
        <v>0.35671246742073431</v>
      </c>
      <c r="J130" s="9"/>
      <c r="K130" s="7">
        <v>5213.67</v>
      </c>
      <c r="L130" s="8">
        <f>IFERROR(K130/K444, "NA")</f>
        <v>5.7819975748230522E-2</v>
      </c>
      <c r="M130" s="9"/>
      <c r="N130" s="10">
        <f t="shared" si="29"/>
        <v>1689.44</v>
      </c>
      <c r="O130" s="8">
        <f>IFERROR(N130/N444, "NA")</f>
        <v>-1.2861830335051363</v>
      </c>
      <c r="P130" s="9"/>
      <c r="Q130" s="7">
        <v>37090.67</v>
      </c>
      <c r="R130" s="8">
        <f>IFERROR(Q130/Q444, "NA")</f>
        <v>5.0564863671260431E-2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-37090.67</v>
      </c>
      <c r="X130" s="8">
        <f>IFERROR(W130/W444, "NA")</f>
        <v>0.47550050042671238</v>
      </c>
      <c r="Y130" s="9"/>
      <c r="Z130" s="7">
        <v>42401.98</v>
      </c>
      <c r="AA130" s="8">
        <f>IFERROR(Z130/Z444, "NA")</f>
        <v>6.0012109991512928E-2</v>
      </c>
      <c r="AB130" s="9"/>
      <c r="AC130" s="10">
        <f t="shared" si="31"/>
        <v>5311.3100000000049</v>
      </c>
      <c r="AD130" s="8">
        <f>IFERROR(AC130/AC444, "NA")</f>
        <v>0.1969377248142255</v>
      </c>
    </row>
    <row r="131" spans="1:30" ht="16.5" customHeight="1" x14ac:dyDescent="0.45">
      <c r="A131" s="12" t="s">
        <v>123</v>
      </c>
      <c r="B131" s="7">
        <v>2098.2399999999998</v>
      </c>
      <c r="C131" s="8">
        <f>IFERROR(B131/B444, "NA")</f>
        <v>2.3613615597428726E-2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-2098.2399999999998</v>
      </c>
      <c r="I131" s="8">
        <f>IFERROR(H131/H444, "NA")</f>
        <v>0.2123778435689162</v>
      </c>
      <c r="J131" s="9"/>
      <c r="K131" s="7">
        <v>2715.5</v>
      </c>
      <c r="L131" s="8">
        <f>IFERROR(K131/K444, "NA")</f>
        <v>3.0115090549328972E-2</v>
      </c>
      <c r="M131" s="9"/>
      <c r="N131" s="10">
        <f t="shared" si="29"/>
        <v>617.26000000000022</v>
      </c>
      <c r="O131" s="8">
        <f>IFERROR(N131/N444, "NA")</f>
        <v>-0.46992455444489334</v>
      </c>
      <c r="P131" s="9"/>
      <c r="Q131" s="7">
        <v>21283.67</v>
      </c>
      <c r="R131" s="8">
        <f>IFERROR(Q131/Q444, "NA")</f>
        <v>2.9015541427914227E-2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-21283.67</v>
      </c>
      <c r="X131" s="8">
        <f>IFERROR(W131/W444, "NA")</f>
        <v>0.27285556545398088</v>
      </c>
      <c r="Y131" s="9"/>
      <c r="Z131" s="7">
        <v>20584.73</v>
      </c>
      <c r="AA131" s="8">
        <f>IFERROR(Z131/Z444, "NA")</f>
        <v>2.9133853676304639E-2</v>
      </c>
      <c r="AB131" s="9"/>
      <c r="AC131" s="10">
        <f t="shared" si="31"/>
        <v>-698.93999999999869</v>
      </c>
      <c r="AD131" s="8">
        <f>IFERROR(AC131/AC444, "NA")</f>
        <v>-2.5915951692078675E-2</v>
      </c>
    </row>
    <row r="132" spans="1:30" ht="16.5" customHeight="1" x14ac:dyDescent="0.45">
      <c r="A132" s="12" t="s">
        <v>124</v>
      </c>
      <c r="B132" s="7">
        <v>4778.33</v>
      </c>
      <c r="C132" s="8">
        <f>IFERROR(B132/B444, "NA")</f>
        <v>5.3775377372303264E-2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-4778.33</v>
      </c>
      <c r="I132" s="8">
        <f>IFERROR(H132/H444, "NA")</f>
        <v>0.48364887775500393</v>
      </c>
      <c r="J132" s="9"/>
      <c r="K132" s="7">
        <v>3236.91</v>
      </c>
      <c r="L132" s="8">
        <f>IFERROR(K132/K444, "NA")</f>
        <v>3.5897564997248547E-2</v>
      </c>
      <c r="M132" s="9"/>
      <c r="N132" s="10">
        <f t="shared" si="29"/>
        <v>-1541.42</v>
      </c>
      <c r="O132" s="8">
        <f>IFERROR(N132/N444, "NA")</f>
        <v>1.1734943244539535</v>
      </c>
      <c r="P132" s="9"/>
      <c r="Q132" s="7">
        <v>32526.400000000001</v>
      </c>
      <c r="R132" s="8">
        <f>IFERROR(Q132/Q444, "NA")</f>
        <v>4.4342498577590678E-2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-32526.400000000001</v>
      </c>
      <c r="X132" s="8">
        <f>IFERROR(W132/W444, "NA")</f>
        <v>0.41698679147827256</v>
      </c>
      <c r="Y132" s="9"/>
      <c r="Z132" s="7">
        <v>24529.25</v>
      </c>
      <c r="AA132" s="8">
        <f>IFERROR(Z132/Z444, "NA")</f>
        <v>3.4716587503916527E-2</v>
      </c>
      <c r="AB132" s="9"/>
      <c r="AC132" s="10">
        <f t="shared" si="31"/>
        <v>-7997.1500000000015</v>
      </c>
      <c r="AD132" s="8">
        <f>IFERROR(AC132/AC444, "NA")</f>
        <v>-0.29652581491159097</v>
      </c>
    </row>
    <row r="133" spans="1:30" ht="16.5" customHeight="1" x14ac:dyDescent="0.45">
      <c r="A133" s="12" t="s">
        <v>125</v>
      </c>
      <c r="B133" s="7">
        <v>2074.91</v>
      </c>
      <c r="C133" s="8">
        <f>IFERROR(B133/B444, "NA")</f>
        <v>2.3351059525726723E-2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-2074.91</v>
      </c>
      <c r="I133" s="8">
        <f>IFERROR(H133/H444, "NA")</f>
        <v>0.21001644778460993</v>
      </c>
      <c r="J133" s="9"/>
      <c r="K133" s="7">
        <v>1993.39</v>
      </c>
      <c r="L133" s="8">
        <f>IFERROR(K133/K444, "NA")</f>
        <v>2.2106838648546082E-2</v>
      </c>
      <c r="M133" s="9"/>
      <c r="N133" s="10">
        <f t="shared" si="29"/>
        <v>-81.519999999999754</v>
      </c>
      <c r="O133" s="8">
        <f>IFERROR(N133/N444, "NA")</f>
        <v>6.206177247569513E-2</v>
      </c>
      <c r="P133" s="9"/>
      <c r="Q133" s="7">
        <v>17764.53</v>
      </c>
      <c r="R133" s="8">
        <f>IFERROR(Q133/Q444, "NA")</f>
        <v>2.4217978204060912E-2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-17764.53</v>
      </c>
      <c r="X133" s="8">
        <f>IFERROR(W133/W444, "NA")</f>
        <v>0.2277403698786068</v>
      </c>
      <c r="Y133" s="9"/>
      <c r="Z133" s="7">
        <v>14272.35</v>
      </c>
      <c r="AA133" s="8">
        <f>IFERROR(Z133/Z444, "NA")</f>
        <v>2.0199854771814182E-2</v>
      </c>
      <c r="AB133" s="9"/>
      <c r="AC133" s="10">
        <f t="shared" si="31"/>
        <v>-3492.1799999999985</v>
      </c>
      <c r="AD133" s="8">
        <f>IFERROR(AC133/AC444, "NA")</f>
        <v>-0.12948631954108142</v>
      </c>
    </row>
    <row r="134" spans="1:30" ht="16.5" customHeight="1" x14ac:dyDescent="0.45">
      <c r="A134" s="12" t="s">
        <v>126</v>
      </c>
      <c r="B134" s="7">
        <v>830.34</v>
      </c>
      <c r="C134" s="8">
        <f>IFERROR(B134/B444, "NA")</f>
        <v>9.3446553183472673E-3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-830.34</v>
      </c>
      <c r="I134" s="8">
        <f>IFERROR(H134/H444, "NA")</f>
        <v>8.4044636757002966E-2</v>
      </c>
      <c r="J134" s="9"/>
      <c r="K134" s="7">
        <v>1820.48</v>
      </c>
      <c r="L134" s="8">
        <f>IFERROR(K134/K444, "NA")</f>
        <v>2.0189254296903849E-2</v>
      </c>
      <c r="M134" s="9"/>
      <c r="N134" s="10">
        <f t="shared" si="29"/>
        <v>990.14</v>
      </c>
      <c r="O134" s="8">
        <f>IFERROR(N134/N444, "NA")</f>
        <v>-0.7538008267797468</v>
      </c>
      <c r="P134" s="9"/>
      <c r="Q134" s="7">
        <v>6527.89</v>
      </c>
      <c r="R134" s="8">
        <f>IFERROR(Q134/Q444, "NA")</f>
        <v>8.8993234123563754E-3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-6527.89</v>
      </c>
      <c r="X134" s="8">
        <f>IFERROR(W134/W444, "NA")</f>
        <v>8.3687217344160458E-2</v>
      </c>
      <c r="Y134" s="9"/>
      <c r="Z134" s="7">
        <v>7277.51</v>
      </c>
      <c r="AA134" s="8">
        <f>IFERROR(Z134/Z444, "NA")</f>
        <v>1.0299960770330425E-2</v>
      </c>
      <c r="AB134" s="9"/>
      <c r="AC134" s="10">
        <f t="shared" si="31"/>
        <v>749.61999999999989</v>
      </c>
      <c r="AD134" s="8">
        <f>IFERROR(AC134/AC444, "NA")</f>
        <v>2.7795112180467638E-2</v>
      </c>
    </row>
    <row r="135" spans="1:30" ht="16.5" customHeight="1" x14ac:dyDescent="0.45">
      <c r="A135" s="12" t="s">
        <v>127</v>
      </c>
      <c r="B135" s="7">
        <v>709.15</v>
      </c>
      <c r="C135" s="8">
        <f>IFERROR(B135/B444, "NA")</f>
        <v>7.9807817508562324E-3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-709.15</v>
      </c>
      <c r="I135" s="8">
        <f>IFERROR(H135/H444, "NA")</f>
        <v>7.1778132037753989E-2</v>
      </c>
      <c r="J135" s="9"/>
      <c r="K135" s="7">
        <v>696.43</v>
      </c>
      <c r="L135" s="8">
        <f>IFERROR(K135/K444, "NA")</f>
        <v>7.7234588515077054E-3</v>
      </c>
      <c r="M135" s="9"/>
      <c r="N135" s="10">
        <f t="shared" si="29"/>
        <v>-12.720000000000027</v>
      </c>
      <c r="O135" s="8">
        <f>IFERROR(N135/N444, "NA")</f>
        <v>9.6838290712812341E-3</v>
      </c>
      <c r="P135" s="9"/>
      <c r="Q135" s="7">
        <v>6018.77</v>
      </c>
      <c r="R135" s="8">
        <f>IFERROR(Q135/Q444, "NA")</f>
        <v>8.205251739013401E-3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-6018.77</v>
      </c>
      <c r="X135" s="8">
        <f>IFERROR(W135/W444, "NA")</f>
        <v>7.7160324872893482E-2</v>
      </c>
      <c r="Y135" s="9"/>
      <c r="Z135" s="7">
        <v>6230.24</v>
      </c>
      <c r="AA135" s="8">
        <f>IFERROR(Z135/Z444, "NA")</f>
        <v>8.8177450240182996E-3</v>
      </c>
      <c r="AB135" s="9"/>
      <c r="AC135" s="10">
        <f t="shared" si="31"/>
        <v>211.46999999999935</v>
      </c>
      <c r="AD135" s="8">
        <f>IFERROR(AC135/AC444, "NA")</f>
        <v>7.8410826456117421E-3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573.92999999999995</v>
      </c>
      <c r="L136" s="8">
        <f>IFERROR(K136/K444, "NA")</f>
        <v>6.3649250300041888E-3</v>
      </c>
      <c r="M136" s="9"/>
      <c r="N136" s="10">
        <f t="shared" si="29"/>
        <v>573.92999999999995</v>
      </c>
      <c r="O136" s="8">
        <f>IFERROR(N136/N444, "NA")</f>
        <v>-0.43693710840254918</v>
      </c>
      <c r="P136" s="9"/>
      <c r="Q136" s="7">
        <v>3954.02</v>
      </c>
      <c r="R136" s="8">
        <f>IFERROR(Q136/Q444, "NA")</f>
        <v>5.3904252000149143E-3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-3954.02</v>
      </c>
      <c r="X136" s="8">
        <f>IFERROR(W136/W444, "NA")</f>
        <v>5.0690335027575112E-2</v>
      </c>
      <c r="Y136" s="9"/>
      <c r="Z136" s="7">
        <v>5368</v>
      </c>
      <c r="AA136" s="8">
        <f>IFERROR(Z136/Z444, "NA")</f>
        <v>7.5974048012484646E-3</v>
      </c>
      <c r="AB136" s="9"/>
      <c r="AC136" s="10">
        <f t="shared" si="31"/>
        <v>1413.98</v>
      </c>
      <c r="AD136" s="8">
        <f>IFERROR(AC136/AC444, "NA")</f>
        <v>5.242887425754067E-2</v>
      </c>
    </row>
    <row r="137" spans="1:30" ht="16.5" customHeight="1" x14ac:dyDescent="0.45">
      <c r="A137" s="12" t="s">
        <v>129</v>
      </c>
      <c r="B137" s="7">
        <v>446.66</v>
      </c>
      <c r="C137" s="8">
        <f>IFERROR(B137/B444, "NA")</f>
        <v>5.0267164589120001E-3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-446.66</v>
      </c>
      <c r="I137" s="8">
        <f>IFERROR(H137/H444, "NA")</f>
        <v>4.5209645993066629E-2</v>
      </c>
      <c r="J137" s="9"/>
      <c r="K137" s="7">
        <v>523.28</v>
      </c>
      <c r="L137" s="8">
        <f>IFERROR(K137/K444, "NA")</f>
        <v>5.8032128825825308E-3</v>
      </c>
      <c r="M137" s="9"/>
      <c r="N137" s="10">
        <f t="shared" si="29"/>
        <v>76.619999999999948</v>
      </c>
      <c r="O137" s="8">
        <f>IFERROR(N137/N444, "NA")</f>
        <v>-5.833136662276462E-2</v>
      </c>
      <c r="P137" s="9"/>
      <c r="Q137" s="7">
        <v>4159.3999999999996</v>
      </c>
      <c r="R137" s="8">
        <f>IFERROR(Q137/Q444, "NA")</f>
        <v>5.6704150654124236E-3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-4159.3999999999996</v>
      </c>
      <c r="X137" s="8">
        <f>IFERROR(W137/W444, "NA")</f>
        <v>5.3323296167873686E-2</v>
      </c>
      <c r="Y137" s="9"/>
      <c r="Z137" s="7">
        <v>3426.02</v>
      </c>
      <c r="AA137" s="8">
        <f>IFERROR(Z137/Z444, "NA")</f>
        <v>4.8488935911276572E-3</v>
      </c>
      <c r="AB137" s="9"/>
      <c r="AC137" s="10">
        <f t="shared" si="31"/>
        <v>-733.37999999999965</v>
      </c>
      <c r="AD137" s="8">
        <f>IFERROR(AC137/AC444, "NA")</f>
        <v>-2.7192950256011511E-2</v>
      </c>
    </row>
    <row r="138" spans="1:30" ht="16.5" customHeight="1" x14ac:dyDescent="0.45">
      <c r="A138" s="12" t="s">
        <v>130</v>
      </c>
      <c r="B138" s="7">
        <v>5539.9</v>
      </c>
      <c r="C138" s="8">
        <f>IFERROR(B138/B444, "NA")</f>
        <v>6.234609436870682E-2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-5539.9</v>
      </c>
      <c r="I138" s="8">
        <f>IFERROR(H138/H444, "NA")</f>
        <v>0.56073281206508263</v>
      </c>
      <c r="J138" s="9"/>
      <c r="K138" s="7">
        <v>4274.63</v>
      </c>
      <c r="L138" s="8">
        <f>IFERROR(K138/K444, "NA")</f>
        <v>4.740595452582512E-2</v>
      </c>
      <c r="M138" s="9"/>
      <c r="N138" s="10">
        <f t="shared" si="29"/>
        <v>-1265.2699999999995</v>
      </c>
      <c r="O138" s="8">
        <f>IFERROR(N138/N444, "NA")</f>
        <v>0.96325930888521816</v>
      </c>
      <c r="P138" s="9"/>
      <c r="Q138" s="7">
        <v>42673.69</v>
      </c>
      <c r="R138" s="8">
        <f>IFERROR(Q138/Q444, "NA")</f>
        <v>5.8176067382973387E-2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-42673.69</v>
      </c>
      <c r="X138" s="8">
        <f>IFERROR(W138/W444, "NA")</f>
        <v>0.54707453249171267</v>
      </c>
      <c r="Y138" s="9"/>
      <c r="Z138" s="7">
        <v>32510.17</v>
      </c>
      <c r="AA138" s="8">
        <f>IFERROR(Z138/Z444, "NA")</f>
        <v>4.6012094196610245E-2</v>
      </c>
      <c r="AB138" s="9"/>
      <c r="AC138" s="10">
        <f t="shared" si="31"/>
        <v>-10163.520000000004</v>
      </c>
      <c r="AD138" s="8">
        <f>IFERROR(AC138/AC444, "NA")</f>
        <v>-0.37685251000297032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4.95</v>
      </c>
      <c r="C140" s="8">
        <f>IFERROR(B140/B444, "NA")</f>
        <v>5.5707353404411414E-5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-4.95</v>
      </c>
      <c r="I140" s="8">
        <f>IFERROR(H140/H444, "NA")</f>
        <v>5.0102482350261905E-4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-4.95</v>
      </c>
      <c r="O140" s="8">
        <f>IFERROR(N140/N444, "NA")</f>
        <v>3.768471218776887E-3</v>
      </c>
      <c r="P140" s="9"/>
      <c r="Q140" s="7">
        <v>87.4</v>
      </c>
      <c r="R140" s="8">
        <f>IFERROR(Q140/Q444, "NA")</f>
        <v>1.1915042475286E-4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-87.4</v>
      </c>
      <c r="X140" s="8">
        <f>IFERROR(W140/W444, "NA")</f>
        <v>1.1204635488465068E-3</v>
      </c>
      <c r="Y140" s="9"/>
      <c r="Z140" s="7">
        <v>133.65</v>
      </c>
      <c r="AA140" s="8">
        <f>IFERROR(Z140/Z444, "NA")</f>
        <v>1.891566974081329E-4</v>
      </c>
      <c r="AB140" s="9"/>
      <c r="AC140" s="10">
        <f t="shared" si="31"/>
        <v>46.25</v>
      </c>
      <c r="AD140" s="8">
        <f>IFERROR(AC140/AC444, "NA")</f>
        <v>1.7149008008679443E-3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20006.71</v>
      </c>
      <c r="C141" s="15">
        <f>IFERROR(B141/B444, "NA")</f>
        <v>0.22515573018779228</v>
      </c>
      <c r="D141" s="2"/>
      <c r="E141" s="14">
        <f>IFERROR(E129+E130+E131+E132+E133+E134+E135+E136+E137+E138+E139+E140, "NA")</f>
        <v>21820.87</v>
      </c>
      <c r="F141" s="15">
        <f>IFERROR(E141/E444, "NA")</f>
        <v>0.22100001863537219</v>
      </c>
      <c r="G141" s="2"/>
      <c r="H141" s="14">
        <f t="shared" si="28"/>
        <v>1814.1599999999999</v>
      </c>
      <c r="I141" s="15">
        <f>IFERROR(H141/H444, "NA")</f>
        <v>-0.18362407955666893</v>
      </c>
      <c r="J141" s="2"/>
      <c r="K141" s="14">
        <f>IFERROR(K129+K130+K131+K132+K133+K134+K135+K136+K137+K138+K139+K140, "NA")</f>
        <v>21048.22</v>
      </c>
      <c r="L141" s="15">
        <f>IFERROR(K141/K444, "NA")</f>
        <v>0.23342627553017753</v>
      </c>
      <c r="M141" s="2"/>
      <c r="N141" s="14">
        <f t="shared" si="29"/>
        <v>1041.510000000002</v>
      </c>
      <c r="O141" s="15">
        <f>IFERROR(N141/N444, "NA")</f>
        <v>-0.79290918365016627</v>
      </c>
      <c r="P141" s="2"/>
      <c r="Q141" s="14">
        <f>IFERROR(Q129+Q130+Q131+Q132+Q133+Q134+Q135+Q136+Q137+Q138+Q139+Q140, "NA")</f>
        <v>172086.43999999997</v>
      </c>
      <c r="R141" s="15">
        <f>IFERROR(Q141/Q444, "NA")</f>
        <v>0.23460151510534957</v>
      </c>
      <c r="S141" s="2"/>
      <c r="T141" s="14">
        <f>IFERROR(T129+T130+T131+T132+T133+T134+T135+T136+T137+T138+T139+T140, "NA")</f>
        <v>182704.93</v>
      </c>
      <c r="U141" s="15">
        <f>IFERROR(T141/T444, "NA")</f>
        <v>0.22513638990884846</v>
      </c>
      <c r="V141" s="2"/>
      <c r="W141" s="14">
        <f t="shared" si="30"/>
        <v>10618.49000000002</v>
      </c>
      <c r="X141" s="15">
        <f>IFERROR(W141/W444, "NA")</f>
        <v>-0.13612850101591722</v>
      </c>
      <c r="Y141" s="2"/>
      <c r="Z141" s="14">
        <f>IFERROR(Z129+Z130+Z131+Z132+Z133+Z134+Z135+Z136+Z137+Z138+Z139+Z140, "NA")</f>
        <v>156733.9</v>
      </c>
      <c r="AA141" s="15">
        <f>IFERROR(Z141/Z444, "NA")</f>
        <v>0.22182766102429149</v>
      </c>
      <c r="AB141" s="2"/>
      <c r="AC141" s="14">
        <f t="shared" si="31"/>
        <v>-15352.539999999979</v>
      </c>
      <c r="AD141" s="15">
        <f>IFERROR(AC141/AC444, "NA")</f>
        <v>-0.56925585170501869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1282.8699999999999</v>
      </c>
      <c r="C144" s="8">
        <f>IFERROR(B144/B444, "NA")</f>
        <v>1.4437432820589345E-2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-1282.8699999999999</v>
      </c>
      <c r="I144" s="8">
        <f>IFERROR(H144/H444, "NA")</f>
        <v>0.12984842733874843</v>
      </c>
      <c r="J144" s="9"/>
      <c r="K144" s="7">
        <v>1108.79</v>
      </c>
      <c r="L144" s="8">
        <f>IFERROR(K144/K444, "NA")</f>
        <v>1.2296560946488849E-2</v>
      </c>
      <c r="M144" s="9"/>
      <c r="N144" s="10">
        <f t="shared" si="33"/>
        <v>-174.07999999999993</v>
      </c>
      <c r="O144" s="8">
        <f>IFERROR(N144/N444, "NA")</f>
        <v>0.13252837773023843</v>
      </c>
      <c r="P144" s="9"/>
      <c r="Q144" s="7">
        <v>10884.55</v>
      </c>
      <c r="R144" s="8">
        <f>IFERROR(Q144/Q444, "NA")</f>
        <v>1.4838658532537095E-2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-10884.55</v>
      </c>
      <c r="X144" s="8">
        <f>IFERROR(W144/W444, "NA")</f>
        <v>0.13953937666587238</v>
      </c>
      <c r="Y144" s="9"/>
      <c r="Z144" s="7">
        <v>8303.4599999999991</v>
      </c>
      <c r="AA144" s="8">
        <f>IFERROR(Z144/Z444, "NA")</f>
        <v>1.1752002025144294E-2</v>
      </c>
      <c r="AB144" s="9"/>
      <c r="AC144" s="10">
        <f t="shared" si="35"/>
        <v>-2581.09</v>
      </c>
      <c r="AD144" s="8">
        <f>IFERROR(AC144/AC444, "NA")</f>
        <v>-9.57040715267512E-2</v>
      </c>
    </row>
    <row r="145" spans="1:30" ht="16.5" customHeight="1" x14ac:dyDescent="0.45">
      <c r="A145" s="12" t="s">
        <v>136</v>
      </c>
      <c r="B145" s="7">
        <v>45.28</v>
      </c>
      <c r="C145" s="8">
        <f>IFERROR(B145/B444, "NA")</f>
        <v>5.0958160851550475E-4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-45.28</v>
      </c>
      <c r="I145" s="8">
        <f>IFERROR(H145/H444, "NA")</f>
        <v>4.5831119208481997E-3</v>
      </c>
      <c r="J145" s="9"/>
      <c r="K145" s="7">
        <v>30.74</v>
      </c>
      <c r="L145" s="8">
        <f>IFERROR(K145/K444, "NA")</f>
        <v>3.4090881365729059E-4</v>
      </c>
      <c r="M145" s="9"/>
      <c r="N145" s="10">
        <f t="shared" si="33"/>
        <v>-14.540000000000003</v>
      </c>
      <c r="O145" s="8">
        <f>IFERROR(N145/N444, "NA")</f>
        <v>1.106940838808403E-2</v>
      </c>
      <c r="P145" s="9"/>
      <c r="Q145" s="7">
        <v>445.36</v>
      </c>
      <c r="R145" s="8">
        <f>IFERROR(Q145/Q444, "NA")</f>
        <v>6.0714912091457357E-4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-445.36</v>
      </c>
      <c r="X145" s="8">
        <f>IFERROR(W145/W444, "NA")</f>
        <v>5.7094925184700265E-3</v>
      </c>
      <c r="Y145" s="9"/>
      <c r="Z145" s="7">
        <v>337.89</v>
      </c>
      <c r="AA145" s="8">
        <f>IFERROR(Z145/Z444, "NA")</f>
        <v>4.7822040020377118E-4</v>
      </c>
      <c r="AB145" s="9"/>
      <c r="AC145" s="10">
        <f t="shared" si="35"/>
        <v>-107.47000000000003</v>
      </c>
      <c r="AD145" s="8">
        <f>IFERROR(AC145/AC444, "NA")</f>
        <v>-3.9848732771735791E-3</v>
      </c>
    </row>
    <row r="146" spans="1:30" ht="16.5" customHeight="1" x14ac:dyDescent="0.45">
      <c r="A146" s="12" t="s">
        <v>137</v>
      </c>
      <c r="B146" s="7">
        <v>209.11</v>
      </c>
      <c r="C146" s="8">
        <f>IFERROR(B146/B444, "NA")</f>
        <v>2.3533261960396912E-3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-209.11</v>
      </c>
      <c r="I146" s="8">
        <f>IFERROR(H146/H444, "NA")</f>
        <v>2.1165515321743971E-2</v>
      </c>
      <c r="J146" s="9"/>
      <c r="K146" s="7">
        <v>1288.5</v>
      </c>
      <c r="L146" s="8">
        <f>IFERROR(K146/K444, "NA")</f>
        <v>1.4289557787814539E-2</v>
      </c>
      <c r="M146" s="9"/>
      <c r="N146" s="10">
        <f t="shared" si="33"/>
        <v>1079.3899999999999</v>
      </c>
      <c r="O146" s="8">
        <f>IFERROR(N146/N444, "NA")</f>
        <v>-0.82174750481526937</v>
      </c>
      <c r="P146" s="9"/>
      <c r="Q146" s="7">
        <v>196.76</v>
      </c>
      <c r="R146" s="8">
        <f>IFERROR(Q146/Q444, "NA")</f>
        <v>2.6823841618275434E-4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-196.76</v>
      </c>
      <c r="X146" s="8">
        <f>IFERROR(W146/W444, "NA")</f>
        <v>2.5224531793025017E-3</v>
      </c>
      <c r="Y146" s="9"/>
      <c r="Z146" s="7">
        <v>3702.45</v>
      </c>
      <c r="AA146" s="8">
        <f>IFERROR(Z146/Z444, "NA")</f>
        <v>5.2401288014870297E-3</v>
      </c>
      <c r="AB146" s="9"/>
      <c r="AC146" s="10">
        <f t="shared" si="35"/>
        <v>3505.6899999999996</v>
      </c>
      <c r="AD146" s="8">
        <f>IFERROR(AC146/AC444, "NA")</f>
        <v>0.12998725596961608</v>
      </c>
    </row>
    <row r="147" spans="1:30" ht="16.5" customHeight="1" x14ac:dyDescent="0.45">
      <c r="A147" s="12" t="s">
        <v>138</v>
      </c>
      <c r="B147" s="7">
        <v>7.01</v>
      </c>
      <c r="C147" s="8">
        <f>IFERROR(B147/B444, "NA")</f>
        <v>7.8890615629277576E-5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-7.01</v>
      </c>
      <c r="I147" s="8">
        <f>IFERROR(H147/H444, "NA")</f>
        <v>7.0953212378855734E-4</v>
      </c>
      <c r="J147" s="9"/>
      <c r="K147" s="7">
        <v>14.61</v>
      </c>
      <c r="L147" s="8">
        <f>IFERROR(K147/K444, "NA")</f>
        <v>1.6202595209931735E-4</v>
      </c>
      <c r="M147" s="9"/>
      <c r="N147" s="10">
        <f t="shared" si="33"/>
        <v>7.6</v>
      </c>
      <c r="O147" s="8">
        <f>IFERROR(N147/N444, "NA")</f>
        <v>-5.785935608627139E-3</v>
      </c>
      <c r="P147" s="9"/>
      <c r="Q147" s="7">
        <v>68.97</v>
      </c>
      <c r="R147" s="8">
        <f>IFERROR(Q147/Q444, "NA")</f>
        <v>9.4025226489756903E-5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-68.97</v>
      </c>
      <c r="X147" s="8">
        <f>IFERROR(W147/W444, "NA")</f>
        <v>8.8419188745930861E-4</v>
      </c>
      <c r="Y147" s="9"/>
      <c r="Z147" s="7">
        <v>-150.24</v>
      </c>
      <c r="AA147" s="8">
        <f>IFERROR(Z147/Z444, "NA")</f>
        <v>-2.1263675434790786E-4</v>
      </c>
      <c r="AB147" s="9"/>
      <c r="AC147" s="10">
        <f t="shared" si="35"/>
        <v>-219.21</v>
      </c>
      <c r="AD147" s="8">
        <f>IFERROR(AC147/AC444, "NA")</f>
        <v>-8.128073612070531E-3</v>
      </c>
    </row>
    <row r="148" spans="1:30" ht="16.5" customHeight="1" x14ac:dyDescent="0.45">
      <c r="A148" s="13" t="s">
        <v>139</v>
      </c>
      <c r="B148" s="14">
        <f>IFERROR(B143+B144+B145+B146+B147, "NA")</f>
        <v>1544.2699999999998</v>
      </c>
      <c r="C148" s="15">
        <f>IFERROR(B148/B444, "NA")</f>
        <v>1.7379231240773816E-2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-1544.2699999999998</v>
      </c>
      <c r="I148" s="15">
        <f>IFERROR(H148/H444, "NA")</f>
        <v>0.15630658670512915</v>
      </c>
      <c r="J148" s="2"/>
      <c r="K148" s="14">
        <f>IFERROR(K143+K144+K145+K146+K147, "NA")</f>
        <v>2442.64</v>
      </c>
      <c r="L148" s="15">
        <f>IFERROR(K148/K444, "NA")</f>
        <v>2.7089053500059995E-2</v>
      </c>
      <c r="M148" s="2"/>
      <c r="N148" s="14">
        <f t="shared" si="33"/>
        <v>898.37000000000012</v>
      </c>
      <c r="O148" s="15">
        <f>IFERROR(N148/N444, "NA")</f>
        <v>-0.68393565430557424</v>
      </c>
      <c r="P148" s="2"/>
      <c r="Q148" s="14">
        <f>IFERROR(Q143+Q144+Q145+Q146+Q147, "NA")</f>
        <v>11595.64</v>
      </c>
      <c r="R148" s="15">
        <f>IFERROR(Q148/Q444, "NA")</f>
        <v>1.5808071296124181E-2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-11595.64</v>
      </c>
      <c r="X148" s="15">
        <f>IFERROR(W148/W444, "NA")</f>
        <v>0.14865551425110421</v>
      </c>
      <c r="Y148" s="2"/>
      <c r="Z148" s="14">
        <f>IFERROR(Z143+Z144+Z145+Z146+Z147, "NA")</f>
        <v>12193.56</v>
      </c>
      <c r="AA148" s="15">
        <f>IFERROR(Z148/Z444, "NA")</f>
        <v>1.7257714472487189E-2</v>
      </c>
      <c r="AB148" s="2"/>
      <c r="AC148" s="14">
        <f t="shared" si="35"/>
        <v>597.92000000000007</v>
      </c>
      <c r="AD148" s="15">
        <f>IFERROR(AC148/AC444, "NA")</f>
        <v>2.2170237553620787E-2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21550.979999999996</v>
      </c>
      <c r="C149" s="15">
        <f>IFERROR(B149/B444, "NA")</f>
        <v>0.24253496142856606</v>
      </c>
      <c r="D149" s="2"/>
      <c r="E149" s="14">
        <f>IFERROR(E127+E129+E130+E131+E132+E133+E134+E135+E136+E137+E138+E139+E140+E143+E144+E145+E146+E147, "NA")</f>
        <v>21820.87</v>
      </c>
      <c r="F149" s="15">
        <f>IFERROR(E149/E444, "NA")</f>
        <v>0.22100001863537219</v>
      </c>
      <c r="G149" s="2"/>
      <c r="H149" s="14">
        <f t="shared" si="32"/>
        <v>269.89000000000306</v>
      </c>
      <c r="I149" s="15">
        <f>IFERROR(H149/H444, "NA")</f>
        <v>-2.7317492851540073E-2</v>
      </c>
      <c r="J149" s="2"/>
      <c r="K149" s="14">
        <f>IFERROR(K127+K129+K130+K131+K132+K133+K134+K135+K136+K137+K138+K139+K140+K143+K144+K145+K146+K147, "NA")</f>
        <v>23490.860000000004</v>
      </c>
      <c r="L149" s="15">
        <f>IFERROR(K149/K444, "NA")</f>
        <v>0.26051532903023755</v>
      </c>
      <c r="M149" s="2"/>
      <c r="N149" s="14">
        <f t="shared" si="33"/>
        <v>1939.8800000000083</v>
      </c>
      <c r="O149" s="15">
        <f>IFERROR(N149/N444, "NA")</f>
        <v>-1.4768448379557453</v>
      </c>
      <c r="P149" s="2"/>
      <c r="Q149" s="14">
        <f>IFERROR(Q127+Q129+Q130+Q131+Q132+Q133+Q134+Q135+Q136+Q137+Q138+Q139+Q140+Q143+Q144+Q145+Q146+Q147, "NA")</f>
        <v>183682.07999999996</v>
      </c>
      <c r="R149" s="15">
        <f>IFERROR(Q149/Q444, "NA")</f>
        <v>0.25040958640147376</v>
      </c>
      <c r="S149" s="2"/>
      <c r="T149" s="14">
        <f>IFERROR(T127+T129+T130+T131+T132+T133+T134+T135+T136+T137+T138+T139+T140+T143+T144+T145+T146+T147, "NA")</f>
        <v>182704.93</v>
      </c>
      <c r="U149" s="15">
        <f>IFERROR(T149/T444, "NA")</f>
        <v>0.22513638990884846</v>
      </c>
      <c r="V149" s="2"/>
      <c r="W149" s="14">
        <f t="shared" si="34"/>
        <v>-977.14999999996508</v>
      </c>
      <c r="X149" s="15">
        <f>IFERROR(W149/W444, "NA")</f>
        <v>1.2527013235186785E-2</v>
      </c>
      <c r="Y149" s="2"/>
      <c r="Z149" s="14">
        <f>IFERROR(Z127+Z129+Z130+Z131+Z132+Z133+Z134+Z135+Z136+Z137+Z138+Z139+Z140+Z143+Z144+Z145+Z146+Z147, "NA")</f>
        <v>168927.46000000002</v>
      </c>
      <c r="AA149" s="15">
        <f>IFERROR(Z149/Z444, "NA")</f>
        <v>0.23908537549677872</v>
      </c>
      <c r="AB149" s="2"/>
      <c r="AC149" s="14">
        <f t="shared" si="35"/>
        <v>-14754.619999999937</v>
      </c>
      <c r="AD149" s="15">
        <f>IFERROR(AC149/AC444, "NA")</f>
        <v>-0.54708561415139634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1777.27</v>
      </c>
      <c r="F153" s="8">
        <f>IFERROR(E153/E444, "NA")</f>
        <v>1.8000047803780873E-2</v>
      </c>
      <c r="G153" s="9"/>
      <c r="H153" s="10">
        <f t="shared" ref="H153:H158" si="36">IFERROR(-(B153-E153), "NA")</f>
        <v>1777.27</v>
      </c>
      <c r="I153" s="8">
        <f>IFERROR(H153/H444, "NA")</f>
        <v>-0.17989017940737367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15756.28</v>
      </c>
      <c r="U153" s="8">
        <f>IFERROR(T153/T444, "NA")</f>
        <v>1.9415524242246726E-2</v>
      </c>
      <c r="V153" s="9"/>
      <c r="W153" s="10">
        <f t="shared" ref="W153:W158" si="38">IFERROR(-(Q153-T153), "NA")</f>
        <v>15756.28</v>
      </c>
      <c r="X153" s="8">
        <f>IFERROR(W153/W444, "NA")</f>
        <v>-0.20199470715582654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2843.91</v>
      </c>
      <c r="C154" s="8">
        <f>IFERROR(B154/B444, "NA")</f>
        <v>3.200539382229084E-2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-2843.91</v>
      </c>
      <c r="I154" s="8">
        <f>IFERROR(H154/H444, "NA")</f>
        <v>0.28785242541562284</v>
      </c>
      <c r="J154" s="9"/>
      <c r="K154" s="7">
        <v>2927.73</v>
      </c>
      <c r="L154" s="8">
        <f>IFERROR(K154/K444, "NA")</f>
        <v>3.2468736532493797E-2</v>
      </c>
      <c r="M154" s="9"/>
      <c r="N154" s="10">
        <f t="shared" si="37"/>
        <v>83.820000000000164</v>
      </c>
      <c r="O154" s="8">
        <f>IFERROR(N154/N444, "NA")</f>
        <v>-6.3812779304622078E-2</v>
      </c>
      <c r="P154" s="9"/>
      <c r="Q154" s="7">
        <v>25260.95</v>
      </c>
      <c r="R154" s="8">
        <f>IFERROR(Q154/Q444, "NA")</f>
        <v>3.4437676454928588E-2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-25260.95</v>
      </c>
      <c r="X154" s="8">
        <f>IFERROR(W154/W444, "NA")</f>
        <v>0.32384409249695845</v>
      </c>
      <c r="Y154" s="9"/>
      <c r="Z154" s="7">
        <v>24330.13</v>
      </c>
      <c r="AA154" s="8">
        <f>IFERROR(Z154/Z444, "NA")</f>
        <v>3.4434770208084824E-2</v>
      </c>
      <c r="AB154" s="9"/>
      <c r="AC154" s="10">
        <f t="shared" si="39"/>
        <v>-930.81999999999971</v>
      </c>
      <c r="AD154" s="8">
        <f>IFERROR(AC154/AC444, "NA")</f>
        <v>-3.4513815426246472E-2</v>
      </c>
    </row>
    <row r="155" spans="1:30" ht="16.5" customHeight="1" x14ac:dyDescent="0.45">
      <c r="A155" s="12" t="s">
        <v>144</v>
      </c>
      <c r="B155" s="7">
        <v>1103.8599999999999</v>
      </c>
      <c r="C155" s="8">
        <f>IFERROR(B155/B444, "NA")</f>
        <v>1.2422852349291632E-2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-1103.8599999999999</v>
      </c>
      <c r="I155" s="8">
        <f>IFERROR(H155/H444, "NA")</f>
        <v>0.11172954781244464</v>
      </c>
      <c r="J155" s="9"/>
      <c r="K155" s="7">
        <v>603.58000000000004</v>
      </c>
      <c r="L155" s="8">
        <f>IFERROR(K155/K444, "NA")</f>
        <v>6.6937456651681021E-3</v>
      </c>
      <c r="M155" s="9"/>
      <c r="N155" s="10">
        <f t="shared" si="37"/>
        <v>-500.27999999999986</v>
      </c>
      <c r="O155" s="8">
        <f>IFERROR(N155/N444, "NA")</f>
        <v>0.38086682451105058</v>
      </c>
      <c r="P155" s="9"/>
      <c r="Q155" s="7">
        <v>5848.23</v>
      </c>
      <c r="R155" s="8">
        <f>IFERROR(Q155/Q444, "NA")</f>
        <v>7.9727584502565021E-3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-5848.23</v>
      </c>
      <c r="X155" s="8">
        <f>IFERROR(W155/W444, "NA")</f>
        <v>7.4974010758244919E-2</v>
      </c>
      <c r="Y155" s="9"/>
      <c r="Z155" s="7">
        <v>6430.32</v>
      </c>
      <c r="AA155" s="8">
        <f>IFERROR(Z155/Z444, "NA")</f>
        <v>9.1009210211557418E-3</v>
      </c>
      <c r="AB155" s="9"/>
      <c r="AC155" s="10">
        <f t="shared" si="39"/>
        <v>582.09000000000015</v>
      </c>
      <c r="AD155" s="8">
        <f>IFERROR(AC155/AC444, "NA")</f>
        <v>2.1583277993021014E-2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1.8544857509455781E-4</v>
      </c>
      <c r="AB156" s="9"/>
      <c r="AC156" s="10">
        <f t="shared" si="39"/>
        <v>131.03</v>
      </c>
      <c r="AD156" s="8">
        <f>IFERROR(AC156/AC444, "NA")</f>
        <v>4.8584530148697673E-3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3947.7699999999995</v>
      </c>
      <c r="C158" s="15">
        <f>IFERROR(B158/B444, "NA")</f>
        <v>4.4428246171582468E-2</v>
      </c>
      <c r="D158" s="2"/>
      <c r="E158" s="14">
        <f>IFERROR(E153+E154+E155+E156+E157, "NA")</f>
        <v>1777.27</v>
      </c>
      <c r="F158" s="15">
        <f>IFERROR(E158/E444, "NA")</f>
        <v>1.8000047803780873E-2</v>
      </c>
      <c r="G158" s="2"/>
      <c r="H158" s="14">
        <f t="shared" si="36"/>
        <v>-2170.4999999999995</v>
      </c>
      <c r="I158" s="15">
        <f>IFERROR(H158/H444, "NA")</f>
        <v>0.21969179382069379</v>
      </c>
      <c r="J158" s="2"/>
      <c r="K158" s="14">
        <f>IFERROR(K153+K154+K155+K156+K157, "NA")</f>
        <v>3531.31</v>
      </c>
      <c r="L158" s="15">
        <f>IFERROR(K158/K444, "NA")</f>
        <v>3.9162482197661899E-2</v>
      </c>
      <c r="M158" s="2"/>
      <c r="N158" s="14">
        <f t="shared" si="37"/>
        <v>-416.45999999999958</v>
      </c>
      <c r="O158" s="15">
        <f>IFERROR(N158/N444, "NA")</f>
        <v>0.31705404520642844</v>
      </c>
      <c r="P158" s="2"/>
      <c r="Q158" s="14">
        <f>IFERROR(Q153+Q154+Q155+Q156+Q157, "NA")</f>
        <v>31109.18</v>
      </c>
      <c r="R158" s="15">
        <f>IFERROR(Q158/Q444, "NA")</f>
        <v>4.241043490518509E-2</v>
      </c>
      <c r="S158" s="2"/>
      <c r="T158" s="14">
        <f>IFERROR(T153+T154+T155+T156+T157, "NA")</f>
        <v>15756.28</v>
      </c>
      <c r="U158" s="15">
        <f>IFERROR(T158/T444, "NA")</f>
        <v>1.9415524242246726E-2</v>
      </c>
      <c r="V158" s="2"/>
      <c r="W158" s="14">
        <f t="shared" si="38"/>
        <v>-15352.9</v>
      </c>
      <c r="X158" s="15">
        <f>IFERROR(W158/W444, "NA")</f>
        <v>0.19682339609937682</v>
      </c>
      <c r="Y158" s="2"/>
      <c r="Z158" s="14">
        <f>IFERROR(Z153+Z154+Z155+Z156+Z157, "NA")</f>
        <v>30891.48</v>
      </c>
      <c r="AA158" s="15">
        <f>IFERROR(Z158/Z444, "NA")</f>
        <v>4.3721139804335118E-2</v>
      </c>
      <c r="AB158" s="2"/>
      <c r="AC158" s="14">
        <f t="shared" si="39"/>
        <v>-217.70000000000073</v>
      </c>
      <c r="AD158" s="15">
        <f>IFERROR(AC158/AC444, "NA")</f>
        <v>-8.0720844183557339E-3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253.52</v>
      </c>
      <c r="C161" s="8">
        <f>IFERROR(B161/B444, "NA")</f>
        <v>2.8531168151689659E-3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-253.52</v>
      </c>
      <c r="I161" s="8">
        <f>IFERROR(H161/H444, "NA")</f>
        <v>2.5660568334218984E-2</v>
      </c>
      <c r="J161" s="9"/>
      <c r="K161" s="7">
        <v>355.01</v>
      </c>
      <c r="L161" s="8">
        <f>IFERROR(K161/K444, "NA")</f>
        <v>3.9370864650772521E-3</v>
      </c>
      <c r="M161" s="9"/>
      <c r="N161" s="10">
        <f t="shared" si="41"/>
        <v>101.48999999999998</v>
      </c>
      <c r="O161" s="8">
        <f>IFERROR(N161/N444, "NA")</f>
        <v>-7.7265079594680042E-2</v>
      </c>
      <c r="P161" s="9"/>
      <c r="Q161" s="7">
        <v>2398.96</v>
      </c>
      <c r="R161" s="8">
        <f>IFERROR(Q161/Q444, "NA")</f>
        <v>3.2704474023469224E-3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-2398.96</v>
      </c>
      <c r="X161" s="8">
        <f>IFERROR(W161/W444, "NA")</f>
        <v>3.0754545024494463E-2</v>
      </c>
      <c r="Y161" s="9"/>
      <c r="Z161" s="7">
        <v>3185.98</v>
      </c>
      <c r="AA161" s="8">
        <f>IFERROR(Z161/Z444, "NA")</f>
        <v>4.5091616521388943E-3</v>
      </c>
      <c r="AB161" s="9"/>
      <c r="AC161" s="10">
        <f t="shared" si="43"/>
        <v>787.02</v>
      </c>
      <c r="AD161" s="8">
        <f>IFERROR(AC161/AC444, "NA")</f>
        <v>2.9181864395655989E-2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3.8496536995893863E-6</v>
      </c>
      <c r="AB162" s="9"/>
      <c r="AC162" s="10">
        <f t="shared" si="43"/>
        <v>2.72</v>
      </c>
      <c r="AD162" s="8">
        <f>IFERROR(AC162/AC444, "NA")</f>
        <v>1.0085470655915262E-4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253.52</v>
      </c>
      <c r="C166" s="15">
        <f>IFERROR(B166/B444, "NA")</f>
        <v>2.8531168151689659E-3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-253.52</v>
      </c>
      <c r="I166" s="15">
        <f>IFERROR(H166/H444, "NA")</f>
        <v>2.5660568334218984E-2</v>
      </c>
      <c r="J166" s="2"/>
      <c r="K166" s="14">
        <f>IFERROR(K160+K161+K162+K163+K164+K165, "NA")</f>
        <v>355.01</v>
      </c>
      <c r="L166" s="15">
        <f>IFERROR(K166/K444, "NA")</f>
        <v>3.9370864650772521E-3</v>
      </c>
      <c r="M166" s="2"/>
      <c r="N166" s="14">
        <f t="shared" si="41"/>
        <v>101.48999999999998</v>
      </c>
      <c r="O166" s="15">
        <f>IFERROR(N166/N444, "NA")</f>
        <v>-7.7265079594680042E-2</v>
      </c>
      <c r="P166" s="2"/>
      <c r="Q166" s="14">
        <f>IFERROR(Q160+Q161+Q162+Q163+Q164+Q165, "NA")</f>
        <v>2398.96</v>
      </c>
      <c r="R166" s="15">
        <f>IFERROR(Q166/Q444, "NA")</f>
        <v>3.2704474023469224E-3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-2398.96</v>
      </c>
      <c r="X166" s="15">
        <f>IFERROR(W166/W444, "NA")</f>
        <v>3.0754545024494463E-2</v>
      </c>
      <c r="Y166" s="2"/>
      <c r="Z166" s="14">
        <f>IFERROR(Z160+Z161+Z162+Z163+Z164+Z165, "NA")</f>
        <v>3188.7</v>
      </c>
      <c r="AA166" s="15">
        <f>IFERROR(Z166/Z444, "NA")</f>
        <v>4.5130113058384829E-3</v>
      </c>
      <c r="AB166" s="2"/>
      <c r="AC166" s="14">
        <f t="shared" si="43"/>
        <v>789.73999999999978</v>
      </c>
      <c r="AD166" s="15">
        <f>IFERROR(AC166/AC444, "NA")</f>
        <v>2.9282719102215134E-2</v>
      </c>
    </row>
    <row r="167" spans="1:30" ht="16.5" customHeight="1" x14ac:dyDescent="0.45">
      <c r="A167" s="6" t="s">
        <v>155</v>
      </c>
      <c r="B167" s="7">
        <v>305.97000000000003</v>
      </c>
      <c r="C167" s="8">
        <f>IFERROR(B167/B444, "NA")</f>
        <v>3.4433896810399517E-3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-305.97000000000003</v>
      </c>
      <c r="I167" s="8">
        <f>IFERROR(H167/H444, "NA")</f>
        <v>3.0969407120625524E-2</v>
      </c>
      <c r="J167" s="9"/>
      <c r="K167" s="7">
        <v>355.09</v>
      </c>
      <c r="L167" s="8">
        <f>IFERROR(K167/K444, "NA")</f>
        <v>3.9379736708382339E-3</v>
      </c>
      <c r="M167" s="9"/>
      <c r="N167" s="10">
        <f t="shared" si="41"/>
        <v>49.119999999999948</v>
      </c>
      <c r="O167" s="8">
        <f>IFERROR(N167/N444, "NA")</f>
        <v>-3.7395415407337471E-2</v>
      </c>
      <c r="P167" s="9"/>
      <c r="Q167" s="7">
        <v>2524.14</v>
      </c>
      <c r="R167" s="8">
        <f>IFERROR(Q167/Q444, "NA")</f>
        <v>3.4411024386233869E-3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-2524.14</v>
      </c>
      <c r="X167" s="8">
        <f>IFERROR(W167/W444, "NA")</f>
        <v>3.2359346249261116E-2</v>
      </c>
      <c r="Y167" s="9"/>
      <c r="Z167" s="7">
        <v>2749.15</v>
      </c>
      <c r="AA167" s="8">
        <f>IFERROR(Z167/Z444, "NA")</f>
        <v>3.8909100986125591E-3</v>
      </c>
      <c r="AB167" s="9"/>
      <c r="AC167" s="10">
        <f t="shared" si="43"/>
        <v>225.01000000000022</v>
      </c>
      <c r="AD167" s="8">
        <f>IFERROR(AC167/AC444, "NA")</f>
        <v>8.3431314422334393E-3</v>
      </c>
    </row>
    <row r="168" spans="1:30" ht="16.5" customHeight="1" x14ac:dyDescent="0.45">
      <c r="A168" s="6" t="s">
        <v>156</v>
      </c>
      <c r="B168" s="7">
        <v>33.619999999999997</v>
      </c>
      <c r="C168" s="8">
        <f>IFERROR(B168/B444, "NA")</f>
        <v>3.7835984271844677E-4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-33.619999999999997</v>
      </c>
      <c r="I168" s="8">
        <f>IFERROR(H168/H444, "NA")</f>
        <v>3.4029201143753636E-3</v>
      </c>
      <c r="J168" s="9"/>
      <c r="K168" s="7">
        <v>47.4</v>
      </c>
      <c r="L168" s="8">
        <f>IFERROR(K168/K444, "NA")</f>
        <v>5.256694133817688E-4</v>
      </c>
      <c r="M168" s="9"/>
      <c r="N168" s="10">
        <f t="shared" si="41"/>
        <v>13.780000000000001</v>
      </c>
      <c r="O168" s="8">
        <f>IFERROR(N168/N444, "NA")</f>
        <v>-1.0490814827221315E-2</v>
      </c>
      <c r="P168" s="9"/>
      <c r="Q168" s="7">
        <v>278.64</v>
      </c>
      <c r="R168" s="8">
        <f>IFERROR(Q168/Q444, "NA")</f>
        <v>3.7986355095122321E-4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-278.64</v>
      </c>
      <c r="X168" s="8">
        <f>IFERROR(W168/W444, "NA")</f>
        <v>3.5721506092744925E-3</v>
      </c>
      <c r="Y168" s="9"/>
      <c r="Z168" s="7">
        <v>312.60000000000002</v>
      </c>
      <c r="AA168" s="8">
        <f>IFERROR(Z168/Z444, "NA")</f>
        <v>4.4242711268075081E-4</v>
      </c>
      <c r="AB168" s="9"/>
      <c r="AC168" s="10">
        <f t="shared" si="43"/>
        <v>33.960000000000036</v>
      </c>
      <c r="AD168" s="8">
        <f>IFERROR(AC168/AC444, "NA")</f>
        <v>1.2592006745400098E-3</v>
      </c>
    </row>
    <row r="169" spans="1:30" ht="16.5" customHeight="1" x14ac:dyDescent="0.45">
      <c r="A169" s="6" t="s">
        <v>157</v>
      </c>
      <c r="B169" s="7">
        <v>-1403.83</v>
      </c>
      <c r="C169" s="8">
        <f>IFERROR(B169/B444, "NA")</f>
        <v>-1.5798717965598962E-2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1403.83</v>
      </c>
      <c r="I169" s="8">
        <f>IFERROR(H169/H444, "NA")</f>
        <v>-0.14209165211670335</v>
      </c>
      <c r="J169" s="9"/>
      <c r="K169" s="7">
        <v>-3521.9</v>
      </c>
      <c r="L169" s="8">
        <f>IFERROR(K169/K444, "NA")</f>
        <v>-3.9058124620026405E-2</v>
      </c>
      <c r="M169" s="9"/>
      <c r="N169" s="10">
        <f t="shared" si="41"/>
        <v>-2118.0700000000002</v>
      </c>
      <c r="O169" s="8">
        <f>IFERROR(N169/N444, "NA")</f>
        <v>1.6125021887585378</v>
      </c>
      <c r="P169" s="9"/>
      <c r="Q169" s="7">
        <v>-13055.28</v>
      </c>
      <c r="R169" s="8">
        <f>IFERROR(Q169/Q444, "NA")</f>
        <v>-1.779796518612721E-2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13055.28</v>
      </c>
      <c r="X169" s="8">
        <f>IFERROR(W169/W444, "NA")</f>
        <v>-0.16736802471378517</v>
      </c>
      <c r="Y169" s="9"/>
      <c r="Z169" s="7">
        <v>-15323.71</v>
      </c>
      <c r="AA169" s="8">
        <f>IFERROR(Z169/Z444, "NA")</f>
        <v>-2.1687859151814291E-2</v>
      </c>
      <c r="AB169" s="9"/>
      <c r="AC169" s="10">
        <f t="shared" si="43"/>
        <v>-2268.4299999999985</v>
      </c>
      <c r="AD169" s="8">
        <f>IFERROR(AC169/AC444, "NA")</f>
        <v>-8.411097132352148E-2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3137.05</v>
      </c>
      <c r="C170" s="15">
        <f>IFERROR(B170/B444, "NA")</f>
        <v>3.5304394544910876E-2</v>
      </c>
      <c r="D170" s="2"/>
      <c r="E170" s="14">
        <f>IFERROR(E151+E153+E154+E155+E156+E157+E160+E161+E162+E163+E164+E165+E167+E168+E169, "NA")</f>
        <v>1777.27</v>
      </c>
      <c r="F170" s="15">
        <f>IFERROR(E170/E444, "NA")</f>
        <v>1.8000047803780873E-2</v>
      </c>
      <c r="G170" s="2"/>
      <c r="H170" s="14">
        <f t="shared" si="40"/>
        <v>-1359.7800000000002</v>
      </c>
      <c r="I170" s="15">
        <f>IFERROR(H170/H444, "NA")</f>
        <v>0.13763303727321038</v>
      </c>
      <c r="J170" s="2"/>
      <c r="K170" s="14">
        <f>IFERROR(K151+K153+K154+K155+K156+K157+K160+K161+K162+K163+K164+K165+K167+K168+K169, "NA")</f>
        <v>766.9099999999994</v>
      </c>
      <c r="L170" s="15">
        <f>IFERROR(K170/K444, "NA")</f>
        <v>8.5050871269327435E-3</v>
      </c>
      <c r="M170" s="2"/>
      <c r="N170" s="14">
        <f t="shared" si="41"/>
        <v>-2370.1400000000008</v>
      </c>
      <c r="O170" s="15">
        <f>IFERROR(N170/N444, "NA")</f>
        <v>1.8044049241357281</v>
      </c>
      <c r="P170" s="2"/>
      <c r="Q170" s="14">
        <f>IFERROR(Q151+Q153+Q154+Q155+Q156+Q157+Q160+Q161+Q162+Q163+Q164+Q165+Q167+Q168+Q169, "NA")</f>
        <v>23255.64</v>
      </c>
      <c r="R170" s="15">
        <f>IFERROR(Q170/Q444, "NA")</f>
        <v>3.1703883110979415E-2</v>
      </c>
      <c r="S170" s="2"/>
      <c r="T170" s="14">
        <f>IFERROR(T151+T153+T154+T155+T156+T157+T160+T161+T162+T163+T164+T165+T167+T168+T169, "NA")</f>
        <v>15756.28</v>
      </c>
      <c r="U170" s="15">
        <f>IFERROR(T170/T444, "NA")</f>
        <v>1.9415524242246726E-2</v>
      </c>
      <c r="V170" s="2"/>
      <c r="W170" s="14">
        <f t="shared" si="42"/>
        <v>-7499.3599999999988</v>
      </c>
      <c r="X170" s="15">
        <f>IFERROR(W170/W444, "NA")</f>
        <v>9.6141413268621717E-2</v>
      </c>
      <c r="Y170" s="2"/>
      <c r="Z170" s="14">
        <f>IFERROR(Z151+Z153+Z154+Z155+Z156+Z157+Z160+Z161+Z162+Z163+Z164+Z165+Z167+Z168+Z169, "NA")</f>
        <v>21818.22</v>
      </c>
      <c r="AA170" s="15">
        <f>IFERROR(Z170/Z444, "NA")</f>
        <v>3.0879629169652624E-2</v>
      </c>
      <c r="AB170" s="2"/>
      <c r="AC170" s="14">
        <f t="shared" si="43"/>
        <v>-1437.4199999999983</v>
      </c>
      <c r="AD170" s="15">
        <f>IFERROR(AC170/AC444, "NA")</f>
        <v>-5.3298004522888597E-2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24688.03</v>
      </c>
      <c r="C171" s="15">
        <f>IFERROR(B171/B444, "NA")</f>
        <v>0.27783935597347698</v>
      </c>
      <c r="D171" s="2"/>
      <c r="E171" s="14">
        <f>IFERROR(E127+E129+E130+E131+E132+E133+E134+E135+E136+E137+E138+E139+E140+E143+E144+E145+E146+E147+E151+E153+E154+E155+E156+E157+E160+E161+E162+E163+E164+E165+E167+E168+E169, "NA")</f>
        <v>23598.14</v>
      </c>
      <c r="F171" s="15">
        <f>IFERROR(E171/E444, "NA")</f>
        <v>0.23900006643915306</v>
      </c>
      <c r="G171" s="2"/>
      <c r="H171" s="14">
        <f t="shared" si="40"/>
        <v>-1089.8899999999994</v>
      </c>
      <c r="I171" s="15">
        <f>IFERROR(H171/H444, "NA")</f>
        <v>0.11031554442167053</v>
      </c>
      <c r="J171" s="2"/>
      <c r="K171" s="14">
        <f>IFERROR(K127+K129+K130+K131+K132+K133+K134+K135+K136+K137+K138+K139+K140+K143+K144+K145+K146+K147+K151+K153+K154+K155+K156+K157+K160+K161+K162+K163+K164+K165+K167+K168+K169, "NA")</f>
        <v>24257.770000000004</v>
      </c>
      <c r="L171" s="15">
        <f>IFERROR(K171/K444, "NA")</f>
        <v>0.26902041615717032</v>
      </c>
      <c r="M171" s="2"/>
      <c r="N171" s="14">
        <f t="shared" si="41"/>
        <v>-430.25999999999476</v>
      </c>
      <c r="O171" s="15">
        <f>IFERROR(N171/N444, "NA")</f>
        <v>0.32756008617998456</v>
      </c>
      <c r="P171" s="2"/>
      <c r="Q171" s="14">
        <f>IFERROR(Q127+Q129+Q130+Q131+Q132+Q133+Q134+Q135+Q136+Q137+Q138+Q139+Q140+Q143+Q144+Q145+Q146+Q147+Q151+Q153+Q154+Q155+Q156+Q157+Q160+Q161+Q162+Q163+Q164+Q165+Q167+Q168+Q169, "NA")</f>
        <v>206937.72</v>
      </c>
      <c r="R171" s="15">
        <f>IFERROR(Q171/Q444, "NA")</f>
        <v>0.2821134695124532</v>
      </c>
      <c r="S171" s="2"/>
      <c r="T171" s="14">
        <f>IFERROR(T127+T129+T130+T131+T132+T133+T134+T135+T136+T137+T138+T139+T140+T143+T144+T145+T146+T147+T151+T153+T154+T155+T156+T157+T160+T161+T162+T163+T164+T165+T167+T168+T169, "NA")</f>
        <v>198461.21</v>
      </c>
      <c r="U171" s="15">
        <f>IFERROR(T171/T444, "NA")</f>
        <v>0.2445519141510952</v>
      </c>
      <c r="V171" s="2"/>
      <c r="W171" s="14">
        <f t="shared" si="42"/>
        <v>-8476.5100000000093</v>
      </c>
      <c r="X171" s="15">
        <f>IFERROR(W171/W444, "NA")</f>
        <v>0.10866842650380908</v>
      </c>
      <c r="Y171" s="2"/>
      <c r="Z171" s="14">
        <f>IFERROR(Z127+Z129+Z130+Z131+Z132+Z133+Z134+Z135+Z136+Z137+Z138+Z139+Z140+Z143+Z144+Z145+Z146+Z147+Z151+Z153+Z154+Z155+Z156+Z157+Z160+Z161+Z162+Z163+Z164+Z165+Z167+Z168+Z169, "NA")</f>
        <v>190745.68000000005</v>
      </c>
      <c r="AA171" s="15">
        <f>IFERROR(Z171/Z444, "NA")</f>
        <v>0.26996500466643136</v>
      </c>
      <c r="AB171" s="2"/>
      <c r="AC171" s="14">
        <f t="shared" si="43"/>
        <v>-16192.03999999995</v>
      </c>
      <c r="AD171" s="15">
        <f>IFERROR(AC171/AC444, "NA")</f>
        <v>-0.60038361867428547</v>
      </c>
    </row>
    <row r="172" spans="1:30" ht="16.5" customHeight="1" x14ac:dyDescent="0.45">
      <c r="A172" s="22" t="s">
        <v>160</v>
      </c>
      <c r="B172" s="23">
        <f>IFERROR(B124-B171, "NA")</f>
        <v>64169.180000000008</v>
      </c>
      <c r="C172" s="24">
        <f>IFERROR(B172/B444, "NA")</f>
        <v>0.72216064402652302</v>
      </c>
      <c r="D172" s="25"/>
      <c r="E172" s="23">
        <f>IFERROR(E124-E171, "NA")</f>
        <v>75138.820000000007</v>
      </c>
      <c r="F172" s="24">
        <f>IFERROR(E172/E444, "NA")</f>
        <v>0.76099993356084694</v>
      </c>
      <c r="G172" s="25"/>
      <c r="H172" s="23">
        <f>IFERROR(B172-E172, "NA")</f>
        <v>-10969.64</v>
      </c>
      <c r="I172" s="24">
        <f>IFERROR(H172/H444, "NA")</f>
        <v>1.1103155444216706</v>
      </c>
      <c r="J172" s="25"/>
      <c r="K172" s="23">
        <f>IFERROR(K124-K171, "NA")</f>
        <v>65912.969999999987</v>
      </c>
      <c r="L172" s="24">
        <f>IFERROR(K172/K444, "NA")</f>
        <v>0.73097958384282957</v>
      </c>
      <c r="M172" s="25"/>
      <c r="N172" s="23">
        <f>IFERROR(B172-K172, "NA")</f>
        <v>-1743.789999999979</v>
      </c>
      <c r="O172" s="24">
        <f>IFERROR(N172/N444, "NA")</f>
        <v>1.3275600861799735</v>
      </c>
      <c r="P172" s="25"/>
      <c r="Q172" s="23">
        <f>IFERROR(Q124-Q171, "NA")</f>
        <v>526588.83000000007</v>
      </c>
      <c r="R172" s="24">
        <f>IFERROR(Q172/Q444, "NA")</f>
        <v>0.7178865304875468</v>
      </c>
      <c r="S172" s="25"/>
      <c r="T172" s="23">
        <f>IFERROR(T124-T171, "NA")</f>
        <v>613068.77</v>
      </c>
      <c r="U172" s="24">
        <f>IFERROR(T172/T444, "NA")</f>
        <v>0.75544808584890488</v>
      </c>
      <c r="V172" s="25"/>
      <c r="W172" s="23">
        <f>IFERROR(Q172-T172, "NA")</f>
        <v>-86479.939999999944</v>
      </c>
      <c r="X172" s="24">
        <f>IFERROR(W172/W444, "NA")</f>
        <v>1.1086684265038091</v>
      </c>
      <c r="Y172" s="25"/>
      <c r="Z172" s="23">
        <f>IFERROR(Z124-Z171, "NA")</f>
        <v>515811.37999999966</v>
      </c>
      <c r="AA172" s="24">
        <f>IFERROR(Z172/Z444, "NA")</f>
        <v>0.73003499533356808</v>
      </c>
      <c r="AB172" s="25"/>
      <c r="AC172" s="23">
        <f>IFERROR(Q172-Z172, "NA")</f>
        <v>10777.450000000419</v>
      </c>
      <c r="AD172" s="24">
        <f>IFERROR(AC172/AC444, "NA")</f>
        <v>0.39961638132572852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6.3472620848662703E-2</v>
      </c>
      <c r="D178" s="9"/>
      <c r="E178" s="7">
        <v>5576.92</v>
      </c>
      <c r="F178" s="8">
        <f>IFERROR(E178/E444, "NA")</f>
        <v>5.6482597803294732E-2</v>
      </c>
      <c r="G178" s="9"/>
      <c r="H178" s="10">
        <f t="shared" si="44"/>
        <v>-63.079999999999927</v>
      </c>
      <c r="I178" s="8">
        <f>IFERROR(H178/H444, "NA")</f>
        <v>6.3847769427363976E-3</v>
      </c>
      <c r="J178" s="9"/>
      <c r="K178" s="7">
        <v>5423.08</v>
      </c>
      <c r="L178" s="8">
        <f>IFERROR(K178/K444, "NA")</f>
        <v>6.0142347728320736E-2</v>
      </c>
      <c r="M178" s="9"/>
      <c r="N178" s="10">
        <f t="shared" si="45"/>
        <v>-216.92000000000007</v>
      </c>
      <c r="O178" s="8">
        <f>IFERROR(N178/N444, "NA")</f>
        <v>0.16514278318728942</v>
      </c>
      <c r="P178" s="9"/>
      <c r="Q178" s="7">
        <v>47665</v>
      </c>
      <c r="R178" s="8">
        <f>IFERROR(Q178/Q444, "NA")</f>
        <v>6.4980606359783422E-2</v>
      </c>
      <c r="S178" s="9"/>
      <c r="T178" s="7">
        <v>47403.82</v>
      </c>
      <c r="U178" s="8">
        <f>IFERROR(T178/T444, "NA")</f>
        <v>5.8412900531413514E-2</v>
      </c>
      <c r="V178" s="9"/>
      <c r="W178" s="10">
        <f t="shared" si="46"/>
        <v>-261.18000000000029</v>
      </c>
      <c r="X178" s="8">
        <f>IFERROR(W178/W444, "NA")</f>
        <v>3.3483142984866245E-3</v>
      </c>
      <c r="Y178" s="9"/>
      <c r="Z178" s="7">
        <v>46096.18</v>
      </c>
      <c r="AA178" s="8">
        <f>IFERROR(Z178/Z444, "NA")</f>
        <v>6.5240562453653769E-2</v>
      </c>
      <c r="AB178" s="9"/>
      <c r="AC178" s="10">
        <f t="shared" si="47"/>
        <v>-1568.8199999999997</v>
      </c>
      <c r="AD178" s="8">
        <f>IFERROR(AC178/AC444, "NA")</f>
        <v>-5.8170176744165358E-2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18065.3</v>
      </c>
      <c r="C180" s="8">
        <f>IFERROR(B180/B444, "NA")</f>
        <v>0.20330708110236634</v>
      </c>
      <c r="D180" s="9"/>
      <c r="E180" s="7">
        <v>19154.97</v>
      </c>
      <c r="F180" s="8">
        <f>IFERROR(E180/E444, "NA")</f>
        <v>0.19399999756929928</v>
      </c>
      <c r="G180" s="9"/>
      <c r="H180" s="10">
        <f t="shared" si="44"/>
        <v>1089.6700000000019</v>
      </c>
      <c r="I180" s="8">
        <f>IFERROR(H180/H444, "NA")</f>
        <v>-0.11029327665173733</v>
      </c>
      <c r="J180" s="9"/>
      <c r="K180" s="7">
        <v>18600.73</v>
      </c>
      <c r="L180" s="8">
        <f>IFERROR(K180/K444, "NA")</f>
        <v>0.20628343518085798</v>
      </c>
      <c r="M180" s="9"/>
      <c r="N180" s="10">
        <f t="shared" si="45"/>
        <v>535.43000000000029</v>
      </c>
      <c r="O180" s="8">
        <f>IFERROR(N180/N444, "NA")</f>
        <v>-0.40762677670095143</v>
      </c>
      <c r="P180" s="9"/>
      <c r="Q180" s="7">
        <v>153200.68</v>
      </c>
      <c r="R180" s="8">
        <f>IFERROR(Q180/Q444, "NA")</f>
        <v>0.20885498963875265</v>
      </c>
      <c r="S180" s="9"/>
      <c r="T180" s="7">
        <v>161055.89000000001</v>
      </c>
      <c r="U180" s="8">
        <f>IFERROR(T180/T444, "NA")</f>
        <v>0.19845956892436681</v>
      </c>
      <c r="V180" s="9"/>
      <c r="W180" s="10">
        <f t="shared" si="46"/>
        <v>7855.210000000021</v>
      </c>
      <c r="X180" s="8">
        <f>IFERROR(W180/W444, "NA")</f>
        <v>-0.10070339214570471</v>
      </c>
      <c r="Y180" s="9"/>
      <c r="Z180" s="7">
        <v>150117.25</v>
      </c>
      <c r="AA180" s="8">
        <f>IFERROR(Z180/Z444, "NA")</f>
        <v>0.21246302457157529</v>
      </c>
      <c r="AB180" s="9"/>
      <c r="AC180" s="10">
        <f t="shared" si="47"/>
        <v>-3083.429999999993</v>
      </c>
      <c r="AD180" s="8">
        <f>IFERROR(AC180/AC444, "NA")</f>
        <v>-0.11433030435503208</v>
      </c>
    </row>
    <row r="181" spans="1:30" ht="16.5" customHeight="1" x14ac:dyDescent="0.45">
      <c r="A181" s="12" t="s">
        <v>166</v>
      </c>
      <c r="B181" s="7">
        <v>56.84</v>
      </c>
      <c r="C181" s="8">
        <f>IFERROR(B181/B444, "NA")</f>
        <v>6.3967797323368576E-4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-56.84</v>
      </c>
      <c r="I181" s="8">
        <f>IFERROR(H181/H444, "NA")</f>
        <v>5.7531820137149223E-3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-56.84</v>
      </c>
      <c r="O181" s="8">
        <f>IFERROR(N181/N444, "NA")</f>
        <v>4.3272707893995607E-2</v>
      </c>
      <c r="P181" s="9"/>
      <c r="Q181" s="7">
        <v>1150.03</v>
      </c>
      <c r="R181" s="8">
        <f>IFERROR(Q181/Q444, "NA")</f>
        <v>1.5678096450632904E-3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-1150.03</v>
      </c>
      <c r="X181" s="8">
        <f>IFERROR(W181/W444, "NA")</f>
        <v>1.4743326030663022E-2</v>
      </c>
      <c r="Y181" s="9"/>
      <c r="Z181" s="7">
        <v>234.11</v>
      </c>
      <c r="AA181" s="8">
        <f>IFERROR(Z181/Z444, "NA")</f>
        <v>3.3133912779811442E-4</v>
      </c>
      <c r="AB181" s="9"/>
      <c r="AC181" s="10">
        <f t="shared" si="47"/>
        <v>-915.92</v>
      </c>
      <c r="AD181" s="8">
        <f>IFERROR(AC181/AC444, "NA")</f>
        <v>-3.3961339276345245E-2</v>
      </c>
    </row>
    <row r="182" spans="1:30" ht="16.5" customHeight="1" x14ac:dyDescent="0.45">
      <c r="A182" s="13" t="s">
        <v>167</v>
      </c>
      <c r="B182" s="14">
        <f>IFERROR(B177+B178+B179+B180+B181, "NA")</f>
        <v>23762.14</v>
      </c>
      <c r="C182" s="15">
        <f>IFERROR(B182/B444, "NA")</f>
        <v>0.26741937992426273</v>
      </c>
      <c r="D182" s="2"/>
      <c r="E182" s="14">
        <f>IFERROR(E177+E178+E179+E180+E181, "NA")</f>
        <v>24731.89</v>
      </c>
      <c r="F182" s="15">
        <f>IFERROR(E182/E444, "NA")</f>
        <v>0.25048259537259399</v>
      </c>
      <c r="G182" s="2"/>
      <c r="H182" s="14">
        <f t="shared" si="44"/>
        <v>969.75</v>
      </c>
      <c r="I182" s="15">
        <f>IFERROR(H182/H444, "NA")</f>
        <v>-9.8155317695285807E-2</v>
      </c>
      <c r="J182" s="2"/>
      <c r="K182" s="14">
        <f>IFERROR(K177+K178+K179+K180+K181, "NA")</f>
        <v>24023.809999999998</v>
      </c>
      <c r="L182" s="15">
        <f>IFERROR(K182/K444, "NA")</f>
        <v>0.26642578290917868</v>
      </c>
      <c r="M182" s="2"/>
      <c r="N182" s="14">
        <f t="shared" si="45"/>
        <v>261.66999999999825</v>
      </c>
      <c r="O182" s="15">
        <f>IFERROR(N182/N444, "NA")</f>
        <v>-0.19921128561966495</v>
      </c>
      <c r="P182" s="2"/>
      <c r="Q182" s="14">
        <f>IFERROR(Q177+Q178+Q179+Q180+Q181, "NA")</f>
        <v>202015.71</v>
      </c>
      <c r="R182" s="15">
        <f>IFERROR(Q182/Q444, "NA")</f>
        <v>0.27540340564359939</v>
      </c>
      <c r="S182" s="2"/>
      <c r="T182" s="14">
        <f>IFERROR(T177+T178+T179+T180+T181, "NA")</f>
        <v>208459.71000000002</v>
      </c>
      <c r="U182" s="15">
        <f>IFERROR(T182/T444, "NA")</f>
        <v>0.25687246945578035</v>
      </c>
      <c r="V182" s="2"/>
      <c r="W182" s="14">
        <f t="shared" si="46"/>
        <v>6444.0000000000291</v>
      </c>
      <c r="X182" s="15">
        <f>IFERROR(W182/W444, "NA")</f>
        <v>-8.2611751816555182E-2</v>
      </c>
      <c r="Y182" s="2"/>
      <c r="Z182" s="14">
        <f>IFERROR(Z177+Z178+Z179+Z180+Z181, "NA")</f>
        <v>196447.53999999998</v>
      </c>
      <c r="AA182" s="15">
        <f>IFERROR(Z182/Z444, "NA")</f>
        <v>0.27803492615302716</v>
      </c>
      <c r="AB182" s="2"/>
      <c r="AC182" s="14">
        <f t="shared" si="47"/>
        <v>-5568.1700000000128</v>
      </c>
      <c r="AD182" s="15">
        <f>IFERROR(AC182/AC444, "NA")</f>
        <v>-0.20646182037554342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5.6270053943849908E-3</v>
      </c>
      <c r="D184" s="9"/>
      <c r="E184" s="7">
        <v>500</v>
      </c>
      <c r="F184" s="8">
        <f>IFERROR(E184/E444, "NA")</f>
        <v>5.0639598383421967E-3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-100</v>
      </c>
      <c r="L184" s="8">
        <f>IFERROR(K184/K444, "NA")</f>
        <v>-1.1090072012273605E-3</v>
      </c>
      <c r="M184" s="9"/>
      <c r="N184" s="10">
        <f t="shared" si="45"/>
        <v>-600</v>
      </c>
      <c r="O184" s="8">
        <f>IFERROR(N184/N444, "NA")</f>
        <v>0.45678439015477418</v>
      </c>
      <c r="P184" s="9"/>
      <c r="Q184" s="7">
        <v>1700</v>
      </c>
      <c r="R184" s="8">
        <f>IFERROR(Q184/Q444, "NA")</f>
        <v>2.3175711908451028E-3</v>
      </c>
      <c r="S184" s="9"/>
      <c r="T184" s="7">
        <v>4000</v>
      </c>
      <c r="U184" s="8">
        <f>IFERROR(T184/T444, "NA")</f>
        <v>4.9289614660939576E-3</v>
      </c>
      <c r="V184" s="9"/>
      <c r="W184" s="10">
        <f t="shared" si="46"/>
        <v>2300</v>
      </c>
      <c r="X184" s="8">
        <f>IFERROR(W184/W444, "NA")</f>
        <v>-2.9485882864381759E-2</v>
      </c>
      <c r="Y184" s="9"/>
      <c r="Z184" s="7">
        <v>1550</v>
      </c>
      <c r="AA184" s="8">
        <f>IFERROR(Z184/Z444, "NA")</f>
        <v>2.1937364832218926E-3</v>
      </c>
      <c r="AB184" s="9"/>
      <c r="AC184" s="10">
        <f t="shared" si="47"/>
        <v>-150</v>
      </c>
      <c r="AD184" s="8">
        <f>IFERROR(AC184/AC444, "NA")</f>
        <v>-5.5618404352473869E-3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2082.17</v>
      </c>
      <c r="C186" s="8">
        <f>IFERROR(B186/B444, "NA")</f>
        <v>2.3432763644053195E-2</v>
      </c>
      <c r="D186" s="9"/>
      <c r="E186" s="7">
        <v>2516.67</v>
      </c>
      <c r="F186" s="8">
        <f>IFERROR(E186/E444, "NA")</f>
        <v>2.5488631612721316E-2</v>
      </c>
      <c r="G186" s="9"/>
      <c r="H186" s="10">
        <f t="shared" ref="H186:H197" si="48">IFERROR(-(B186-E186), "NA")</f>
        <v>434.5</v>
      </c>
      <c r="I186" s="8">
        <f>IFERROR(H186/H444, "NA")</f>
        <v>-4.3978845618563224E-2</v>
      </c>
      <c r="J186" s="9"/>
      <c r="K186" s="7">
        <v>2187.64</v>
      </c>
      <c r="L186" s="8">
        <f>IFERROR(K186/K444, "NA")</f>
        <v>2.4261085136930226E-2</v>
      </c>
      <c r="M186" s="9"/>
      <c r="N186" s="10">
        <f t="shared" ref="N186:N197" si="49">IFERROR(-(B186-K186), "NA")</f>
        <v>105.4699999999998</v>
      </c>
      <c r="O186" s="8">
        <f>IFERROR(N186/N444, "NA")</f>
        <v>-8.0295082716039898E-2</v>
      </c>
      <c r="P186" s="9"/>
      <c r="Q186" s="7">
        <v>18134.810000000001</v>
      </c>
      <c r="R186" s="8">
        <f>IFERROR(Q186/Q444, "NA")</f>
        <v>2.47227724749704E-2</v>
      </c>
      <c r="S186" s="9"/>
      <c r="T186" s="7">
        <v>23278.91</v>
      </c>
      <c r="U186" s="8">
        <f>IFERROR(T186/T444, "NA")</f>
        <v>2.8685212590667322E-2</v>
      </c>
      <c r="V186" s="9"/>
      <c r="W186" s="10">
        <f t="shared" ref="W186:W197" si="50">IFERROR(-(Q186-T186), "NA")</f>
        <v>5144.0999999999985</v>
      </c>
      <c r="X186" s="8">
        <f>IFERROR(W186/W444, "NA")</f>
        <v>-6.5947100018550503E-2</v>
      </c>
      <c r="Y186" s="9"/>
      <c r="Z186" s="7">
        <v>18011.189999999999</v>
      </c>
      <c r="AA186" s="8">
        <f>IFERROR(Z186/Z444, "NA")</f>
        <v>2.5491486844671819E-2</v>
      </c>
      <c r="AB186" s="9"/>
      <c r="AC186" s="10">
        <f t="shared" ref="AC186:AC197" si="51">IFERROR(-(Q186-Z186), "NA")</f>
        <v>-123.62000000000262</v>
      </c>
      <c r="AD186" s="8">
        <f>IFERROR(AC186/AC444, "NA")</f>
        <v>-4.5836980973686433E-3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2.8306277202863135E-8</v>
      </c>
      <c r="AB187" s="9"/>
      <c r="AC187" s="10">
        <f t="shared" si="51"/>
        <v>0.02</v>
      </c>
      <c r="AD187" s="8">
        <f>IFERROR(AC187/AC444, "NA")</f>
        <v>7.4157872469965157E-7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2082.17</v>
      </c>
      <c r="C193" s="15">
        <f>IFERROR(B193/B444, "NA")</f>
        <v>2.3432763644053195E-2</v>
      </c>
      <c r="D193" s="2"/>
      <c r="E193" s="14">
        <f>IFERROR(E186+E187+E188+E189+E190+E191+E192, "NA")</f>
        <v>2516.67</v>
      </c>
      <c r="F193" s="15">
        <f>IFERROR(E193/E444, "NA")</f>
        <v>2.5488631612721316E-2</v>
      </c>
      <c r="G193" s="2"/>
      <c r="H193" s="14">
        <f t="shared" si="48"/>
        <v>434.5</v>
      </c>
      <c r="I193" s="15">
        <f>IFERROR(H193/H444, "NA")</f>
        <v>-4.3978845618563224E-2</v>
      </c>
      <c r="J193" s="2"/>
      <c r="K193" s="14">
        <f>IFERROR(K186+K187+K188+K189+K190+K191+K192, "NA")</f>
        <v>2187.64</v>
      </c>
      <c r="L193" s="15">
        <f>IFERROR(K193/K444, "NA")</f>
        <v>2.4261085136930226E-2</v>
      </c>
      <c r="M193" s="2"/>
      <c r="N193" s="14">
        <f t="shared" si="49"/>
        <v>105.4699999999998</v>
      </c>
      <c r="O193" s="15">
        <f>IFERROR(N193/N444, "NA")</f>
        <v>-8.0295082716039898E-2</v>
      </c>
      <c r="P193" s="2"/>
      <c r="Q193" s="14">
        <f>IFERROR(Q186+Q187+Q188+Q189+Q190+Q191+Q192, "NA")</f>
        <v>18134.810000000001</v>
      </c>
      <c r="R193" s="15">
        <f>IFERROR(Q193/Q444, "NA")</f>
        <v>2.47227724749704E-2</v>
      </c>
      <c r="S193" s="2"/>
      <c r="T193" s="14">
        <f>IFERROR(T186+T187+T188+T189+T190+T191+T192, "NA")</f>
        <v>23278.91</v>
      </c>
      <c r="U193" s="15">
        <f>IFERROR(T193/T444, "NA")</f>
        <v>2.8685212590667322E-2</v>
      </c>
      <c r="V193" s="2"/>
      <c r="W193" s="14">
        <f t="shared" si="50"/>
        <v>5144.0999999999985</v>
      </c>
      <c r="X193" s="15">
        <f>IFERROR(W193/W444, "NA")</f>
        <v>-6.5947100018550503E-2</v>
      </c>
      <c r="Y193" s="2"/>
      <c r="Z193" s="14">
        <f>IFERROR(Z186+Z187+Z188+Z189+Z190+Z191+Z192, "NA")</f>
        <v>18011.21</v>
      </c>
      <c r="AA193" s="15">
        <f>IFERROR(Z193/Z444, "NA")</f>
        <v>2.5491515150949023E-2</v>
      </c>
      <c r="AB193" s="2"/>
      <c r="AC193" s="14">
        <f t="shared" si="51"/>
        <v>-123.60000000000218</v>
      </c>
      <c r="AD193" s="15">
        <f>IFERROR(AC193/AC444, "NA")</f>
        <v>-4.5829565186439282E-3</v>
      </c>
    </row>
    <row r="194" spans="1:30" ht="16.5" customHeight="1" x14ac:dyDescent="0.45">
      <c r="A194" s="6" t="s">
        <v>178</v>
      </c>
      <c r="B194" s="7">
        <v>224</v>
      </c>
      <c r="C194" s="8">
        <f>IFERROR(B194/B444, "NA")</f>
        <v>2.5208984166844761E-3</v>
      </c>
      <c r="D194" s="9"/>
      <c r="E194" s="7">
        <v>201.86</v>
      </c>
      <c r="F194" s="8">
        <f>IFERROR(E194/E444, "NA")</f>
        <v>2.0444218659355119E-3</v>
      </c>
      <c r="G194" s="9"/>
      <c r="H194" s="10">
        <f t="shared" si="48"/>
        <v>-22.139999999999986</v>
      </c>
      <c r="I194" s="8">
        <f>IFERROR(H194/H444, "NA")</f>
        <v>2.2409473923935309E-3</v>
      </c>
      <c r="J194" s="9"/>
      <c r="K194" s="7">
        <v>224</v>
      </c>
      <c r="L194" s="8">
        <f>IFERROR(K194/K444, "NA")</f>
        <v>2.4841761307492871E-3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2058</v>
      </c>
      <c r="R194" s="8">
        <f>IFERROR(Q194/Q444, "NA")</f>
        <v>2.80562441809366E-3</v>
      </c>
      <c r="S194" s="9"/>
      <c r="T194" s="7">
        <v>1699.69</v>
      </c>
      <c r="U194" s="8">
        <f>IFERROR(T194/T444, "NA")</f>
        <v>2.0944266285763099E-3</v>
      </c>
      <c r="V194" s="9"/>
      <c r="W194" s="10">
        <f t="shared" si="50"/>
        <v>-358.30999999999995</v>
      </c>
      <c r="X194" s="8">
        <f>IFERROR(W194/W444, "NA")</f>
        <v>4.5935159517985326E-3</v>
      </c>
      <c r="Y194" s="9"/>
      <c r="Z194" s="7">
        <v>1577</v>
      </c>
      <c r="AA194" s="8">
        <f>IFERROR(Z194/Z444, "NA")</f>
        <v>2.2319499574457581E-3</v>
      </c>
      <c r="AB194" s="9"/>
      <c r="AC194" s="10">
        <f t="shared" si="51"/>
        <v>-481</v>
      </c>
      <c r="AD194" s="8">
        <f>IFERROR(AC194/AC444, "NA")</f>
        <v>-1.7834968329026622E-2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26568.309999999998</v>
      </c>
      <c r="C196" s="15">
        <f>IFERROR(B196/B444, "NA")</f>
        <v>0.29900004737938535</v>
      </c>
      <c r="D196" s="2"/>
      <c r="E196" s="14">
        <f>IFERROR(E175+E177+E178+E179+E180+E181+E183+E184+E186+E187+E188+E189+E190+E191+E192+E194+E195, "NA")</f>
        <v>27950.42</v>
      </c>
      <c r="F196" s="15">
        <f>IFERROR(E196/E444, "NA")</f>
        <v>0.28307960868959298</v>
      </c>
      <c r="G196" s="2"/>
      <c r="H196" s="14">
        <f t="shared" si="48"/>
        <v>1382.1100000000006</v>
      </c>
      <c r="I196" s="15">
        <f>IFERROR(H196/H444, "NA")</f>
        <v>-0.13989321592145557</v>
      </c>
      <c r="J196" s="2"/>
      <c r="K196" s="14">
        <f>IFERROR(K175+K177+K178+K179+K180+K181+K183+K184+K186+K187+K188+K189+K190+K191+K192+K194+K195, "NA")</f>
        <v>26335.449999999997</v>
      </c>
      <c r="L196" s="15">
        <f>IFERROR(K196/K444, "NA")</f>
        <v>0.29206203697563082</v>
      </c>
      <c r="M196" s="2"/>
      <c r="N196" s="14">
        <f t="shared" si="49"/>
        <v>-232.86000000000058</v>
      </c>
      <c r="O196" s="15">
        <f>IFERROR(N196/N444, "NA")</f>
        <v>0.17727802181906829</v>
      </c>
      <c r="P196" s="2"/>
      <c r="Q196" s="14">
        <f>IFERROR(Q175+Q177+Q178+Q179+Q180+Q181+Q183+Q184+Q186+Q187+Q188+Q189+Q190+Q191+Q192+Q194+Q195, "NA")</f>
        <v>223908.52</v>
      </c>
      <c r="R196" s="15">
        <f>IFERROR(Q196/Q444, "NA")</f>
        <v>0.30524937372750854</v>
      </c>
      <c r="S196" s="2"/>
      <c r="T196" s="14">
        <f>IFERROR(T175+T177+T178+T179+T180+T181+T183+T184+T186+T187+T188+T189+T190+T191+T192+T194+T195, "NA")</f>
        <v>237438.31000000003</v>
      </c>
      <c r="U196" s="15">
        <f>IFERROR(T196/T444, "NA")</f>
        <v>0.29258107014111795</v>
      </c>
      <c r="V196" s="2"/>
      <c r="W196" s="14">
        <f t="shared" si="50"/>
        <v>13529.790000000037</v>
      </c>
      <c r="X196" s="15">
        <f>IFERROR(W196/W444, "NA")</f>
        <v>-0.17345121874768901</v>
      </c>
      <c r="Y196" s="2"/>
      <c r="Z196" s="14">
        <f>IFERROR(Z175+Z177+Z178+Z179+Z180+Z181+Z183+Z184+Z186+Z187+Z188+Z189+Z190+Z191+Z192+Z194+Z195, "NA")</f>
        <v>217585.74999999997</v>
      </c>
      <c r="AA196" s="15">
        <f>IFERROR(Z196/Z444, "NA")</f>
        <v>0.30795212774464381</v>
      </c>
      <c r="AB196" s="2"/>
      <c r="AC196" s="14">
        <f t="shared" si="51"/>
        <v>-6322.7700000000186</v>
      </c>
      <c r="AD196" s="15">
        <f>IFERROR(AC196/AC444, "NA")</f>
        <v>-0.23444158565846149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26568.309999999998</v>
      </c>
      <c r="C197" s="15">
        <f>IFERROR(B197/B444, "NA")</f>
        <v>0.29900004737938535</v>
      </c>
      <c r="D197" s="2"/>
      <c r="E197" s="14">
        <f>IFERROR(E175+E177+E178+E179+E180+E181+E183+E184+E186+E187+E188+E189+E190+E191+E192+E194+E195, "NA")</f>
        <v>27950.42</v>
      </c>
      <c r="F197" s="15">
        <f>IFERROR(E197/E444, "NA")</f>
        <v>0.28307960868959298</v>
      </c>
      <c r="G197" s="2"/>
      <c r="H197" s="14">
        <f t="shared" si="48"/>
        <v>1382.1100000000006</v>
      </c>
      <c r="I197" s="15">
        <f>IFERROR(H197/H444, "NA")</f>
        <v>-0.13989321592145557</v>
      </c>
      <c r="J197" s="2"/>
      <c r="K197" s="14">
        <f>IFERROR(K175+K177+K178+K179+K180+K181+K183+K184+K186+K187+K188+K189+K190+K191+K192+K194+K195, "NA")</f>
        <v>26335.449999999997</v>
      </c>
      <c r="L197" s="15">
        <f>IFERROR(K197/K444, "NA")</f>
        <v>0.29206203697563082</v>
      </c>
      <c r="M197" s="2"/>
      <c r="N197" s="14">
        <f t="shared" si="49"/>
        <v>-232.86000000000058</v>
      </c>
      <c r="O197" s="15">
        <f>IFERROR(N197/N444, "NA")</f>
        <v>0.17727802181906829</v>
      </c>
      <c r="P197" s="2"/>
      <c r="Q197" s="14">
        <f>IFERROR(Q175+Q177+Q178+Q179+Q180+Q181+Q183+Q184+Q186+Q187+Q188+Q189+Q190+Q191+Q192+Q194+Q195, "NA")</f>
        <v>223908.52</v>
      </c>
      <c r="R197" s="15">
        <f>IFERROR(Q197/Q444, "NA")</f>
        <v>0.30524937372750854</v>
      </c>
      <c r="S197" s="2"/>
      <c r="T197" s="14">
        <f>IFERROR(T175+T177+T178+T179+T180+T181+T183+T184+T186+T187+T188+T189+T190+T191+T192+T194+T195, "NA")</f>
        <v>237438.31000000003</v>
      </c>
      <c r="U197" s="15">
        <f>IFERROR(T197/T444, "NA")</f>
        <v>0.29258107014111795</v>
      </c>
      <c r="V197" s="2"/>
      <c r="W197" s="14">
        <f t="shared" si="50"/>
        <v>13529.790000000037</v>
      </c>
      <c r="X197" s="15">
        <f>IFERROR(W197/W444, "NA")</f>
        <v>-0.17345121874768901</v>
      </c>
      <c r="Y197" s="2"/>
      <c r="Z197" s="14">
        <f>IFERROR(Z175+Z177+Z178+Z179+Z180+Z181+Z183+Z184+Z186+Z187+Z188+Z189+Z190+Z191+Z192+Z194+Z195, "NA")</f>
        <v>217585.74999999997</v>
      </c>
      <c r="AA197" s="15">
        <f>IFERROR(Z197/Z444, "NA")</f>
        <v>0.30795212774464381</v>
      </c>
      <c r="AB197" s="2"/>
      <c r="AC197" s="14">
        <f t="shared" si="51"/>
        <v>-6322.7700000000186</v>
      </c>
      <c r="AD197" s="15">
        <f>IFERROR(AC197/AC444, "NA")</f>
        <v>-0.23444158565846149</v>
      </c>
    </row>
    <row r="198" spans="1:30" ht="16.5" customHeight="1" x14ac:dyDescent="0.45">
      <c r="A198" s="22" t="s">
        <v>181</v>
      </c>
      <c r="B198" s="23">
        <f>IFERROR(B172-B197, "NA")</f>
        <v>37600.87000000001</v>
      </c>
      <c r="C198" s="24">
        <f>IFERROR(B198/B444, "NA")</f>
        <v>0.42316059664713768</v>
      </c>
      <c r="D198" s="25"/>
      <c r="E198" s="23">
        <f>IFERROR(E172-E197, "NA")</f>
        <v>47188.400000000009</v>
      </c>
      <c r="F198" s="24">
        <f>IFERROR(E198/E444, "NA")</f>
        <v>0.47792032487125397</v>
      </c>
      <c r="G198" s="25"/>
      <c r="H198" s="23">
        <f>IFERROR(B198-E198, "NA")</f>
        <v>-9587.5299999999988</v>
      </c>
      <c r="I198" s="24">
        <f>IFERROR(H198/H444, "NA")</f>
        <v>0.97042232850021493</v>
      </c>
      <c r="J198" s="25"/>
      <c r="K198" s="23">
        <f>IFERROR(K172-K197, "NA")</f>
        <v>39577.51999999999</v>
      </c>
      <c r="L198" s="24">
        <f>IFERROR(K198/K444, "NA")</f>
        <v>0.43891754686719869</v>
      </c>
      <c r="M198" s="25"/>
      <c r="N198" s="23">
        <f>IFERROR(B198-K198, "NA")</f>
        <v>-1976.6499999999796</v>
      </c>
      <c r="O198" s="24">
        <f>IFERROR(N198/N444, "NA")</f>
        <v>1.5048381079990418</v>
      </c>
      <c r="P198" s="25"/>
      <c r="Q198" s="23">
        <f>IFERROR(Q172-Q197, "NA")</f>
        <v>302680.31000000006</v>
      </c>
      <c r="R198" s="24">
        <f>IFERROR(Q198/Q444, "NA")</f>
        <v>0.41263715676003826</v>
      </c>
      <c r="S198" s="25"/>
      <c r="T198" s="23">
        <f>IFERROR(T172-T197, "NA")</f>
        <v>375630.45999999996</v>
      </c>
      <c r="U198" s="24">
        <f>IFERROR(T198/T444, "NA")</f>
        <v>0.46286701570778688</v>
      </c>
      <c r="V198" s="25"/>
      <c r="W198" s="23">
        <f>IFERROR(Q198-T198, "NA")</f>
        <v>-72950.149999999907</v>
      </c>
      <c r="X198" s="24">
        <f>IFERROR(W198/W444, "NA")</f>
        <v>0.93521720775612005</v>
      </c>
      <c r="Y198" s="25"/>
      <c r="Z198" s="23">
        <f>IFERROR(Z172-Z197, "NA")</f>
        <v>298225.62999999966</v>
      </c>
      <c r="AA198" s="24">
        <f>IFERROR(Z198/Z444, "NA")</f>
        <v>0.42208286758892427</v>
      </c>
      <c r="AB198" s="25"/>
      <c r="AC198" s="23">
        <f>IFERROR(Q198-Z198, "NA")</f>
        <v>4454.6800000004005</v>
      </c>
      <c r="AD198" s="24">
        <f>IFERROR(AC198/AC444, "NA")</f>
        <v>0.16517479566726706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1777.27</v>
      </c>
      <c r="F201" s="8">
        <f>IFERROR(E201/E444, "NA")</f>
        <v>1.8000047803780873E-2</v>
      </c>
      <c r="G201" s="9"/>
      <c r="H201" s="10">
        <f t="shared" ref="H201:H209" si="52">IFERROR(-(B201-E201), "NA")</f>
        <v>1777.27</v>
      </c>
      <c r="I201" s="8">
        <f>IFERROR(H201/H444, "NA")</f>
        <v>-0.17989017940737367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14862.81</v>
      </c>
      <c r="U201" s="8">
        <f>IFERROR(T201/T444, "NA")</f>
        <v>1.8314554441968982E-2</v>
      </c>
      <c r="V201" s="9"/>
      <c r="W201" s="10">
        <f t="shared" ref="W201:W209" si="54">IFERROR(-(Q201-T201), "NA")</f>
        <v>14862.81</v>
      </c>
      <c r="X201" s="8">
        <f>IFERROR(W201/W444, "NA")</f>
        <v>-0.19054046725893992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846.04</v>
      </c>
      <c r="C202" s="8">
        <f>IFERROR(B202/B444, "NA")</f>
        <v>9.5213432877309552E-3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-846.04</v>
      </c>
      <c r="I202" s="8">
        <f>IFERROR(H202/H444, "NA")</f>
        <v>8.5633745793162783E-2</v>
      </c>
      <c r="J202" s="9"/>
      <c r="K202" s="7">
        <v>790.65</v>
      </c>
      <c r="L202" s="8">
        <f>IFERROR(K202/K444, "NA")</f>
        <v>8.7683654365041247E-3</v>
      </c>
      <c r="M202" s="9"/>
      <c r="N202" s="10">
        <f t="shared" si="53"/>
        <v>-55.389999999999986</v>
      </c>
      <c r="O202" s="8">
        <f>IFERROR(N202/N444, "NA")</f>
        <v>4.216881228445489E-2</v>
      </c>
      <c r="P202" s="9"/>
      <c r="Q202" s="7">
        <v>7710.46</v>
      </c>
      <c r="R202" s="8">
        <f>IFERROR(Q202/Q444, "NA")</f>
        <v>1.0511494096566784E-2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-7710.46</v>
      </c>
      <c r="X202" s="8">
        <f>IFERROR(W202/W444, "NA")</f>
        <v>9.8847704517609117E-2</v>
      </c>
      <c r="Y202" s="9"/>
      <c r="Z202" s="7">
        <v>7408.17</v>
      </c>
      <c r="AA202" s="8">
        <f>IFERROR(Z202/Z444, "NA")</f>
        <v>1.0484885679296729E-2</v>
      </c>
      <c r="AB202" s="9"/>
      <c r="AC202" s="10">
        <f t="shared" si="55"/>
        <v>-302.28999999999996</v>
      </c>
      <c r="AD202" s="8">
        <f>IFERROR(AC202/AC444, "NA")</f>
        <v>-1.1208591634472883E-2</v>
      </c>
    </row>
    <row r="203" spans="1:30" ht="16.5" customHeight="1" x14ac:dyDescent="0.45">
      <c r="A203" s="6" t="s">
        <v>185</v>
      </c>
      <c r="B203" s="7">
        <v>565.12</v>
      </c>
      <c r="C203" s="8">
        <f>IFERROR(B203/B444, "NA")</f>
        <v>6.3598665769496925E-3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-565.12</v>
      </c>
      <c r="I203" s="8">
        <f>IFERROR(H203/H444, "NA")</f>
        <v>5.7199827930868696E-2</v>
      </c>
      <c r="J203" s="9"/>
      <c r="K203" s="7">
        <v>688.79</v>
      </c>
      <c r="L203" s="8">
        <f>IFERROR(K203/K444, "NA")</f>
        <v>7.6387307013339352E-3</v>
      </c>
      <c r="M203" s="9"/>
      <c r="N203" s="10">
        <f t="shared" si="53"/>
        <v>123.66999999999996</v>
      </c>
      <c r="O203" s="8">
        <f>IFERROR(N203/N444, "NA")</f>
        <v>-9.4150875884068175E-2</v>
      </c>
      <c r="P203" s="9"/>
      <c r="Q203" s="7">
        <v>6382.25</v>
      </c>
      <c r="R203" s="8">
        <f>IFERROR(Q203/Q444, "NA")</f>
        <v>8.7007757251595045E-3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-6382.25</v>
      </c>
      <c r="X203" s="8">
        <f>IFERROR(W203/W444, "NA")</f>
        <v>8.1820119961391505E-2</v>
      </c>
      <c r="Y203" s="9"/>
      <c r="Z203" s="7">
        <v>4141.1400000000003</v>
      </c>
      <c r="AA203" s="8">
        <f>IFERROR(Z203/Z444, "NA")</f>
        <v>5.8610128387932324E-3</v>
      </c>
      <c r="AB203" s="9"/>
      <c r="AC203" s="10">
        <f t="shared" si="55"/>
        <v>-2241.1099999999997</v>
      </c>
      <c r="AD203" s="8">
        <f>IFERROR(AC203/AC444, "NA")</f>
        <v>-8.3097974785581799E-2</v>
      </c>
    </row>
    <row r="204" spans="1:30" ht="16.5" customHeight="1" x14ac:dyDescent="0.45">
      <c r="A204" s="6" t="s">
        <v>186</v>
      </c>
      <c r="B204" s="7">
        <v>663.73</v>
      </c>
      <c r="C204" s="8">
        <f>IFERROR(B204/B444, "NA")</f>
        <v>7.4696245808303008E-3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-663.73</v>
      </c>
      <c r="I204" s="8">
        <f>IFERROR(H204/H444, "NA")</f>
        <v>6.7180849717857233E-2</v>
      </c>
      <c r="J204" s="9"/>
      <c r="K204" s="7">
        <v>161.83000000000001</v>
      </c>
      <c r="L204" s="8">
        <f>IFERROR(K204/K444, "NA")</f>
        <v>1.7947063537462375E-3</v>
      </c>
      <c r="M204" s="9"/>
      <c r="N204" s="10">
        <f t="shared" si="53"/>
        <v>-501.9</v>
      </c>
      <c r="O204" s="8">
        <f>IFERROR(N204/N444, "NA")</f>
        <v>0.3821001423644686</v>
      </c>
      <c r="P204" s="9"/>
      <c r="Q204" s="7">
        <v>1986.78</v>
      </c>
      <c r="R204" s="8">
        <f>IFERROR(Q204/Q444, "NA")</f>
        <v>2.7085318179689609E-3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-1986.78</v>
      </c>
      <c r="X204" s="8">
        <f>IFERROR(W204/W444, "NA")</f>
        <v>2.547041841621582E-2</v>
      </c>
      <c r="Y204" s="9"/>
      <c r="Z204" s="7">
        <v>755.3</v>
      </c>
      <c r="AA204" s="8">
        <f>IFERROR(Z204/Z444, "NA")</f>
        <v>1.0689865585661261E-3</v>
      </c>
      <c r="AB204" s="9"/>
      <c r="AC204" s="10">
        <f t="shared" si="55"/>
        <v>-1231.48</v>
      </c>
      <c r="AD204" s="8">
        <f>IFERROR(AC204/AC444, "NA")</f>
        <v>-4.5661968394656346E-2</v>
      </c>
    </row>
    <row r="205" spans="1:30" ht="16.5" customHeight="1" x14ac:dyDescent="0.45">
      <c r="A205" s="6" t="s">
        <v>187</v>
      </c>
      <c r="B205" s="7">
        <v>373.1</v>
      </c>
      <c r="C205" s="8">
        <f>IFERROR(B205/B444, "NA")</f>
        <v>4.1988714252900808E-3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-373.1</v>
      </c>
      <c r="I205" s="8">
        <f>IFERROR(H205/H444, "NA")</f>
        <v>3.7764113464409527E-2</v>
      </c>
      <c r="J205" s="9"/>
      <c r="K205" s="7">
        <v>344</v>
      </c>
      <c r="L205" s="8">
        <f>IFERROR(K205/K444, "NA")</f>
        <v>3.8149847722221196E-3</v>
      </c>
      <c r="M205" s="9"/>
      <c r="N205" s="10">
        <f t="shared" si="53"/>
        <v>-29.100000000000023</v>
      </c>
      <c r="O205" s="8">
        <f>IFERROR(N205/N444, "NA")</f>
        <v>2.2154042922506566E-2</v>
      </c>
      <c r="P205" s="9"/>
      <c r="Q205" s="7">
        <v>2810.88</v>
      </c>
      <c r="R205" s="8">
        <f>IFERROR(Q205/Q444, "NA")</f>
        <v>3.8320085346604019E-3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-2810.88</v>
      </c>
      <c r="X205" s="8">
        <f>IFERROR(W205/W444, "NA")</f>
        <v>3.6035338446014524E-2</v>
      </c>
      <c r="Y205" s="9"/>
      <c r="Z205" s="7">
        <v>2758.09</v>
      </c>
      <c r="AA205" s="8">
        <f>IFERROR(Z205/Z444, "NA")</f>
        <v>3.903563004522239E-3</v>
      </c>
      <c r="AB205" s="9"/>
      <c r="AC205" s="10">
        <f t="shared" si="55"/>
        <v>-52.789999999999964</v>
      </c>
      <c r="AD205" s="8">
        <f>IFERROR(AC205/AC444, "NA")</f>
        <v>-1.9573970438447291E-3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490.43</v>
      </c>
      <c r="R206" s="8">
        <f>IFERROR(Q206/Q444, "NA")</f>
        <v>6.6859202301539045E-4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-490.43</v>
      </c>
      <c r="X206" s="8">
        <f>IFERROR(W206/W444, "NA")</f>
        <v>6.2872876231211934E-3</v>
      </c>
      <c r="Y206" s="9"/>
      <c r="Z206" s="7">
        <v>206.02</v>
      </c>
      <c r="AA206" s="8">
        <f>IFERROR(Z206/Z444, "NA")</f>
        <v>2.9158296146669313E-4</v>
      </c>
      <c r="AB206" s="9"/>
      <c r="AC206" s="10">
        <f t="shared" si="55"/>
        <v>-284.40999999999997</v>
      </c>
      <c r="AD206" s="8">
        <f>IFERROR(AC206/AC444, "NA")</f>
        <v>-1.0545620254591395E-2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762.98</v>
      </c>
      <c r="R207" s="8">
        <f>IFERROR(Q207/Q444, "NA")</f>
        <v>1.0401532159947039E-3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9.7813647425504316E-3</v>
      </c>
      <c r="Y207" s="9"/>
      <c r="Z207" s="7">
        <v>308.3</v>
      </c>
      <c r="AA207" s="8">
        <f>IFERROR(Z207/Z444, "NA")</f>
        <v>4.3634126308213521E-4</v>
      </c>
      <c r="AB207" s="9"/>
      <c r="AC207" s="10">
        <f t="shared" si="55"/>
        <v>-454.68</v>
      </c>
      <c r="AD207" s="8">
        <f>IFERROR(AC207/AC444, "NA")</f>
        <v>-1.685905072732188E-2</v>
      </c>
    </row>
    <row r="208" spans="1:30" ht="16.5" customHeight="1" x14ac:dyDescent="0.45">
      <c r="A208" s="6" t="s">
        <v>190</v>
      </c>
      <c r="B208" s="7">
        <v>290.3</v>
      </c>
      <c r="C208" s="8">
        <f>IFERROR(B208/B444, "NA")</f>
        <v>3.267039331979926E-3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-290.3</v>
      </c>
      <c r="I208" s="8">
        <f>IFERROR(H208/H444, "NA")</f>
        <v>2.9383334598547535E-2</v>
      </c>
      <c r="J208" s="9"/>
      <c r="K208" s="7">
        <v>9.5299999999999994</v>
      </c>
      <c r="L208" s="8">
        <f>IFERROR(K208/K444, "NA")</f>
        <v>1.0568838627696744E-4</v>
      </c>
      <c r="M208" s="9"/>
      <c r="N208" s="10">
        <f t="shared" si="53"/>
        <v>-280.77000000000004</v>
      </c>
      <c r="O208" s="8">
        <f>IFERROR(N208/N444, "NA")</f>
        <v>0.21375225537292661</v>
      </c>
      <c r="P208" s="9"/>
      <c r="Q208" s="7">
        <v>1198.1400000000001</v>
      </c>
      <c r="R208" s="8">
        <f>IFERROR(Q208/Q444, "NA")</f>
        <v>1.633396909764207E-3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-1198.1400000000001</v>
      </c>
      <c r="X208" s="8">
        <f>IFERROR(W208/W444, "NA")</f>
        <v>1.5360093780491461E-2</v>
      </c>
      <c r="Y208" s="9"/>
      <c r="Z208" s="7">
        <v>1017.44</v>
      </c>
      <c r="AA208" s="8">
        <f>IFERROR(Z208/Z444, "NA")</f>
        <v>1.4399969338640534E-3</v>
      </c>
      <c r="AB208" s="9"/>
      <c r="AC208" s="10">
        <f t="shared" si="55"/>
        <v>-180.70000000000005</v>
      </c>
      <c r="AD208" s="8">
        <f>IFERROR(AC208/AC444, "NA")</f>
        <v>-6.700163777661354E-3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2738.29</v>
      </c>
      <c r="C209" s="15">
        <f>IFERROR(B209/B444, "NA")</f>
        <v>3.0816745202780955E-2</v>
      </c>
      <c r="D209" s="2"/>
      <c r="E209" s="14">
        <f>IFERROR(E201+E202+E203+E204+E205+E206+E207+E208, "NA")</f>
        <v>1777.27</v>
      </c>
      <c r="F209" s="15">
        <f>IFERROR(E209/E444, "NA")</f>
        <v>1.8000047803780873E-2</v>
      </c>
      <c r="G209" s="2"/>
      <c r="H209" s="14">
        <f t="shared" si="52"/>
        <v>-961.02</v>
      </c>
      <c r="I209" s="15">
        <f>IFERROR(H209/H444, "NA")</f>
        <v>9.7271692097472107E-2</v>
      </c>
      <c r="J209" s="2"/>
      <c r="K209" s="14">
        <f>IFERROR(K201+K202+K203+K204+K205+K206+K207+K208, "NA")</f>
        <v>1994.8</v>
      </c>
      <c r="L209" s="15">
        <f>IFERROR(K209/K444, "NA")</f>
        <v>2.2122475650083386E-2</v>
      </c>
      <c r="M209" s="2"/>
      <c r="N209" s="14">
        <f t="shared" si="53"/>
        <v>-743.49</v>
      </c>
      <c r="O209" s="15">
        <f>IFERROR(N209/N444, "NA")</f>
        <v>0.56602437706028841</v>
      </c>
      <c r="P209" s="2"/>
      <c r="Q209" s="14">
        <f>IFERROR(Q201+Q202+Q203+Q204+Q205+Q206+Q207+Q208, "NA")</f>
        <v>21341.919999999998</v>
      </c>
      <c r="R209" s="15">
        <f>IFERROR(Q209/Q444, "NA")</f>
        <v>2.909495232312995E-2</v>
      </c>
      <c r="S209" s="2"/>
      <c r="T209" s="14">
        <f>IFERROR(T201+T202+T203+T204+T205+T206+T207+T208, "NA")</f>
        <v>14862.81</v>
      </c>
      <c r="U209" s="15">
        <f>IFERROR(T209/T444, "NA")</f>
        <v>1.8314554441968982E-2</v>
      </c>
      <c r="V209" s="2"/>
      <c r="W209" s="14">
        <f t="shared" si="54"/>
        <v>-6479.1099999999988</v>
      </c>
      <c r="X209" s="15">
        <f>IFERROR(W209/W444, "NA")</f>
        <v>8.3061860228454104E-2</v>
      </c>
      <c r="Y209" s="2"/>
      <c r="Z209" s="14">
        <f>IFERROR(Z201+Z202+Z203+Z204+Z205+Z206+Z207+Z208, "NA")</f>
        <v>16594.46</v>
      </c>
      <c r="AA209" s="15">
        <f>IFERROR(Z209/Z444, "NA")</f>
        <v>2.3486369239591205E-2</v>
      </c>
      <c r="AB209" s="2"/>
      <c r="AC209" s="14">
        <f t="shared" si="55"/>
        <v>-4747.4599999999991</v>
      </c>
      <c r="AD209" s="15">
        <f>IFERROR(AC209/AC444, "NA")</f>
        <v>-0.17603076661813036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4019.93</v>
      </c>
      <c r="F213" s="8">
        <f>IFERROR(E213/E444, "NA")</f>
        <v>4.0713528145893893E-2</v>
      </c>
      <c r="G213" s="9"/>
      <c r="H213" s="10">
        <f t="shared" ref="H213:H227" si="56">IFERROR(-(B213-E213), "NA")</f>
        <v>4019.93</v>
      </c>
      <c r="I213" s="8">
        <f>IFERROR(H213/H444, "NA")</f>
        <v>-0.40688580176623901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31499.24</v>
      </c>
      <c r="U213" s="8">
        <f>IFERROR(T213/T444, "NA")</f>
        <v>3.8814635042811359E-2</v>
      </c>
      <c r="V213" s="9"/>
      <c r="W213" s="10">
        <f t="shared" ref="W213:W227" si="58">IFERROR(-(Q213-T213), "NA")</f>
        <v>31499.24</v>
      </c>
      <c r="X213" s="8">
        <f>IFERROR(W213/W444, "NA")</f>
        <v>-0.40381865259002109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623.11</v>
      </c>
      <c r="C214" s="8">
        <f>IFERROR(B214/B444, "NA")</f>
        <v>7.0124866625904635E-3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-623.11</v>
      </c>
      <c r="I214" s="8">
        <f>IFERROR(H214/H444, "NA")</f>
        <v>6.3069409651053926E-2</v>
      </c>
      <c r="J214" s="9"/>
      <c r="K214" s="7">
        <v>766.38</v>
      </c>
      <c r="L214" s="8">
        <f>IFERROR(K214/K444, "NA")</f>
        <v>8.4992093887662438E-3</v>
      </c>
      <c r="M214" s="9"/>
      <c r="N214" s="10">
        <f t="shared" si="57"/>
        <v>143.26999999999998</v>
      </c>
      <c r="O214" s="8">
        <f>IFERROR(N214/N444, "NA")</f>
        <v>-0.10907249929579081</v>
      </c>
      <c r="P214" s="9"/>
      <c r="Q214" s="7">
        <v>19360.580000000002</v>
      </c>
      <c r="R214" s="8">
        <f>IFERROR(Q214/Q444, "NA")</f>
        <v>2.6393836732971698E-2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-19360.580000000002</v>
      </c>
      <c r="X214" s="8">
        <f>IFERROR(W214/W444, "NA")</f>
        <v>0.24820164959412705</v>
      </c>
      <c r="Y214" s="9"/>
      <c r="Z214" s="7">
        <v>4111.38</v>
      </c>
      <c r="AA214" s="8">
        <f>IFERROR(Z214/Z444, "NA")</f>
        <v>5.8188930983153718E-3</v>
      </c>
      <c r="AB214" s="9"/>
      <c r="AC214" s="10">
        <f t="shared" si="59"/>
        <v>-15249.2</v>
      </c>
      <c r="AD214" s="8">
        <f>IFERROR(AC214/AC444, "NA")</f>
        <v>-0.56542411443449636</v>
      </c>
    </row>
    <row r="215" spans="1:30" ht="16.5" customHeight="1" x14ac:dyDescent="0.45">
      <c r="A215" s="12" t="s">
        <v>195</v>
      </c>
      <c r="B215" s="7">
        <v>374.23</v>
      </c>
      <c r="C215" s="8">
        <f>IFERROR(B215/B444, "NA")</f>
        <v>4.2115884574813909E-3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-374.23</v>
      </c>
      <c r="I215" s="8">
        <f>IFERROR(H215/H444, "NA")</f>
        <v>3.7878488828158606E-2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-374.23</v>
      </c>
      <c r="O215" s="8">
        <f>IFERROR(N215/N444, "NA")</f>
        <v>0.28490403721270191</v>
      </c>
      <c r="P215" s="9"/>
      <c r="Q215" s="7">
        <v>567.35</v>
      </c>
      <c r="R215" s="8">
        <f>IFERROR(Q215/Q444, "NA")</f>
        <v>7.73455303015276E-4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-567.35</v>
      </c>
      <c r="X215" s="8">
        <f>IFERROR(W215/W444, "NA")</f>
        <v>7.2733981056986915E-3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-567.35</v>
      </c>
      <c r="AD215" s="8">
        <f>IFERROR(AC215/AC444, "NA")</f>
        <v>-2.1036734472917366E-2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59.53</v>
      </c>
      <c r="L216" s="8">
        <f>IFERROR(K216/K444, "NA")</f>
        <v>6.6019198689064762E-4</v>
      </c>
      <c r="M216" s="9"/>
      <c r="N216" s="10">
        <f t="shared" si="57"/>
        <v>59.53</v>
      </c>
      <c r="O216" s="8">
        <f>IFERROR(N216/N444, "NA")</f>
        <v>-4.5320624576522847E-2</v>
      </c>
      <c r="P216" s="9"/>
      <c r="Q216" s="7">
        <v>5.73</v>
      </c>
      <c r="R216" s="8">
        <f>IFERROR(Q216/Q444, "NA")</f>
        <v>7.8115781903190821E-6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7.3458308179524991E-5</v>
      </c>
      <c r="Y216" s="9"/>
      <c r="Z216" s="7">
        <v>59.53</v>
      </c>
      <c r="AA216" s="8">
        <f>IFERROR(Z216/Z444, "NA")</f>
        <v>8.4253634094322115E-5</v>
      </c>
      <c r="AB216" s="9"/>
      <c r="AC216" s="10">
        <f t="shared" si="59"/>
        <v>53.8</v>
      </c>
      <c r="AD216" s="8">
        <f>IFERROR(AC216/AC444, "NA")</f>
        <v>1.9948467694420628E-3</v>
      </c>
    </row>
    <row r="217" spans="1:30" ht="16.5" customHeight="1" x14ac:dyDescent="0.45">
      <c r="A217" s="12" t="s">
        <v>197</v>
      </c>
      <c r="B217" s="7">
        <v>455.64</v>
      </c>
      <c r="C217" s="8">
        <f>IFERROR(B217/B444, "NA")</f>
        <v>5.1277774757951542E-3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-455.64</v>
      </c>
      <c r="I217" s="8">
        <f>IFERROR(H217/H444, "NA")</f>
        <v>4.6118575874895616E-2</v>
      </c>
      <c r="J217" s="9"/>
      <c r="K217" s="7">
        <v>4017.4</v>
      </c>
      <c r="L217" s="8">
        <f>IFERROR(K217/K444, "NA")</f>
        <v>4.4553255302107977E-2</v>
      </c>
      <c r="M217" s="9"/>
      <c r="N217" s="10">
        <f t="shared" si="57"/>
        <v>3561.76</v>
      </c>
      <c r="O217" s="8">
        <f>IFERROR(N217/N444, "NA")</f>
        <v>-2.7115939491294476</v>
      </c>
      <c r="P217" s="9"/>
      <c r="Q217" s="7">
        <v>18560.13</v>
      </c>
      <c r="R217" s="8">
        <f>IFERROR(Q217/Q444, "NA")</f>
        <v>2.5302601521376426E-2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-18560.13</v>
      </c>
      <c r="X217" s="8">
        <f>IFERROR(W217/W444, "NA")</f>
        <v>0.23793992135986861</v>
      </c>
      <c r="Y217" s="9"/>
      <c r="Z217" s="7">
        <v>5776.87</v>
      </c>
      <c r="AA217" s="8">
        <f>IFERROR(Z217/Z444, "NA")</f>
        <v>8.1760841792451969E-3</v>
      </c>
      <c r="AB217" s="9"/>
      <c r="AC217" s="10">
        <f t="shared" si="59"/>
        <v>-12783.260000000002</v>
      </c>
      <c r="AD217" s="8">
        <f>IFERROR(AC217/AC444, "NA")</f>
        <v>-0.47398968241520351</v>
      </c>
    </row>
    <row r="218" spans="1:30" ht="16.5" customHeight="1" x14ac:dyDescent="0.45">
      <c r="A218" s="13" t="s">
        <v>198</v>
      </c>
      <c r="B218" s="14">
        <f>IFERROR(B213+B214+B215+B216+B217, "NA")</f>
        <v>1452.98</v>
      </c>
      <c r="C218" s="15">
        <f>IFERROR(B218/B444, "NA")</f>
        <v>1.6351852595867009E-2</v>
      </c>
      <c r="D218" s="2"/>
      <c r="E218" s="14">
        <f>IFERROR(E213+E214+E215+E216+E217, "NA")</f>
        <v>4019.93</v>
      </c>
      <c r="F218" s="15">
        <f>IFERROR(E218/E444, "NA")</f>
        <v>4.0713528145893893E-2</v>
      </c>
      <c r="G218" s="2"/>
      <c r="H218" s="14">
        <f t="shared" si="56"/>
        <v>2566.9499999999998</v>
      </c>
      <c r="I218" s="15">
        <f>IFERROR(H218/H444, "NA")</f>
        <v>-0.25981932741213087</v>
      </c>
      <c r="J218" s="2"/>
      <c r="K218" s="14">
        <f>IFERROR(K213+K214+K215+K216+K217, "NA")</f>
        <v>4843.3100000000004</v>
      </c>
      <c r="L218" s="15">
        <f>IFERROR(K218/K444, "NA")</f>
        <v>5.371265667776487E-2</v>
      </c>
      <c r="M218" s="2"/>
      <c r="N218" s="14">
        <f t="shared" si="57"/>
        <v>3390.3300000000004</v>
      </c>
      <c r="O218" s="15">
        <f>IFERROR(N218/N444, "NA")</f>
        <v>-2.5810830357890597</v>
      </c>
      <c r="P218" s="2"/>
      <c r="Q218" s="14">
        <f>IFERROR(Q213+Q214+Q215+Q216+Q217, "NA")</f>
        <v>38493.79</v>
      </c>
      <c r="R218" s="15">
        <f>IFERROR(Q218/Q444, "NA")</f>
        <v>5.2477705135553714E-2</v>
      </c>
      <c r="S218" s="2"/>
      <c r="T218" s="14">
        <f>IFERROR(T213+T214+T215+T216+T217, "NA")</f>
        <v>31499.24</v>
      </c>
      <c r="U218" s="15">
        <f>IFERROR(T218/T444, "NA")</f>
        <v>3.8814635042811359E-2</v>
      </c>
      <c r="V218" s="2"/>
      <c r="W218" s="14">
        <f t="shared" si="58"/>
        <v>-6994.5499999999993</v>
      </c>
      <c r="X218" s="15">
        <f>IFERROR(W218/W444, "NA")</f>
        <v>8.966977477785279E-2</v>
      </c>
      <c r="Y218" s="2"/>
      <c r="Z218" s="14">
        <f>IFERROR(Z213+Z214+Z215+Z216+Z217, "NA")</f>
        <v>9947.7799999999988</v>
      </c>
      <c r="AA218" s="15">
        <f>IFERROR(Z218/Z444, "NA")</f>
        <v>1.4079230911654889E-2</v>
      </c>
      <c r="AB218" s="2"/>
      <c r="AC218" s="14">
        <f t="shared" si="59"/>
        <v>-28546.010000000002</v>
      </c>
      <c r="AD218" s="15">
        <f>IFERROR(AC218/AC444, "NA")</f>
        <v>-1.0584556845531752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1255.93</v>
      </c>
      <c r="R222" s="8">
        <f>IFERROR(Q222/Q444, "NA")</f>
        <v>1.7121806974812295E-3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-1255.93</v>
      </c>
      <c r="X222" s="8">
        <f>IFERROR(W222/W444, "NA")</f>
        <v>1.6100958637331731E-2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-1255.93</v>
      </c>
      <c r="AD222" s="8">
        <f>IFERROR(AC222/AC444, "NA")</f>
        <v>-4.6568548385601677E-2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98.74</v>
      </c>
      <c r="F226" s="8">
        <f>IFERROR(E226/E444, "NA")</f>
        <v>1.0000307888758169E-3</v>
      </c>
      <c r="G226" s="9"/>
      <c r="H226" s="10">
        <f t="shared" si="56"/>
        <v>98.74</v>
      </c>
      <c r="I226" s="8">
        <f>IFERROR(H226/H444, "NA")</f>
        <v>-9.9941800146764841E-3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811.53</v>
      </c>
      <c r="U226" s="8">
        <f>IFERROR(T226/T444, "NA")</f>
        <v>1.0000000246448073E-3</v>
      </c>
      <c r="V226" s="9"/>
      <c r="W226" s="10">
        <f t="shared" si="58"/>
        <v>811.53</v>
      </c>
      <c r="X226" s="8">
        <f>IFERROR(W226/W444, "NA")</f>
        <v>-1.0403773269970317E-2</v>
      </c>
      <c r="Y226" s="9"/>
      <c r="Z226" s="7">
        <v>1334.74</v>
      </c>
      <c r="AA226" s="8">
        <f>IFERROR(Z226/Z444, "NA")</f>
        <v>1.8890760216874769E-3</v>
      </c>
      <c r="AB226" s="9"/>
      <c r="AC226" s="10">
        <f t="shared" si="59"/>
        <v>1334.74</v>
      </c>
      <c r="AD226" s="8">
        <f>IFERROR(AC226/AC444, "NA")</f>
        <v>4.9490739350280651E-2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1452.98</v>
      </c>
      <c r="C227" s="15">
        <f>IFERROR(B227/B444, "NA")</f>
        <v>1.6351852595867009E-2</v>
      </c>
      <c r="D227" s="2"/>
      <c r="E227" s="14">
        <f>IFERROR(E211+E213+E214+E215+E216+E217+E219+E220+E221+E222+E223+E224+E225+E226, "NA")</f>
        <v>4118.67</v>
      </c>
      <c r="F227" s="15">
        <f>IFERROR(E227/E444, "NA")</f>
        <v>4.1713558934769711E-2</v>
      </c>
      <c r="G227" s="2"/>
      <c r="H227" s="14">
        <f t="shared" si="56"/>
        <v>2665.69</v>
      </c>
      <c r="I227" s="15">
        <f>IFERROR(H227/H444, "NA")</f>
        <v>-0.26981350742680738</v>
      </c>
      <c r="J227" s="2"/>
      <c r="K227" s="14">
        <f>IFERROR(K211+K213+K214+K215+K216+K217+K219+K220+K221+K222+K223+K224+K225+K226, "NA")</f>
        <v>4843.3100000000004</v>
      </c>
      <c r="L227" s="15">
        <f>IFERROR(K227/K444, "NA")</f>
        <v>5.371265667776487E-2</v>
      </c>
      <c r="M227" s="2"/>
      <c r="N227" s="14">
        <f t="shared" si="57"/>
        <v>3390.3300000000004</v>
      </c>
      <c r="O227" s="15">
        <f>IFERROR(N227/N444, "NA")</f>
        <v>-2.5810830357890597</v>
      </c>
      <c r="P227" s="2"/>
      <c r="Q227" s="14">
        <f>IFERROR(Q211+Q213+Q214+Q215+Q216+Q217+Q219+Q220+Q221+Q222+Q223+Q224+Q225+Q226, "NA")</f>
        <v>39749.72</v>
      </c>
      <c r="R227" s="15">
        <f>IFERROR(Q227/Q444, "NA")</f>
        <v>5.4189885833034947E-2</v>
      </c>
      <c r="S227" s="2"/>
      <c r="T227" s="14">
        <f>IFERROR(T211+T213+T214+T215+T216+T217+T219+T220+T221+T222+T223+T224+T225+T226, "NA")</f>
        <v>32310.77</v>
      </c>
      <c r="U227" s="15">
        <f>IFERROR(T227/T444, "NA")</f>
        <v>3.9814635067456167E-2</v>
      </c>
      <c r="V227" s="2"/>
      <c r="W227" s="14">
        <f t="shared" si="58"/>
        <v>-7438.9500000000007</v>
      </c>
      <c r="X227" s="15">
        <f>IFERROR(W227/W444, "NA")</f>
        <v>9.5366960145214216E-2</v>
      </c>
      <c r="Y227" s="2"/>
      <c r="Z227" s="14">
        <f>IFERROR(Z211+Z213+Z214+Z215+Z216+Z217+Z219+Z220+Z221+Z222+Z223+Z224+Z225+Z226, "NA")</f>
        <v>11282.519999999999</v>
      </c>
      <c r="AA227" s="15">
        <f>IFERROR(Z227/Z444, "NA")</f>
        <v>1.5968306933342367E-2</v>
      </c>
      <c r="AB227" s="2"/>
      <c r="AC227" s="14">
        <f t="shared" si="59"/>
        <v>-28467.200000000004</v>
      </c>
      <c r="AD227" s="15">
        <f>IFERROR(AC227/AC444, "NA")</f>
        <v>-1.0555334935884964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1303.33</v>
      </c>
      <c r="F229" s="8">
        <f>IFERROR(E229/E444, "NA")</f>
        <v>1.320002155221307E-2</v>
      </c>
      <c r="G229" s="9"/>
      <c r="H229" s="10">
        <f t="shared" ref="H229:H236" si="60">IFERROR(-(B229-E229), "NA")</f>
        <v>1303.33</v>
      </c>
      <c r="I229" s="8">
        <f>IFERROR(H229/H444, "NA")</f>
        <v>-0.13191932994255925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10712.21</v>
      </c>
      <c r="U229" s="8">
        <f>IFERROR(T229/T444, "NA")</f>
        <v>1.3200017576676588E-2</v>
      </c>
      <c r="V229" s="9"/>
      <c r="W229" s="10">
        <f t="shared" ref="W229:W236" si="62">IFERROR(-(Q229-T229), "NA")</f>
        <v>10712.21</v>
      </c>
      <c r="X229" s="8">
        <f>IFERROR(W229/W444, "NA")</f>
        <v>-0.13732998664289517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-6.3689123706442042E-5</v>
      </c>
      <c r="AB230" s="9"/>
      <c r="AC230" s="10">
        <f t="shared" si="63"/>
        <v>-45</v>
      </c>
      <c r="AD230" s="8">
        <f>IFERROR(AC230/AC444, "NA")</f>
        <v>-1.6685521305742162E-3</v>
      </c>
    </row>
    <row r="231" spans="1:30" ht="16.5" customHeight="1" x14ac:dyDescent="0.45">
      <c r="A231" s="6" t="s">
        <v>210</v>
      </c>
      <c r="B231" s="7">
        <v>133</v>
      </c>
      <c r="C231" s="8">
        <f>IFERROR(B231/B444, "NA")</f>
        <v>1.4967834349064076E-3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-133</v>
      </c>
      <c r="I231" s="8">
        <f>IFERROR(H231/H444, "NA")</f>
        <v>1.3461879096130974E-2</v>
      </c>
      <c r="J231" s="9"/>
      <c r="K231" s="7">
        <v>242.2</v>
      </c>
      <c r="L231" s="8">
        <f>IFERROR(K231/K444, "NA")</f>
        <v>2.6860154413726666E-3</v>
      </c>
      <c r="M231" s="9"/>
      <c r="N231" s="10">
        <f t="shared" si="61"/>
        <v>109.19999999999999</v>
      </c>
      <c r="O231" s="8">
        <f>IFERROR(N231/N444, "NA")</f>
        <v>-8.3134759008168899E-2</v>
      </c>
      <c r="P231" s="9"/>
      <c r="Q231" s="7">
        <v>1795.13</v>
      </c>
      <c r="R231" s="8">
        <f>IFERROR(Q231/Q444, "NA")</f>
        <v>2.4472597481304528E-3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-1795.13</v>
      </c>
      <c r="X231" s="8">
        <f>IFERROR(W231/W444, "NA")</f>
        <v>2.3013475176668532E-2</v>
      </c>
      <c r="Y231" s="9"/>
      <c r="Z231" s="7">
        <v>2673.43</v>
      </c>
      <c r="AA231" s="8">
        <f>IFERROR(Z231/Z444, "NA")</f>
        <v>3.7837425331225189E-3</v>
      </c>
      <c r="AB231" s="9"/>
      <c r="AC231" s="10">
        <f t="shared" si="63"/>
        <v>878.29999999999973</v>
      </c>
      <c r="AD231" s="8">
        <f>IFERROR(AC231/AC444, "NA")</f>
        <v>3.2566429695185188E-2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981.24</v>
      </c>
      <c r="C234" s="8">
        <f>IFERROR(B234/B444, "NA")</f>
        <v>1.1042885546372658E-2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-981.24</v>
      </c>
      <c r="I234" s="8">
        <f>IFERROR(H234/H444, "NA")</f>
        <v>9.9318302588628254E-2</v>
      </c>
      <c r="J234" s="9"/>
      <c r="K234" s="7">
        <v>1535.78</v>
      </c>
      <c r="L234" s="8">
        <f>IFERROR(K234/K444, "NA")</f>
        <v>1.7031910795009556E-2</v>
      </c>
      <c r="M234" s="9"/>
      <c r="N234" s="10">
        <f t="shared" si="61"/>
        <v>554.54</v>
      </c>
      <c r="O234" s="8">
        <f>IFERROR(N234/N444, "NA")</f>
        <v>-0.42217535952738078</v>
      </c>
      <c r="P234" s="9"/>
      <c r="Q234" s="7">
        <v>7983.77</v>
      </c>
      <c r="R234" s="8">
        <f>IFERROR(Q234/Q444, "NA")</f>
        <v>1.0884091380196123E-2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-7983.77</v>
      </c>
      <c r="X234" s="8">
        <f>IFERROR(W234/W444, "NA")</f>
        <v>0.10235152479833268</v>
      </c>
      <c r="Y234" s="9"/>
      <c r="Z234" s="7">
        <v>11435.61</v>
      </c>
      <c r="AA234" s="8">
        <f>IFERROR(Z234/Z444, "NA")</f>
        <v>1.6184977332191684E-2</v>
      </c>
      <c r="AB234" s="9"/>
      <c r="AC234" s="10">
        <f t="shared" si="63"/>
        <v>3451.84</v>
      </c>
      <c r="AD234" s="8">
        <f>IFERROR(AC234/AC444, "NA")</f>
        <v>0.12799055525336228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1114.24</v>
      </c>
      <c r="C236" s="15">
        <f>IFERROR(B236/B444, "NA")</f>
        <v>1.2539668981279065E-2</v>
      </c>
      <c r="D236" s="2"/>
      <c r="E236" s="14">
        <f>IFERROR(E229+E230+E231+E232+E233+E234+E235, "NA")</f>
        <v>1303.33</v>
      </c>
      <c r="F236" s="15">
        <f>IFERROR(E236/E444, "NA")</f>
        <v>1.320002155221307E-2</v>
      </c>
      <c r="G236" s="2"/>
      <c r="H236" s="14">
        <f t="shared" si="60"/>
        <v>189.08999999999992</v>
      </c>
      <c r="I236" s="15">
        <f>IFERROR(H236/H444, "NA")</f>
        <v>-1.9139148257800036E-2</v>
      </c>
      <c r="J236" s="2"/>
      <c r="K236" s="14">
        <f>IFERROR(K229+K230+K231+K232+K233+K234+K235, "NA")</f>
        <v>1777.98</v>
      </c>
      <c r="L236" s="15">
        <f>IFERROR(K236/K444, "NA")</f>
        <v>1.9717926236382223E-2</v>
      </c>
      <c r="M236" s="2"/>
      <c r="N236" s="14">
        <f t="shared" si="61"/>
        <v>663.74</v>
      </c>
      <c r="O236" s="15">
        <f>IFERROR(N236/N444, "NA")</f>
        <v>-0.50531011853554975</v>
      </c>
      <c r="P236" s="2"/>
      <c r="Q236" s="14">
        <f>IFERROR(Q229+Q230+Q231+Q232+Q233+Q234+Q235, "NA")</f>
        <v>9778.9000000000015</v>
      </c>
      <c r="R236" s="15">
        <f>IFERROR(Q236/Q444, "NA")</f>
        <v>1.3331351128326577E-2</v>
      </c>
      <c r="S236" s="2"/>
      <c r="T236" s="14">
        <f>IFERROR(T229+T230+T231+T232+T233+T234+T235, "NA")</f>
        <v>10712.21</v>
      </c>
      <c r="U236" s="15">
        <f>IFERROR(T236/T444, "NA")</f>
        <v>1.3200017576676588E-2</v>
      </c>
      <c r="V236" s="2"/>
      <c r="W236" s="14">
        <f t="shared" si="62"/>
        <v>933.30999999999767</v>
      </c>
      <c r="X236" s="15">
        <f>IFERROR(W236/W444, "NA")</f>
        <v>-1.1964986667893944E-2</v>
      </c>
      <c r="Y236" s="2"/>
      <c r="Z236" s="14">
        <f>IFERROR(Z229+Z230+Z231+Z232+Z233+Z234+Z235, "NA")</f>
        <v>14064.04</v>
      </c>
      <c r="AA236" s="15">
        <f>IFERROR(Z236/Z444, "NA")</f>
        <v>1.9905030741607762E-2</v>
      </c>
      <c r="AB236" s="2"/>
      <c r="AC236" s="14">
        <f t="shared" si="63"/>
        <v>4285.1399999999994</v>
      </c>
      <c r="AD236" s="15">
        <f>IFERROR(AC236/AC444, "NA")</f>
        <v>0.15888843281797324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6029.27</v>
      </c>
      <c r="F240" s="8">
        <f>IFERROR(E240/E444, "NA")</f>
        <v>6.1063962269042919E-2</v>
      </c>
      <c r="G240" s="9"/>
      <c r="H240" s="10">
        <f t="shared" ref="H240:H263" si="64">IFERROR(-(B240-E240), "NA")</f>
        <v>6029.27</v>
      </c>
      <c r="I240" s="8">
        <f>IFERROR(H240/H444, "NA")</f>
        <v>-0.61026544193932042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49880.25</v>
      </c>
      <c r="U240" s="8">
        <f>IFERROR(T240/T444, "NA")</f>
        <v>6.1464457542283281E-2</v>
      </c>
      <c r="V240" s="9"/>
      <c r="W240" s="10">
        <f t="shared" ref="W240:W263" si="66">IFERROR(-(Q240-T240), "NA")</f>
        <v>49880.25</v>
      </c>
      <c r="X240" s="8">
        <f>IFERROR(W240/W444, "NA")</f>
        <v>-0.6394622646722079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1233.99</v>
      </c>
      <c r="C242" s="8">
        <f>IFERROR(B242/B444, "NA")</f>
        <v>1.388733677323427E-2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-1233.99</v>
      </c>
      <c r="I242" s="8">
        <f>IFERROR(H242/H444, "NA")</f>
        <v>0.12490093372808017</v>
      </c>
      <c r="J242" s="9"/>
      <c r="K242" s="7">
        <v>1005.7</v>
      </c>
      <c r="L242" s="8">
        <f>IFERROR(K242/K444, "NA")</f>
        <v>1.1153285422743565E-2</v>
      </c>
      <c r="M242" s="9"/>
      <c r="N242" s="10">
        <f t="shared" si="65"/>
        <v>-228.28999999999996</v>
      </c>
      <c r="O242" s="8">
        <f>IFERROR(N242/N444, "NA")</f>
        <v>0.17379884738072229</v>
      </c>
      <c r="P242" s="9"/>
      <c r="Q242" s="7">
        <v>11366.16</v>
      </c>
      <c r="R242" s="8">
        <f>IFERROR(Q242/Q444, "NA")</f>
        <v>1.5495226450903515E-2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-11366.16</v>
      </c>
      <c r="X242" s="8">
        <f>IFERROR(W242/W444, "NA")</f>
        <v>0.14571359233818321</v>
      </c>
      <c r="Y242" s="9"/>
      <c r="Z242" s="7">
        <v>8537.3799999999992</v>
      </c>
      <c r="AA242" s="8">
        <f>IFERROR(Z242/Z444, "NA")</f>
        <v>1.2083072243308981E-2</v>
      </c>
      <c r="AB242" s="9"/>
      <c r="AC242" s="10">
        <f t="shared" si="67"/>
        <v>-2828.7800000000007</v>
      </c>
      <c r="AD242" s="8">
        <f>IFERROR(AC242/AC444, "NA")</f>
        <v>-0.10488815324279405</v>
      </c>
    </row>
    <row r="243" spans="1:30" ht="16.5" customHeight="1" x14ac:dyDescent="0.45">
      <c r="A243" s="12" t="s">
        <v>220</v>
      </c>
      <c r="B243" s="7">
        <v>1718.71</v>
      </c>
      <c r="C243" s="8">
        <f>IFERROR(B243/B444, "NA")</f>
        <v>1.9342380882766855E-2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-1718.71</v>
      </c>
      <c r="I243" s="8">
        <f>IFERROR(H243/H444, "NA")</f>
        <v>0.17396290391963359</v>
      </c>
      <c r="J243" s="9"/>
      <c r="K243" s="7">
        <v>2436.56</v>
      </c>
      <c r="L243" s="8">
        <f>IFERROR(K243/K444, "NA")</f>
        <v>2.7021625862225371E-2</v>
      </c>
      <c r="M243" s="9"/>
      <c r="N243" s="10">
        <f t="shared" si="65"/>
        <v>717.84999999999991</v>
      </c>
      <c r="O243" s="8">
        <f>IFERROR(N243/N444, "NA")</f>
        <v>-0.54650445745434106</v>
      </c>
      <c r="P243" s="9"/>
      <c r="Q243" s="7">
        <v>10287.11</v>
      </c>
      <c r="R243" s="8">
        <f>IFERROR(Q243/Q444, "NA")</f>
        <v>1.4024182219443864E-2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-10287.11</v>
      </c>
      <c r="X243" s="8">
        <f>IFERROR(W243/W444, "NA")</f>
        <v>0.13188022629261315</v>
      </c>
      <c r="Y243" s="9"/>
      <c r="Z243" s="7">
        <v>17857.64</v>
      </c>
      <c r="AA243" s="8">
        <f>IFERROR(Z243/Z444, "NA")</f>
        <v>2.5274165401446839E-2</v>
      </c>
      <c r="AB243" s="9"/>
      <c r="AC243" s="10">
        <f t="shared" si="67"/>
        <v>7570.5299999999988</v>
      </c>
      <c r="AD243" s="8">
        <f>IFERROR(AC243/AC444, "NA")</f>
        <v>0.28070719913502262</v>
      </c>
    </row>
    <row r="244" spans="1:30" ht="16.5" customHeight="1" x14ac:dyDescent="0.45">
      <c r="A244" s="12" t="s">
        <v>221</v>
      </c>
      <c r="B244" s="7">
        <v>763.44</v>
      </c>
      <c r="C244" s="8">
        <f>IFERROR(B244/B444, "NA")</f>
        <v>8.5917619965785556E-3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-763.44</v>
      </c>
      <c r="I244" s="8">
        <f>IFERROR(H244/H444, "NA")</f>
        <v>7.7273210354513025E-2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-763.44</v>
      </c>
      <c r="O244" s="8">
        <f>IFERROR(N244/N444, "NA")</f>
        <v>0.58121245803293475</v>
      </c>
      <c r="P244" s="9"/>
      <c r="Q244" s="7">
        <v>4715.34</v>
      </c>
      <c r="R244" s="8">
        <f>IFERROR(Q244/Q444, "NA")</f>
        <v>6.4283153759056161E-3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-4715.34</v>
      </c>
      <c r="X244" s="8">
        <f>IFERROR(W244/W444, "NA")</f>
        <v>6.0450418654666903E-2</v>
      </c>
      <c r="Y244" s="9"/>
      <c r="Z244" s="7">
        <v>405.63</v>
      </c>
      <c r="AA244" s="8">
        <f>IFERROR(Z244/Z444, "NA")</f>
        <v>5.7409376108986867E-4</v>
      </c>
      <c r="AB244" s="9"/>
      <c r="AC244" s="10">
        <f t="shared" si="67"/>
        <v>-4309.71</v>
      </c>
      <c r="AD244" s="8">
        <f>IFERROR(AC244/AC444, "NA")</f>
        <v>-0.15979946228126676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327.11</v>
      </c>
      <c r="C246" s="8">
        <f>IFERROR(B246/B444, "NA")</f>
        <v>3.6812994691145491E-3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-327.11</v>
      </c>
      <c r="I246" s="8">
        <f>IFERROR(H246/H444, "NA")</f>
        <v>3.310913737695792E-2</v>
      </c>
      <c r="J246" s="9"/>
      <c r="K246" s="7">
        <v>164.37</v>
      </c>
      <c r="L246" s="8">
        <f>IFERROR(K246/K444, "NA")</f>
        <v>1.8228751366574122E-3</v>
      </c>
      <c r="M246" s="9"/>
      <c r="N246" s="10">
        <f t="shared" si="65"/>
        <v>-162.74</v>
      </c>
      <c r="O246" s="8">
        <f>IFERROR(N246/N444, "NA")</f>
        <v>0.12389515275631326</v>
      </c>
      <c r="P246" s="9"/>
      <c r="Q246" s="7">
        <v>3219.3</v>
      </c>
      <c r="R246" s="8">
        <f>IFERROR(Q246/Q444, "NA")</f>
        <v>4.3887981968750824E-3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-3219.3</v>
      </c>
      <c r="X246" s="8">
        <f>IFERROR(W246/W444, "NA")</f>
        <v>4.1271262045784435E-2</v>
      </c>
      <c r="Y246" s="9"/>
      <c r="Z246" s="7">
        <v>250.79</v>
      </c>
      <c r="AA246" s="8">
        <f>IFERROR(Z246/Z444, "NA")</f>
        <v>3.5494656298530223E-4</v>
      </c>
      <c r="AB246" s="9"/>
      <c r="AC246" s="10">
        <f t="shared" si="67"/>
        <v>-2968.51</v>
      </c>
      <c r="AD246" s="8">
        <f>IFERROR(AC246/AC444, "NA")</f>
        <v>-0.11006919300290814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141.09</v>
      </c>
      <c r="AA247" s="8">
        <f>IFERROR(Z247/Z444, "NA")</f>
        <v>1.9968663252759798E-4</v>
      </c>
      <c r="AB247" s="9"/>
      <c r="AC247" s="10">
        <f t="shared" si="67"/>
        <v>141.09</v>
      </c>
      <c r="AD247" s="8">
        <f>IFERROR(AC247/AC444, "NA")</f>
        <v>5.2314671133936921E-3</v>
      </c>
    </row>
    <row r="248" spans="1:30" ht="16.5" customHeight="1" x14ac:dyDescent="0.45">
      <c r="A248" s="12" t="s">
        <v>225</v>
      </c>
      <c r="B248" s="7">
        <v>270.29000000000002</v>
      </c>
      <c r="C248" s="8">
        <f>IFERROR(B248/B444, "NA")</f>
        <v>3.0418465760966387E-3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-270.29000000000002</v>
      </c>
      <c r="I248" s="8">
        <f>IFERROR(H248/H444, "NA")</f>
        <v>2.7357979705964222E-2</v>
      </c>
      <c r="J248" s="9"/>
      <c r="K248" s="7">
        <v>270.29000000000002</v>
      </c>
      <c r="L248" s="8">
        <f>IFERROR(K248/K444, "NA")</f>
        <v>2.9975355641974327E-3</v>
      </c>
      <c r="M248" s="9"/>
      <c r="N248" s="10">
        <f t="shared" si="65"/>
        <v>0</v>
      </c>
      <c r="O248" s="8">
        <f>IFERROR(N248/N444, "NA")</f>
        <v>0</v>
      </c>
      <c r="P248" s="9"/>
      <c r="Q248" s="7">
        <v>2128.2399999999998</v>
      </c>
      <c r="R248" s="8">
        <f>IFERROR(Q248/Q444, "NA")</f>
        <v>2.9013810065906948E-3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-2128.2399999999998</v>
      </c>
      <c r="X248" s="8">
        <f>IFERROR(W248/W444, "NA")</f>
        <v>2.7283928411866012E-2</v>
      </c>
      <c r="Y248" s="9"/>
      <c r="Z248" s="7">
        <v>1991.67</v>
      </c>
      <c r="AA248" s="8">
        <f>IFERROR(Z248/Z444, "NA")</f>
        <v>2.8188381558313207E-3</v>
      </c>
      <c r="AB248" s="9"/>
      <c r="AC248" s="10">
        <f t="shared" si="67"/>
        <v>-136.56999999999971</v>
      </c>
      <c r="AD248" s="8">
        <f>IFERROR(AC248/AC444, "NA")</f>
        <v>-5.0638703216115601E-3</v>
      </c>
    </row>
    <row r="249" spans="1:30" ht="16.5" customHeight="1" x14ac:dyDescent="0.45">
      <c r="A249" s="12" t="s">
        <v>226</v>
      </c>
      <c r="B249" s="7">
        <v>982.84</v>
      </c>
      <c r="C249" s="8">
        <f>IFERROR(B249/B444, "NA")</f>
        <v>1.1060891963634689E-2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-982.84</v>
      </c>
      <c r="I249" s="8">
        <f>IFERROR(H249/H444, "NA")</f>
        <v>9.9480250006326071E-2</v>
      </c>
      <c r="J249" s="9"/>
      <c r="K249" s="7">
        <v>1007.11</v>
      </c>
      <c r="L249" s="8">
        <f>IFERROR(K249/K444, "NA")</f>
        <v>1.1168922424280869E-2</v>
      </c>
      <c r="M249" s="9"/>
      <c r="N249" s="10">
        <f t="shared" si="65"/>
        <v>24.269999999999982</v>
      </c>
      <c r="O249" s="8">
        <f>IFERROR(N249/N444, "NA")</f>
        <v>-1.8476928581760602E-2</v>
      </c>
      <c r="P249" s="9"/>
      <c r="Q249" s="7">
        <v>13763.47</v>
      </c>
      <c r="R249" s="8">
        <f>IFERROR(Q249/Q444, "NA")</f>
        <v>1.8763424445918143E-2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-13763.47</v>
      </c>
      <c r="X249" s="8">
        <f>IFERROR(W249/W444, "NA")</f>
        <v>0.17644698444670973</v>
      </c>
      <c r="Y249" s="9"/>
      <c r="Z249" s="7">
        <v>10706.08</v>
      </c>
      <c r="AA249" s="8">
        <f>IFERROR(Z249/Z444, "NA")</f>
        <v>1.5152463411801447E-2</v>
      </c>
      <c r="AB249" s="9"/>
      <c r="AC249" s="10">
        <f t="shared" si="67"/>
        <v>-3057.3899999999994</v>
      </c>
      <c r="AD249" s="8">
        <f>IFERROR(AC249/AC444, "NA")</f>
        <v>-0.11336476885547336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8.4918831608589393E-7</v>
      </c>
      <c r="AB250" s="9"/>
      <c r="AC250" s="10">
        <f t="shared" si="67"/>
        <v>0.6</v>
      </c>
      <c r="AD250" s="8">
        <f>IFERROR(AC250/AC444, "NA")</f>
        <v>2.2247361740989548E-5</v>
      </c>
    </row>
    <row r="251" spans="1:30" ht="16.5" customHeight="1" x14ac:dyDescent="0.45">
      <c r="A251" s="12" t="s">
        <v>228</v>
      </c>
      <c r="B251" s="7">
        <v>85.24</v>
      </c>
      <c r="C251" s="8">
        <f>IFERROR(B251/B444, "NA")</f>
        <v>9.5929187963475319E-4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-85.24</v>
      </c>
      <c r="I251" s="8">
        <f>IFERROR(H251/H444, "NA")</f>
        <v>8.6277486778511599E-3</v>
      </c>
      <c r="J251" s="9"/>
      <c r="K251" s="7">
        <v>118.95</v>
      </c>
      <c r="L251" s="8">
        <f>IFERROR(K251/K444, "NA")</f>
        <v>1.3191640658599452E-3</v>
      </c>
      <c r="M251" s="9"/>
      <c r="N251" s="10">
        <f t="shared" si="65"/>
        <v>33.710000000000008</v>
      </c>
      <c r="O251" s="8">
        <f>IFERROR(N251/N444, "NA")</f>
        <v>-2.5663669653529068E-2</v>
      </c>
      <c r="P251" s="9"/>
      <c r="Q251" s="7">
        <v>433.71</v>
      </c>
      <c r="R251" s="8">
        <f>IFERROR(Q251/Q444, "NA")</f>
        <v>5.9126694187142917E-4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-433.71</v>
      </c>
      <c r="X251" s="8">
        <f>IFERROR(W251/W444, "NA")</f>
        <v>5.5601401117873961E-3</v>
      </c>
      <c r="Y251" s="9"/>
      <c r="Z251" s="7">
        <v>478.06</v>
      </c>
      <c r="AA251" s="8">
        <f>IFERROR(Z251/Z444, "NA")</f>
        <v>6.766049439800375E-4</v>
      </c>
      <c r="AB251" s="9"/>
      <c r="AC251" s="10">
        <f t="shared" si="67"/>
        <v>44.350000000000023</v>
      </c>
      <c r="AD251" s="8">
        <f>IFERROR(AC251/AC444, "NA")</f>
        <v>1.6444508220214782E-3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224.54</v>
      </c>
      <c r="AA255" s="8">
        <f>IFERROR(Z255/Z444, "NA")</f>
        <v>3.177945741565444E-4</v>
      </c>
      <c r="AB255" s="9"/>
      <c r="AC255" s="10">
        <f t="shared" si="67"/>
        <v>224.54</v>
      </c>
      <c r="AD255" s="8">
        <f>IFERROR(AC255/AC444, "NA")</f>
        <v>8.3257043422029879E-3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40.520000000000003</v>
      </c>
      <c r="L256" s="8">
        <f>IFERROR(K256/K444, "NA")</f>
        <v>4.4936971793732648E-4</v>
      </c>
      <c r="M256" s="9"/>
      <c r="N256" s="10">
        <f t="shared" si="65"/>
        <v>40.520000000000003</v>
      </c>
      <c r="O256" s="8">
        <f>IFERROR(N256/N444, "NA")</f>
        <v>-3.0848172481785754E-2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78.069999999999993</v>
      </c>
      <c r="AA256" s="8">
        <f>IFERROR(Z256/Z444, "NA")</f>
        <v>1.1049355306137622E-4</v>
      </c>
      <c r="AB256" s="9"/>
      <c r="AC256" s="10">
        <f t="shared" si="67"/>
        <v>78.069999999999993</v>
      </c>
      <c r="AD256" s="8">
        <f>IFERROR(AC256/AC444, "NA")</f>
        <v>2.8947525518650897E-3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1389.1</v>
      </c>
      <c r="C258" s="8">
        <f>IFERROR(B258/B444, "NA")</f>
        <v>1.563294638668038E-2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-1389.1</v>
      </c>
      <c r="I258" s="8">
        <f>IFERROR(H258/H444, "NA")</f>
        <v>0.14060072370252283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-1389.1</v>
      </c>
      <c r="O258" s="8">
        <f>IFERROR(N258/N444, "NA")</f>
        <v>1.0575319939399945</v>
      </c>
      <c r="P258" s="9"/>
      <c r="Q258" s="7">
        <v>3558.53</v>
      </c>
      <c r="R258" s="8">
        <f>IFERROR(Q258/Q444, "NA")</f>
        <v>4.8512627116223672E-3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-3558.53</v>
      </c>
      <c r="X258" s="8">
        <f>IFERROR(W258/W444, "NA")</f>
        <v>4.5620173369299313E-2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-3558.53</v>
      </c>
      <c r="AD258" s="8">
        <f>IFERROR(AC258/AC444, "NA")</f>
        <v>-0.13194650696027257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6770.7199999999993</v>
      </c>
      <c r="C262" s="15">
        <f>IFERROR(B262/B444, "NA")</f>
        <v>7.6197755927740682E-2</v>
      </c>
      <c r="D262" s="2"/>
      <c r="E262" s="14">
        <f>IFERROR(E240+E241+E242+E243+E244+E245+E246+E247+E248+E249+E250+E251+E252+E253+E254+E255+E256+E257+E258+E259+E260+E261, "NA")</f>
        <v>6029.27</v>
      </c>
      <c r="F262" s="15">
        <f>IFERROR(E262/E444, "NA")</f>
        <v>6.1063962269042919E-2</v>
      </c>
      <c r="G262" s="2"/>
      <c r="H262" s="14">
        <f t="shared" si="64"/>
        <v>-741.44999999999891</v>
      </c>
      <c r="I262" s="15">
        <f>IFERROR(H262/H444, "NA")</f>
        <v>7.5047445532528553E-2</v>
      </c>
      <c r="J262" s="2"/>
      <c r="K262" s="14">
        <f>IFERROR(K240+K241+K242+K243+K244+K245+K246+K247+K248+K249+K250+K251+K252+K253+K254+K255+K256+K257+K258+K259+K260+K261, "NA")</f>
        <v>5043.5</v>
      </c>
      <c r="L262" s="15">
        <f>IFERROR(K262/K444, "NA")</f>
        <v>5.5932778193901918E-2</v>
      </c>
      <c r="M262" s="2"/>
      <c r="N262" s="14">
        <f t="shared" si="65"/>
        <v>-1727.2199999999993</v>
      </c>
      <c r="O262" s="15">
        <f>IFERROR(N262/N444, "NA")</f>
        <v>1.314945223938548</v>
      </c>
      <c r="P262" s="2"/>
      <c r="Q262" s="14">
        <f>IFERROR(Q240+Q241+Q242+Q243+Q244+Q245+Q246+Q247+Q248+Q249+Q250+Q251+Q252+Q253+Q254+Q255+Q256+Q257+Q258+Q259+Q260+Q261, "NA")</f>
        <v>49471.86</v>
      </c>
      <c r="R262" s="15">
        <f>IFERROR(Q262/Q444, "NA")</f>
        <v>6.7443857349130706E-2</v>
      </c>
      <c r="S262" s="2"/>
      <c r="T262" s="14">
        <f>IFERROR(T240+T241+T242+T243+T244+T245+T246+T247+T248+T249+T250+T251+T252+T253+T254+T255+T256+T257+T258+T259+T260+T261, "NA")</f>
        <v>49880.25</v>
      </c>
      <c r="U262" s="15">
        <f>IFERROR(T262/T444, "NA")</f>
        <v>6.1464457542283281E-2</v>
      </c>
      <c r="V262" s="2"/>
      <c r="W262" s="14">
        <f t="shared" si="66"/>
        <v>408.38999999999942</v>
      </c>
      <c r="X262" s="15">
        <f>IFERROR(W262/W444, "NA")</f>
        <v>-5.2355390012977605E-3</v>
      </c>
      <c r="Y262" s="2"/>
      <c r="Z262" s="14">
        <f>IFERROR(Z240+Z241+Z242+Z243+Z244+Z245+Z246+Z247+Z248+Z249+Z250+Z251+Z252+Z253+Z254+Z255+Z256+Z257+Z258+Z259+Z260+Z261, "NA")</f>
        <v>40671.549999999996</v>
      </c>
      <c r="AA262" s="15">
        <f>IFERROR(Z262/Z444, "NA")</f>
        <v>5.7563008428505397E-2</v>
      </c>
      <c r="AB262" s="2"/>
      <c r="AC262" s="14">
        <f t="shared" si="67"/>
        <v>-8800.3100000000049</v>
      </c>
      <c r="AD262" s="15">
        <f>IFERROR(AC262/AC444, "NA")</f>
        <v>-0.32630613333807973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6770.7199999999993</v>
      </c>
      <c r="C263" s="15">
        <f>IFERROR(B263/B444, "NA")</f>
        <v>7.6197755927740682E-2</v>
      </c>
      <c r="D263" s="2"/>
      <c r="E263" s="14">
        <f>IFERROR(E238+E240+E241+E242+E243+E244+E245+E246+E247+E248+E249+E250+E251+E252+E253+E254+E255+E256+E257+E258+E259+E260+E261, "NA")</f>
        <v>6029.27</v>
      </c>
      <c r="F263" s="15">
        <f>IFERROR(E263/E444, "NA")</f>
        <v>6.1063962269042919E-2</v>
      </c>
      <c r="G263" s="2"/>
      <c r="H263" s="14">
        <f t="shared" si="64"/>
        <v>-741.44999999999891</v>
      </c>
      <c r="I263" s="15">
        <f>IFERROR(H263/H444, "NA")</f>
        <v>7.5047445532528553E-2</v>
      </c>
      <c r="J263" s="2"/>
      <c r="K263" s="14">
        <f>IFERROR(K238+K240+K241+K242+K243+K244+K245+K246+K247+K248+K249+K250+K251+K252+K253+K254+K255+K256+K257+K258+K259+K260+K261, "NA")</f>
        <v>5043.5</v>
      </c>
      <c r="L263" s="15">
        <f>IFERROR(K263/K444, "NA")</f>
        <v>5.5932778193901918E-2</v>
      </c>
      <c r="M263" s="2"/>
      <c r="N263" s="14">
        <f t="shared" si="65"/>
        <v>-1727.2199999999993</v>
      </c>
      <c r="O263" s="15">
        <f>IFERROR(N263/N444, "NA")</f>
        <v>1.314945223938548</v>
      </c>
      <c r="P263" s="2"/>
      <c r="Q263" s="14">
        <f>IFERROR(Q238+Q240+Q241+Q242+Q243+Q244+Q245+Q246+Q247+Q248+Q249+Q250+Q251+Q252+Q253+Q254+Q255+Q256+Q257+Q258+Q259+Q260+Q261, "NA")</f>
        <v>49471.86</v>
      </c>
      <c r="R263" s="15">
        <f>IFERROR(Q263/Q444, "NA")</f>
        <v>6.7443857349130706E-2</v>
      </c>
      <c r="S263" s="2"/>
      <c r="T263" s="14">
        <f>IFERROR(T238+T240+T241+T242+T243+T244+T245+T246+T247+T248+T249+T250+T251+T252+T253+T254+T255+T256+T257+T258+T259+T260+T261, "NA")</f>
        <v>49880.25</v>
      </c>
      <c r="U263" s="15">
        <f>IFERROR(T263/T444, "NA")</f>
        <v>6.1464457542283281E-2</v>
      </c>
      <c r="V263" s="2"/>
      <c r="W263" s="14">
        <f t="shared" si="66"/>
        <v>408.38999999999942</v>
      </c>
      <c r="X263" s="15">
        <f>IFERROR(W263/W444, "NA")</f>
        <v>-5.2355390012977605E-3</v>
      </c>
      <c r="Y263" s="2"/>
      <c r="Z263" s="14">
        <f>IFERROR(Z238+Z240+Z241+Z242+Z243+Z244+Z245+Z246+Z247+Z248+Z249+Z250+Z251+Z252+Z253+Z254+Z255+Z256+Z257+Z258+Z259+Z260+Z261, "NA")</f>
        <v>40671.549999999996</v>
      </c>
      <c r="AA263" s="15">
        <f>IFERROR(Z263/Z444, "NA")</f>
        <v>5.7563008428505397E-2</v>
      </c>
      <c r="AB263" s="2"/>
      <c r="AC263" s="14">
        <f t="shared" si="67"/>
        <v>-8800.3100000000049</v>
      </c>
      <c r="AD263" s="15">
        <f>IFERROR(AC263/AC444, "NA")</f>
        <v>-0.32630613333807973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2356.11</v>
      </c>
      <c r="C265" s="8">
        <f>IFERROR(B265/B444, "NA")</f>
        <v>2.6515687359528844E-2</v>
      </c>
      <c r="D265" s="9"/>
      <c r="E265" s="7">
        <v>2567.16</v>
      </c>
      <c r="F265" s="8">
        <f>IFERROR(E265/E444, "NA")</f>
        <v>2.5999990277197106E-2</v>
      </c>
      <c r="G265" s="9"/>
      <c r="H265" s="10">
        <f>IFERROR(-(B265-E265), "NA")</f>
        <v>211.04999999999973</v>
      </c>
      <c r="I265" s="8">
        <f>IFERROR(H265/H444, "NA")</f>
        <v>-2.1361876565702546E-2</v>
      </c>
      <c r="J265" s="9"/>
      <c r="K265" s="7">
        <v>2484</v>
      </c>
      <c r="L265" s="8">
        <f>IFERROR(K265/K444, "NA")</f>
        <v>2.7547738878487632E-2</v>
      </c>
      <c r="M265" s="9"/>
      <c r="N265" s="10">
        <f>IFERROR(-(B265-K265), "NA")</f>
        <v>127.88999999999987</v>
      </c>
      <c r="O265" s="8">
        <f>IFERROR(N265/N444, "NA")</f>
        <v>-9.7363592761490023E-2</v>
      </c>
      <c r="P265" s="9"/>
      <c r="Q265" s="7">
        <v>17819.89</v>
      </c>
      <c r="R265" s="8">
        <f>IFERROR(Q265/Q444, "NA")</f>
        <v>2.42934492282522E-2</v>
      </c>
      <c r="S265" s="9"/>
      <c r="T265" s="7">
        <v>21227.41</v>
      </c>
      <c r="U265" s="8">
        <f>IFERROR(T265/T444, "NA")</f>
        <v>2.6157271478744384E-2</v>
      </c>
      <c r="V265" s="9"/>
      <c r="W265" s="10">
        <f>IFERROR(-(Q265-T265), "NA")</f>
        <v>3407.5200000000004</v>
      </c>
      <c r="X265" s="8">
        <f>IFERROR(W265/W444, "NA")</f>
        <v>-4.3684232860016582E-2</v>
      </c>
      <c r="Y265" s="9"/>
      <c r="Z265" s="7">
        <v>19047.55</v>
      </c>
      <c r="AA265" s="8">
        <f>IFERROR(Z265/Z444, "NA")</f>
        <v>2.695826151676978E-2</v>
      </c>
      <c r="AB265" s="9"/>
      <c r="AC265" s="10">
        <f>IFERROR(-(Q265-Z265), "NA")</f>
        <v>1227.6599999999999</v>
      </c>
      <c r="AD265" s="8">
        <f>IFERROR(AC265/AC444, "NA")</f>
        <v>4.5520326858238709E-2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-8.4600000000000009</v>
      </c>
      <c r="L266" s="8">
        <f>IFERROR(K266/K444, "NA")</f>
        <v>-9.3822009223834692E-5</v>
      </c>
      <c r="M266" s="9"/>
      <c r="N266" s="10">
        <f>IFERROR(-(B266-K266), "NA")</f>
        <v>-8.4600000000000009</v>
      </c>
      <c r="O266" s="8">
        <f>IFERROR(N266/N444, "NA")</f>
        <v>6.4406599011823168E-3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2356.11</v>
      </c>
      <c r="C267" s="15">
        <f>IFERROR(B267/B444, "NA")</f>
        <v>2.6515687359528844E-2</v>
      </c>
      <c r="D267" s="2"/>
      <c r="E267" s="14">
        <f>IFERROR(E265+E266, "NA")</f>
        <v>2567.16</v>
      </c>
      <c r="F267" s="15">
        <f>IFERROR(E267/E444, "NA")</f>
        <v>2.5999990277197106E-2</v>
      </c>
      <c r="G267" s="2"/>
      <c r="H267" s="14">
        <f>IFERROR(-(B267-E267), "NA")</f>
        <v>211.04999999999973</v>
      </c>
      <c r="I267" s="15">
        <f>IFERROR(H267/H444, "NA")</f>
        <v>-2.1361876565702546E-2</v>
      </c>
      <c r="J267" s="2"/>
      <c r="K267" s="14">
        <f>IFERROR(K265+K266, "NA")</f>
        <v>2475.54</v>
      </c>
      <c r="L267" s="15">
        <f>IFERROR(K267/K444, "NA")</f>
        <v>2.7453916869263798E-2</v>
      </c>
      <c r="M267" s="2"/>
      <c r="N267" s="14">
        <f>IFERROR(-(B267-K267), "NA")</f>
        <v>119.42999999999984</v>
      </c>
      <c r="O267" s="15">
        <f>IFERROR(N267/N444, "NA")</f>
        <v>-9.092293286030767E-2</v>
      </c>
      <c r="P267" s="2"/>
      <c r="Q267" s="14">
        <f>IFERROR(Q265+Q266, "NA")</f>
        <v>17819.89</v>
      </c>
      <c r="R267" s="15">
        <f>IFERROR(Q267/Q444, "NA")</f>
        <v>2.42934492282522E-2</v>
      </c>
      <c r="S267" s="2"/>
      <c r="T267" s="14">
        <f>IFERROR(T265+T266, "NA")</f>
        <v>21227.41</v>
      </c>
      <c r="U267" s="15">
        <f>IFERROR(T267/T444, "NA")</f>
        <v>2.6157271478744384E-2</v>
      </c>
      <c r="V267" s="2"/>
      <c r="W267" s="14">
        <f>IFERROR(-(Q267-T267), "NA")</f>
        <v>3407.5200000000004</v>
      </c>
      <c r="X267" s="15">
        <f>IFERROR(W267/W444, "NA")</f>
        <v>-4.3684232860016582E-2</v>
      </c>
      <c r="Y267" s="2"/>
      <c r="Z267" s="14">
        <f>IFERROR(Z265+Z266, "NA")</f>
        <v>19047.55</v>
      </c>
      <c r="AA267" s="15">
        <f>IFERROR(Z267/Z444, "NA")</f>
        <v>2.695826151676978E-2</v>
      </c>
      <c r="AB267" s="2"/>
      <c r="AC267" s="14">
        <f>IFERROR(-(Q267-Z267), "NA")</f>
        <v>1227.6599999999999</v>
      </c>
      <c r="AD267" s="15">
        <f>IFERROR(AC267/AC444, "NA")</f>
        <v>4.5520326858238709E-2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307.92</v>
      </c>
      <c r="C270" s="8">
        <f>IFERROR(B270/B444, "NA")</f>
        <v>3.465335002078053E-3</v>
      </c>
      <c r="D270" s="9"/>
      <c r="E270" s="7">
        <v>151.38999999999999</v>
      </c>
      <c r="F270" s="8">
        <f>IFERROR(E270/E444, "NA")</f>
        <v>1.5332657598532502E-3</v>
      </c>
      <c r="G270" s="9"/>
      <c r="H270" s="10">
        <f>IFERROR(-(B270-E270), "NA")</f>
        <v>-156.53000000000003</v>
      </c>
      <c r="I270" s="8">
        <f>IFERROR(H270/H444, "NA")</f>
        <v>1.5843518307649487E-2</v>
      </c>
      <c r="J270" s="9"/>
      <c r="K270" s="7">
        <v>352</v>
      </c>
      <c r="L270" s="8">
        <f>IFERROR(K270/K444, "NA")</f>
        <v>3.9037053483203087E-3</v>
      </c>
      <c r="M270" s="9"/>
      <c r="N270" s="10">
        <f>IFERROR(-(B270-K270), "NA")</f>
        <v>44.079999999999984</v>
      </c>
      <c r="O270" s="8">
        <f>IFERROR(N270/N444, "NA")</f>
        <v>-3.3558426530037398E-2</v>
      </c>
      <c r="P270" s="9"/>
      <c r="Q270" s="7">
        <v>3017.83</v>
      </c>
      <c r="R270" s="8">
        <f>IFERROR(Q270/Q444, "NA")</f>
        <v>4.1141387452165159E-3</v>
      </c>
      <c r="S270" s="9"/>
      <c r="T270" s="7">
        <v>1413.42</v>
      </c>
      <c r="U270" s="8">
        <f>IFERROR(T270/T444, "NA")</f>
        <v>1.7416731788516306E-3</v>
      </c>
      <c r="V270" s="9"/>
      <c r="W270" s="10">
        <f>IFERROR(-(Q270-T270), "NA")</f>
        <v>-1604.4099999999999</v>
      </c>
      <c r="X270" s="8">
        <f>IFERROR(W270/W444, "NA")</f>
        <v>2.056845448975771E-2</v>
      </c>
      <c r="Y270" s="9"/>
      <c r="Z270" s="7">
        <v>2427.5</v>
      </c>
      <c r="AA270" s="8">
        <f>IFERROR(Z270/Z444, "NA")</f>
        <v>3.4356743954975129E-3</v>
      </c>
      <c r="AB270" s="9"/>
      <c r="AC270" s="10">
        <f>IFERROR(-(Q270-Z270), "NA")</f>
        <v>-590.32999999999993</v>
      </c>
      <c r="AD270" s="8">
        <f>IFERROR(AC270/AC444, "NA")</f>
        <v>-2.1888808427597262E-2</v>
      </c>
    </row>
    <row r="271" spans="1:30" ht="16.5" customHeight="1" x14ac:dyDescent="0.45">
      <c r="A271" s="6" t="s">
        <v>246</v>
      </c>
      <c r="B271" s="7">
        <v>905.41</v>
      </c>
      <c r="C271" s="8">
        <f>IFERROR(B271/B444, "NA")</f>
        <v>1.0189493908260228E-2</v>
      </c>
      <c r="D271" s="9"/>
      <c r="E271" s="7">
        <v>592.41999999999996</v>
      </c>
      <c r="F271" s="8">
        <f>IFERROR(E271/E444, "NA")</f>
        <v>5.9999821748613685E-3</v>
      </c>
      <c r="G271" s="9"/>
      <c r="H271" s="10">
        <f>IFERROR(-(B271-E271), "NA")</f>
        <v>-312.99</v>
      </c>
      <c r="I271" s="8">
        <f>IFERROR(H271/H444, "NA")</f>
        <v>3.167995141577469E-2</v>
      </c>
      <c r="J271" s="9"/>
      <c r="K271" s="7">
        <v>223</v>
      </c>
      <c r="L271" s="8">
        <f>IFERROR(K271/K444, "NA")</f>
        <v>2.4730860587370137E-3</v>
      </c>
      <c r="M271" s="9"/>
      <c r="N271" s="10">
        <f>IFERROR(-(B271-K271), "NA")</f>
        <v>-682.41</v>
      </c>
      <c r="O271" s="8">
        <f>IFERROR(N271/N444, "NA")</f>
        <v>0.51952372614253239</v>
      </c>
      <c r="P271" s="9"/>
      <c r="Q271" s="7">
        <v>7527.33</v>
      </c>
      <c r="R271" s="8">
        <f>IFERROR(Q271/Q444, "NA")</f>
        <v>1.0261837148225922E-2</v>
      </c>
      <c r="S271" s="9"/>
      <c r="T271" s="7">
        <v>4869.18</v>
      </c>
      <c r="U271" s="8">
        <f>IFERROR(T271/T444, "NA")</f>
        <v>6.0000001478688449E-3</v>
      </c>
      <c r="V271" s="9"/>
      <c r="W271" s="10">
        <f>IFERROR(-(Q271-T271), "NA")</f>
        <v>-2658.1499999999996</v>
      </c>
      <c r="X271" s="8">
        <f>IFERROR(W271/W444, "NA")</f>
        <v>3.4077347624328853E-2</v>
      </c>
      <c r="Y271" s="9"/>
      <c r="Z271" s="7">
        <v>5557.1</v>
      </c>
      <c r="AA271" s="8">
        <f>IFERROR(Z271/Z444, "NA")</f>
        <v>7.8650406522015361E-3</v>
      </c>
      <c r="AB271" s="9"/>
      <c r="AC271" s="10">
        <f>IFERROR(-(Q271-Z271), "NA")</f>
        <v>-1970.2299999999996</v>
      </c>
      <c r="AD271" s="8">
        <f>IFERROR(AC271/AC444, "NA")</f>
        <v>-7.3054032538249714E-2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1213.33</v>
      </c>
      <c r="C273" s="15">
        <f>IFERROR(B273/B444, "NA")</f>
        <v>1.3654828910338281E-2</v>
      </c>
      <c r="D273" s="2"/>
      <c r="E273" s="14">
        <f>IFERROR(E269+E270+E271+E272, "NA")</f>
        <v>743.81</v>
      </c>
      <c r="F273" s="15">
        <f>IFERROR(E273/E444, "NA")</f>
        <v>7.5332479347146181E-3</v>
      </c>
      <c r="G273" s="2"/>
      <c r="H273" s="14">
        <f>IFERROR(-(B273-E273), "NA")</f>
        <v>-469.52</v>
      </c>
      <c r="I273" s="15">
        <f>IFERROR(H273/H444, "NA")</f>
        <v>4.7523469723424173E-2</v>
      </c>
      <c r="J273" s="2"/>
      <c r="K273" s="14">
        <f>IFERROR(K269+K270+K271+K272, "NA")</f>
        <v>575</v>
      </c>
      <c r="L273" s="15">
        <f>IFERROR(K273/K444, "NA")</f>
        <v>6.3767914070573225E-3</v>
      </c>
      <c r="M273" s="2"/>
      <c r="N273" s="14">
        <f>IFERROR(-(B273-K273), "NA")</f>
        <v>-638.32999999999993</v>
      </c>
      <c r="O273" s="15">
        <f>IFERROR(N273/N444, "NA")</f>
        <v>0.48596529961249496</v>
      </c>
      <c r="P273" s="2"/>
      <c r="Q273" s="14">
        <f>IFERROR(Q269+Q270+Q271+Q272, "NA")</f>
        <v>10545.16</v>
      </c>
      <c r="R273" s="15">
        <f>IFERROR(Q273/Q444, "NA")</f>
        <v>1.4375975893442437E-2</v>
      </c>
      <c r="S273" s="2"/>
      <c r="T273" s="14">
        <f>IFERROR(T269+T270+T271+T272, "NA")</f>
        <v>6282.6</v>
      </c>
      <c r="U273" s="15">
        <f>IFERROR(T273/T444, "NA")</f>
        <v>7.7416733267204746E-3</v>
      </c>
      <c r="V273" s="2"/>
      <c r="W273" s="14">
        <f>IFERROR(-(Q273-T273), "NA")</f>
        <v>-4262.5599999999995</v>
      </c>
      <c r="X273" s="15">
        <f>IFERROR(W273/W444, "NA")</f>
        <v>5.464580211408656E-2</v>
      </c>
      <c r="Y273" s="2"/>
      <c r="Z273" s="14">
        <f>IFERROR(Z269+Z270+Z271+Z272, "NA")</f>
        <v>7984.6</v>
      </c>
      <c r="AA273" s="15">
        <f>IFERROR(Z273/Z444, "NA")</f>
        <v>1.1300715047699049E-2</v>
      </c>
      <c r="AB273" s="2"/>
      <c r="AC273" s="14">
        <f>IFERROR(-(Q273-Z273), "NA")</f>
        <v>-2560.5599999999995</v>
      </c>
      <c r="AD273" s="15">
        <f>IFERROR(AC273/AC444, "NA")</f>
        <v>-9.4942840965846972E-2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3.3523414129825345E-3</v>
      </c>
      <c r="G287" s="9"/>
      <c r="H287" s="10">
        <f t="shared" si="72"/>
        <v>331</v>
      </c>
      <c r="I287" s="8">
        <f>IFERROR(H287/H444, "NA")</f>
        <v>-3.3502872036235733E-2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2648</v>
      </c>
      <c r="U287" s="8">
        <f>IFERROR(T287/T444, "NA")</f>
        <v>3.2629724905542E-3</v>
      </c>
      <c r="V287" s="9"/>
      <c r="W287" s="10">
        <f t="shared" si="74"/>
        <v>2648</v>
      </c>
      <c r="X287" s="8">
        <f>IFERROR(W287/W444, "NA")</f>
        <v>-3.394722514125343E-2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1.5474264834558725E-3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1.3917356208406083E-2</v>
      </c>
      <c r="J288" s="9"/>
      <c r="K288" s="7">
        <v>142.19999999999999</v>
      </c>
      <c r="L288" s="8">
        <f>IFERROR(K288/K444, "NA")</f>
        <v>1.5770082401453064E-3</v>
      </c>
      <c r="M288" s="9"/>
      <c r="N288" s="10">
        <f t="shared" si="73"/>
        <v>4.6999999999999886</v>
      </c>
      <c r="O288" s="8">
        <f>IFERROR(N288/N444, "NA")</f>
        <v>-3.5781443895457226E-3</v>
      </c>
      <c r="P288" s="9"/>
      <c r="Q288" s="7">
        <v>1100</v>
      </c>
      <c r="R288" s="8">
        <f>IFERROR(Q288/Q444, "NA")</f>
        <v>1.49960488819389E-3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-1100</v>
      </c>
      <c r="X288" s="8">
        <f>IFERROR(W288/W444, "NA")</f>
        <v>1.4101943978617363E-2</v>
      </c>
      <c r="Y288" s="9"/>
      <c r="Z288" s="7">
        <v>1067.0999999999999</v>
      </c>
      <c r="AA288" s="8">
        <f>IFERROR(Z288/Z444, "NA")</f>
        <v>1.5102814201587622E-3</v>
      </c>
      <c r="AB288" s="9"/>
      <c r="AC288" s="10">
        <f t="shared" si="75"/>
        <v>-32.900000000000091</v>
      </c>
      <c r="AD288" s="8">
        <f>IFERROR(AC288/AC444, "NA")</f>
        <v>-1.2198970021309304E-3</v>
      </c>
    </row>
    <row r="289" spans="1:30" ht="16.5" customHeight="1" x14ac:dyDescent="0.45">
      <c r="A289" s="6" t="s">
        <v>262</v>
      </c>
      <c r="B289" s="7">
        <v>228.86</v>
      </c>
      <c r="C289" s="8">
        <f>IFERROR(B289/B444, "NA")</f>
        <v>2.5755929091178984E-3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-228.86</v>
      </c>
      <c r="I289" s="8">
        <f>IFERROR(H289/H444, "NA")</f>
        <v>2.3164553758951392E-2</v>
      </c>
      <c r="J289" s="9"/>
      <c r="K289" s="7">
        <v>198.58</v>
      </c>
      <c r="L289" s="8">
        <f>IFERROR(K289/K444, "NA")</f>
        <v>2.2022665001972925E-3</v>
      </c>
      <c r="M289" s="9"/>
      <c r="N289" s="10">
        <f t="shared" si="73"/>
        <v>-30.28</v>
      </c>
      <c r="O289" s="8">
        <f>IFERROR(N289/N444, "NA")</f>
        <v>2.3052385556477605E-2</v>
      </c>
      <c r="P289" s="9"/>
      <c r="Q289" s="7">
        <v>1793.14</v>
      </c>
      <c r="R289" s="8">
        <f>IFERROR(Q289/Q444, "NA")</f>
        <v>2.4445468265599929E-3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-1793.14</v>
      </c>
      <c r="X289" s="8">
        <f>IFERROR(W289/W444, "NA")</f>
        <v>2.2987963478016307E-2</v>
      </c>
      <c r="Y289" s="9"/>
      <c r="Z289" s="7">
        <v>1588.64</v>
      </c>
      <c r="AA289" s="8">
        <f>IFERROR(Z289/Z444, "NA")</f>
        <v>2.2484242107778246E-3</v>
      </c>
      <c r="AB289" s="9"/>
      <c r="AC289" s="10">
        <f t="shared" si="75"/>
        <v>-204.5</v>
      </c>
      <c r="AD289" s="8">
        <f>IFERROR(AC289/AC444, "NA")</f>
        <v>-7.5826424600539373E-3</v>
      </c>
    </row>
    <row r="290" spans="1:30" ht="16.5" customHeight="1" x14ac:dyDescent="0.45">
      <c r="A290" s="6" t="s">
        <v>263</v>
      </c>
      <c r="B290" s="7">
        <v>2069.6</v>
      </c>
      <c r="C290" s="8">
        <f>IFERROR(B290/B444, "NA")</f>
        <v>2.3291300728438352E-2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-2069.6</v>
      </c>
      <c r="I290" s="8">
        <f>IFERROR(H290/H444, "NA")</f>
        <v>0.20947898479212529</v>
      </c>
      <c r="J290" s="9"/>
      <c r="K290" s="7">
        <v>790.75</v>
      </c>
      <c r="L290" s="8">
        <f>IFERROR(K290/K444, "NA")</f>
        <v>8.769474443705353E-3</v>
      </c>
      <c r="M290" s="9"/>
      <c r="N290" s="10">
        <f t="shared" si="73"/>
        <v>-1278.8499999999999</v>
      </c>
      <c r="O290" s="8">
        <f>IFERROR(N290/N444, "NA")</f>
        <v>0.97359786224905487</v>
      </c>
      <c r="P290" s="9"/>
      <c r="Q290" s="7">
        <v>10314.040000000001</v>
      </c>
      <c r="R290" s="8">
        <f>IFERROR(Q290/Q444, "NA")</f>
        <v>1.4060895273661193E-2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-10314.040000000001</v>
      </c>
      <c r="X290" s="8">
        <f>IFERROR(W290/W444, "NA")</f>
        <v>0.13222546752110784</v>
      </c>
      <c r="Y290" s="9"/>
      <c r="Z290" s="7">
        <v>5972.18</v>
      </c>
      <c r="AA290" s="8">
        <f>IFERROR(Z290/Z444, "NA")</f>
        <v>8.4525091292697568E-3</v>
      </c>
      <c r="AB290" s="9"/>
      <c r="AC290" s="10">
        <f t="shared" si="75"/>
        <v>-4341.8600000000006</v>
      </c>
      <c r="AD290" s="8">
        <f>IFERROR(AC290/AC444, "NA")</f>
        <v>-0.16099155008122149</v>
      </c>
    </row>
    <row r="291" spans="1:30" ht="16.5" customHeight="1" x14ac:dyDescent="0.45">
      <c r="A291" s="6" t="s">
        <v>264</v>
      </c>
      <c r="B291" s="7">
        <v>1134.21</v>
      </c>
      <c r="C291" s="8">
        <f>IFERROR(B291/B444, "NA")</f>
        <v>1.2764411576730802E-2</v>
      </c>
      <c r="D291" s="9"/>
      <c r="E291" s="7">
        <v>1184.8399999999999</v>
      </c>
      <c r="F291" s="8">
        <f>IFERROR(E291/E444, "NA")</f>
        <v>1.1999964349722737E-2</v>
      </c>
      <c r="G291" s="9"/>
      <c r="H291" s="10">
        <f t="shared" si="72"/>
        <v>50.629999999999882</v>
      </c>
      <c r="I291" s="8">
        <f>IFERROR(H291/H444, "NA")</f>
        <v>-5.1246235987752603E-3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-1134.21</v>
      </c>
      <c r="O291" s="8">
        <f>IFERROR(N291/N444, "NA")</f>
        <v>0.8634823719290774</v>
      </c>
      <c r="P291" s="9"/>
      <c r="Q291" s="7">
        <v>12457.5</v>
      </c>
      <c r="R291" s="8">
        <f>IFERROR(Q291/Q444, "NA")</f>
        <v>1.6983025358795804E-2</v>
      </c>
      <c r="S291" s="9"/>
      <c r="T291" s="7">
        <v>9738.36</v>
      </c>
      <c r="U291" s="8">
        <f>IFERROR(T291/T444, "NA")</f>
        <v>1.200000029573769E-2</v>
      </c>
      <c r="V291" s="9"/>
      <c r="W291" s="10">
        <f t="shared" si="74"/>
        <v>-2719.1399999999994</v>
      </c>
      <c r="X291" s="8">
        <f>IFERROR(W291/W444, "NA")</f>
        <v>3.4859236318197824E-2</v>
      </c>
      <c r="Y291" s="9"/>
      <c r="Z291" s="7">
        <v>1564.43</v>
      </c>
      <c r="AA291" s="8">
        <f>IFERROR(Z291/Z444, "NA")</f>
        <v>2.2141594622237587E-3</v>
      </c>
      <c r="AB291" s="9"/>
      <c r="AC291" s="10">
        <f t="shared" si="75"/>
        <v>-10893.07</v>
      </c>
      <c r="AD291" s="8">
        <f>IFERROR(AC291/AC444, "NA")</f>
        <v>-0.40390344793320171</v>
      </c>
    </row>
    <row r="292" spans="1:30" ht="16.5" customHeight="1" x14ac:dyDescent="0.45">
      <c r="A292" s="6" t="s">
        <v>265</v>
      </c>
      <c r="B292" s="7">
        <v>336.68</v>
      </c>
      <c r="C292" s="8">
        <f>IFERROR(B292/B444, "NA")</f>
        <v>3.7890003523630778E-3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-336.68</v>
      </c>
      <c r="I292" s="8">
        <f>IFERROR(H292/H444, "NA")</f>
        <v>3.4077785369062981E-2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-336.68</v>
      </c>
      <c r="O292" s="8">
        <f>IFERROR(N292/N444, "NA")</f>
        <v>0.25631694746218231</v>
      </c>
      <c r="P292" s="9"/>
      <c r="Q292" s="7">
        <v>2647.1</v>
      </c>
      <c r="R292" s="8">
        <f>IFERROR(Q292/Q444, "NA")</f>
        <v>3.6087309995800421E-3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-2647.1</v>
      </c>
      <c r="X292" s="8">
        <f>IFERROR(W292/W444, "NA")</f>
        <v>3.3935687187089107E-2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-2647.1</v>
      </c>
      <c r="AD292" s="8">
        <f>IFERROR(AC292/AC444, "NA")</f>
        <v>-9.8151652107622389E-2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1398.84</v>
      </c>
      <c r="R293" s="8">
        <f>IFERROR(Q293/Q444, "NA")</f>
        <v>1.9070066380010374E-3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-1398.84</v>
      </c>
      <c r="X293" s="8">
        <f>IFERROR(W293/W444, "NA")</f>
        <v>1.7933057559135556E-2</v>
      </c>
      <c r="Y293" s="9"/>
      <c r="Z293" s="7">
        <v>1091.2</v>
      </c>
      <c r="AA293" s="8">
        <f>IFERROR(Z293/Z444, "NA")</f>
        <v>1.5443904841882126E-3</v>
      </c>
      <c r="AB293" s="9"/>
      <c r="AC293" s="10">
        <f t="shared" si="75"/>
        <v>-307.63999999999987</v>
      </c>
      <c r="AD293" s="8">
        <f>IFERROR(AC293/AC444, "NA")</f>
        <v>-1.1406963943330036E-2</v>
      </c>
    </row>
    <row r="294" spans="1:30" ht="16.5" customHeight="1" x14ac:dyDescent="0.45">
      <c r="A294" s="6" t="s">
        <v>267</v>
      </c>
      <c r="B294" s="7">
        <v>312.5</v>
      </c>
      <c r="C294" s="8">
        <f>IFERROR(B294/B444, "NA")</f>
        <v>3.5168783714906193E-3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-312.5</v>
      </c>
      <c r="I294" s="8">
        <f>IFERROR(H294/H444, "NA")</f>
        <v>3.1630355019104738E-2</v>
      </c>
      <c r="J294" s="9"/>
      <c r="K294" s="7">
        <v>25</v>
      </c>
      <c r="L294" s="8">
        <f>IFERROR(K294/K444, "NA")</f>
        <v>2.7725180030684012E-4</v>
      </c>
      <c r="M294" s="9"/>
      <c r="N294" s="10">
        <f t="shared" si="73"/>
        <v>-287.5</v>
      </c>
      <c r="O294" s="8">
        <f>IFERROR(N294/N444, "NA")</f>
        <v>0.21887585361582929</v>
      </c>
      <c r="P294" s="9"/>
      <c r="Q294" s="7">
        <v>2935.43</v>
      </c>
      <c r="R294" s="8">
        <f>IFERROR(Q294/Q444, "NA")</f>
        <v>4.0018047063190825E-3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-2935.43</v>
      </c>
      <c r="X294" s="8">
        <f>IFERROR(W294/W444, "NA")</f>
        <v>3.7632063102866146E-2</v>
      </c>
      <c r="Y294" s="9"/>
      <c r="Z294" s="7">
        <v>-40</v>
      </c>
      <c r="AA294" s="8">
        <f>IFERROR(Z294/Z444, "NA")</f>
        <v>-5.6612554405726263E-5</v>
      </c>
      <c r="AB294" s="9"/>
      <c r="AC294" s="10">
        <f t="shared" si="75"/>
        <v>-2975.43</v>
      </c>
      <c r="AD294" s="8">
        <f>IFERROR(AC294/AC444, "NA")</f>
        <v>-0.11032577924165421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4219.3500000000004</v>
      </c>
      <c r="C295" s="15">
        <f>IFERROR(B295/B444, "NA")</f>
        <v>4.7484610421596629E-2</v>
      </c>
      <c r="D295" s="2"/>
      <c r="E295" s="14">
        <f>IFERROR(E286+E287+E288+E289+E290+E291+E292+E293+E294, "NA")</f>
        <v>1515.84</v>
      </c>
      <c r="F295" s="15">
        <f>IFERROR(E295/E444, "NA")</f>
        <v>1.5352305762705271E-2</v>
      </c>
      <c r="G295" s="2"/>
      <c r="H295" s="14">
        <f t="shared" si="72"/>
        <v>-2703.51</v>
      </c>
      <c r="I295" s="15">
        <f>IFERROR(H295/H444, "NA")</f>
        <v>0.27364153951263953</v>
      </c>
      <c r="J295" s="2"/>
      <c r="K295" s="14">
        <f>IFERROR(K286+K287+K288+K289+K290+K291+K292+K293+K294, "NA")</f>
        <v>1156.53</v>
      </c>
      <c r="L295" s="15">
        <f>IFERROR(K295/K444, "NA")</f>
        <v>1.2826000984354791E-2</v>
      </c>
      <c r="M295" s="2"/>
      <c r="N295" s="14">
        <f t="shared" si="73"/>
        <v>-3062.8200000000006</v>
      </c>
      <c r="O295" s="15">
        <f>IFERROR(N295/N444, "NA")</f>
        <v>2.3317472764230764</v>
      </c>
      <c r="P295" s="2"/>
      <c r="Q295" s="14">
        <f>IFERROR(Q286+Q287+Q288+Q289+Q290+Q291+Q292+Q293+Q294, "NA")</f>
        <v>32646.05</v>
      </c>
      <c r="R295" s="15">
        <f>IFERROR(Q295/Q444, "NA")</f>
        <v>4.4505614691111042E-2</v>
      </c>
      <c r="S295" s="2"/>
      <c r="T295" s="14">
        <f>IFERROR(T286+T287+T288+T289+T290+T291+T292+T293+T294, "NA")</f>
        <v>12386.36</v>
      </c>
      <c r="U295" s="15">
        <f>IFERROR(T295/T444, "NA")</f>
        <v>1.5262972786291889E-2</v>
      </c>
      <c r="V295" s="2"/>
      <c r="W295" s="14">
        <f t="shared" si="74"/>
        <v>-20259.689999999999</v>
      </c>
      <c r="X295" s="15">
        <f>IFERROR(W295/W444, "NA")</f>
        <v>0.25972819400377672</v>
      </c>
      <c r="Y295" s="2"/>
      <c r="Z295" s="14">
        <f>IFERROR(Z286+Z287+Z288+Z289+Z290+Z291+Z292+Z293+Z294, "NA")</f>
        <v>11243.550000000001</v>
      </c>
      <c r="AA295" s="15">
        <f>IFERROR(Z295/Z444, "NA")</f>
        <v>1.591315215221259E-2</v>
      </c>
      <c r="AB295" s="2"/>
      <c r="AC295" s="14">
        <f t="shared" si="75"/>
        <v>-21402.5</v>
      </c>
      <c r="AD295" s="15">
        <f>IFERROR(AC295/AC444, "NA")</f>
        <v>-0.79358193276921463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1283.58</v>
      </c>
      <c r="F297" s="8">
        <f>IFERROR(E297/E444, "NA")</f>
        <v>1.2999995138598553E-2</v>
      </c>
      <c r="G297" s="9"/>
      <c r="H297" s="10">
        <f t="shared" ref="H297:H325" si="76">IFERROR(-(B297-E297), "NA")</f>
        <v>1283.58</v>
      </c>
      <c r="I297" s="8">
        <f>IFERROR(H297/H444, "NA")</f>
        <v>-0.12992029150535184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10549.89</v>
      </c>
      <c r="U297" s="8">
        <f>IFERROR(T297/T444, "NA")</f>
        <v>1.3000000320382494E-2</v>
      </c>
      <c r="V297" s="9"/>
      <c r="W297" s="10">
        <f t="shared" ref="W297:W325" si="78">IFERROR(-(Q297-T297), "NA")</f>
        <v>10549.89</v>
      </c>
      <c r="X297" s="8">
        <f>IFERROR(W297/W444, "NA")</f>
        <v>-0.13524905250961411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411.65</v>
      </c>
      <c r="R299" s="8">
        <f>IFERROR(Q299/Q444, "NA")</f>
        <v>5.6119304747728619E-4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5.2773320352707612E-3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-1.5263544101130578E-2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3.6569910114364639E-4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3.4389513384219159E-3</v>
      </c>
      <c r="Y304" s="9"/>
      <c r="Z304" s="7">
        <v>74.680000000000007</v>
      </c>
      <c r="AA304" s="8">
        <f>IFERROR(Z304/Z444, "NA")</f>
        <v>1.0569563907549094E-4</v>
      </c>
      <c r="AB304" s="9"/>
      <c r="AC304" s="10">
        <f t="shared" si="79"/>
        <v>-193.57</v>
      </c>
      <c r="AD304" s="8">
        <f>IFERROR(AC304/AC444, "NA")</f>
        <v>-7.1773696870055777E-3</v>
      </c>
    </row>
    <row r="305" spans="1:30" ht="16.5" customHeight="1" x14ac:dyDescent="0.45">
      <c r="A305" s="6" t="s">
        <v>277</v>
      </c>
      <c r="B305" s="7">
        <v>143.13999999999999</v>
      </c>
      <c r="C305" s="8">
        <f>IFERROR(B305/B444, "NA")</f>
        <v>1.6108991043045351E-3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-143.13999999999999</v>
      </c>
      <c r="I305" s="8">
        <f>IFERROR(H305/H444, "NA")</f>
        <v>1.4488220855790884E-2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-143.13999999999999</v>
      </c>
      <c r="O305" s="8">
        <f>IFERROR(N305/N444, "NA")</f>
        <v>0.10897352934459062</v>
      </c>
      <c r="P305" s="9"/>
      <c r="Q305" s="7">
        <v>285.33</v>
      </c>
      <c r="R305" s="8">
        <f>IFERROR(Q305/Q444, "NA")</f>
        <v>3.8898387522578423E-4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-285.33</v>
      </c>
      <c r="X305" s="8">
        <f>IFERROR(W305/W444, "NA")</f>
        <v>3.6579160685626289E-3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-285.33</v>
      </c>
      <c r="AD305" s="8">
        <f>IFERROR(AC305/AC444, "NA")</f>
        <v>-1.0579732875927578E-2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38.15</v>
      </c>
      <c r="C310" s="8">
        <f>IFERROR(B310/B444, "NA")</f>
        <v>4.2934051159157477E-4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-38.15</v>
      </c>
      <c r="I310" s="8">
        <f>IFERROR(H310/H444, "NA")</f>
        <v>3.8614337407323058E-3</v>
      </c>
      <c r="J310" s="9"/>
      <c r="K310" s="7">
        <v>109.37</v>
      </c>
      <c r="L310" s="8">
        <f>IFERROR(K310/K444, "NA")</f>
        <v>1.2129211759823641E-3</v>
      </c>
      <c r="M310" s="9"/>
      <c r="N310" s="10">
        <f t="shared" si="77"/>
        <v>71.22</v>
      </c>
      <c r="O310" s="8">
        <f>IFERROR(N310/N444, "NA")</f>
        <v>-5.4220307111371692E-2</v>
      </c>
      <c r="P310" s="9"/>
      <c r="Q310" s="7">
        <v>323.8</v>
      </c>
      <c r="R310" s="8">
        <f>IFERROR(Q310/Q444, "NA")</f>
        <v>4.4142914799743784E-4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-323.8</v>
      </c>
      <c r="X310" s="8">
        <f>IFERROR(W310/W444, "NA")</f>
        <v>4.1510995093420929E-3</v>
      </c>
      <c r="Y310" s="9"/>
      <c r="Z310" s="7">
        <v>149.49</v>
      </c>
      <c r="AA310" s="8">
        <f>IFERROR(Z310/Z444, "NA")</f>
        <v>2.1157526895280049E-4</v>
      </c>
      <c r="AB310" s="9"/>
      <c r="AC310" s="10">
        <f t="shared" si="79"/>
        <v>-174.31</v>
      </c>
      <c r="AD310" s="8">
        <f>IFERROR(AC310/AC444, "NA")</f>
        <v>-6.4632293751198137E-3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8.2641862111194198E-5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7.7714531271253135E-4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-2.2477251145646441E-3</v>
      </c>
    </row>
    <row r="312" spans="1:30" ht="16.5" customHeight="1" x14ac:dyDescent="0.45">
      <c r="A312" s="6" t="s">
        <v>284</v>
      </c>
      <c r="B312" s="7">
        <v>532.33000000000004</v>
      </c>
      <c r="C312" s="8">
        <f>IFERROR(B312/B444, "NA")</f>
        <v>5.9908475631859246E-3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-532.33000000000004</v>
      </c>
      <c r="I312" s="8">
        <f>IFERROR(H312/H444, "NA")</f>
        <v>5.3880918039424082E-2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-532.33000000000004</v>
      </c>
      <c r="O312" s="8">
        <f>IFERROR(N312/N444, "NA")</f>
        <v>0.40526672401848496</v>
      </c>
      <c r="P312" s="9"/>
      <c r="Q312" s="7">
        <v>1244.4000000000001</v>
      </c>
      <c r="R312" s="8">
        <f>IFERROR(Q312/Q444, "NA")</f>
        <v>1.6964621116986153E-3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-1244.4000000000001</v>
      </c>
      <c r="X312" s="8">
        <f>IFERROR(W312/W444, "NA")</f>
        <v>1.5953144624537677E-2</v>
      </c>
      <c r="Y312" s="9"/>
      <c r="Z312" s="7">
        <v>146.1</v>
      </c>
      <c r="AA312" s="8">
        <f>IFERROR(Z312/Z444, "NA")</f>
        <v>2.0677735496691518E-4</v>
      </c>
      <c r="AB312" s="9"/>
      <c r="AC312" s="10">
        <f t="shared" si="79"/>
        <v>-1098.3000000000002</v>
      </c>
      <c r="AD312" s="8">
        <f>IFERROR(AC312/AC444, "NA")</f>
        <v>-4.0723795666881377E-2</v>
      </c>
    </row>
    <row r="313" spans="1:30" ht="16.5" customHeight="1" x14ac:dyDescent="0.45">
      <c r="A313" s="6" t="s">
        <v>285</v>
      </c>
      <c r="B313" s="7">
        <v>24</v>
      </c>
      <c r="C313" s="8">
        <f>IFERROR(B313/B444, "NA")</f>
        <v>2.7009625893047959E-4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-24</v>
      </c>
      <c r="I313" s="8">
        <f>IFERROR(H313/H444, "NA")</f>
        <v>2.4292112654672438E-3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-24</v>
      </c>
      <c r="O313" s="8">
        <f>IFERROR(N313/N444, "NA")</f>
        <v>1.8271375606190968E-2</v>
      </c>
      <c r="P313" s="9"/>
      <c r="Q313" s="7">
        <v>58</v>
      </c>
      <c r="R313" s="8">
        <f>IFERROR(Q313/Q444, "NA")</f>
        <v>7.9070075922950571E-5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-58</v>
      </c>
      <c r="X313" s="8">
        <f>IFERROR(W313/W444, "NA")</f>
        <v>7.4355704614527905E-4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-58</v>
      </c>
      <c r="AD313" s="8">
        <f>IFERROR(AC313/AC444, "NA")</f>
        <v>-2.1505783016289898E-3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408.07</v>
      </c>
      <c r="C315" s="8">
        <f>IFERROR(B315/B444, "NA")</f>
        <v>4.5924241825733665E-3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-408.07</v>
      </c>
      <c r="I315" s="8">
        <f>IFERROR(H315/H444, "NA")</f>
        <v>4.1303676712467423E-2</v>
      </c>
      <c r="J315" s="9"/>
      <c r="K315" s="7">
        <v>455.52</v>
      </c>
      <c r="L315" s="8">
        <f>IFERROR(K315/K444, "NA")</f>
        <v>5.0517496030308721E-3</v>
      </c>
      <c r="M315" s="9"/>
      <c r="N315" s="10">
        <f t="shared" si="77"/>
        <v>47.449999999999989</v>
      </c>
      <c r="O315" s="8">
        <f>IFERROR(N315/N444, "NA")</f>
        <v>-3.6124032188073384E-2</v>
      </c>
      <c r="P315" s="9"/>
      <c r="Q315" s="7">
        <v>3596.79</v>
      </c>
      <c r="R315" s="8">
        <f>IFERROR(Q315/Q444, "NA")</f>
        <v>4.9034216961880922E-3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-3596.79</v>
      </c>
      <c r="X315" s="8">
        <f>IFERROR(W315/W444, "NA")</f>
        <v>4.6110664620773768E-2</v>
      </c>
      <c r="Y315" s="9"/>
      <c r="Z315" s="7">
        <v>4693.6099999999997</v>
      </c>
      <c r="AA315" s="8">
        <f>IFERROR(Z315/Z444, "NA")</f>
        <v>6.6429312871065212E-3</v>
      </c>
      <c r="AB315" s="9"/>
      <c r="AC315" s="10">
        <f t="shared" si="79"/>
        <v>1096.8199999999997</v>
      </c>
      <c r="AD315" s="8">
        <f>IFERROR(AC315/AC444, "NA")</f>
        <v>4.0668918841253586E-2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4.6656877928082591E-3</v>
      </c>
      <c r="D318" s="9"/>
      <c r="E318" s="7">
        <v>415</v>
      </c>
      <c r="F318" s="8">
        <f>IFERROR(E318/E444, "NA")</f>
        <v>4.2030866658240235E-3</v>
      </c>
      <c r="G318" s="9"/>
      <c r="H318" s="10">
        <f t="shared" si="76"/>
        <v>0.42000000000001592</v>
      </c>
      <c r="I318" s="8">
        <f>IFERROR(H318/H444, "NA")</f>
        <v>-4.2511197145678377E-5</v>
      </c>
      <c r="J318" s="9"/>
      <c r="K318" s="7">
        <v>414.58</v>
      </c>
      <c r="L318" s="8">
        <f>IFERROR(K318/K444, "NA")</f>
        <v>4.5977220548483909E-3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3316.64</v>
      </c>
      <c r="R318" s="8">
        <f>IFERROR(Q318/Q444, "NA")</f>
        <v>4.5214995967085307E-3</v>
      </c>
      <c r="S318" s="9"/>
      <c r="T318" s="7">
        <v>3320</v>
      </c>
      <c r="U318" s="8">
        <f>IFERROR(T318/T444, "NA")</f>
        <v>4.0910380168579846E-3</v>
      </c>
      <c r="V318" s="9"/>
      <c r="W318" s="10">
        <f t="shared" si="78"/>
        <v>3.3600000000001273</v>
      </c>
      <c r="X318" s="8">
        <f>IFERROR(W318/W444, "NA")</f>
        <v>-4.3075028880141941E-5</v>
      </c>
      <c r="Y318" s="9"/>
      <c r="Z318" s="7">
        <v>3316.64</v>
      </c>
      <c r="AA318" s="8">
        <f>IFERROR(Z318/Z444, "NA")</f>
        <v>4.6940865611051989E-3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308.5</v>
      </c>
      <c r="C319" s="8">
        <f>IFERROR(B319/B444, "NA")</f>
        <v>3.4718623283355394E-3</v>
      </c>
      <c r="D319" s="9"/>
      <c r="E319" s="7">
        <v>249</v>
      </c>
      <c r="F319" s="8">
        <f>IFERROR(E319/E444, "NA")</f>
        <v>2.5218519994944142E-3</v>
      </c>
      <c r="G319" s="9"/>
      <c r="H319" s="10">
        <f t="shared" si="76"/>
        <v>-59.5</v>
      </c>
      <c r="I319" s="8">
        <f>IFERROR(H319/H444, "NA")</f>
        <v>6.0224195956375412E-3</v>
      </c>
      <c r="J319" s="9"/>
      <c r="K319" s="7">
        <v>249.03</v>
      </c>
      <c r="L319" s="8">
        <f>IFERROR(K319/K444, "NA")</f>
        <v>2.7617606332164956E-3</v>
      </c>
      <c r="M319" s="9"/>
      <c r="N319" s="10">
        <f t="shared" si="77"/>
        <v>-59.47</v>
      </c>
      <c r="O319" s="8">
        <f>IFERROR(N319/N444, "NA")</f>
        <v>4.527494613750737E-2</v>
      </c>
      <c r="P319" s="9"/>
      <c r="Q319" s="7">
        <v>2246.5500000000002</v>
      </c>
      <c r="R319" s="8">
        <f>IFERROR(Q319/Q444, "NA")</f>
        <v>3.0626703287018036E-3</v>
      </c>
      <c r="S319" s="9"/>
      <c r="T319" s="7">
        <v>1992</v>
      </c>
      <c r="U319" s="8">
        <f>IFERROR(T319/T444, "NA")</f>
        <v>2.4546228101147908E-3</v>
      </c>
      <c r="V319" s="9"/>
      <c r="W319" s="10">
        <f t="shared" si="78"/>
        <v>-254.55000000000018</v>
      </c>
      <c r="X319" s="8">
        <f>IFERROR(W319/W444, "NA")</f>
        <v>3.2633180361427748E-3</v>
      </c>
      <c r="Y319" s="9"/>
      <c r="Z319" s="7">
        <v>1846.64</v>
      </c>
      <c r="AA319" s="8">
        <f>IFERROR(Z319/Z444, "NA")</f>
        <v>2.613575186694759E-3</v>
      </c>
      <c r="AB319" s="9"/>
      <c r="AC319" s="10">
        <f t="shared" si="79"/>
        <v>-399.91000000000008</v>
      </c>
      <c r="AD319" s="8">
        <f>IFERROR(AC319/AC444, "NA")</f>
        <v>-1.4828237389731887E-2</v>
      </c>
    </row>
    <row r="320" spans="1:30" ht="16.5" customHeight="1" x14ac:dyDescent="0.45">
      <c r="A320" s="6" t="s">
        <v>292</v>
      </c>
      <c r="B320" s="7">
        <v>1148.58</v>
      </c>
      <c r="C320" s="8">
        <f>IFERROR(B320/B444, "NA")</f>
        <v>1.2926131711765425E-2</v>
      </c>
      <c r="D320" s="9"/>
      <c r="E320" s="7">
        <v>878</v>
      </c>
      <c r="F320" s="8">
        <f>IFERROR(E320/E444, "NA")</f>
        <v>8.8923134761288974E-3</v>
      </c>
      <c r="G320" s="9"/>
      <c r="H320" s="10">
        <f t="shared" si="76"/>
        <v>-270.57999999999993</v>
      </c>
      <c r="I320" s="8">
        <f>IFERROR(H320/H444, "NA")</f>
        <v>2.7387332675421941E-2</v>
      </c>
      <c r="J320" s="9"/>
      <c r="K320" s="7">
        <v>678.92</v>
      </c>
      <c r="L320" s="8">
        <f>IFERROR(K320/K444, "NA")</f>
        <v>7.5292716905727948E-3</v>
      </c>
      <c r="M320" s="9"/>
      <c r="N320" s="10">
        <f t="shared" si="77"/>
        <v>-469.65999999999997</v>
      </c>
      <c r="O320" s="8">
        <f>IFERROR(N320/N444, "NA")</f>
        <v>0.35755559446681873</v>
      </c>
      <c r="P320" s="9"/>
      <c r="Q320" s="7">
        <v>9458.44</v>
      </c>
      <c r="R320" s="8">
        <f>IFERROR(Q320/Q444, "NA")</f>
        <v>1.2894475326080563E-2</v>
      </c>
      <c r="S320" s="9"/>
      <c r="T320" s="7">
        <v>7024</v>
      </c>
      <c r="U320" s="8">
        <f>IFERROR(T320/T444, "NA")</f>
        <v>8.6552563344609902E-3</v>
      </c>
      <c r="V320" s="9"/>
      <c r="W320" s="10">
        <f t="shared" si="78"/>
        <v>-2434.4400000000005</v>
      </c>
      <c r="X320" s="8">
        <f>IFERROR(W320/W444, "NA")</f>
        <v>3.1209396817550236E-2</v>
      </c>
      <c r="Y320" s="9"/>
      <c r="Z320" s="7">
        <v>6607.7</v>
      </c>
      <c r="AA320" s="8">
        <f>IFERROR(Z320/Z444, "NA")</f>
        <v>9.351969393667935E-3</v>
      </c>
      <c r="AB320" s="9"/>
      <c r="AC320" s="10">
        <f t="shared" si="79"/>
        <v>-2850.7400000000007</v>
      </c>
      <c r="AD320" s="8">
        <f>IFERROR(AC320/AC444, "NA")</f>
        <v>-0.10570240668251427</v>
      </c>
    </row>
    <row r="321" spans="1:30" ht="16.5" customHeight="1" x14ac:dyDescent="0.45">
      <c r="A321" s="6" t="s">
        <v>293</v>
      </c>
      <c r="B321" s="7">
        <v>1403.83</v>
      </c>
      <c r="C321" s="8">
        <f>IFERROR(B321/B444, "NA")</f>
        <v>1.5798717965598962E-2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-1403.83</v>
      </c>
      <c r="I321" s="8">
        <f>IFERROR(H321/H444, "NA")</f>
        <v>0.14209165211670335</v>
      </c>
      <c r="J321" s="9"/>
      <c r="K321" s="7">
        <v>3521.9</v>
      </c>
      <c r="L321" s="8">
        <f>IFERROR(K321/K444, "NA")</f>
        <v>3.9058124620026405E-2</v>
      </c>
      <c r="M321" s="9"/>
      <c r="N321" s="10">
        <f t="shared" si="77"/>
        <v>2118.0700000000002</v>
      </c>
      <c r="O321" s="8">
        <f>IFERROR(N321/N444, "NA")</f>
        <v>-1.6125021887585378</v>
      </c>
      <c r="P321" s="9"/>
      <c r="Q321" s="7">
        <v>13055.28</v>
      </c>
      <c r="R321" s="8">
        <f>IFERROR(Q321/Q444, "NA")</f>
        <v>1.779796518612721E-2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-13055.28</v>
      </c>
      <c r="X321" s="8">
        <f>IFERROR(W321/W444, "NA")</f>
        <v>0.16736802471378517</v>
      </c>
      <c r="Y321" s="9"/>
      <c r="Z321" s="7">
        <v>15323.71</v>
      </c>
      <c r="AA321" s="8">
        <f>IFERROR(Z321/Z444, "NA")</f>
        <v>2.1687859151814291E-2</v>
      </c>
      <c r="AB321" s="9"/>
      <c r="AC321" s="10">
        <f t="shared" si="79"/>
        <v>2268.4299999999985</v>
      </c>
      <c r="AD321" s="8">
        <f>IFERROR(AC321/AC444, "NA")</f>
        <v>8.411097132352148E-2</v>
      </c>
    </row>
    <row r="322" spans="1:30" ht="16.5" customHeight="1" x14ac:dyDescent="0.45">
      <c r="A322" s="6" t="s">
        <v>294</v>
      </c>
      <c r="B322" s="7">
        <v>302.16000000000003</v>
      </c>
      <c r="C322" s="8">
        <f>IFERROR(B322/B444, "NA")</f>
        <v>3.400511899934738E-3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-302.16000000000003</v>
      </c>
      <c r="I322" s="8">
        <f>IFERROR(H322/H444, "NA")</f>
        <v>3.0583769832232599E-2</v>
      </c>
      <c r="J322" s="9"/>
      <c r="K322" s="7">
        <v>299.72000000000003</v>
      </c>
      <c r="L322" s="8">
        <f>IFERROR(K322/K444, "NA")</f>
        <v>3.3239163835186449E-3</v>
      </c>
      <c r="M322" s="9"/>
      <c r="N322" s="10">
        <f t="shared" si="77"/>
        <v>-2.4399999999999977</v>
      </c>
      <c r="O322" s="8">
        <f>IFERROR(N322/N444, "NA")</f>
        <v>1.85758985329608E-3</v>
      </c>
      <c r="P322" s="9"/>
      <c r="Q322" s="7">
        <v>3043.57</v>
      </c>
      <c r="R322" s="8">
        <f>IFERROR(Q322/Q444, "NA")</f>
        <v>4.1492294996002526E-3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-3043.57</v>
      </c>
      <c r="X322" s="8">
        <f>IFERROR(W322/W444, "NA")</f>
        <v>3.9018412395454956E-2</v>
      </c>
      <c r="Y322" s="9"/>
      <c r="Z322" s="7">
        <v>2916.73</v>
      </c>
      <c r="AA322" s="8">
        <f>IFERROR(Z322/Z444, "NA")</f>
        <v>4.1280883952953496E-3</v>
      </c>
      <c r="AB322" s="9"/>
      <c r="AC322" s="10">
        <f t="shared" si="79"/>
        <v>-126.84000000000015</v>
      </c>
      <c r="AD322" s="8">
        <f>IFERROR(AC322/AC444, "NA")</f>
        <v>-4.7030922720451961E-3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4723.34</v>
      </c>
      <c r="C324" s="15">
        <f>IFERROR(B324/B444, "NA")</f>
        <v>5.315651931902881E-2</v>
      </c>
      <c r="D324" s="2"/>
      <c r="E324" s="14">
        <f>IFERROR(E297+E298+E299+E300+E301+E302+E303+E304+E305+E306+E307+E308+E309+E310+E311+E312+E313+E314+E315+E316+E317+E318+E319+E320+E321+E322+E323, "NA")</f>
        <v>2825.58</v>
      </c>
      <c r="F324" s="15">
        <f>IFERROR(E324/E444, "NA")</f>
        <v>2.8617247280045888E-2</v>
      </c>
      <c r="G324" s="2"/>
      <c r="H324" s="14">
        <f t="shared" si="76"/>
        <v>-1897.7600000000002</v>
      </c>
      <c r="I324" s="15">
        <f>IFERROR(H324/H444, "NA")</f>
        <v>0.19208583213137986</v>
      </c>
      <c r="J324" s="2"/>
      <c r="K324" s="14">
        <f>IFERROR(K297+K298+K299+K300+K301+K302+K303+K304+K305+K306+K307+K308+K309+K310+K311+K312+K313+K314+K315+K316+K317+K318+K319+K320+K321+K322+K323, "NA")</f>
        <v>5729.04</v>
      </c>
      <c r="L324" s="15">
        <f>IFERROR(K324/K444, "NA")</f>
        <v>6.3535466161195972E-2</v>
      </c>
      <c r="M324" s="2"/>
      <c r="N324" s="14">
        <f t="shared" si="77"/>
        <v>1005.6999999999998</v>
      </c>
      <c r="O324" s="15">
        <f>IFERROR(N324/N444, "NA")</f>
        <v>-0.76564676863109382</v>
      </c>
      <c r="P324" s="2"/>
      <c r="Q324" s="14">
        <f>IFERROR(Q297+Q298+Q299+Q300+Q301+Q302+Q303+Q304+Q305+Q306+Q307+Q308+Q309+Q310+Q311+Q312+Q313+Q314+Q315+Q316+Q317+Q318+Q319+Q320+Q321+Q322+Q323, "NA")</f>
        <v>37369.32</v>
      </c>
      <c r="R324" s="15">
        <f>IFERROR(Q324/Q444, "NA")</f>
        <v>5.0944740854983364E-2</v>
      </c>
      <c r="S324" s="2"/>
      <c r="T324" s="14">
        <f>IFERROR(T297+T298+T299+T300+T301+T302+T303+T304+T305+T306+T307+T308+T309+T310+T311+T312+T313+T314+T315+T316+T317+T318+T319+T320+T321+T322+T323, "NA")</f>
        <v>22885.89</v>
      </c>
      <c r="U324" s="15">
        <f>IFERROR(T324/T444, "NA")</f>
        <v>2.8200917481816259E-2</v>
      </c>
      <c r="V324" s="2"/>
      <c r="W324" s="14">
        <f t="shared" si="78"/>
        <v>-14483.43</v>
      </c>
      <c r="X324" s="15">
        <f>IFERROR(W324/W444, "NA")</f>
        <v>0.18567683498020551</v>
      </c>
      <c r="Y324" s="2"/>
      <c r="Z324" s="14">
        <f>IFERROR(Z297+Z298+Z299+Z300+Z301+Z302+Z303+Z304+Z305+Z306+Z307+Z308+Z309+Z310+Z311+Z312+Z313+Z314+Z315+Z316+Z317+Z318+Z319+Z320+Z321+Z322+Z323, "NA")</f>
        <v>35075.299999999996</v>
      </c>
      <c r="AA324" s="15">
        <f>IFERROR(Z324/Z444, "NA")</f>
        <v>4.9642558238679253E-2</v>
      </c>
      <c r="AB324" s="2"/>
      <c r="AC324" s="14">
        <f t="shared" si="79"/>
        <v>-2294.0200000000041</v>
      </c>
      <c r="AD324" s="15">
        <f>IFERROR(AC324/AC444, "NA")</f>
        <v>-8.5059821301774891E-2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24588.360000000004</v>
      </c>
      <c r="C325" s="15">
        <f>IFERROR(B325/B444, "NA")</f>
        <v>0.27671766871816034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20880.93</v>
      </c>
      <c r="F325" s="15">
        <f>IFERROR(E325/E444, "NA")</f>
        <v>0.21148038181446946</v>
      </c>
      <c r="G325" s="2"/>
      <c r="H325" s="14">
        <f t="shared" si="76"/>
        <v>-3707.4300000000039</v>
      </c>
      <c r="I325" s="15">
        <f>IFERROR(H325/H444, "NA")</f>
        <v>0.37525544674713468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23595.700000000008</v>
      </c>
      <c r="L325" s="15">
        <f>IFERROR(K325/K444, "NA")</f>
        <v>0.26167801218000436</v>
      </c>
      <c r="M325" s="2"/>
      <c r="N325" s="14">
        <f t="shared" si="77"/>
        <v>-992.65999999999622</v>
      </c>
      <c r="O325" s="15">
        <f>IFERROR(N325/N444, "NA")</f>
        <v>0.75571932121839402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218722.82</v>
      </c>
      <c r="R325" s="15">
        <f>IFERROR(Q325/Q444, "NA")</f>
        <v>0.29817982730141124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170548.30000000005</v>
      </c>
      <c r="U325" s="15">
        <f>IFERROR(T325/T444, "NA")</f>
        <v>0.21015649970195807</v>
      </c>
      <c r="V325" s="2"/>
      <c r="W325" s="14">
        <f t="shared" si="78"/>
        <v>-48174.51999999996</v>
      </c>
      <c r="X325" s="15">
        <f>IFERROR(W325/W444, "NA")</f>
        <v>0.61759489294252834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155963.57000000004</v>
      </c>
      <c r="AA325" s="15">
        <f>IFERROR(Z325/Z444, "NA")</f>
        <v>0.22073740229840746</v>
      </c>
      <c r="AB325" s="2"/>
      <c r="AC325" s="14">
        <f t="shared" si="79"/>
        <v>-62759.249999999971</v>
      </c>
      <c r="AD325" s="15">
        <f>IFERROR(AC325/AC444, "NA")</f>
        <v>-2.3270462289053295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11441.92</v>
      </c>
      <c r="C329" s="8">
        <f>IFERROR(B329/B444, "NA")</f>
        <v>0.12876749112424304</v>
      </c>
      <c r="D329" s="9"/>
      <c r="E329" s="7">
        <v>10560</v>
      </c>
      <c r="F329" s="8">
        <f>IFERROR(E329/E444, "NA")</f>
        <v>0.1069508317857872</v>
      </c>
      <c r="G329" s="9"/>
      <c r="H329" s="10">
        <f t="shared" si="80"/>
        <v>-881.92000000000007</v>
      </c>
      <c r="I329" s="8">
        <f>IFERROR(H329/H444, "NA")</f>
        <v>8.9265416635036315E-2</v>
      </c>
      <c r="J329" s="9"/>
      <c r="K329" s="7">
        <v>4125.3</v>
      </c>
      <c r="L329" s="8">
        <f>IFERROR(K329/K444, "NA")</f>
        <v>4.5749874072232299E-2</v>
      </c>
      <c r="M329" s="9"/>
      <c r="N329" s="10">
        <f t="shared" si="81"/>
        <v>-7316.62</v>
      </c>
      <c r="O329" s="8">
        <f>IFERROR(N329/N444, "NA")</f>
        <v>5.5701963411570397</v>
      </c>
      <c r="P329" s="9"/>
      <c r="Q329" s="7">
        <v>72389.210000000006</v>
      </c>
      <c r="R329" s="8">
        <f>IFERROR(Q329/Q444, "NA")</f>
        <v>9.8686557425903668E-2</v>
      </c>
      <c r="S329" s="9"/>
      <c r="T329" s="7">
        <v>70622</v>
      </c>
      <c r="U329" s="8">
        <f>IFERROR(T329/T444, "NA")</f>
        <v>8.7023279164621867E-2</v>
      </c>
      <c r="V329" s="9"/>
      <c r="W329" s="10">
        <f t="shared" si="82"/>
        <v>-1767.2100000000064</v>
      </c>
      <c r="X329" s="8">
        <f>IFERROR(W329/W444, "NA")</f>
        <v>2.2655542198593163E-2</v>
      </c>
      <c r="Y329" s="9"/>
      <c r="Z329" s="7">
        <v>33002.400000000001</v>
      </c>
      <c r="AA329" s="8">
        <f>IFERROR(Z329/Z444, "NA")</f>
        <v>4.6708754137988515E-2</v>
      </c>
      <c r="AB329" s="9"/>
      <c r="AC329" s="10">
        <f t="shared" si="83"/>
        <v>-39386.810000000005</v>
      </c>
      <c r="AD329" s="8">
        <f>IFERROR(AC329/AC444, "NA")</f>
        <v>-1.4604210164893745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1.1551454293917173E-2</v>
      </c>
      <c r="D330" s="9"/>
      <c r="E330" s="7">
        <v>1117</v>
      </c>
      <c r="F330" s="8">
        <f>IFERROR(E330/E444, "NA")</f>
        <v>1.1312886278856469E-2</v>
      </c>
      <c r="G330" s="9"/>
      <c r="H330" s="10">
        <f t="shared" si="80"/>
        <v>90.569999999999936</v>
      </c>
      <c r="I330" s="8">
        <f>IFERROR(H330/H444, "NA")</f>
        <v>-9.1672360130570039E-3</v>
      </c>
      <c r="J330" s="9"/>
      <c r="K330" s="7">
        <v>1117.48</v>
      </c>
      <c r="L330" s="8">
        <f>IFERROR(K330/K444, "NA")</f>
        <v>1.2392933672275506E-2</v>
      </c>
      <c r="M330" s="9"/>
      <c r="N330" s="10">
        <f t="shared" si="81"/>
        <v>91.049999999999955</v>
      </c>
      <c r="O330" s="8">
        <f>IFERROR(N330/N444, "NA")</f>
        <v>-6.9317031205986951E-2</v>
      </c>
      <c r="P330" s="9"/>
      <c r="Q330" s="7">
        <v>6001.74</v>
      </c>
      <c r="R330" s="8">
        <f>IFERROR(Q330/Q444, "NA")</f>
        <v>8.1820351287898163E-3</v>
      </c>
      <c r="S330" s="9"/>
      <c r="T330" s="7">
        <v>8936</v>
      </c>
      <c r="U330" s="8">
        <f>IFERROR(T330/T444, "NA")</f>
        <v>1.1011299915253901E-2</v>
      </c>
      <c r="V330" s="9"/>
      <c r="W330" s="10">
        <f t="shared" si="82"/>
        <v>2934.26</v>
      </c>
      <c r="X330" s="8">
        <f>IFERROR(W330/W444, "NA")</f>
        <v>-3.7617063762452531E-2</v>
      </c>
      <c r="Y330" s="9"/>
      <c r="Z330" s="7">
        <v>7967.12</v>
      </c>
      <c r="AA330" s="8">
        <f>IFERROR(Z330/Z444, "NA")</f>
        <v>1.1275975361423746E-2</v>
      </c>
      <c r="AB330" s="9"/>
      <c r="AC330" s="10">
        <f t="shared" si="83"/>
        <v>1965.38</v>
      </c>
      <c r="AD330" s="8">
        <f>IFERROR(AC330/AC444, "NA")</f>
        <v>7.2874199697510064E-2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9.6802499200683879E-3</v>
      </c>
      <c r="D333" s="9"/>
      <c r="E333" s="7">
        <v>726</v>
      </c>
      <c r="F333" s="8">
        <f>IFERROR(E333/E444, "NA")</f>
        <v>7.3528696852728703E-3</v>
      </c>
      <c r="G333" s="9"/>
      <c r="H333" s="10">
        <f t="shared" si="80"/>
        <v>-134.15999999999997</v>
      </c>
      <c r="I333" s="8">
        <f>IFERROR(H333/H444, "NA")</f>
        <v>1.3579290973961889E-2</v>
      </c>
      <c r="J333" s="9"/>
      <c r="K333" s="7">
        <v>726.35</v>
      </c>
      <c r="L333" s="8">
        <f>IFERROR(K333/K444, "NA")</f>
        <v>8.0552738061149317E-3</v>
      </c>
      <c r="M333" s="9"/>
      <c r="N333" s="10">
        <f t="shared" si="81"/>
        <v>-133.80999999999995</v>
      </c>
      <c r="O333" s="8">
        <f>IFERROR(N333/N444, "NA")</f>
        <v>0.10187053207768385</v>
      </c>
      <c r="P333" s="9"/>
      <c r="Q333" s="7">
        <v>8170.31</v>
      </c>
      <c r="R333" s="8">
        <f>IFERROR(Q333/Q444, "NA")</f>
        <v>1.1138397103690384E-2</v>
      </c>
      <c r="S333" s="9"/>
      <c r="T333" s="7">
        <v>5808</v>
      </c>
      <c r="U333" s="8">
        <f>IFERROR(T333/T444, "NA")</f>
        <v>7.1568520487684268E-3</v>
      </c>
      <c r="V333" s="9"/>
      <c r="W333" s="10">
        <f t="shared" si="82"/>
        <v>-2362.3100000000004</v>
      </c>
      <c r="X333" s="8">
        <f>IFERROR(W333/W444, "NA")</f>
        <v>3.0284693891025078E-2</v>
      </c>
      <c r="Y333" s="9"/>
      <c r="Z333" s="7">
        <v>5601.47</v>
      </c>
      <c r="AA333" s="8">
        <f>IFERROR(Z333/Z444, "NA")</f>
        <v>7.9278381281760874E-3</v>
      </c>
      <c r="AB333" s="9"/>
      <c r="AC333" s="10">
        <f t="shared" si="83"/>
        <v>-2568.84</v>
      </c>
      <c r="AD333" s="8">
        <f>IFERROR(AC333/AC444, "NA")</f>
        <v>-9.524985455787266E-2</v>
      </c>
    </row>
    <row r="334" spans="1:30" ht="16.5" customHeight="1" x14ac:dyDescent="0.45">
      <c r="A334" s="6" t="s">
        <v>305</v>
      </c>
      <c r="B334" s="7">
        <v>-881.03</v>
      </c>
      <c r="C334" s="8">
        <f>IFERROR(B334/B444, "NA")</f>
        <v>-9.9151211252300163E-3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881.03</v>
      </c>
      <c r="I334" s="8">
        <f>IFERROR(H334/H444, "NA")</f>
        <v>-8.9175333383941902E-2</v>
      </c>
      <c r="J334" s="9"/>
      <c r="K334" s="7">
        <v>-317.64999999999998</v>
      </c>
      <c r="L334" s="8">
        <f>IFERROR(K334/K444, "NA")</f>
        <v>-3.5227613746987101E-3</v>
      </c>
      <c r="M334" s="9"/>
      <c r="N334" s="10">
        <f t="shared" si="81"/>
        <v>563.38</v>
      </c>
      <c r="O334" s="8">
        <f>IFERROR(N334/N444, "NA")</f>
        <v>-0.42890531620899447</v>
      </c>
      <c r="P334" s="9"/>
      <c r="Q334" s="7">
        <v>-1762.06</v>
      </c>
      <c r="R334" s="8">
        <f>IFERROR(Q334/Q444, "NA")</f>
        <v>-2.40217617208266E-3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1762.06</v>
      </c>
      <c r="X334" s="8">
        <f>IFERROR(W334/W444, "NA")</f>
        <v>-2.2589519460875007E-2</v>
      </c>
      <c r="Y334" s="9"/>
      <c r="Z334" s="7">
        <v>-635.29999999999995</v>
      </c>
      <c r="AA334" s="8">
        <f>IFERROR(Z334/Z444, "NA")</f>
        <v>-8.9914889534894733E-4</v>
      </c>
      <c r="AB334" s="9"/>
      <c r="AC334" s="10">
        <f t="shared" si="83"/>
        <v>1126.76</v>
      </c>
      <c r="AD334" s="8">
        <f>IFERROR(AC334/AC444, "NA")</f>
        <v>4.1779062192128971E-2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3384.45</v>
      </c>
      <c r="F337" s="8">
        <f>IFERROR(E337/E444, "NA")</f>
        <v>3.4277437749754495E-2</v>
      </c>
      <c r="G337" s="9"/>
      <c r="H337" s="10">
        <f t="shared" ref="H337:H344" si="84">IFERROR(-(B337-E337), "NA")</f>
        <v>3384.45</v>
      </c>
      <c r="I337" s="8">
        <f>IFERROR(H337/H444, "NA")</f>
        <v>-0.34256433614210885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17121.740000000002</v>
      </c>
      <c r="U337" s="8">
        <f>IFERROR(T337/T444, "NA")</f>
        <v>2.1098099173119892E-2</v>
      </c>
      <c r="V337" s="9"/>
      <c r="W337" s="10">
        <f t="shared" ref="W337:W344" si="86">IFERROR(-(Q337-T337), "NA")</f>
        <v>17121.740000000002</v>
      </c>
      <c r="X337" s="8">
        <f>IFERROR(W337/W444, "NA")</f>
        <v>-0.21949983481495641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1575.6</v>
      </c>
      <c r="C338" s="8">
        <f>IFERROR(B338/B444, "NA")</f>
        <v>1.7731819398785983E-2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-1575.6</v>
      </c>
      <c r="I338" s="8">
        <f>IFERROR(H338/H444, "NA")</f>
        <v>0.15947771957792453</v>
      </c>
      <c r="J338" s="9"/>
      <c r="K338" s="7">
        <v>1637.63</v>
      </c>
      <c r="L338" s="8">
        <f>IFERROR(K338/K444, "NA")</f>
        <v>1.8161434629459624E-2</v>
      </c>
      <c r="M338" s="9"/>
      <c r="N338" s="10">
        <f t="shared" si="85"/>
        <v>62.0300000000002</v>
      </c>
      <c r="O338" s="8">
        <f>IFERROR(N338/N444, "NA")</f>
        <v>-4.7223892868834556E-2</v>
      </c>
      <c r="P338" s="9"/>
      <c r="Q338" s="7">
        <v>9389.6299999999992</v>
      </c>
      <c r="R338" s="8">
        <f>IFERROR(Q338/Q444, "NA")</f>
        <v>1.2800668223938176E-2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-9389.6299999999992</v>
      </c>
      <c r="X338" s="8">
        <f>IFERROR(W338/W444, "NA")</f>
        <v>0.12037457839994994</v>
      </c>
      <c r="Y338" s="9"/>
      <c r="Z338" s="7">
        <v>9355.85</v>
      </c>
      <c r="AA338" s="8">
        <f>IFERROR(Z338/Z444, "NA")</f>
        <v>1.3241464178420353E-2</v>
      </c>
      <c r="AB338" s="9"/>
      <c r="AC338" s="10">
        <f t="shared" si="87"/>
        <v>-33.779999999998836</v>
      </c>
      <c r="AD338" s="8">
        <f>IFERROR(AC338/AC444, "NA")</f>
        <v>-1.2525264660176684E-3</v>
      </c>
    </row>
    <row r="339" spans="1:30" ht="16.5" customHeight="1" x14ac:dyDescent="0.45">
      <c r="A339" s="12" t="s">
        <v>309</v>
      </c>
      <c r="B339" s="7">
        <v>273.56</v>
      </c>
      <c r="C339" s="8">
        <f>IFERROR(B339/B444, "NA")</f>
        <v>3.0786471913759163E-3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-273.56</v>
      </c>
      <c r="I339" s="8">
        <f>IFERROR(H339/H444, "NA")</f>
        <v>2.7688959740884131E-2</v>
      </c>
      <c r="J339" s="9"/>
      <c r="K339" s="7">
        <v>286.69</v>
      </c>
      <c r="L339" s="8">
        <f>IFERROR(K339/K444, "NA")</f>
        <v>3.1794127451987195E-3</v>
      </c>
      <c r="M339" s="9"/>
      <c r="N339" s="10">
        <f t="shared" si="85"/>
        <v>13.129999999999995</v>
      </c>
      <c r="O339" s="8">
        <f>IFERROR(N339/N444, "NA")</f>
        <v>-9.9959650712203047E-3</v>
      </c>
      <c r="P339" s="9"/>
      <c r="Q339" s="7">
        <v>3718.04</v>
      </c>
      <c r="R339" s="8">
        <f>IFERROR(Q339/Q444, "NA")</f>
        <v>5.0687190531821915E-3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-3718.04</v>
      </c>
      <c r="X339" s="8">
        <f>IFERROR(W339/W444, "NA")</f>
        <v>4.7665083445689545E-2</v>
      </c>
      <c r="Y339" s="9"/>
      <c r="Z339" s="7">
        <v>3156.12</v>
      </c>
      <c r="AA339" s="8">
        <f>IFERROR(Z339/Z444, "NA")</f>
        <v>4.4669003802750192E-3</v>
      </c>
      <c r="AB339" s="9"/>
      <c r="AC339" s="10">
        <f t="shared" si="87"/>
        <v>-561.92000000000007</v>
      </c>
      <c r="AD339" s="8">
        <f>IFERROR(AC339/AC444, "NA")</f>
        <v>-2.0835395849161414E-2</v>
      </c>
    </row>
    <row r="340" spans="1:30" ht="16.5" customHeight="1" x14ac:dyDescent="0.45">
      <c r="A340" s="12" t="s">
        <v>310</v>
      </c>
      <c r="B340" s="7">
        <v>492.84</v>
      </c>
      <c r="C340" s="8">
        <f>IFERROR(B340/B444, "NA")</f>
        <v>5.5464266771373975E-3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-492.84</v>
      </c>
      <c r="I340" s="8">
        <f>IFERROR(H340/H444, "NA")</f>
        <v>4.9883853336369847E-2</v>
      </c>
      <c r="J340" s="9"/>
      <c r="K340" s="7">
        <v>383.08</v>
      </c>
      <c r="L340" s="8">
        <f>IFERROR(K340/K444, "NA")</f>
        <v>4.2483847864617716E-3</v>
      </c>
      <c r="M340" s="9"/>
      <c r="N340" s="10">
        <f t="shared" si="85"/>
        <v>-109.75999999999999</v>
      </c>
      <c r="O340" s="8">
        <f>IFERROR(N340/N444, "NA")</f>
        <v>8.356109110564669E-2</v>
      </c>
      <c r="P340" s="9"/>
      <c r="Q340" s="7">
        <v>3256.56</v>
      </c>
      <c r="R340" s="8">
        <f>IFERROR(Q340/Q444, "NA")</f>
        <v>4.4395939042697228E-3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-3256.56</v>
      </c>
      <c r="X340" s="8">
        <f>IFERROR(W340/W444, "NA")</f>
        <v>4.1748933348187418E-2</v>
      </c>
      <c r="Y340" s="9"/>
      <c r="Z340" s="7">
        <v>2740.35</v>
      </c>
      <c r="AA340" s="8">
        <f>IFERROR(Z340/Z444, "NA")</f>
        <v>3.878455336643299E-3</v>
      </c>
      <c r="AB340" s="9"/>
      <c r="AC340" s="10">
        <f t="shared" si="87"/>
        <v>-516.21</v>
      </c>
      <c r="AD340" s="8">
        <f>IFERROR(AC340/AC444, "NA")</f>
        <v>-1.9140517673860359E-2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2342</v>
      </c>
      <c r="C342" s="15">
        <f>IFERROR(B342/B444, "NA")</f>
        <v>2.6356893267299297E-2</v>
      </c>
      <c r="D342" s="2"/>
      <c r="E342" s="14">
        <f>IFERROR(E337+E338+E339+E340+E341, "NA")</f>
        <v>3384.45</v>
      </c>
      <c r="F342" s="15">
        <f>IFERROR(E342/E444, "NA")</f>
        <v>3.4277437749754495E-2</v>
      </c>
      <c r="G342" s="2"/>
      <c r="H342" s="14">
        <f t="shared" si="84"/>
        <v>1042.4499999999998</v>
      </c>
      <c r="I342" s="15">
        <f>IFERROR(H342/H444, "NA")</f>
        <v>-0.10551380348693032</v>
      </c>
      <c r="J342" s="2"/>
      <c r="K342" s="14">
        <f>IFERROR(K337+K338+K339+K340+K341, "NA")</f>
        <v>2307.4</v>
      </c>
      <c r="L342" s="15">
        <f>IFERROR(K342/K444, "NA")</f>
        <v>2.5589232161120114E-2</v>
      </c>
      <c r="M342" s="2"/>
      <c r="N342" s="14">
        <f t="shared" si="85"/>
        <v>-34.599999999999909</v>
      </c>
      <c r="O342" s="15">
        <f>IFERROR(N342/N444, "NA")</f>
        <v>2.634123316559191E-2</v>
      </c>
      <c r="P342" s="2"/>
      <c r="Q342" s="14">
        <f>IFERROR(Q337+Q338+Q339+Q340+Q341, "NA")</f>
        <v>16364.229999999998</v>
      </c>
      <c r="R342" s="15">
        <f>IFERROR(Q342/Q444, "NA")</f>
        <v>2.2308981181390089E-2</v>
      </c>
      <c r="S342" s="2"/>
      <c r="T342" s="14">
        <f>IFERROR(T337+T338+T339+T340+T341, "NA")</f>
        <v>17121.740000000002</v>
      </c>
      <c r="U342" s="15">
        <f>IFERROR(T342/T444, "NA")</f>
        <v>2.1098099173119892E-2</v>
      </c>
      <c r="V342" s="2"/>
      <c r="W342" s="14">
        <f t="shared" si="86"/>
        <v>757.51000000000386</v>
      </c>
      <c r="X342" s="15">
        <f>IFERROR(W342/W444, "NA")</f>
        <v>-9.7112396211295384E-3</v>
      </c>
      <c r="Y342" s="2"/>
      <c r="Z342" s="14">
        <f>IFERROR(Z337+Z338+Z339+Z340+Z341, "NA")</f>
        <v>15252.320000000002</v>
      </c>
      <c r="AA342" s="15">
        <f>IFERROR(Z342/Z444, "NA")</f>
        <v>2.1586819895338671E-2</v>
      </c>
      <c r="AB342" s="2"/>
      <c r="AC342" s="14">
        <f t="shared" si="87"/>
        <v>-1111.9099999999962</v>
      </c>
      <c r="AD342" s="15">
        <f>IFERROR(AC342/AC444, "NA")</f>
        <v>-4.1228439989039342E-2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14789.48</v>
      </c>
      <c r="C343" s="15">
        <f>IFERROR(B343/B444, "NA")</f>
        <v>0.16644096748029788</v>
      </c>
      <c r="D343" s="2"/>
      <c r="E343" s="14">
        <f>IFERROR(E328+E329+E330+E331+E332+E333+E334+E335+E337+E338+E339+E340+E341, "NA")</f>
        <v>15787.45</v>
      </c>
      <c r="F343" s="15">
        <f>IFERROR(E343/E444, "NA")</f>
        <v>0.15989402549967105</v>
      </c>
      <c r="G343" s="2"/>
      <c r="H343" s="14">
        <f t="shared" si="84"/>
        <v>997.97000000000116</v>
      </c>
      <c r="I343" s="15">
        <f>IFERROR(H343/H444, "NA")</f>
        <v>-0.10101166527493116</v>
      </c>
      <c r="J343" s="2"/>
      <c r="K343" s="14">
        <f>IFERROR(K328+K329+K330+K331+K332+K333+K334+K335+K337+K338+K339+K340+K341, "NA")</f>
        <v>7958.880000000001</v>
      </c>
      <c r="L343" s="15">
        <f>IFERROR(K343/K444, "NA")</f>
        <v>8.8264552337044153E-2</v>
      </c>
      <c r="M343" s="2"/>
      <c r="N343" s="14">
        <f t="shared" si="85"/>
        <v>-6830.5999999999985</v>
      </c>
      <c r="O343" s="15">
        <f>IFERROR(N343/N444, "NA")</f>
        <v>5.2001857589853335</v>
      </c>
      <c r="P343" s="2"/>
      <c r="Q343" s="14">
        <f>IFERROR(Q328+Q329+Q330+Q331+Q332+Q333+Q334+Q335+Q337+Q338+Q339+Q340+Q341, "NA")</f>
        <v>101163.43000000001</v>
      </c>
      <c r="R343" s="15">
        <f>IFERROR(Q343/Q444, "NA")</f>
        <v>0.1379137946676913</v>
      </c>
      <c r="S343" s="2"/>
      <c r="T343" s="14">
        <f>IFERROR(T328+T329+T330+T331+T332+T333+T334+T335+T337+T338+T339+T340+T341, "NA")</f>
        <v>102487.74</v>
      </c>
      <c r="U343" s="15">
        <f>IFERROR(T343/T444, "NA")</f>
        <v>0.1262895303017641</v>
      </c>
      <c r="V343" s="2"/>
      <c r="W343" s="14">
        <f t="shared" si="86"/>
        <v>1324.3099999999977</v>
      </c>
      <c r="X343" s="15">
        <f>IFERROR(W343/W444, "NA")</f>
        <v>-1.6977586754838844E-2</v>
      </c>
      <c r="Y343" s="2"/>
      <c r="Z343" s="14">
        <f>IFERROR(Z328+Z329+Z330+Z331+Z332+Z333+Z334+Z335+Z337+Z338+Z339+Z340+Z341, "NA")</f>
        <v>61188.01</v>
      </c>
      <c r="AA343" s="15">
        <f>IFERROR(Z343/Z444, "NA")</f>
        <v>8.6600238627578069E-2</v>
      </c>
      <c r="AB343" s="2"/>
      <c r="AC343" s="14">
        <f t="shared" si="87"/>
        <v>-39975.420000000006</v>
      </c>
      <c r="AD343" s="15">
        <f>IFERROR(AC343/AC444, "NA")</f>
        <v>-1.4822460491466476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14789.48</v>
      </c>
      <c r="C344" s="15">
        <f>IFERROR(B344/B444, "NA")</f>
        <v>0.16644096748029788</v>
      </c>
      <c r="D344" s="2"/>
      <c r="E344" s="14">
        <f>IFERROR(E328+E329+E330+E331+E332+E333+E334+E335+E337+E338+E339+E340+E341, "NA")</f>
        <v>15787.45</v>
      </c>
      <c r="F344" s="15">
        <f>IFERROR(E344/E444, "NA")</f>
        <v>0.15989402549967105</v>
      </c>
      <c r="G344" s="2"/>
      <c r="H344" s="14">
        <f t="shared" si="84"/>
        <v>997.97000000000116</v>
      </c>
      <c r="I344" s="15">
        <f>IFERROR(H344/H444, "NA")</f>
        <v>-0.10101166527493116</v>
      </c>
      <c r="J344" s="2"/>
      <c r="K344" s="14">
        <f>IFERROR(K328+K329+K330+K331+K332+K333+K334+K335+K337+K338+K339+K340+K341, "NA")</f>
        <v>7958.880000000001</v>
      </c>
      <c r="L344" s="15">
        <f>IFERROR(K344/K444, "NA")</f>
        <v>8.8264552337044153E-2</v>
      </c>
      <c r="M344" s="2"/>
      <c r="N344" s="14">
        <f t="shared" si="85"/>
        <v>-6830.5999999999985</v>
      </c>
      <c r="O344" s="15">
        <f>IFERROR(N344/N444, "NA")</f>
        <v>5.2001857589853335</v>
      </c>
      <c r="P344" s="2"/>
      <c r="Q344" s="14">
        <f>IFERROR(Q328+Q329+Q330+Q331+Q332+Q333+Q334+Q335+Q337+Q338+Q339+Q340+Q341, "NA")</f>
        <v>101163.43000000001</v>
      </c>
      <c r="R344" s="15">
        <f>IFERROR(Q344/Q444, "NA")</f>
        <v>0.1379137946676913</v>
      </c>
      <c r="S344" s="2"/>
      <c r="T344" s="14">
        <f>IFERROR(T328+T329+T330+T331+T332+T333+T334+T335+T337+T338+T339+T340+T341, "NA")</f>
        <v>102487.74</v>
      </c>
      <c r="U344" s="15">
        <f>IFERROR(T344/T444, "NA")</f>
        <v>0.1262895303017641</v>
      </c>
      <c r="V344" s="2"/>
      <c r="W344" s="14">
        <f t="shared" si="86"/>
        <v>1324.3099999999977</v>
      </c>
      <c r="X344" s="15">
        <f>IFERROR(W344/W444, "NA")</f>
        <v>-1.6977586754838844E-2</v>
      </c>
      <c r="Y344" s="2"/>
      <c r="Z344" s="14">
        <f>IFERROR(Z328+Z329+Z330+Z331+Z332+Z333+Z334+Z335+Z337+Z338+Z339+Z340+Z341, "NA")</f>
        <v>61188.01</v>
      </c>
      <c r="AA344" s="15">
        <f>IFERROR(Z344/Z444, "NA")</f>
        <v>8.6600238627578069E-2</v>
      </c>
      <c r="AB344" s="2"/>
      <c r="AC344" s="14">
        <f t="shared" si="87"/>
        <v>-39975.420000000006</v>
      </c>
      <c r="AD344" s="15">
        <f>IFERROR(AC344/AC444, "NA")</f>
        <v>-1.4822460491466476</v>
      </c>
    </row>
    <row r="345" spans="1:30" ht="16.5" customHeight="1" x14ac:dyDescent="0.45">
      <c r="A345" s="22" t="s">
        <v>315</v>
      </c>
      <c r="B345" s="23">
        <f>IFERROR(B198-B325-B344, "NA")</f>
        <v>-1776.9699999999939</v>
      </c>
      <c r="C345" s="24">
        <f>IFERROR(B345/B444, "NA")</f>
        <v>-1.9998039551320526E-2</v>
      </c>
      <c r="D345" s="25"/>
      <c r="E345" s="23">
        <f>IFERROR(E198-E325-E344, "NA")</f>
        <v>10520.020000000008</v>
      </c>
      <c r="F345" s="24">
        <f>IFERROR(E345/E444, "NA")</f>
        <v>0.10654591755711344</v>
      </c>
      <c r="G345" s="25"/>
      <c r="H345" s="23">
        <f>IFERROR(B345-E345, "NA")</f>
        <v>-12296.990000000002</v>
      </c>
      <c r="I345" s="24">
        <f>IFERROR(H345/H444, "NA")</f>
        <v>1.2446661099724186</v>
      </c>
      <c r="J345" s="25"/>
      <c r="K345" s="23">
        <f>IFERROR(K198-K325-K344, "NA")</f>
        <v>8022.9399999999805</v>
      </c>
      <c r="L345" s="24">
        <f>IFERROR(K345/K444, "NA")</f>
        <v>8.8974982350150167E-2</v>
      </c>
      <c r="M345" s="25"/>
      <c r="N345" s="23">
        <f>IFERROR(B345-K345, "NA")</f>
        <v>-9799.9099999999744</v>
      </c>
      <c r="O345" s="24">
        <f>IFERROR(N345/N444, "NA")</f>
        <v>7.4607431882027688</v>
      </c>
      <c r="P345" s="25"/>
      <c r="Q345" s="23">
        <f>IFERROR(Q198-Q325-Q344, "NA")</f>
        <v>-17205.939999999959</v>
      </c>
      <c r="R345" s="24">
        <f>IFERROR(Q345/Q444, "NA")</f>
        <v>-2.3456465209064289E-2</v>
      </c>
      <c r="S345" s="25"/>
      <c r="T345" s="23">
        <f>IFERROR(T198-T325-T344, "NA")</f>
        <v>102594.41999999991</v>
      </c>
      <c r="U345" s="24">
        <f>IFERROR(T345/T444, "NA")</f>
        <v>0.12642098570406471</v>
      </c>
      <c r="V345" s="25"/>
      <c r="W345" s="23">
        <f>IFERROR(Q345-T345, "NA")</f>
        <v>-119800.35999999987</v>
      </c>
      <c r="X345" s="24">
        <f>IFERROR(W345/W444, "NA")</f>
        <v>1.5358345139438094</v>
      </c>
      <c r="Y345" s="25"/>
      <c r="Z345" s="23">
        <f>IFERROR(Z198-Z325-Z344, "NA")</f>
        <v>81074.04999999961</v>
      </c>
      <c r="AA345" s="24">
        <f>IFERROR(Z345/Z444, "NA")</f>
        <v>0.11474522666293874</v>
      </c>
      <c r="AB345" s="25"/>
      <c r="AC345" s="23">
        <f>IFERROR(Q345-Z345, "NA")</f>
        <v>-98279.989999999569</v>
      </c>
      <c r="AD345" s="24">
        <f>IFERROR(AC345/AC444, "NA")</f>
        <v>-3.6441174823847096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-1776.9699999999939</v>
      </c>
      <c r="C404" s="24">
        <f>IFERROR(B404/B444, "NA")</f>
        <v>-1.9998039551320526E-2</v>
      </c>
      <c r="D404" s="25"/>
      <c r="E404" s="23">
        <f>IFERROR(E345-E403, "NA")</f>
        <v>10520.020000000008</v>
      </c>
      <c r="F404" s="24">
        <f>IFERROR(E404/E444, "NA")</f>
        <v>0.10654591755711344</v>
      </c>
      <c r="G404" s="25"/>
      <c r="H404" s="23">
        <f>IFERROR(B404-E404, "NA")</f>
        <v>-12296.990000000002</v>
      </c>
      <c r="I404" s="24">
        <f>IFERROR(H404/H444, "NA")</f>
        <v>1.2446661099724186</v>
      </c>
      <c r="J404" s="25"/>
      <c r="K404" s="23">
        <f>IFERROR(K345-K403, "NA")</f>
        <v>8022.9399999999805</v>
      </c>
      <c r="L404" s="24">
        <f>IFERROR(K404/K444, "NA")</f>
        <v>8.8974982350150167E-2</v>
      </c>
      <c r="M404" s="25"/>
      <c r="N404" s="23">
        <f>IFERROR(B404-K404, "NA")</f>
        <v>-9799.9099999999744</v>
      </c>
      <c r="O404" s="24">
        <f>IFERROR(N404/N444, "NA")</f>
        <v>7.4607431882027688</v>
      </c>
      <c r="P404" s="25"/>
      <c r="Q404" s="23">
        <f>IFERROR(Q345-Q403, "NA")</f>
        <v>-17205.939999999959</v>
      </c>
      <c r="R404" s="24">
        <f>IFERROR(Q404/Q444, "NA")</f>
        <v>-2.3456465209064289E-2</v>
      </c>
      <c r="S404" s="25"/>
      <c r="T404" s="23">
        <f>IFERROR(T345-T403, "NA")</f>
        <v>102594.41999999991</v>
      </c>
      <c r="U404" s="24">
        <f>IFERROR(T404/T444, "NA")</f>
        <v>0.12642098570406471</v>
      </c>
      <c r="V404" s="25"/>
      <c r="W404" s="23">
        <f>IFERROR(Q404-T404, "NA")</f>
        <v>-119800.35999999987</v>
      </c>
      <c r="X404" s="24">
        <f>IFERROR(W404/W444, "NA")</f>
        <v>1.5358345139438094</v>
      </c>
      <c r="Y404" s="25"/>
      <c r="Z404" s="23">
        <f>IFERROR(Z345-Z403, "NA")</f>
        <v>81074.04999999961</v>
      </c>
      <c r="AA404" s="24">
        <f>IFERROR(Z404/Z444, "NA")</f>
        <v>0.11474522666293874</v>
      </c>
      <c r="AB404" s="25"/>
      <c r="AC404" s="23">
        <f>IFERROR(Q404-Z404, "NA")</f>
        <v>-98279.989999999569</v>
      </c>
      <c r="AD404" s="24">
        <f>IFERROR(AC404/AC444, "NA")</f>
        <v>-3.6441174823847096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1110</v>
      </c>
      <c r="AA408" s="8">
        <f>IFERROR(Z408/Z444, "NA")</f>
        <v>1.5709983847589039E-3</v>
      </c>
      <c r="AB408" s="9"/>
      <c r="AC408" s="10">
        <f t="shared" si="103"/>
        <v>1110</v>
      </c>
      <c r="AD408" s="8">
        <f>IFERROR(AC408/AC444, "NA")</f>
        <v>4.1157619220830666E-2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3263.09</v>
      </c>
      <c r="C410" s="8">
        <f>IFERROR(B410/B444, "NA")</f>
        <v>3.672285006472744E-2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-3263.09</v>
      </c>
      <c r="I410" s="8">
        <f>IFERROR(H410/H444, "NA")</f>
        <v>0.3302806245097295</v>
      </c>
      <c r="J410" s="9"/>
      <c r="K410" s="7">
        <v>3009.38</v>
      </c>
      <c r="L410" s="8">
        <f>IFERROR(K410/K444, "NA")</f>
        <v>3.337424091229594E-2</v>
      </c>
      <c r="M410" s="9"/>
      <c r="N410" s="10">
        <f t="shared" si="101"/>
        <v>-253.71000000000004</v>
      </c>
      <c r="O410" s="8">
        <f>IFERROR(N410/N444, "NA")</f>
        <v>0.19315127937694629</v>
      </c>
      <c r="P410" s="9"/>
      <c r="Q410" s="7">
        <v>23949.11</v>
      </c>
      <c r="R410" s="8">
        <f>IFERROR(Q410/Q444, "NA")</f>
        <v>3.2649274930811975E-2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-23949.11</v>
      </c>
      <c r="X410" s="8">
        <f>IFERROR(W410/W444, "NA")</f>
        <v>0.30702637050704079</v>
      </c>
      <c r="Y410" s="9"/>
      <c r="Z410" s="7">
        <v>48057.37</v>
      </c>
      <c r="AA410" s="8">
        <f>IFERROR(Z410/Z444, "NA")</f>
        <v>6.8016261843027934E-2</v>
      </c>
      <c r="AB410" s="9"/>
      <c r="AC410" s="10">
        <f t="shared" si="103"/>
        <v>24108.260000000002</v>
      </c>
      <c r="AD410" s="8">
        <f>IFERROR(AC410/AC444, "NA")</f>
        <v>0.8939086352763812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-26.96</v>
      </c>
      <c r="C416" s="8">
        <f>IFERROR(B416/B444, "NA")</f>
        <v>-3.0340813086523875E-4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26.96</v>
      </c>
      <c r="I416" s="8">
        <f>IFERROR(H416/H444, "NA")</f>
        <v>-2.7288139882082037E-3</v>
      </c>
      <c r="J416" s="9"/>
      <c r="K416" s="7">
        <v>-30.7</v>
      </c>
      <c r="L416" s="8">
        <f>IFERROR(K416/K444, "NA")</f>
        <v>-3.4046521077679963E-4</v>
      </c>
      <c r="M416" s="9"/>
      <c r="N416" s="10">
        <f t="shared" si="101"/>
        <v>-3.7399999999999984</v>
      </c>
      <c r="O416" s="8">
        <f>IFERROR(N416/N444, "NA")</f>
        <v>2.8472893652980911E-3</v>
      </c>
      <c r="P416" s="9"/>
      <c r="Q416" s="7">
        <v>-195.45</v>
      </c>
      <c r="R416" s="8">
        <f>IFERROR(Q416/Q444, "NA")</f>
        <v>-2.6645252308863255E-4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195.45</v>
      </c>
      <c r="X416" s="8">
        <f>IFERROR(W416/W444, "NA")</f>
        <v>-2.5056590460188757E-3</v>
      </c>
      <c r="Y416" s="9"/>
      <c r="Z416" s="7">
        <v>-244.06</v>
      </c>
      <c r="AA416" s="8">
        <f>IFERROR(Z416/Z444, "NA")</f>
        <v>-3.4542150070653878E-4</v>
      </c>
      <c r="AB416" s="9"/>
      <c r="AC416" s="10">
        <f t="shared" si="103"/>
        <v>-48.610000000000014</v>
      </c>
      <c r="AD416" s="8">
        <f>IFERROR(AC416/AC444, "NA")</f>
        <v>-1.8024070903825038E-3</v>
      </c>
    </row>
    <row r="417" spans="1:30" ht="16.5" customHeight="1" x14ac:dyDescent="0.45">
      <c r="A417" s="6" t="s">
        <v>382</v>
      </c>
      <c r="B417" s="7">
        <v>-9.14</v>
      </c>
      <c r="C417" s="8">
        <f>IFERROR(B417/B444, "NA")</f>
        <v>-1.0286165860935765E-4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9.14</v>
      </c>
      <c r="I417" s="8">
        <f>IFERROR(H417/H444, "NA")</f>
        <v>-9.2512462359877531E-4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9.14</v>
      </c>
      <c r="O417" s="8">
        <f>IFERROR(N417/N444, "NA")</f>
        <v>-6.9583488766910605E-3</v>
      </c>
      <c r="P417" s="9"/>
      <c r="Q417" s="7">
        <v>65.489999999999995</v>
      </c>
      <c r="R417" s="8">
        <f>IFERROR(Q417/Q444, "NA")</f>
        <v>8.9281021934379864E-5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-65.489999999999995</v>
      </c>
      <c r="X417" s="8">
        <f>IFERROR(W417/W444, "NA")</f>
        <v>8.3957846469059178E-4</v>
      </c>
      <c r="Y417" s="9"/>
      <c r="Z417" s="7">
        <v>-16.16</v>
      </c>
      <c r="AA417" s="8">
        <f>IFERROR(Z417/Z444, "NA")</f>
        <v>-2.2871471979913413E-5</v>
      </c>
      <c r="AB417" s="9"/>
      <c r="AC417" s="10">
        <f t="shared" si="103"/>
        <v>-81.649999999999991</v>
      </c>
      <c r="AD417" s="8">
        <f>IFERROR(AC417/AC444, "NA")</f>
        <v>-3.0274951435863276E-3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3226.9900000000002</v>
      </c>
      <c r="C428" s="15">
        <f>IFERROR(B428/B444, "NA")</f>
        <v>3.6316580275252849E-2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-3226.9900000000002</v>
      </c>
      <c r="I428" s="15">
        <f>IFERROR(H428/H444, "NA")</f>
        <v>0.32662668589792254</v>
      </c>
      <c r="J428" s="2"/>
      <c r="K428" s="14">
        <f>IFERROR(K407+K408+K409+K410+K411+K412+K413+K414+K415+K416+K417+K418+K419+K420+K421+K422+K423+K424+K425+K426+K427, "NA")</f>
        <v>2978.6800000000003</v>
      </c>
      <c r="L428" s="15">
        <f>IFERROR(K428/K444, "NA")</f>
        <v>3.3033775701519143E-2</v>
      </c>
      <c r="M428" s="2"/>
      <c r="N428" s="14">
        <f t="shared" si="101"/>
        <v>-248.30999999999995</v>
      </c>
      <c r="O428" s="15">
        <f>IFERROR(N428/N444, "NA")</f>
        <v>0.18904021986555325</v>
      </c>
      <c r="P428" s="2"/>
      <c r="Q428" s="14">
        <f>IFERROR(Q407+Q408+Q409+Q410+Q411+Q412+Q413+Q414+Q415+Q416+Q417+Q418+Q419+Q420+Q421+Q422+Q423+Q424+Q425+Q426+Q427, "NA")</f>
        <v>23819.15</v>
      </c>
      <c r="R428" s="15">
        <f>IFERROR(Q428/Q444, "NA")</f>
        <v>3.2472103429657728E-2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-23819.15</v>
      </c>
      <c r="X428" s="15">
        <f>IFERROR(W428/W444, "NA")</f>
        <v>0.30536028992571251</v>
      </c>
      <c r="Y428" s="2"/>
      <c r="Z428" s="14">
        <f>IFERROR(Z407+Z408+Z409+Z410+Z411+Z412+Z413+Z414+Z415+Z416+Z417+Z418+Z419+Z420+Z421+Z422+Z423+Z424+Z425+Z426+Z427, "NA")</f>
        <v>48907.15</v>
      </c>
      <c r="AA428" s="15">
        <f>IFERROR(Z428/Z444, "NA")</f>
        <v>6.9218967255100378E-2</v>
      </c>
      <c r="AB428" s="2"/>
      <c r="AC428" s="14">
        <f t="shared" si="103"/>
        <v>25088</v>
      </c>
      <c r="AD428" s="15">
        <f>IFERROR(AC428/AC444, "NA")</f>
        <v>0.93023635226324297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3226.9900000000002</v>
      </c>
      <c r="C429" s="15">
        <f>IFERROR(B429/B444, "NA")</f>
        <v>3.6316580275252849E-2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-3226.9900000000002</v>
      </c>
      <c r="I429" s="15">
        <f>IFERROR(H429/H444, "NA")</f>
        <v>0.32662668589792254</v>
      </c>
      <c r="J429" s="2"/>
      <c r="K429" s="14">
        <f>IFERROR(K407+K408+K409+K410+K411+K412+K413+K414+K415+K416+K417+K418+K419+K420+K421+K422+K423+K424+K425+K426+K427, "NA")</f>
        <v>2978.6800000000003</v>
      </c>
      <c r="L429" s="15">
        <f>IFERROR(K429/K444, "NA")</f>
        <v>3.3033775701519143E-2</v>
      </c>
      <c r="M429" s="2"/>
      <c r="N429" s="14">
        <f t="shared" si="101"/>
        <v>-248.30999999999995</v>
      </c>
      <c r="O429" s="15">
        <f>IFERROR(N429/N444, "NA")</f>
        <v>0.18904021986555325</v>
      </c>
      <c r="P429" s="2"/>
      <c r="Q429" s="14">
        <f>IFERROR(Q407+Q408+Q409+Q410+Q411+Q412+Q413+Q414+Q415+Q416+Q417+Q418+Q419+Q420+Q421+Q422+Q423+Q424+Q425+Q426+Q427, "NA")</f>
        <v>23819.15</v>
      </c>
      <c r="R429" s="15">
        <f>IFERROR(Q429/Q444, "NA")</f>
        <v>3.2472103429657728E-2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-23819.15</v>
      </c>
      <c r="X429" s="15">
        <f>IFERROR(W429/W444, "NA")</f>
        <v>0.30536028992571251</v>
      </c>
      <c r="Y429" s="2"/>
      <c r="Z429" s="14">
        <f>IFERROR(Z407+Z408+Z409+Z410+Z411+Z412+Z413+Z414+Z415+Z416+Z417+Z418+Z419+Z420+Z421+Z422+Z423+Z424+Z425+Z426+Z427, "NA")</f>
        <v>48907.15</v>
      </c>
      <c r="AA429" s="15">
        <f>IFERROR(Z429/Z444, "NA")</f>
        <v>6.9218967255100378E-2</v>
      </c>
      <c r="AB429" s="2"/>
      <c r="AC429" s="14">
        <f t="shared" si="103"/>
        <v>25088</v>
      </c>
      <c r="AD429" s="15">
        <f>IFERROR(AC429/AC444, "NA")</f>
        <v>0.93023635226324297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-5003.9599999999937</v>
      </c>
      <c r="C443" s="24">
        <f>IFERROR(B443/B444, "NA")</f>
        <v>-5.6314619826573369E-2</v>
      </c>
      <c r="D443" s="25"/>
      <c r="E443" s="23">
        <f>IFERROR(E404-E429-E442, "NA")</f>
        <v>10520.020000000008</v>
      </c>
      <c r="F443" s="24">
        <f>IFERROR(E443/E444, "NA")</f>
        <v>0.10654591755711344</v>
      </c>
      <c r="G443" s="25"/>
      <c r="H443" s="23">
        <f>IFERROR(B443-E443, "NA")</f>
        <v>-15523.980000000001</v>
      </c>
      <c r="I443" s="24">
        <f>IFERROR(H443/H444, "NA")</f>
        <v>1.5712927958703411</v>
      </c>
      <c r="J443" s="25"/>
      <c r="K443" s="23">
        <f>IFERROR(K404-K429-K442, "NA")</f>
        <v>5044.2599999999802</v>
      </c>
      <c r="L443" s="24">
        <f>IFERROR(K443/K444, "NA")</f>
        <v>5.5941206648631031E-2</v>
      </c>
      <c r="M443" s="25"/>
      <c r="N443" s="23">
        <f>IFERROR(B443-K443, "NA")</f>
        <v>-10048.219999999974</v>
      </c>
      <c r="O443" s="24">
        <f>IFERROR(N443/N444, "NA")</f>
        <v>7.6497834080683216</v>
      </c>
      <c r="P443" s="25"/>
      <c r="Q443" s="23">
        <f>IFERROR(Q404-Q429-Q442, "NA")</f>
        <v>-41025.08999999996</v>
      </c>
      <c r="R443" s="24">
        <f>IFERROR(Q443/Q444, "NA")</f>
        <v>-5.5928568638722018E-2</v>
      </c>
      <c r="S443" s="25"/>
      <c r="T443" s="23">
        <f>IFERROR(T404-T429-T442, "NA")</f>
        <v>102594.41999999991</v>
      </c>
      <c r="U443" s="24">
        <f>IFERROR(T443/T444, "NA")</f>
        <v>0.12642098570406471</v>
      </c>
      <c r="V443" s="25"/>
      <c r="W443" s="23">
        <f>IFERROR(Q443-T443, "NA")</f>
        <v>-143619.50999999986</v>
      </c>
      <c r="X443" s="24">
        <f>IFERROR(W443/W444, "NA")</f>
        <v>1.8411948038695218</v>
      </c>
      <c r="Y443" s="25"/>
      <c r="Z443" s="23">
        <f>IFERROR(Z404-Z429-Z442, "NA")</f>
        <v>32166.899999999609</v>
      </c>
      <c r="AA443" s="24">
        <f>IFERROR(Z443/Z444, "NA")</f>
        <v>4.5526259407838353E-2</v>
      </c>
      <c r="AB443" s="25"/>
      <c r="AC443" s="23">
        <f>IFERROR(Q443-Z443, "NA")</f>
        <v>-73191.989999999569</v>
      </c>
      <c r="AD443" s="24">
        <f>IFERROR(AC443/AC444, "NA")</f>
        <v>-2.7138811301214667</v>
      </c>
    </row>
    <row r="444" spans="1:30" ht="15.75" hidden="1" x14ac:dyDescent="0.45">
      <c r="A444" s="26" t="s">
        <v>117</v>
      </c>
      <c r="B444" s="7">
        <v>88857.21</v>
      </c>
      <c r="C444" s="27"/>
      <c r="D444" s="9"/>
      <c r="E444" s="7">
        <v>98736.960000000006</v>
      </c>
      <c r="F444" s="27"/>
      <c r="G444" s="9"/>
      <c r="H444" s="10">
        <f>IFERROR(B444-E444, "NA")</f>
        <v>-9879.75</v>
      </c>
      <c r="I444" s="27"/>
      <c r="J444" s="9"/>
      <c r="K444" s="7">
        <v>90170.74</v>
      </c>
      <c r="L444" s="27"/>
      <c r="M444" s="9"/>
      <c r="N444" s="10">
        <f>IFERROR(B444-K444, "NA")</f>
        <v>-1313.5299999999988</v>
      </c>
      <c r="O444" s="27"/>
      <c r="P444" s="9"/>
      <c r="Q444" s="7">
        <v>733526.55</v>
      </c>
      <c r="R444" s="27"/>
      <c r="S444" s="9"/>
      <c r="T444" s="7">
        <v>811529.98</v>
      </c>
      <c r="U444" s="27"/>
      <c r="V444" s="9"/>
      <c r="W444" s="10">
        <f>IFERROR(Q444-T444, "NA")</f>
        <v>-78003.429999999935</v>
      </c>
      <c r="X444" s="27"/>
      <c r="Y444" s="9"/>
      <c r="Z444" s="7">
        <v>706557.06</v>
      </c>
      <c r="AA444" s="27"/>
      <c r="AB444" s="9"/>
      <c r="AC444" s="10">
        <f>IFERROR(Q444-Z444, "NA")</f>
        <v>26969.489999999991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71519.990000000005</v>
      </c>
      <c r="F10" s="8">
        <f>IFERROR(E10/E444, "NA")</f>
        <v>0.58899994679893475</v>
      </c>
      <c r="G10" s="9"/>
      <c r="H10" s="10">
        <f t="shared" ref="H10:H19" si="0">IFERROR(B10-E10, "NA")</f>
        <v>-71519.990000000005</v>
      </c>
      <c r="I10" s="8">
        <f>IFERROR(H10/H444, "NA")</f>
        <v>3.1388874503294693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552022.12</v>
      </c>
      <c r="U10" s="8">
        <f>IFERROR(T10/T444, "NA")</f>
        <v>0.58899998052750191</v>
      </c>
      <c r="V10" s="9"/>
      <c r="W10" s="10">
        <f t="shared" ref="W10:W19" si="2">IFERROR(Q10-T10, "NA")</f>
        <v>-552022.12</v>
      </c>
      <c r="X10" s="8">
        <f>IFERROR(W10/W444, "NA")</f>
        <v>11.709008023742891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60185.75</v>
      </c>
      <c r="C11" s="8">
        <f>IFERROR(B11/B444, "NA")</f>
        <v>0.6101494307640839</v>
      </c>
      <c r="D11" s="9"/>
      <c r="E11" s="7">
        <v>0</v>
      </c>
      <c r="F11" s="8">
        <f>IFERROR(E11/E444, "NA")</f>
        <v>0</v>
      </c>
      <c r="G11" s="9"/>
      <c r="H11" s="10">
        <f t="shared" si="0"/>
        <v>60185.75</v>
      </c>
      <c r="I11" s="8">
        <f>IFERROR(H11/H444, "NA")</f>
        <v>-2.6414474521552207</v>
      </c>
      <c r="J11" s="9"/>
      <c r="K11" s="7">
        <v>58029.62</v>
      </c>
      <c r="L11" s="8">
        <f>IFERROR(K11/K444, "NA")</f>
        <v>0.55914368265637293</v>
      </c>
      <c r="M11" s="9"/>
      <c r="N11" s="10">
        <f t="shared" si="1"/>
        <v>2156.1299999999974</v>
      </c>
      <c r="O11" s="8">
        <f>IFERROR(N11/N444, "NA")</f>
        <v>-0.41931575528683196</v>
      </c>
      <c r="P11" s="9"/>
      <c r="Q11" s="7">
        <v>480452.39</v>
      </c>
      <c r="R11" s="8">
        <f>IFERROR(Q11/Q444, "NA")</f>
        <v>0.53978916161559887</v>
      </c>
      <c r="S11" s="9"/>
      <c r="T11" s="7">
        <v>0</v>
      </c>
      <c r="U11" s="8">
        <f>IFERROR(T11/T444, "NA")</f>
        <v>0</v>
      </c>
      <c r="V11" s="9"/>
      <c r="W11" s="10">
        <f t="shared" si="2"/>
        <v>480452.39</v>
      </c>
      <c r="X11" s="8">
        <f>IFERROR(W11/W444, "NA")</f>
        <v>-10.19093381536314</v>
      </c>
      <c r="Y11" s="9"/>
      <c r="Z11" s="7">
        <v>445668.68</v>
      </c>
      <c r="AA11" s="8">
        <f>IFERROR(Z11/Z444, "NA")</f>
        <v>0.5483849144642754</v>
      </c>
      <c r="AB11" s="9"/>
      <c r="AC11" s="10">
        <f t="shared" si="3"/>
        <v>34783.710000000021</v>
      </c>
      <c r="AD11" s="8">
        <f>IFERROR(AC11/AC444, "NA")</f>
        <v>0.44951234146784663</v>
      </c>
    </row>
    <row r="12" spans="1:30" ht="16.5" customHeight="1" x14ac:dyDescent="0.45">
      <c r="A12" s="12" t="s">
        <v>14</v>
      </c>
      <c r="B12" s="7">
        <v>5904.25</v>
      </c>
      <c r="C12" s="8">
        <f>IFERROR(B12/B444, "NA")</f>
        <v>5.9855942255248831E-2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5904.25</v>
      </c>
      <c r="I12" s="8">
        <f>IFERROR(H12/H444, "NA")</f>
        <v>-0.25912722063590571</v>
      </c>
      <c r="J12" s="9"/>
      <c r="K12" s="7">
        <v>7045.95</v>
      </c>
      <c r="L12" s="8">
        <f>IFERROR(K12/K444, "NA")</f>
        <v>6.789116369903285E-2</v>
      </c>
      <c r="M12" s="9"/>
      <c r="N12" s="10">
        <f t="shared" si="1"/>
        <v>-1141.6999999999998</v>
      </c>
      <c r="O12" s="8">
        <f>IFERROR(N12/N444, "NA")</f>
        <v>0.22203336431985851</v>
      </c>
      <c r="P12" s="9"/>
      <c r="Q12" s="7">
        <v>53292.55</v>
      </c>
      <c r="R12" s="8">
        <f>IFERROR(Q12/Q444, "NA")</f>
        <v>5.9874279915346829E-2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53292.55</v>
      </c>
      <c r="X12" s="8">
        <f>IFERROR(W12/W444, "NA")</f>
        <v>-1.13039473047877</v>
      </c>
      <c r="Y12" s="9"/>
      <c r="Z12" s="7">
        <v>50585.15</v>
      </c>
      <c r="AA12" s="8">
        <f>IFERROR(Z12/Z444, "NA")</f>
        <v>6.2243847056769934E-2</v>
      </c>
      <c r="AB12" s="9"/>
      <c r="AC12" s="10">
        <f t="shared" si="3"/>
        <v>2707.4000000000015</v>
      </c>
      <c r="AD12" s="8">
        <f>IFERROR(AC12/AC444, "NA")</f>
        <v>3.4987921452025901E-2</v>
      </c>
    </row>
    <row r="13" spans="1:30" ht="16.5" customHeight="1" x14ac:dyDescent="0.45">
      <c r="A13" s="12" t="s">
        <v>15</v>
      </c>
      <c r="B13" s="7">
        <v>192</v>
      </c>
      <c r="C13" s="8">
        <f>IFERROR(B13/B444, "NA")</f>
        <v>1.9464522865745482E-3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192</v>
      </c>
      <c r="I13" s="8">
        <f>IFERROR(H13/H444, "NA")</f>
        <v>-8.4265446690255149E-3</v>
      </c>
      <c r="J13" s="9"/>
      <c r="K13" s="7">
        <v>179.5</v>
      </c>
      <c r="L13" s="8">
        <f>IFERROR(K13/K444, "NA")</f>
        <v>1.7295700202210342E-3</v>
      </c>
      <c r="M13" s="9"/>
      <c r="N13" s="10">
        <f t="shared" si="1"/>
        <v>12.5</v>
      </c>
      <c r="O13" s="8">
        <f>IFERROR(N13/N444, "NA")</f>
        <v>-2.4309512603996075E-3</v>
      </c>
      <c r="P13" s="9"/>
      <c r="Q13" s="7">
        <v>2590</v>
      </c>
      <c r="R13" s="8">
        <f>IFERROR(Q13/Q444, "NA")</f>
        <v>2.9098698594972145E-3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2590</v>
      </c>
      <c r="X13" s="8">
        <f>IFERROR(W13/W444, "NA")</f>
        <v>-5.4936803585867333E-2</v>
      </c>
      <c r="Y13" s="9"/>
      <c r="Z13" s="7">
        <v>1616.99</v>
      </c>
      <c r="AA13" s="8">
        <f>IFERROR(Z13/Z444, "NA")</f>
        <v>1.9896684748849495E-3</v>
      </c>
      <c r="AB13" s="9"/>
      <c r="AC13" s="10">
        <f t="shared" si="3"/>
        <v>973.01</v>
      </c>
      <c r="AD13" s="8">
        <f>IFERROR(AC13/AC444, "NA")</f>
        <v>1.257427696388997E-2</v>
      </c>
    </row>
    <row r="14" spans="1:30" ht="16.5" customHeight="1" x14ac:dyDescent="0.45">
      <c r="A14" s="12" t="s">
        <v>16</v>
      </c>
      <c r="B14" s="7">
        <v>50</v>
      </c>
      <c r="C14" s="8">
        <f>IFERROR(B14/B444, "NA")</f>
        <v>5.0688861629545525E-4</v>
      </c>
      <c r="D14" s="9"/>
      <c r="E14" s="7">
        <v>0</v>
      </c>
      <c r="F14" s="8">
        <f>IFERROR(E14/E444, "NA")</f>
        <v>0</v>
      </c>
      <c r="G14" s="9"/>
      <c r="H14" s="10">
        <f t="shared" si="0"/>
        <v>50</v>
      </c>
      <c r="I14" s="8">
        <f>IFERROR(H14/H444, "NA")</f>
        <v>-2.1944126742253945E-3</v>
      </c>
      <c r="J14" s="9"/>
      <c r="K14" s="7">
        <v>670</v>
      </c>
      <c r="L14" s="8">
        <f>IFERROR(K14/K444, "NA")</f>
        <v>6.4557766771481499E-3</v>
      </c>
      <c r="M14" s="9"/>
      <c r="N14" s="10">
        <f t="shared" si="1"/>
        <v>-620</v>
      </c>
      <c r="O14" s="8">
        <f>IFERROR(N14/N444, "NA")</f>
        <v>0.12057518251582054</v>
      </c>
      <c r="P14" s="9"/>
      <c r="Q14" s="7">
        <v>3240</v>
      </c>
      <c r="R14" s="8">
        <f>IFERROR(Q14/Q444, "NA")</f>
        <v>3.6401460790621526E-3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3240</v>
      </c>
      <c r="X14" s="8">
        <f>IFERROR(W14/W444, "NA")</f>
        <v>-6.8724032285023232E-2</v>
      </c>
      <c r="Y14" s="9"/>
      <c r="Z14" s="7">
        <v>5035</v>
      </c>
      <c r="AA14" s="8">
        <f>IFERROR(Z14/Z444, "NA")</f>
        <v>6.1954500467199681E-3</v>
      </c>
      <c r="AB14" s="9"/>
      <c r="AC14" s="10">
        <f t="shared" si="3"/>
        <v>-1795</v>
      </c>
      <c r="AD14" s="8">
        <f>IFERROR(AC14/AC444, "NA")</f>
        <v>-2.319691179965519E-2</v>
      </c>
    </row>
    <row r="15" spans="1:30" ht="16.5" customHeight="1" x14ac:dyDescent="0.45">
      <c r="A15" s="12" t="s">
        <v>17</v>
      </c>
      <c r="B15" s="7">
        <v>5</v>
      </c>
      <c r="C15" s="8">
        <f>IFERROR(B15/B444, "NA")</f>
        <v>5.0688861629545524E-5</v>
      </c>
      <c r="D15" s="9"/>
      <c r="E15" s="7">
        <v>0</v>
      </c>
      <c r="F15" s="8">
        <f>IFERROR(E15/E444, "NA")</f>
        <v>0</v>
      </c>
      <c r="G15" s="9"/>
      <c r="H15" s="10">
        <f t="shared" si="0"/>
        <v>5</v>
      </c>
      <c r="I15" s="8">
        <f>IFERROR(H15/H444, "NA")</f>
        <v>-2.1944126742253942E-4</v>
      </c>
      <c r="J15" s="9"/>
      <c r="K15" s="7">
        <v>26</v>
      </c>
      <c r="L15" s="8">
        <f>IFERROR(K15/K444, "NA")</f>
        <v>2.5052267702365956E-4</v>
      </c>
      <c r="M15" s="9"/>
      <c r="N15" s="10">
        <f t="shared" si="1"/>
        <v>-21</v>
      </c>
      <c r="O15" s="8">
        <f>IFERROR(N15/N444, "NA")</f>
        <v>4.083998117471341E-3</v>
      </c>
      <c r="P15" s="9"/>
      <c r="Q15" s="7">
        <v>383</v>
      </c>
      <c r="R15" s="8">
        <f>IFERROR(Q15/Q444, "NA")</f>
        <v>4.3030121860518654E-4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383</v>
      </c>
      <c r="X15" s="8">
        <f>IFERROR(W15/W444, "NA")</f>
        <v>-8.123859371964165E-3</v>
      </c>
      <c r="Y15" s="9"/>
      <c r="Z15" s="7">
        <v>425</v>
      </c>
      <c r="AA15" s="8">
        <f>IFERROR(Z15/Z444, "NA")</f>
        <v>5.2295258587010658E-4</v>
      </c>
      <c r="AB15" s="9"/>
      <c r="AC15" s="10">
        <f t="shared" si="3"/>
        <v>-42</v>
      </c>
      <c r="AD15" s="8">
        <f>IFERROR(AC15/AC444, "NA")</f>
        <v>-5.4276896690001004E-4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66337</v>
      </c>
      <c r="C18" s="15">
        <f>IFERROR(B18/B444, "NA")</f>
        <v>0.67250940278383231</v>
      </c>
      <c r="D18" s="2"/>
      <c r="E18" s="14">
        <f>IFERROR(E10+E11+E12+E13+E14+E15+E16+E17, "NA")</f>
        <v>71519.990000000005</v>
      </c>
      <c r="F18" s="15">
        <f>IFERROR(E18/E444, "NA")</f>
        <v>0.58899994679893475</v>
      </c>
      <c r="G18" s="2"/>
      <c r="H18" s="14">
        <f t="shared" si="0"/>
        <v>-5182.9900000000052</v>
      </c>
      <c r="I18" s="15">
        <f>IFERROR(H18/H444, "NA")</f>
        <v>0.22747237892766975</v>
      </c>
      <c r="J18" s="2"/>
      <c r="K18" s="14">
        <f>IFERROR(K10+K11+K12+K13+K14+K15+K16+K17, "NA")</f>
        <v>65951.070000000007</v>
      </c>
      <c r="L18" s="15">
        <f>IFERROR(K18/K444, "NA")</f>
        <v>0.63547071572979863</v>
      </c>
      <c r="M18" s="2"/>
      <c r="N18" s="14">
        <f t="shared" si="1"/>
        <v>385.92999999999302</v>
      </c>
      <c r="O18" s="15">
        <f>IFERROR(N18/N444, "NA")</f>
        <v>-7.5054161594080279E-2</v>
      </c>
      <c r="P18" s="2"/>
      <c r="Q18" s="14">
        <f>IFERROR(Q10+Q11+Q12+Q13+Q14+Q15+Q16+Q17, "NA")</f>
        <v>539957.94000000006</v>
      </c>
      <c r="R18" s="15">
        <f>IFERROR(Q18/Q444, "NA")</f>
        <v>0.60664375868811027</v>
      </c>
      <c r="S18" s="2"/>
      <c r="T18" s="14">
        <f>IFERROR(T10+T11+T12+T13+T14+T15+T16+T17, "NA")</f>
        <v>552022.12</v>
      </c>
      <c r="U18" s="15">
        <f>IFERROR(T18/T444, "NA")</f>
        <v>0.58899998052750191</v>
      </c>
      <c r="V18" s="2"/>
      <c r="W18" s="14">
        <f t="shared" si="2"/>
        <v>-12064.179999999935</v>
      </c>
      <c r="X18" s="15">
        <f>IFERROR(W18/W444, "NA")</f>
        <v>0.25589478265812565</v>
      </c>
      <c r="Y18" s="2"/>
      <c r="Z18" s="14">
        <f>IFERROR(Z10+Z11+Z12+Z13+Z14+Z15+Z16+Z17, "NA")</f>
        <v>503330.82</v>
      </c>
      <c r="AA18" s="15">
        <f>IFERROR(Z18/Z444, "NA")</f>
        <v>0.61933683262852035</v>
      </c>
      <c r="AB18" s="2"/>
      <c r="AC18" s="14">
        <f t="shared" si="3"/>
        <v>36627.120000000054</v>
      </c>
      <c r="AD18" s="15">
        <f>IFERROR(AC18/AC444, "NA")</f>
        <v>0.47333485911720768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10078.370000000001</v>
      </c>
      <c r="F21" s="8">
        <f>IFERROR(E21/E444, "NA")</f>
        <v>8.3000003129474434E-2</v>
      </c>
      <c r="G21" s="9"/>
      <c r="H21" s="10">
        <f t="shared" ref="H21:H29" si="4">IFERROR(B21-E21, "NA")</f>
        <v>-10078.370000000001</v>
      </c>
      <c r="I21" s="8">
        <f>IFERROR(H21/H444, "NA")</f>
        <v>0.44232205727065976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77789.2</v>
      </c>
      <c r="U21" s="8">
        <f>IFERROR(T21/T444, "NA")</f>
        <v>8.3000002400718934E-2</v>
      </c>
      <c r="V21" s="9"/>
      <c r="W21" s="10">
        <f t="shared" ref="W21:W29" si="6">IFERROR(Q21-T21, "NA")</f>
        <v>-77789.2</v>
      </c>
      <c r="X21" s="8">
        <f>IFERROR(W21/W444, "NA")</f>
        <v>1.6499961395759657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7536.55</v>
      </c>
      <c r="C22" s="8">
        <f>IFERROR(B22/B444, "NA")</f>
        <v>7.6403828022830259E-2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7536.55</v>
      </c>
      <c r="I22" s="8">
        <f>IFERROR(H22/H444, "NA")</f>
        <v>-0.33076601679866791</v>
      </c>
      <c r="J22" s="9"/>
      <c r="K22" s="7">
        <v>7290.48</v>
      </c>
      <c r="L22" s="8">
        <f>IFERROR(K22/K444, "NA")</f>
        <v>7.0247329476440357E-2</v>
      </c>
      <c r="M22" s="9"/>
      <c r="N22" s="10">
        <f t="shared" si="5"/>
        <v>246.07000000000062</v>
      </c>
      <c r="O22" s="8">
        <f>IFERROR(N22/N444, "NA")</f>
        <v>-4.7854734131722636E-2</v>
      </c>
      <c r="P22" s="9"/>
      <c r="Q22" s="7">
        <v>63746.89</v>
      </c>
      <c r="R22" s="8">
        <f>IFERROR(Q22/Q444, "NA")</f>
        <v>7.161975052034146E-2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63746.89</v>
      </c>
      <c r="X22" s="8">
        <f>IFERROR(W22/W444, "NA")</f>
        <v>-1.3521430019845138</v>
      </c>
      <c r="Y22" s="9"/>
      <c r="Z22" s="7">
        <v>56496.07</v>
      </c>
      <c r="AA22" s="8">
        <f>IFERROR(Z22/Z444, "NA")</f>
        <v>6.9517096230584829E-2</v>
      </c>
      <c r="AB22" s="9"/>
      <c r="AC22" s="10">
        <f t="shared" si="7"/>
        <v>7250.82</v>
      </c>
      <c r="AD22" s="8">
        <f>IFERROR(AC22/AC444, "NA")</f>
        <v>9.370285906137929E-2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277.27</v>
      </c>
      <c r="C24" s="8">
        <f>IFERROR(B24/B444, "NA")</f>
        <v>2.8109001328048173E-3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277.27</v>
      </c>
      <c r="I24" s="8">
        <f>IFERROR(H24/H444, "NA")</f>
        <v>-1.2168896043649501E-2</v>
      </c>
      <c r="J24" s="9"/>
      <c r="K24" s="7">
        <v>550.46</v>
      </c>
      <c r="L24" s="8">
        <f>IFERROR(K24/K444, "NA")</f>
        <v>5.3039504920939862E-3</v>
      </c>
      <c r="M24" s="9"/>
      <c r="N24" s="10">
        <f t="shared" si="5"/>
        <v>-273.19000000000005</v>
      </c>
      <c r="O24" s="8">
        <f>IFERROR(N24/N444, "NA")</f>
        <v>5.3128925986285512E-2</v>
      </c>
      <c r="P24" s="9"/>
      <c r="Q24" s="7">
        <v>7384.27</v>
      </c>
      <c r="R24" s="8">
        <f>IFERROR(Q24/Q444, "NA")</f>
        <v>8.2962411997642843E-3</v>
      </c>
      <c r="S24" s="9"/>
      <c r="T24" s="7">
        <v>0</v>
      </c>
      <c r="U24" s="8">
        <f>IFERROR(T24/T444, "NA")</f>
        <v>0</v>
      </c>
      <c r="V24" s="9"/>
      <c r="W24" s="10">
        <f t="shared" si="6"/>
        <v>7384.27</v>
      </c>
      <c r="X24" s="8">
        <f>IFERROR(W24/W444, "NA")</f>
        <v>-0.15662864502510138</v>
      </c>
      <c r="Y24" s="9"/>
      <c r="Z24" s="7">
        <v>2683.64</v>
      </c>
      <c r="AA24" s="8">
        <f>IFERROR(Z24/Z444, "NA")</f>
        <v>3.3021564177516533E-3</v>
      </c>
      <c r="AB24" s="9"/>
      <c r="AC24" s="10">
        <f t="shared" si="7"/>
        <v>4700.630000000001</v>
      </c>
      <c r="AD24" s="8">
        <f>IFERROR(AC24/AC444, "NA")</f>
        <v>6.0746573544742728E-2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922.46</v>
      </c>
      <c r="C28" s="8">
        <f>IFERROR(B28/B444, "NA")</f>
        <v>9.3516894597581134E-3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922.46</v>
      </c>
      <c r="I28" s="8">
        <f>IFERROR(H28/H444, "NA")</f>
        <v>-4.0485158309319147E-2</v>
      </c>
      <c r="J28" s="9"/>
      <c r="K28" s="7">
        <v>928.54</v>
      </c>
      <c r="L28" s="8">
        <f>IFERROR(K28/K444, "NA")</f>
        <v>8.9469356355211093E-3</v>
      </c>
      <c r="M28" s="9"/>
      <c r="N28" s="10">
        <f t="shared" si="5"/>
        <v>-6.0799999999999272</v>
      </c>
      <c r="O28" s="8">
        <f>IFERROR(N28/N444, "NA")</f>
        <v>1.182414693058355E-3</v>
      </c>
      <c r="P28" s="9"/>
      <c r="Q28" s="7">
        <v>7158.05</v>
      </c>
      <c r="R28" s="8">
        <f>IFERROR(Q28/Q444, "NA")</f>
        <v>8.0420826053181609E-3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7158.05</v>
      </c>
      <c r="X28" s="8">
        <f>IFERROR(W28/W444, "NA")</f>
        <v>-0.15183026521537363</v>
      </c>
      <c r="Y28" s="9"/>
      <c r="Z28" s="7">
        <v>6989.09</v>
      </c>
      <c r="AA28" s="8">
        <f>IFERROR(Z28/Z444, "NA")</f>
        <v>8.5999122079503613E-3</v>
      </c>
      <c r="AB28" s="9"/>
      <c r="AC28" s="10">
        <f t="shared" si="7"/>
        <v>168.96000000000004</v>
      </c>
      <c r="AD28" s="8">
        <f>IFERROR(AC28/AC444, "NA")</f>
        <v>2.1834820154148977E-3</v>
      </c>
    </row>
    <row r="29" spans="1:30" ht="16.5" customHeight="1" x14ac:dyDescent="0.45">
      <c r="A29" s="13" t="s">
        <v>30</v>
      </c>
      <c r="B29" s="14">
        <f>IFERROR(B21+B22+B23+B24+B25+B26+B27+B28, "NA")</f>
        <v>8736.2799999999988</v>
      </c>
      <c r="C29" s="15">
        <f>IFERROR(B29/B444, "NA")</f>
        <v>8.8566417615393175E-2</v>
      </c>
      <c r="D29" s="2"/>
      <c r="E29" s="14">
        <f>IFERROR(E21+E22+E23+E24+E25+E26+E27+E28, "NA")</f>
        <v>10078.370000000001</v>
      </c>
      <c r="F29" s="15">
        <f>IFERROR(E29/E444, "NA")</f>
        <v>8.3000003129474434E-2</v>
      </c>
      <c r="G29" s="2"/>
      <c r="H29" s="14">
        <f t="shared" si="4"/>
        <v>-1342.090000000002</v>
      </c>
      <c r="I29" s="15">
        <f>IFERROR(H29/H444, "NA")</f>
        <v>5.8901986119023274E-2</v>
      </c>
      <c r="J29" s="2"/>
      <c r="K29" s="14">
        <f>IFERROR(K21+K22+K23+K24+K25+K26+K27+K28, "NA")</f>
        <v>8769.48</v>
      </c>
      <c r="L29" s="15">
        <f>IFERROR(K29/K444, "NA")</f>
        <v>8.449821560405546E-2</v>
      </c>
      <c r="M29" s="2"/>
      <c r="N29" s="14">
        <f t="shared" si="5"/>
        <v>-33.200000000000728</v>
      </c>
      <c r="O29" s="15">
        <f>IFERROR(N29/N444, "NA")</f>
        <v>6.4566065476214995E-3</v>
      </c>
      <c r="P29" s="2"/>
      <c r="Q29" s="14">
        <f>IFERROR(Q21+Q22+Q23+Q24+Q25+Q26+Q27+Q28, "NA")</f>
        <v>78289.210000000006</v>
      </c>
      <c r="R29" s="15">
        <f>IFERROR(Q29/Q444, "NA")</f>
        <v>8.7958074325423921E-2</v>
      </c>
      <c r="S29" s="2"/>
      <c r="T29" s="14">
        <f>IFERROR(T21+T22+T23+T24+T25+T26+T27+T28, "NA")</f>
        <v>77789.2</v>
      </c>
      <c r="U29" s="15">
        <f>IFERROR(T29/T444, "NA")</f>
        <v>8.3000002400718934E-2</v>
      </c>
      <c r="V29" s="2"/>
      <c r="W29" s="14">
        <f t="shared" si="6"/>
        <v>500.01000000000931</v>
      </c>
      <c r="X29" s="15">
        <f>IFERROR(W29/W444, "NA")</f>
        <v>-1.060577264902318E-2</v>
      </c>
      <c r="Y29" s="2"/>
      <c r="Z29" s="14">
        <f>IFERROR(Z21+Z22+Z23+Z24+Z25+Z26+Z27+Z28, "NA")</f>
        <v>66168.800000000003</v>
      </c>
      <c r="AA29" s="15">
        <f>IFERROR(Z29/Z444, "NA")</f>
        <v>8.1419164856286849E-2</v>
      </c>
      <c r="AB29" s="2"/>
      <c r="AC29" s="14">
        <f t="shared" si="7"/>
        <v>12120.410000000003</v>
      </c>
      <c r="AD29" s="15">
        <f>IFERROR(AC29/AC444, "NA")</f>
        <v>0.15663291462153694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18335.349999999999</v>
      </c>
      <c r="F31" s="8">
        <f>IFERROR(E31/E444, "NA")</f>
        <v>0.1510000235534128</v>
      </c>
      <c r="G31" s="9"/>
      <c r="H31" s="10">
        <f t="shared" ref="H31:H40" si="8">IFERROR(B31-E31, "NA")</f>
        <v>-18335.349999999999</v>
      </c>
      <c r="I31" s="8">
        <f>IFERROR(H31/H444, "NA")</f>
        <v>0.80470648852717164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141520.10999999999</v>
      </c>
      <c r="U31" s="8">
        <f>IFERROR(T31/T444, "NA")</f>
        <v>0.15100000346770512</v>
      </c>
      <c r="V31" s="9"/>
      <c r="W31" s="10">
        <f t="shared" ref="W31:W40" si="10">IFERROR(Q31-T31, "NA")</f>
        <v>-141520.10999999999</v>
      </c>
      <c r="X31" s="8">
        <f>IFERROR(W31/W444, "NA")</f>
        <v>3.0018001878456908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5385.21</v>
      </c>
      <c r="C33" s="8">
        <f>IFERROR(B33/B444, "NA")</f>
        <v>5.4594032907208968E-2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5385.21</v>
      </c>
      <c r="I33" s="8">
        <f>IFERROR(H33/H444, "NA")</f>
        <v>-0.23634746154730671</v>
      </c>
      <c r="J33" s="9"/>
      <c r="K33" s="7">
        <v>6926.84</v>
      </c>
      <c r="L33" s="8">
        <f>IFERROR(K33/K444, "NA")</f>
        <v>6.6743480773637148E-2</v>
      </c>
      <c r="M33" s="9"/>
      <c r="N33" s="10">
        <f t="shared" si="9"/>
        <v>-1541.63</v>
      </c>
      <c r="O33" s="8">
        <f>IFERROR(N33/N444, "NA")</f>
        <v>0.29981019132558778</v>
      </c>
      <c r="P33" s="9"/>
      <c r="Q33" s="7">
        <v>71147.53</v>
      </c>
      <c r="R33" s="8">
        <f>IFERROR(Q33/Q444, "NA")</f>
        <v>7.9934383445820018E-2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71147.53</v>
      </c>
      <c r="X33" s="8">
        <f>IFERROR(W33/W444, "NA")</f>
        <v>-1.509118873061623</v>
      </c>
      <c r="Y33" s="9"/>
      <c r="Z33" s="7">
        <v>46716.97</v>
      </c>
      <c r="AA33" s="8">
        <f>IFERROR(Z33/Z444, "NA")</f>
        <v>5.7484141801214569E-2</v>
      </c>
      <c r="AB33" s="9"/>
      <c r="AC33" s="10">
        <f t="shared" si="11"/>
        <v>24430.559999999998</v>
      </c>
      <c r="AD33" s="8">
        <f>IFERROR(AC33/AC444, "NA")</f>
        <v>0.31571785266639779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791.05</v>
      </c>
      <c r="C35" s="8">
        <f>IFERROR(B35/B444, "NA")</f>
        <v>8.0194847984103972E-3</v>
      </c>
      <c r="D35" s="9"/>
      <c r="E35" s="7">
        <v>0</v>
      </c>
      <c r="F35" s="8">
        <f>IFERROR(E35/E444, "NA")</f>
        <v>0</v>
      </c>
      <c r="G35" s="9"/>
      <c r="H35" s="10">
        <f t="shared" si="8"/>
        <v>791.05</v>
      </c>
      <c r="I35" s="8">
        <f>IFERROR(H35/H444, "NA")</f>
        <v>-3.471780291891996E-2</v>
      </c>
      <c r="J35" s="9"/>
      <c r="K35" s="7">
        <v>1150.19</v>
      </c>
      <c r="L35" s="8">
        <f>IFERROR(K35/K444, "NA")</f>
        <v>1.1082641457147806E-2</v>
      </c>
      <c r="M35" s="9"/>
      <c r="N35" s="10">
        <f t="shared" si="9"/>
        <v>-359.1400000000001</v>
      </c>
      <c r="O35" s="8">
        <f>IFERROR(N35/N444, "NA")</f>
        <v>6.9844146852793221E-2</v>
      </c>
      <c r="P35" s="9"/>
      <c r="Q35" s="7">
        <v>8119.57</v>
      </c>
      <c r="R35" s="8">
        <f>IFERROR(Q35/Q444, "NA")</f>
        <v>9.1223521293736665E-3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8119.57</v>
      </c>
      <c r="X35" s="8">
        <f>IFERROR(W35/W444, "NA")</f>
        <v>-0.17222518235200804</v>
      </c>
      <c r="Y35" s="9"/>
      <c r="Z35" s="7">
        <v>1391.89</v>
      </c>
      <c r="AA35" s="8">
        <f>IFERROR(Z35/Z444, "NA")</f>
        <v>1.7126881758746887E-3</v>
      </c>
      <c r="AB35" s="9"/>
      <c r="AC35" s="10">
        <f t="shared" si="11"/>
        <v>6727.6799999999994</v>
      </c>
      <c r="AD35" s="8">
        <f>IFERROR(AC35/AC444, "NA")</f>
        <v>8.6942283886520449E-2</v>
      </c>
    </row>
    <row r="36" spans="1:30" ht="16.5" customHeight="1" x14ac:dyDescent="0.45">
      <c r="A36" s="12" t="s">
        <v>36</v>
      </c>
      <c r="B36" s="7">
        <v>3296.43</v>
      </c>
      <c r="C36" s="8">
        <f>IFERROR(B36/B444, "NA")</f>
        <v>3.3418456828296549E-2</v>
      </c>
      <c r="D36" s="9"/>
      <c r="E36" s="7">
        <v>0</v>
      </c>
      <c r="F36" s="8">
        <f>IFERROR(E36/E444, "NA")</f>
        <v>0</v>
      </c>
      <c r="G36" s="9"/>
      <c r="H36" s="10">
        <f t="shared" si="8"/>
        <v>3296.43</v>
      </c>
      <c r="I36" s="8">
        <f>IFERROR(H36/H444, "NA")</f>
        <v>-0.14467455543393631</v>
      </c>
      <c r="J36" s="9"/>
      <c r="K36" s="7">
        <v>9899.7000000000007</v>
      </c>
      <c r="L36" s="8">
        <f>IFERROR(K36/K444, "NA")</f>
        <v>9.5388436374273938E-2</v>
      </c>
      <c r="M36" s="9"/>
      <c r="N36" s="10">
        <f t="shared" si="9"/>
        <v>-6603.27</v>
      </c>
      <c r="O36" s="8">
        <f>IFERROR(N36/N444, "NA")</f>
        <v>1.2841782023407133</v>
      </c>
      <c r="P36" s="9"/>
      <c r="Q36" s="7">
        <v>60067.33</v>
      </c>
      <c r="R36" s="8">
        <f>IFERROR(Q36/Q444, "NA")</f>
        <v>6.7485757956553219E-2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60067.33</v>
      </c>
      <c r="X36" s="8">
        <f>IFERROR(W36/W444, "NA")</f>
        <v>-1.2740954093194889</v>
      </c>
      <c r="Y36" s="9"/>
      <c r="Z36" s="7">
        <v>39958.47</v>
      </c>
      <c r="AA36" s="8">
        <f>IFERROR(Z36/Z444, "NA")</f>
        <v>4.9167965209207243E-2</v>
      </c>
      <c r="AB36" s="9"/>
      <c r="AC36" s="10">
        <f t="shared" si="11"/>
        <v>20108.86</v>
      </c>
      <c r="AD36" s="8">
        <f>IFERROR(AC36/AC444, "NA")</f>
        <v>0.25986821827945084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1178</v>
      </c>
      <c r="C39" s="8">
        <f>IFERROR(B39/B444, "NA")</f>
        <v>1.1942295799920925E-2</v>
      </c>
      <c r="D39" s="9"/>
      <c r="E39" s="7">
        <v>0</v>
      </c>
      <c r="F39" s="8">
        <f>IFERROR(E39/E444, "NA")</f>
        <v>0</v>
      </c>
      <c r="G39" s="9"/>
      <c r="H39" s="10">
        <f t="shared" si="8"/>
        <v>1178</v>
      </c>
      <c r="I39" s="8">
        <f>IFERROR(H39/H444, "NA")</f>
        <v>-5.1700362604750291E-2</v>
      </c>
      <c r="J39" s="9"/>
      <c r="K39" s="7">
        <v>885.43</v>
      </c>
      <c r="L39" s="8">
        <f>IFERROR(K39/K444, "NA")</f>
        <v>8.531549766040725E-3</v>
      </c>
      <c r="M39" s="9"/>
      <c r="N39" s="10">
        <f t="shared" si="9"/>
        <v>292.57000000000005</v>
      </c>
      <c r="O39" s="8">
        <f>IFERROR(N39/N444, "NA")</f>
        <v>-5.6897872820409062E-2</v>
      </c>
      <c r="P39" s="9"/>
      <c r="Q39" s="7">
        <v>6873.12</v>
      </c>
      <c r="R39" s="8">
        <f>IFERROR(Q39/Q444, "NA")</f>
        <v>7.7219632157171795E-3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6873.12</v>
      </c>
      <c r="X39" s="8">
        <f>IFERROR(W39/W444, "NA")</f>
        <v>-0.14578658048729592</v>
      </c>
      <c r="Y39" s="9"/>
      <c r="Z39" s="7">
        <v>8181.9</v>
      </c>
      <c r="AA39" s="8">
        <f>IFERROR(Z39/Z444, "NA")</f>
        <v>1.0067637087836765E-2</v>
      </c>
      <c r="AB39" s="9"/>
      <c r="AC39" s="10">
        <f t="shared" si="11"/>
        <v>-1308.7799999999997</v>
      </c>
      <c r="AD39" s="8">
        <f>IFERROR(AC39/AC444, "NA")</f>
        <v>-1.6913456392842738E-2</v>
      </c>
    </row>
    <row r="40" spans="1:30" ht="16.5" customHeight="1" x14ac:dyDescent="0.45">
      <c r="A40" s="13" t="s">
        <v>40</v>
      </c>
      <c r="B40" s="14">
        <f>IFERROR(B31+B32+B33+B34+B35+B36+B37+B38+B39, "NA")</f>
        <v>10650.69</v>
      </c>
      <c r="C40" s="15">
        <f>IFERROR(B40/B444, "NA")</f>
        <v>0.10797427033383684</v>
      </c>
      <c r="D40" s="2"/>
      <c r="E40" s="14">
        <f>IFERROR(E31+E32+E33+E34+E35+E36+E37+E38+E39, "NA")</f>
        <v>18335.349999999999</v>
      </c>
      <c r="F40" s="15">
        <f>IFERROR(E40/E444, "NA")</f>
        <v>0.1510000235534128</v>
      </c>
      <c r="G40" s="2"/>
      <c r="H40" s="14">
        <f t="shared" si="8"/>
        <v>-7684.659999999998</v>
      </c>
      <c r="I40" s="15">
        <f>IFERROR(H40/H444, "NA")</f>
        <v>0.33726630602225827</v>
      </c>
      <c r="J40" s="2"/>
      <c r="K40" s="14">
        <f>IFERROR(K31+K32+K33+K34+K35+K36+K37+K38+K39, "NA")</f>
        <v>18862.160000000003</v>
      </c>
      <c r="L40" s="15">
        <f>IFERROR(K40/K444, "NA")</f>
        <v>0.18174610837109964</v>
      </c>
      <c r="M40" s="2"/>
      <c r="N40" s="14">
        <f t="shared" si="9"/>
        <v>-8211.470000000003</v>
      </c>
      <c r="O40" s="15">
        <f>IFERROR(N40/N444, "NA")</f>
        <v>1.5969346676986858</v>
      </c>
      <c r="P40" s="2"/>
      <c r="Q40" s="14">
        <f>IFERROR(Q31+Q32+Q33+Q34+Q35+Q36+Q37+Q38+Q39, "NA")</f>
        <v>146207.54999999999</v>
      </c>
      <c r="R40" s="15">
        <f>IFERROR(Q40/Q444, "NA")</f>
        <v>0.16426445674746407</v>
      </c>
      <c r="S40" s="2"/>
      <c r="T40" s="14">
        <f>IFERROR(T31+T32+T33+T34+T35+T36+T37+T38+T39, "NA")</f>
        <v>141520.10999999999</v>
      </c>
      <c r="U40" s="15">
        <f>IFERROR(T40/T444, "NA")</f>
        <v>0.15100000346770512</v>
      </c>
      <c r="V40" s="2"/>
      <c r="W40" s="14">
        <f t="shared" si="10"/>
        <v>4687.4400000000023</v>
      </c>
      <c r="X40" s="15">
        <f>IFERROR(W40/W444, "NA")</f>
        <v>-9.9425857374725132E-2</v>
      </c>
      <c r="Y40" s="2"/>
      <c r="Z40" s="14">
        <f>IFERROR(Z31+Z32+Z33+Z34+Z35+Z36+Z37+Z38+Z39, "NA")</f>
        <v>96249.23</v>
      </c>
      <c r="AA40" s="15">
        <f>IFERROR(Z40/Z444, "NA")</f>
        <v>0.11843243227413326</v>
      </c>
      <c r="AB40" s="2"/>
      <c r="AC40" s="14">
        <f t="shared" si="11"/>
        <v>49958.319999999992</v>
      </c>
      <c r="AD40" s="15">
        <f>IFERROR(AC40/AC444, "NA")</f>
        <v>0.64561489843952624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4035.39</v>
      </c>
      <c r="C43" s="8">
        <f>IFERROR(B43/B444, "NA")</f>
        <v>4.0909865066250342E-2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4035.39</v>
      </c>
      <c r="I43" s="8">
        <f>IFERROR(H43/H444, "NA")</f>
        <v>-0.17710621922884828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4035.39</v>
      </c>
      <c r="O43" s="8">
        <f>IFERROR(N43/N444, "NA")</f>
        <v>-0.78478691253631772</v>
      </c>
      <c r="P43" s="9"/>
      <c r="Q43" s="7">
        <v>20444.21</v>
      </c>
      <c r="R43" s="8">
        <f>IFERROR(Q43/Q444, "NA")</f>
        <v>2.2969108293525695E-2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20444.21</v>
      </c>
      <c r="X43" s="8">
        <f>IFERROR(W43/W444, "NA")</f>
        <v>-0.43364461360549217</v>
      </c>
      <c r="Y43" s="9"/>
      <c r="Z43" s="7">
        <v>13536.25</v>
      </c>
      <c r="AA43" s="8">
        <f>IFERROR(Z43/Z444, "NA")</f>
        <v>1.6656039859962894E-2</v>
      </c>
      <c r="AB43" s="9"/>
      <c r="AC43" s="10">
        <f>IFERROR(Q43-Z43, "NA")</f>
        <v>6907.9599999999991</v>
      </c>
      <c r="AD43" s="8">
        <f>IFERROR(AC43/AC444, "NA")</f>
        <v>8.9272055061585545E-2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24163.8</v>
      </c>
      <c r="F46" s="8">
        <f>IFERROR(E46/E444, "NA")</f>
        <v>0.19899998468204622</v>
      </c>
      <c r="G46" s="9"/>
      <c r="H46" s="10">
        <f t="shared" ref="H46:H62" si="12">IFERROR(B46-E46, "NA")</f>
        <v>-24163.8</v>
      </c>
      <c r="I46" s="8">
        <f>IFERROR(H46/H444, "NA")</f>
        <v>1.0605069795489517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186506.63</v>
      </c>
      <c r="U46" s="8">
        <f>IFERROR(T46/T444, "NA")</f>
        <v>0.19899999919976036</v>
      </c>
      <c r="V46" s="9"/>
      <c r="W46" s="10">
        <f t="shared" ref="W46:W62" si="14">IFERROR(Q46-T46, "NA")</f>
        <v>-186506.63</v>
      </c>
      <c r="X46" s="8">
        <f>IFERROR(W46/W444, "NA")</f>
        <v>3.9560147103366918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9615.0300000000007</v>
      </c>
      <c r="C48" s="8">
        <f>IFERROR(B48/B444, "NA")</f>
        <v>9.7474985046785825E-2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9615.0300000000007</v>
      </c>
      <c r="I48" s="8">
        <f>IFERROR(H48/H444, "NA")</f>
        <v>-0.42198687390114792</v>
      </c>
      <c r="J48" s="9"/>
      <c r="K48" s="7">
        <v>15086.43</v>
      </c>
      <c r="L48" s="8">
        <f>IFERROR(K48/K444, "NA")</f>
        <v>0.14536510885884801</v>
      </c>
      <c r="M48" s="9"/>
      <c r="N48" s="10">
        <f t="shared" si="13"/>
        <v>-5471.4</v>
      </c>
      <c r="O48" s="8">
        <f>IFERROR(N48/N444, "NA")</f>
        <v>1.064056538092033</v>
      </c>
      <c r="P48" s="9"/>
      <c r="Q48" s="7">
        <v>105666.37</v>
      </c>
      <c r="R48" s="8">
        <f>IFERROR(Q48/Q444, "NA")</f>
        <v>0.11871636495192305</v>
      </c>
      <c r="S48" s="9"/>
      <c r="T48" s="7">
        <v>0</v>
      </c>
      <c r="U48" s="8">
        <f>IFERROR(T48/T444, "NA")</f>
        <v>0</v>
      </c>
      <c r="V48" s="9"/>
      <c r="W48" s="10">
        <f t="shared" si="14"/>
        <v>105666.37</v>
      </c>
      <c r="X48" s="8">
        <f>IFERROR(W48/W444, "NA")</f>
        <v>-2.2413021676917313</v>
      </c>
      <c r="Y48" s="9"/>
      <c r="Z48" s="7">
        <v>136608.82</v>
      </c>
      <c r="AA48" s="8">
        <f>IFERROR(Z48/Z444, "NA")</f>
        <v>0.16809396628626808</v>
      </c>
      <c r="AB48" s="9"/>
      <c r="AC48" s="10">
        <f t="shared" si="15"/>
        <v>-30942.450000000012</v>
      </c>
      <c r="AD48" s="8">
        <f>IFERROR(AC48/AC444, "NA")</f>
        <v>-0.39987146713941002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36153.550000000003</v>
      </c>
      <c r="R49" s="8">
        <f>IFERROR(Q49/Q444, "NA")</f>
        <v>4.0618581258233796E-2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36153.550000000003</v>
      </c>
      <c r="X49" s="8">
        <f>IFERROR(W49/W444, "NA")</f>
        <v>-0.76685732636364246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36153.550000000003</v>
      </c>
      <c r="AD49" s="8">
        <f>IFERROR(AC49/AC444, "NA")</f>
        <v>0.46721488055399663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1.3088796858356197E-5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-2.4710956053102488E-4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1.5055377296155039E-4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3.6850861541123024E-5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-6.9572477128048197E-4</v>
      </c>
      <c r="Y56" s="9"/>
      <c r="Z56" s="7">
        <v>887.25</v>
      </c>
      <c r="AA56" s="8">
        <f>IFERROR(Z56/Z444, "NA")</f>
        <v>1.0917404277958872E-3</v>
      </c>
      <c r="AB56" s="9"/>
      <c r="AC56" s="10">
        <f t="shared" si="15"/>
        <v>-854.45</v>
      </c>
      <c r="AD56" s="8">
        <f>IFERROR(AC56/AC444, "NA")</f>
        <v>-1.1042117708755085E-2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9615.0300000000007</v>
      </c>
      <c r="C61" s="15">
        <f>IFERROR(B61/B444, "NA")</f>
        <v>9.7474985046785825E-2</v>
      </c>
      <c r="D61" s="2"/>
      <c r="E61" s="14">
        <f>IFERROR(E46+E47+E48+E49+E50+E51+E52+E53+E54+E55+E56+E57+E58+E59+E60, "NA")</f>
        <v>24163.8</v>
      </c>
      <c r="F61" s="15">
        <f>IFERROR(E61/E444, "NA")</f>
        <v>0.19899998468204622</v>
      </c>
      <c r="G61" s="2"/>
      <c r="H61" s="14">
        <f t="shared" si="12"/>
        <v>-14548.769999999999</v>
      </c>
      <c r="I61" s="15">
        <f>IFERROR(H61/H444, "NA")</f>
        <v>0.6385201056478037</v>
      </c>
      <c r="J61" s="2"/>
      <c r="K61" s="14">
        <f>IFERROR(K46+K47+K48+K49+K50+K51+K52+K53+K54+K55+K56+K57+K58+K59+K60, "NA")</f>
        <v>15086.43</v>
      </c>
      <c r="L61" s="15">
        <f>IFERROR(K61/K444, "NA")</f>
        <v>0.14536510885884801</v>
      </c>
      <c r="M61" s="2"/>
      <c r="N61" s="14">
        <f t="shared" si="13"/>
        <v>-5471.4</v>
      </c>
      <c r="O61" s="15">
        <f>IFERROR(N61/N444, "NA")</f>
        <v>1.064056538092033</v>
      </c>
      <c r="P61" s="2"/>
      <c r="Q61" s="14">
        <f>IFERROR(Q46+Q47+Q48+Q49+Q50+Q51+Q52+Q53+Q54+Q55+Q56+Q57+Q58+Q59+Q60, "NA")</f>
        <v>141864.36999999997</v>
      </c>
      <c r="R61" s="15">
        <f>IFERROR(Q61/Q444, "NA")</f>
        <v>0.15938488586855629</v>
      </c>
      <c r="S61" s="2"/>
      <c r="T61" s="14">
        <f>IFERROR(T46+T47+T48+T49+T50+T51+T52+T53+T54+T55+T56+T57+T58+T59+T60, "NA")</f>
        <v>186506.63</v>
      </c>
      <c r="U61" s="15">
        <f>IFERROR(T61/T444, "NA")</f>
        <v>0.19899999919976036</v>
      </c>
      <c r="V61" s="2"/>
      <c r="W61" s="14">
        <f t="shared" si="14"/>
        <v>-44642.260000000038</v>
      </c>
      <c r="X61" s="15">
        <f>IFERROR(W61/W444, "NA")</f>
        <v>0.94691238194950733</v>
      </c>
      <c r="Y61" s="2"/>
      <c r="Z61" s="14">
        <f>IFERROR(Z46+Z47+Z48+Z49+Z50+Z51+Z52+Z53+Z54+Z55+Z56+Z57+Z58+Z59+Z60, "NA")</f>
        <v>137496.07</v>
      </c>
      <c r="AA61" s="15">
        <f>IFERROR(Z61/Z444, "NA")</f>
        <v>0.16918570671406397</v>
      </c>
      <c r="AB61" s="2"/>
      <c r="AC61" s="14">
        <f t="shared" si="15"/>
        <v>4368.2999999999593</v>
      </c>
      <c r="AD61" s="15">
        <f>IFERROR(AC61/AC444, "NA")</f>
        <v>5.6451849478792657E-2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13650.42</v>
      </c>
      <c r="C62" s="15">
        <f>IFERROR(B62/B444, "NA")</f>
        <v>0.13838485011303617</v>
      </c>
      <c r="D62" s="2"/>
      <c r="E62" s="14">
        <f>IFERROR(E42+E43+E44+E46+E47+E48+E49+E50+E51+E52+E53+E54+E55+E56+E57+E58+E59+E60, "NA")</f>
        <v>24163.8</v>
      </c>
      <c r="F62" s="15">
        <f>IFERROR(E62/E444, "NA")</f>
        <v>0.19899998468204622</v>
      </c>
      <c r="G62" s="2"/>
      <c r="H62" s="14">
        <f t="shared" si="12"/>
        <v>-10513.38</v>
      </c>
      <c r="I62" s="15">
        <f>IFERROR(H62/H444, "NA")</f>
        <v>0.46141388641895548</v>
      </c>
      <c r="J62" s="2"/>
      <c r="K62" s="14">
        <f>IFERROR(K42+K43+K44+K46+K47+K48+K49+K50+K51+K52+K53+K54+K55+K56+K57+K58+K59+K60, "NA")</f>
        <v>15086.43</v>
      </c>
      <c r="L62" s="15">
        <f>IFERROR(K62/K444, "NA")</f>
        <v>0.14536510885884801</v>
      </c>
      <c r="M62" s="2"/>
      <c r="N62" s="14">
        <f t="shared" si="13"/>
        <v>-1436.0100000000002</v>
      </c>
      <c r="O62" s="15">
        <f>IFERROR(N62/N444, "NA")</f>
        <v>0.27926962555571527</v>
      </c>
      <c r="P62" s="2"/>
      <c r="Q62" s="14">
        <f>IFERROR(Q42+Q43+Q44+Q46+Q47+Q48+Q49+Q50+Q51+Q52+Q53+Q54+Q55+Q56+Q57+Q58+Q59+Q60, "NA")</f>
        <v>162308.57999999999</v>
      </c>
      <c r="R62" s="15">
        <f>IFERROR(Q62/Q444, "NA")</f>
        <v>0.18235399416208201</v>
      </c>
      <c r="S62" s="2"/>
      <c r="T62" s="14">
        <f>IFERROR(T42+T43+T44+T46+T47+T48+T49+T50+T51+T52+T53+T54+T55+T56+T57+T58+T59+T60, "NA")</f>
        <v>186506.63</v>
      </c>
      <c r="U62" s="15">
        <f>IFERROR(T62/T444, "NA")</f>
        <v>0.19899999919976036</v>
      </c>
      <c r="V62" s="2"/>
      <c r="W62" s="14">
        <f t="shared" si="14"/>
        <v>-24198.050000000017</v>
      </c>
      <c r="X62" s="15">
        <f>IFERROR(W62/W444, "NA")</f>
        <v>0.51326776834401466</v>
      </c>
      <c r="Y62" s="2"/>
      <c r="Z62" s="14">
        <f>IFERROR(Z42+Z43+Z44+Z46+Z47+Z48+Z49+Z50+Z51+Z52+Z53+Z54+Z55+Z56+Z57+Z58+Z59+Z60, "NA")</f>
        <v>151032.32000000001</v>
      </c>
      <c r="AA62" s="15">
        <f>IFERROR(Z62/Z444, "NA")</f>
        <v>0.18584174657402686</v>
      </c>
      <c r="AB62" s="2"/>
      <c r="AC62" s="14">
        <f t="shared" si="15"/>
        <v>11276.25999999998</v>
      </c>
      <c r="AD62" s="15">
        <f>IFERROR(AC62/AC444, "NA")</f>
        <v>0.14572390454037848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4747.58</v>
      </c>
      <c r="C65" s="8">
        <f>IFERROR(B65/B444, "NA")</f>
        <v>4.8129885139039548E-2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4747.58</v>
      </c>
      <c r="I65" s="8">
        <f>IFERROR(H65/H444, "NA")</f>
        <v>-0.20836299447797996</v>
      </c>
      <c r="J65" s="9"/>
      <c r="K65" s="7">
        <v>173.5</v>
      </c>
      <c r="L65" s="8">
        <f>IFERROR(K65/K444, "NA")</f>
        <v>1.6717570947540358E-3</v>
      </c>
      <c r="M65" s="9"/>
      <c r="N65" s="10">
        <f t="shared" si="17"/>
        <v>4574.08</v>
      </c>
      <c r="O65" s="8">
        <f>IFERROR(N65/N444, "NA")</f>
        <v>-0.88954924329349094</v>
      </c>
      <c r="P65" s="9"/>
      <c r="Q65" s="7">
        <v>7357.17</v>
      </c>
      <c r="R65" s="8">
        <f>IFERROR(Q65/Q444, "NA")</f>
        <v>8.2657942989178071E-3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7357.17</v>
      </c>
      <c r="X65" s="8">
        <f>IFERROR(W65/W444, "NA")</f>
        <v>-0.15605382364395196</v>
      </c>
      <c r="Y65" s="9"/>
      <c r="Z65" s="7">
        <v>1777.39</v>
      </c>
      <c r="AA65" s="8">
        <f>IFERROR(Z65/Z444, "NA")</f>
        <v>2.1870369331756911E-3</v>
      </c>
      <c r="AB65" s="9"/>
      <c r="AC65" s="10">
        <f t="shared" si="19"/>
        <v>5579.78</v>
      </c>
      <c r="AD65" s="8">
        <f>IFERROR(AC65/AC444, "NA")</f>
        <v>7.210789109831757E-2</v>
      </c>
    </row>
    <row r="66" spans="1:30" ht="16.5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11.85</v>
      </c>
      <c r="R66" s="8">
        <f>IFERROR(Q66/Q444, "NA")</f>
        <v>1.3313497233606946E-5</v>
      </c>
      <c r="S66" s="9"/>
      <c r="T66" s="7">
        <v>0</v>
      </c>
      <c r="U66" s="8">
        <f>IFERROR(T66/T444, "NA")</f>
        <v>0</v>
      </c>
      <c r="V66" s="9"/>
      <c r="W66" s="10">
        <f t="shared" si="18"/>
        <v>11.85</v>
      </c>
      <c r="X66" s="8">
        <f>IFERROR(W66/W444, "NA")</f>
        <v>-2.5135178474614976E-4</v>
      </c>
      <c r="Y66" s="9"/>
      <c r="Z66" s="7">
        <v>12322.44</v>
      </c>
      <c r="AA66" s="8">
        <f>IFERROR(Z66/Z444, "NA")</f>
        <v>1.5162474969951144E-2</v>
      </c>
      <c r="AB66" s="9"/>
      <c r="AC66" s="10">
        <f t="shared" si="19"/>
        <v>-12310.59</v>
      </c>
      <c r="AD66" s="8">
        <f>IFERROR(AC66/AC444, "NA")</f>
        <v>-0.15909062419594272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4747.58</v>
      </c>
      <c r="C73" s="15">
        <f>IFERROR(B73/B444, "NA")</f>
        <v>4.8129885139039548E-2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4747.58</v>
      </c>
      <c r="I73" s="15">
        <f>IFERROR(H73/H444, "NA")</f>
        <v>-0.20836299447797996</v>
      </c>
      <c r="J73" s="2"/>
      <c r="K73" s="14">
        <f>IFERROR(K64+K65+K66+K67+K68+K69+K70+K71+K72, "NA")</f>
        <v>173.5</v>
      </c>
      <c r="L73" s="15">
        <f>IFERROR(K73/K444, "NA")</f>
        <v>1.6717570947540358E-3</v>
      </c>
      <c r="M73" s="2"/>
      <c r="N73" s="14">
        <f t="shared" si="17"/>
        <v>4574.08</v>
      </c>
      <c r="O73" s="15">
        <f>IFERROR(N73/N444, "NA")</f>
        <v>-0.88954924329349094</v>
      </c>
      <c r="P73" s="2"/>
      <c r="Q73" s="14">
        <f>IFERROR(Q64+Q65+Q66+Q67+Q68+Q69+Q70+Q71+Q72, "NA")</f>
        <v>7369.02</v>
      </c>
      <c r="R73" s="15">
        <f>IFERROR(Q73/Q444, "NA")</f>
        <v>8.2791077961514147E-3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7369.02</v>
      </c>
      <c r="X73" s="15">
        <f>IFERROR(W73/W444, "NA")</f>
        <v>-0.15630517542869812</v>
      </c>
      <c r="Y73" s="2"/>
      <c r="Z73" s="14">
        <f>IFERROR(Z64+Z65+Z66+Z67+Z68+Z69+Z70+Z71+Z72, "NA")</f>
        <v>14099.83</v>
      </c>
      <c r="AA73" s="15">
        <f>IFERROR(Z73/Z444, "NA")</f>
        <v>1.7349511903126835E-2</v>
      </c>
      <c r="AB73" s="2"/>
      <c r="AC73" s="14">
        <f t="shared" si="19"/>
        <v>-6730.8099999999995</v>
      </c>
      <c r="AD73" s="15">
        <f>IFERROR(AC73/AC444, "NA")</f>
        <v>-8.6982733097625151E-2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1578.54</v>
      </c>
      <c r="F75" s="8">
        <f>IFERROR(E75/E444, "NA")</f>
        <v>1.3000001482382624E-2</v>
      </c>
      <c r="G75" s="9"/>
      <c r="H75" s="10">
        <f t="shared" ref="H75:H92" si="20">IFERROR(B75-E75, "NA")</f>
        <v>-1578.54</v>
      </c>
      <c r="I75" s="8">
        <f>IFERROR(H75/H444, "NA")</f>
        <v>6.9279363655435078E-2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12183.85</v>
      </c>
      <c r="U75" s="8">
        <f>IFERROR(T75/T444, "NA")</f>
        <v>1.2999999733253453E-2</v>
      </c>
      <c r="V75" s="9"/>
      <c r="W75" s="10">
        <f t="shared" ref="W75:W92" si="22">IFERROR(Q75-T75, "NA")</f>
        <v>-12183.85</v>
      </c>
      <c r="X75" s="8">
        <f>IFERROR(W75/W444, "NA")</f>
        <v>0.25843311751724701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363.77</v>
      </c>
      <c r="C77" s="8">
        <f>IFERROR(B77/B444, "NA")</f>
        <v>3.687817438995955E-3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363.77</v>
      </c>
      <c r="I77" s="8">
        <f>IFERROR(H77/H444, "NA")</f>
        <v>-1.5965229970059433E-2</v>
      </c>
      <c r="J77" s="9"/>
      <c r="K77" s="7">
        <v>71.760000000000005</v>
      </c>
      <c r="L77" s="8">
        <f>IFERROR(K77/K444, "NA")</f>
        <v>6.9144258858530041E-4</v>
      </c>
      <c r="M77" s="9"/>
      <c r="N77" s="10">
        <f t="shared" si="21"/>
        <v>292.01</v>
      </c>
      <c r="O77" s="8">
        <f>IFERROR(N77/N444, "NA")</f>
        <v>-5.678896620394315E-2</v>
      </c>
      <c r="P77" s="9"/>
      <c r="Q77" s="7">
        <v>2242.34</v>
      </c>
      <c r="R77" s="8">
        <f>IFERROR(Q77/Q444, "NA")</f>
        <v>2.5192731971988356E-3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2242.34</v>
      </c>
      <c r="X77" s="8">
        <f>IFERROR(W77/W444, "NA")</f>
        <v>-4.756254523271574E-2</v>
      </c>
      <c r="Y77" s="9"/>
      <c r="Z77" s="7">
        <v>574.08000000000004</v>
      </c>
      <c r="AA77" s="8">
        <f>IFERROR(Z77/Z444, "NA")</f>
        <v>7.063920482266137E-4</v>
      </c>
      <c r="AB77" s="9"/>
      <c r="AC77" s="10">
        <f t="shared" si="23"/>
        <v>1668.2600000000002</v>
      </c>
      <c r="AD77" s="8">
        <f>IFERROR(AC77/AC444, "NA")</f>
        <v>2.1559041826681211E-2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5.1100000000000003</v>
      </c>
      <c r="R79" s="8">
        <f>IFERROR(Q79/Q444, "NA")</f>
        <v>5.7410945876566673E-6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-1.0838882869644096E-4</v>
      </c>
      <c r="Y79" s="9"/>
      <c r="Z79" s="7">
        <v>17.940000000000001</v>
      </c>
      <c r="AA79" s="8">
        <f>IFERROR(Z79/Z444, "NA")</f>
        <v>2.2074751507081678E-5</v>
      </c>
      <c r="AB79" s="9"/>
      <c r="AC79" s="10">
        <f t="shared" si="23"/>
        <v>-12.830000000000002</v>
      </c>
      <c r="AD79" s="8">
        <f>IFERROR(AC79/AC444, "NA")</f>
        <v>-1.6580299631731261E-4</v>
      </c>
    </row>
    <row r="80" spans="1:30" ht="16.5" customHeight="1" x14ac:dyDescent="0.45">
      <c r="A80" s="12" t="s">
        <v>76</v>
      </c>
      <c r="B80" s="7">
        <v>896.1</v>
      </c>
      <c r="C80" s="8">
        <f>IFERROR(B80/B444, "NA")</f>
        <v>9.0844577812471492E-3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896.1</v>
      </c>
      <c r="I80" s="8">
        <f>IFERROR(H80/H444, "NA")</f>
        <v>-3.9328263947467516E-2</v>
      </c>
      <c r="J80" s="9"/>
      <c r="K80" s="7">
        <v>1315</v>
      </c>
      <c r="L80" s="8">
        <f>IFERROR(K80/K444, "NA")</f>
        <v>1.2670666164850472E-2</v>
      </c>
      <c r="M80" s="9"/>
      <c r="N80" s="10">
        <f t="shared" si="21"/>
        <v>-418.9</v>
      </c>
      <c r="O80" s="8">
        <f>IFERROR(N80/N444, "NA")</f>
        <v>8.1466038638511651E-2</v>
      </c>
      <c r="P80" s="9"/>
      <c r="Q80" s="7">
        <v>9100.85</v>
      </c>
      <c r="R80" s="8">
        <f>IFERROR(Q80/Q444, "NA")</f>
        <v>1.0224822050503948E-2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9100.85</v>
      </c>
      <c r="X80" s="8">
        <f>IFERROR(W80/W444, "NA")</f>
        <v>-0.19303923124109681</v>
      </c>
      <c r="Y80" s="9"/>
      <c r="Z80" s="7">
        <v>11315.27</v>
      </c>
      <c r="AA80" s="8">
        <f>IFERROR(Z80/Z444, "NA")</f>
        <v>1.3923175779572802E-2</v>
      </c>
      <c r="AB80" s="9"/>
      <c r="AC80" s="10">
        <f t="shared" si="23"/>
        <v>-2214.42</v>
      </c>
      <c r="AD80" s="8">
        <f>IFERROR(AC80/AC444, "NA")</f>
        <v>-2.8617106087683815E-2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1259.8699999999999</v>
      </c>
      <c r="C88" s="15">
        <f>IFERROR(B88/B444, "NA")</f>
        <v>1.2772275220243103E-2</v>
      </c>
      <c r="D88" s="2"/>
      <c r="E88" s="14">
        <f>IFERROR(E75+E76+E77+E78+E79+E80+E81+E82+E83+E84+E85+E86+E87, "NA")</f>
        <v>1578.54</v>
      </c>
      <c r="F88" s="15">
        <f>IFERROR(E88/E444, "NA")</f>
        <v>1.3000001482382624E-2</v>
      </c>
      <c r="G88" s="2"/>
      <c r="H88" s="14">
        <f t="shared" si="20"/>
        <v>-318.67000000000007</v>
      </c>
      <c r="I88" s="15">
        <f>IFERROR(H88/H444, "NA")</f>
        <v>1.3985869737908132E-2</v>
      </c>
      <c r="J88" s="2"/>
      <c r="K88" s="14">
        <f>IFERROR(K75+K76+K77+K78+K79+K80+K81+K82+K83+K84+K85+K86+K87, "NA")</f>
        <v>1386.76</v>
      </c>
      <c r="L88" s="15">
        <f>IFERROR(K88/K444, "NA")</f>
        <v>1.3362108753435773E-2</v>
      </c>
      <c r="M88" s="2"/>
      <c r="N88" s="14">
        <f t="shared" si="21"/>
        <v>-126.8900000000001</v>
      </c>
      <c r="O88" s="15">
        <f>IFERROR(N88/N444, "NA")</f>
        <v>2.4677072434568514E-2</v>
      </c>
      <c r="P88" s="2"/>
      <c r="Q88" s="14">
        <f>IFERROR(Q75+Q76+Q77+Q78+Q79+Q80+Q81+Q82+Q83+Q84+Q85+Q86+Q87, "NA")</f>
        <v>11348.300000000001</v>
      </c>
      <c r="R88" s="15">
        <f>IFERROR(Q88/Q444, "NA")</f>
        <v>1.2749836342290441E-2</v>
      </c>
      <c r="S88" s="2"/>
      <c r="T88" s="14">
        <f>IFERROR(T75+T76+T77+T78+T79+T80+T81+T82+T83+T84+T85+T86+T87, "NA")</f>
        <v>12183.85</v>
      </c>
      <c r="U88" s="15">
        <f>IFERROR(T88/T444, "NA")</f>
        <v>1.2999999733253453E-2</v>
      </c>
      <c r="V88" s="2"/>
      <c r="W88" s="14">
        <f t="shared" si="22"/>
        <v>-835.54999999999927</v>
      </c>
      <c r="X88" s="15">
        <f>IFERROR(W88/W444, "NA")</f>
        <v>1.7722952214737995E-2</v>
      </c>
      <c r="Y88" s="2"/>
      <c r="Z88" s="14">
        <f>IFERROR(Z75+Z76+Z77+Z78+Z79+Z80+Z81+Z82+Z83+Z84+Z85+Z86+Z87, "NA")</f>
        <v>11907.29</v>
      </c>
      <c r="AA88" s="15">
        <f>IFERROR(Z88/Z444, "NA")</f>
        <v>1.4651642579306498E-2</v>
      </c>
      <c r="AB88" s="2"/>
      <c r="AC88" s="14">
        <f t="shared" si="23"/>
        <v>-558.98999999999978</v>
      </c>
      <c r="AD88" s="15">
        <f>IFERROR(AC88/AC444, "NA")</f>
        <v>-7.2238672573199164E-3</v>
      </c>
    </row>
    <row r="89" spans="1:30" ht="16.5" customHeight="1" x14ac:dyDescent="0.45">
      <c r="A89" s="6" t="s">
        <v>85</v>
      </c>
      <c r="B89" s="7">
        <v>-95.97</v>
      </c>
      <c r="C89" s="8">
        <f>IFERROR(B89/B444, "NA")</f>
        <v>-9.7292201011749677E-4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-95.97</v>
      </c>
      <c r="I89" s="8">
        <f>IFERROR(H89/H444, "NA")</f>
        <v>4.211955686908222E-3</v>
      </c>
      <c r="J89" s="9"/>
      <c r="K89" s="7">
        <v>0</v>
      </c>
      <c r="L89" s="8">
        <f>IFERROR(K89/K444, "NA")</f>
        <v>0</v>
      </c>
      <c r="M89" s="9"/>
      <c r="N89" s="10">
        <f t="shared" si="21"/>
        <v>-95.97</v>
      </c>
      <c r="O89" s="8">
        <f>IFERROR(N89/N444, "NA")</f>
        <v>1.8663871396844028E-2</v>
      </c>
      <c r="P89" s="9"/>
      <c r="Q89" s="7">
        <v>121.65</v>
      </c>
      <c r="R89" s="8">
        <f>IFERROR(Q89/Q444, "NA")</f>
        <v>1.366740032462688E-4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121.65</v>
      </c>
      <c r="X89" s="8">
        <f>IFERROR(W89/W444, "NA")</f>
        <v>-2.5803328788497146E-3</v>
      </c>
      <c r="Y89" s="9"/>
      <c r="Z89" s="7">
        <v>1357.24</v>
      </c>
      <c r="AA89" s="8">
        <f>IFERROR(Z89/Z444, "NA")</f>
        <v>1.6700521591678668E-3</v>
      </c>
      <c r="AB89" s="9"/>
      <c r="AC89" s="10">
        <f t="shared" si="23"/>
        <v>-1235.5899999999999</v>
      </c>
      <c r="AD89" s="8">
        <f>IFERROR(AC89/AC444, "NA")</f>
        <v>-1.5967616852666268E-2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-4249.91</v>
      </c>
      <c r="F94" s="8">
        <f>IFERROR(E94/E444, "NA")</f>
        <v>-3.49999596462508E-2</v>
      </c>
      <c r="G94" s="9"/>
      <c r="H94" s="10">
        <f t="shared" ref="H94:H124" si="24">IFERROR(B94-E94, "NA")</f>
        <v>4249.91</v>
      </c>
      <c r="I94" s="8">
        <f>IFERROR(H94/H444, "NA")</f>
        <v>-0.18652112736634491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-32802.660000000003</v>
      </c>
      <c r="U94" s="8">
        <f>IFERROR(T94/T444, "NA")</f>
        <v>-3.4999985328939845E-2</v>
      </c>
      <c r="V94" s="9"/>
      <c r="W94" s="10">
        <f t="shared" ref="W94:W124" si="26">IFERROR(Q94-T94, "NA")</f>
        <v>32802.660000000003</v>
      </c>
      <c r="X94" s="8">
        <f>IFERROR(W94/W444, "NA")</f>
        <v>-0.69578119286254325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-1805.45</v>
      </c>
      <c r="C96" s="8">
        <f>IFERROR(B96/B444, "NA")</f>
        <v>-1.8303241045812595E-2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-1805.45</v>
      </c>
      <c r="I96" s="8">
        <f>IFERROR(H96/H444, "NA")</f>
        <v>7.9238047253604768E-2</v>
      </c>
      <c r="J96" s="9"/>
      <c r="K96" s="7">
        <v>-106.8</v>
      </c>
      <c r="L96" s="8">
        <f>IFERROR(K96/K444, "NA")</f>
        <v>-1.0290700733125706E-3</v>
      </c>
      <c r="M96" s="9"/>
      <c r="N96" s="10">
        <f t="shared" si="25"/>
        <v>-1698.65</v>
      </c>
      <c r="O96" s="8">
        <f>IFERROR(N96/N444, "NA")</f>
        <v>0.33034682867822351</v>
      </c>
      <c r="P96" s="9"/>
      <c r="Q96" s="7">
        <v>-13063.72</v>
      </c>
      <c r="R96" s="8">
        <f>IFERROR(Q96/Q444, "NA")</f>
        <v>-1.4677113930853648E-2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-13063.72</v>
      </c>
      <c r="X96" s="8">
        <f>IFERROR(W96/W444, "NA")</f>
        <v>0.27709614661805665</v>
      </c>
      <c r="Y96" s="9"/>
      <c r="Z96" s="7">
        <v>-662.25</v>
      </c>
      <c r="AA96" s="8">
        <f>IFERROR(Z96/Z444, "NA")</f>
        <v>-8.148831764528896E-4</v>
      </c>
      <c r="AB96" s="9"/>
      <c r="AC96" s="10">
        <f t="shared" si="27"/>
        <v>-12401.47</v>
      </c>
      <c r="AD96" s="8">
        <f>IFERROR(AC96/AC444, "NA")</f>
        <v>-0.1602650728557492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-2166.36</v>
      </c>
      <c r="C98" s="8">
        <f>IFERROR(B98/B444, "NA")</f>
        <v>-2.196206445595645E-2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-2166.36</v>
      </c>
      <c r="I98" s="8">
        <f>IFERROR(H98/H444, "NA")</f>
        <v>9.5077756818698511E-2</v>
      </c>
      <c r="J98" s="9"/>
      <c r="K98" s="7">
        <v>-2694.47</v>
      </c>
      <c r="L98" s="8">
        <f>IFERROR(K98/K444, "NA")</f>
        <v>-2.5962532213843842E-2</v>
      </c>
      <c r="M98" s="9"/>
      <c r="N98" s="10">
        <f t="shared" si="25"/>
        <v>528.10999999999967</v>
      </c>
      <c r="O98" s="8">
        <f>IFERROR(N98/N444, "NA")</f>
        <v>-0.10270477361037088</v>
      </c>
      <c r="P98" s="9"/>
      <c r="Q98" s="7">
        <v>-20324.73</v>
      </c>
      <c r="R98" s="8">
        <f>IFERROR(Q98/Q444, "NA")</f>
        <v>-2.2834872289350897E-2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-20324.73</v>
      </c>
      <c r="X98" s="8">
        <f>IFERROR(W98/W444, "NA")</f>
        <v>0.43111030885937657</v>
      </c>
      <c r="Y98" s="9"/>
      <c r="Z98" s="7">
        <v>-15788.4</v>
      </c>
      <c r="AA98" s="8">
        <f>IFERROR(Z98/Z444, "NA")</f>
        <v>-1.9427257898239035E-2</v>
      </c>
      <c r="AB98" s="9"/>
      <c r="AC98" s="10">
        <f t="shared" si="27"/>
        <v>-4536.33</v>
      </c>
      <c r="AD98" s="8">
        <f>IFERROR(AC98/AC444, "NA")</f>
        <v>-5.862331303851244E-2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-767.8</v>
      </c>
      <c r="C100" s="8">
        <f>IFERROR(B100/B444, "NA")</f>
        <v>-7.7837815918330106E-3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-767.8</v>
      </c>
      <c r="I100" s="8">
        <f>IFERROR(H100/H444, "NA")</f>
        <v>3.3697401025405152E-2</v>
      </c>
      <c r="J100" s="9"/>
      <c r="K100" s="7">
        <v>-1862.23</v>
      </c>
      <c r="L100" s="8">
        <f>IFERROR(K100/K444, "NA")</f>
        <v>-1.7943494032068057E-2</v>
      </c>
      <c r="M100" s="9"/>
      <c r="N100" s="10">
        <f t="shared" si="25"/>
        <v>1094.43</v>
      </c>
      <c r="O100" s="8">
        <f>IFERROR(N100/N444, "NA")</f>
        <v>-0.21284047903353143</v>
      </c>
      <c r="P100" s="9"/>
      <c r="Q100" s="7">
        <v>-1460.79</v>
      </c>
      <c r="R100" s="8">
        <f>IFERROR(Q100/Q444, "NA")</f>
        <v>-1.6412003058127165E-3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-1460.79</v>
      </c>
      <c r="X100" s="8">
        <f>IFERROR(W100/W444, "NA")</f>
        <v>3.0984993556061442E-2</v>
      </c>
      <c r="Y100" s="9"/>
      <c r="Z100" s="7">
        <v>-4681.04</v>
      </c>
      <c r="AA100" s="8">
        <f>IFERROR(Z100/Z444, "NA")</f>
        <v>-5.7599105236738907E-3</v>
      </c>
      <c r="AB100" s="9"/>
      <c r="AC100" s="10">
        <f t="shared" si="27"/>
        <v>3220.25</v>
      </c>
      <c r="AD100" s="8">
        <f>IFERROR(AC100/AC444, "NA")</f>
        <v>4.1615518229994222E-2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-924.62</v>
      </c>
      <c r="C102" s="8">
        <f>IFERROR(B102/B444, "NA")</f>
        <v>-9.3735870479820758E-3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-924.62</v>
      </c>
      <c r="I102" s="8">
        <f>IFERROR(H102/H444, "NA")</f>
        <v>4.0579956936845685E-2</v>
      </c>
      <c r="J102" s="9"/>
      <c r="K102" s="7">
        <v>-865.05</v>
      </c>
      <c r="L102" s="8">
        <f>IFERROR(K102/K444, "NA")</f>
        <v>-8.3351785292044879E-3</v>
      </c>
      <c r="M102" s="9"/>
      <c r="N102" s="10">
        <f t="shared" si="25"/>
        <v>-59.57000000000005</v>
      </c>
      <c r="O102" s="8">
        <f>IFERROR(N102/N444, "NA")</f>
        <v>1.1584941326560379E-2</v>
      </c>
      <c r="P102" s="9"/>
      <c r="Q102" s="7">
        <v>-11541.83</v>
      </c>
      <c r="R102" s="8">
        <f>IFERROR(Q102/Q444, "NA")</f>
        <v>-1.2967267660401828E-2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-11541.83</v>
      </c>
      <c r="X102" s="8">
        <f>IFERROR(W102/W444, "NA")</f>
        <v>0.24481515356427458</v>
      </c>
      <c r="Y102" s="9"/>
      <c r="Z102" s="7">
        <v>-3224.69</v>
      </c>
      <c r="AA102" s="8">
        <f>IFERROR(Z102/Z444, "NA")</f>
        <v>-3.9679058214811156E-3</v>
      </c>
      <c r="AB102" s="9"/>
      <c r="AC102" s="10">
        <f t="shared" si="27"/>
        <v>-8317.14</v>
      </c>
      <c r="AD102" s="8">
        <f>IFERROR(AC102/AC444, "NA")</f>
        <v>-0.10748298774673212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-980.64</v>
      </c>
      <c r="C104" s="8">
        <f>IFERROR(B104/B444, "NA")</f>
        <v>-9.9415050536795051E-3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-980.64</v>
      </c>
      <c r="I104" s="8">
        <f>IFERROR(H104/H444, "NA")</f>
        <v>4.3038576897047813E-2</v>
      </c>
      <c r="J104" s="9"/>
      <c r="K104" s="7">
        <v>-880.33</v>
      </c>
      <c r="L104" s="8">
        <f>IFERROR(K104/K444, "NA")</f>
        <v>-8.4824087793937773E-3</v>
      </c>
      <c r="M104" s="9"/>
      <c r="N104" s="10">
        <f t="shared" si="25"/>
        <v>-100.30999999999995</v>
      </c>
      <c r="O104" s="8">
        <f>IFERROR(N104/N444, "NA")</f>
        <v>1.9507897674454759E-2</v>
      </c>
      <c r="P104" s="9"/>
      <c r="Q104" s="7">
        <v>-7940.77</v>
      </c>
      <c r="R104" s="8">
        <f>IFERROR(Q104/Q444, "NA")</f>
        <v>-8.921469993899497E-3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-7940.77</v>
      </c>
      <c r="X104" s="8">
        <f>IFERROR(W104/W444, "NA")</f>
        <v>0.1684326339036864</v>
      </c>
      <c r="Y104" s="9"/>
      <c r="Z104" s="7">
        <v>-5526.66</v>
      </c>
      <c r="AA104" s="8">
        <f>IFERROR(Z104/Z444, "NA")</f>
        <v>-6.8004262075879599E-3</v>
      </c>
      <c r="AB104" s="9"/>
      <c r="AC104" s="10">
        <f t="shared" si="27"/>
        <v>-2414.1100000000006</v>
      </c>
      <c r="AD104" s="8">
        <f>IFERROR(AC104/AC444, "NA")</f>
        <v>-3.1197714063880558E-2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-37.5</v>
      </c>
      <c r="L106" s="8">
        <f>IFERROR(K106/K444, "NA")</f>
        <v>-3.6133078416873975E-4</v>
      </c>
      <c r="M106" s="9"/>
      <c r="N106" s="10">
        <f t="shared" si="25"/>
        <v>37.5</v>
      </c>
      <c r="O106" s="8">
        <f>IFERROR(N106/N444, "NA")</f>
        <v>-7.2928537811988228E-3</v>
      </c>
      <c r="P106" s="9"/>
      <c r="Q106" s="7">
        <v>-1196.24</v>
      </c>
      <c r="R106" s="8">
        <f>IFERROR(Q106/Q444, "NA")</f>
        <v>-1.343977884449787E-3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-1196.24</v>
      </c>
      <c r="X106" s="8">
        <f>IFERROR(W106/W444, "NA")</f>
        <v>2.5373591475504997E-2</v>
      </c>
      <c r="Y106" s="9"/>
      <c r="Z106" s="7">
        <v>-1564.31</v>
      </c>
      <c r="AA106" s="8">
        <f>IFERROR(Z106/Z444, "NA")</f>
        <v>-1.9248469637705092E-3</v>
      </c>
      <c r="AB106" s="9"/>
      <c r="AC106" s="10">
        <f t="shared" si="27"/>
        <v>368.06999999999994</v>
      </c>
      <c r="AD106" s="8">
        <f>IFERROR(AC106/AC444, "NA")</f>
        <v>4.7565946106401585E-3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-6.1523833631777241E-6</v>
      </c>
      <c r="AB108" s="9"/>
      <c r="AC108" s="10">
        <f t="shared" si="27"/>
        <v>5</v>
      </c>
      <c r="AD108" s="8">
        <f>IFERROR(AC108/AC444, "NA")</f>
        <v>6.4615353202382141E-5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-6644.8700000000008</v>
      </c>
      <c r="C118" s="15">
        <f>IFERROR(B118/B444, "NA")</f>
        <v>-6.7364179195263635E-2</v>
      </c>
      <c r="D118" s="2"/>
      <c r="E118" s="14">
        <f>IFERROR(E94+E95+E96+E97+E98+E99+E100+E101+E102+E103+E104+E105+E106+E107+E108+E109+E110+E111+E112+E113+E114+E115+E116+E117, "NA")</f>
        <v>-4249.91</v>
      </c>
      <c r="F118" s="15">
        <f>IFERROR(E118/E444, "NA")</f>
        <v>-3.49999596462508E-2</v>
      </c>
      <c r="G118" s="2"/>
      <c r="H118" s="14">
        <f t="shared" si="24"/>
        <v>-2394.9600000000009</v>
      </c>
      <c r="I118" s="15">
        <f>IFERROR(H118/H444, "NA")</f>
        <v>0.10511061156525706</v>
      </c>
      <c r="J118" s="2"/>
      <c r="K118" s="14">
        <f>IFERROR(K94+K95+K96+K97+K98+K99+K100+K101+K102+K103+K104+K105+K106+K107+K108+K109+K110+K111+K112+K113+K114+K115+K116+K117, "NA")</f>
        <v>-6446.38</v>
      </c>
      <c r="L118" s="15">
        <f>IFERROR(K118/K444, "NA")</f>
        <v>-6.2114014411991478E-2</v>
      </c>
      <c r="M118" s="2"/>
      <c r="N118" s="14">
        <f t="shared" si="25"/>
        <v>-198.49000000000069</v>
      </c>
      <c r="O118" s="15">
        <f>IFERROR(N118/N444, "NA")</f>
        <v>3.8601561254137585E-2</v>
      </c>
      <c r="P118" s="2"/>
      <c r="Q118" s="14">
        <f>IFERROR(Q94+Q95+Q96+Q97+Q98+Q99+Q100+Q101+Q102+Q103+Q104+Q105+Q106+Q107+Q108+Q109+Q110+Q111+Q112+Q113+Q114+Q115+Q116+Q117, "NA")</f>
        <v>-55528.079999999994</v>
      </c>
      <c r="R118" s="15">
        <f>IFERROR(Q118/Q444, "NA")</f>
        <v>-6.2385902064768371E-2</v>
      </c>
      <c r="S118" s="2"/>
      <c r="T118" s="14">
        <f>IFERROR(T94+T95+T96+T97+T98+T99+T100+T101+T102+T103+T104+T105+T106+T107+T108+T109+T110+T111+T112+T113+T114+T115+T116+T117, "NA")</f>
        <v>-32802.660000000003</v>
      </c>
      <c r="U118" s="15">
        <f>IFERROR(T118/T444, "NA")</f>
        <v>-3.4999985328939845E-2</v>
      </c>
      <c r="V118" s="2"/>
      <c r="W118" s="14">
        <f t="shared" si="26"/>
        <v>-22725.419999999991</v>
      </c>
      <c r="X118" s="15">
        <f>IFERROR(W118/W444, "NA")</f>
        <v>0.48203163511441727</v>
      </c>
      <c r="Y118" s="2"/>
      <c r="Z118" s="14">
        <f>IFERROR(Z94+Z95+Z96+Z97+Z98+Z99+Z100+Z101+Z102+Z103+Z104+Z105+Z106+Z107+Z108+Z109+Z110+Z111+Z112+Z113+Z114+Z115+Z116+Z117, "NA")</f>
        <v>-31452.350000000002</v>
      </c>
      <c r="AA118" s="15">
        <f>IFERROR(Z118/Z444, "NA")</f>
        <v>-3.8701382974568585E-2</v>
      </c>
      <c r="AB118" s="2"/>
      <c r="AC118" s="14">
        <f t="shared" si="27"/>
        <v>-24075.729999999992</v>
      </c>
      <c r="AD118" s="15">
        <f>IFERROR(AC118/AC444, "NA")</f>
        <v>-0.31113235951103746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98641.000000000029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121426.13999999998</v>
      </c>
      <c r="F122" s="15">
        <f>IFERROR(E122/E444, "NA")</f>
        <v>0.99999999999999989</v>
      </c>
      <c r="G122" s="2"/>
      <c r="H122" s="14">
        <f t="shared" si="24"/>
        <v>-22785.139999999956</v>
      </c>
      <c r="I122" s="15">
        <f>IFERROR(H122/H444, "NA")</f>
        <v>0.99999999999999811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103783.01999999997</v>
      </c>
      <c r="L122" s="15">
        <f>IFERROR(K122/K444, "NA")</f>
        <v>0.99999999999999967</v>
      </c>
      <c r="M122" s="2"/>
      <c r="N122" s="14">
        <f t="shared" si="25"/>
        <v>-5142.0199999999459</v>
      </c>
      <c r="O122" s="15">
        <f>IFERROR(N122/N444, "NA")</f>
        <v>0.99999999999998868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890074.17000000016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937219.24999999988</v>
      </c>
      <c r="U122" s="15">
        <f>IFERROR(T122/T444, "NA")</f>
        <v>0.99999999999999989</v>
      </c>
      <c r="V122" s="2"/>
      <c r="W122" s="14">
        <f t="shared" si="26"/>
        <v>-47145.079999999725</v>
      </c>
      <c r="X122" s="15">
        <f>IFERROR(W122/W444, "NA")</f>
        <v>0.99999999999999512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812693.1799999997</v>
      </c>
      <c r="AA122" s="15">
        <f>IFERROR(Z122/Z444, "NA")</f>
        <v>0.99999999999999956</v>
      </c>
      <c r="AB122" s="2"/>
      <c r="AC122" s="14">
        <f t="shared" si="27"/>
        <v>77380.990000000456</v>
      </c>
      <c r="AD122" s="15">
        <f>IFERROR(AC122/AC444, "NA")</f>
        <v>1.000000000000006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98641.000000000029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121426.13999999998</v>
      </c>
      <c r="F124" s="15">
        <f>IFERROR(E124/E444, "NA")</f>
        <v>0.99999999999999989</v>
      </c>
      <c r="G124" s="2"/>
      <c r="H124" s="14">
        <f t="shared" si="24"/>
        <v>-22785.139999999956</v>
      </c>
      <c r="I124" s="15">
        <f>IFERROR(H124/H444, "NA")</f>
        <v>0.99999999999999811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103783.01999999997</v>
      </c>
      <c r="L124" s="15">
        <f>IFERROR(K124/K444, "NA")</f>
        <v>0.99999999999999967</v>
      </c>
      <c r="M124" s="2"/>
      <c r="N124" s="14">
        <f t="shared" si="25"/>
        <v>-5142.0199999999459</v>
      </c>
      <c r="O124" s="15">
        <f>IFERROR(N124/N444, "NA")</f>
        <v>0.99999999999998868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890074.17000000016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937219.24999999988</v>
      </c>
      <c r="U124" s="15">
        <f>IFERROR(T124/T444, "NA")</f>
        <v>0.99999999999999989</v>
      </c>
      <c r="V124" s="2"/>
      <c r="W124" s="14">
        <f t="shared" si="26"/>
        <v>-47145.079999999725</v>
      </c>
      <c r="X124" s="15">
        <f>IFERROR(W124/W444, "NA")</f>
        <v>0.99999999999999512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812693.1799999997</v>
      </c>
      <c r="AA124" s="15">
        <f>IFERROR(Z124/Z444, "NA")</f>
        <v>0.99999999999999956</v>
      </c>
      <c r="AB124" s="2"/>
      <c r="AC124" s="14">
        <f t="shared" si="27"/>
        <v>77380.990000000456</v>
      </c>
      <c r="AD124" s="15">
        <f>IFERROR(AC124/AC444, "NA")</f>
        <v>1.000000000000006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27442.31</v>
      </c>
      <c r="F129" s="8">
        <f>IFERROR(E129/E444, "NA")</f>
        <v>0.22600001943568329</v>
      </c>
      <c r="G129" s="9"/>
      <c r="H129" s="10">
        <f t="shared" ref="H129:H141" si="28">IFERROR(-(B129-E129), "NA")</f>
        <v>27442.31</v>
      </c>
      <c r="I129" s="8">
        <f>IFERROR(H129/H444, "NA")</f>
        <v>-1.2043950574804456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219247.02</v>
      </c>
      <c r="U129" s="8">
        <f>IFERROR(T129/T444, "NA")</f>
        <v>0.23393354329843311</v>
      </c>
      <c r="V129" s="9"/>
      <c r="W129" s="10">
        <f t="shared" ref="W129:W141" si="30">IFERROR(-(Q129-T129), "NA")</f>
        <v>219247.02</v>
      </c>
      <c r="X129" s="8">
        <f>IFERROR(W129/W444, "NA")</f>
        <v>-4.6504750866898554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4148.7</v>
      </c>
      <c r="C130" s="8">
        <f>IFERROR(B130/B444, "NA")</f>
        <v>4.2058576048499101E-2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-4148.7</v>
      </c>
      <c r="I130" s="8">
        <f>IFERROR(H130/H444, "NA")</f>
        <v>0.18207919723117785</v>
      </c>
      <c r="J130" s="9"/>
      <c r="K130" s="7">
        <v>6573.79</v>
      </c>
      <c r="L130" s="8">
        <f>IFERROR(K130/K444, "NA")</f>
        <v>6.3341671884283191E-2</v>
      </c>
      <c r="M130" s="9"/>
      <c r="N130" s="10">
        <f t="shared" si="29"/>
        <v>2425.09</v>
      </c>
      <c r="O130" s="8">
        <f>IFERROR(N130/N444, "NA")</f>
        <v>-0.4716220473665988</v>
      </c>
      <c r="P130" s="9"/>
      <c r="Q130" s="7">
        <v>48294.43</v>
      </c>
      <c r="R130" s="8">
        <f>IFERROR(Q130/Q444, "NA")</f>
        <v>5.4258882717605428E-2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-48294.43</v>
      </c>
      <c r="X130" s="8">
        <f>IFERROR(W130/W444, "NA")</f>
        <v>1.0243790020082699</v>
      </c>
      <c r="Y130" s="9"/>
      <c r="Z130" s="7">
        <v>52327.85</v>
      </c>
      <c r="AA130" s="8">
        <f>IFERROR(Z130/Z444, "NA")</f>
        <v>6.4388198754171899E-2</v>
      </c>
      <c r="AB130" s="9"/>
      <c r="AC130" s="10">
        <f t="shared" si="31"/>
        <v>4033.4199999999983</v>
      </c>
      <c r="AD130" s="8">
        <f>IFERROR(AC130/AC444, "NA")</f>
        <v>5.2124171582710412E-2</v>
      </c>
    </row>
    <row r="131" spans="1:30" ht="16.5" customHeight="1" x14ac:dyDescent="0.45">
      <c r="A131" s="12" t="s">
        <v>123</v>
      </c>
      <c r="B131" s="7">
        <v>2872.03</v>
      </c>
      <c r="C131" s="8">
        <f>IFERROR(B131/B444, "NA")</f>
        <v>2.911598625318073E-2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-2872.03</v>
      </c>
      <c r="I131" s="8">
        <f>IFERROR(H131/H444, "NA")</f>
        <v>0.1260483806551112</v>
      </c>
      <c r="J131" s="9"/>
      <c r="K131" s="7">
        <v>3568.19</v>
      </c>
      <c r="L131" s="8">
        <f>IFERROR(K131/K444, "NA")</f>
        <v>3.4381250420348147E-2</v>
      </c>
      <c r="M131" s="9"/>
      <c r="N131" s="10">
        <f t="shared" si="29"/>
        <v>696.15999999999985</v>
      </c>
      <c r="O131" s="8">
        <f>IFERROR(N131/N444, "NA")</f>
        <v>-0.13538648235518325</v>
      </c>
      <c r="P131" s="9"/>
      <c r="Q131" s="7">
        <v>29292.86</v>
      </c>
      <c r="R131" s="8">
        <f>IFERROR(Q131/Q444, "NA")</f>
        <v>3.2910583170838448E-2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-29292.86</v>
      </c>
      <c r="X131" s="8">
        <f>IFERROR(W131/W444, "NA")</f>
        <v>0.62133440011131658</v>
      </c>
      <c r="Y131" s="9"/>
      <c r="Z131" s="7">
        <v>28517.200000000001</v>
      </c>
      <c r="AA131" s="8">
        <f>IFERROR(Z131/Z444, "NA")</f>
        <v>3.5089749368882359E-2</v>
      </c>
      <c r="AB131" s="9"/>
      <c r="AC131" s="10">
        <f t="shared" si="31"/>
        <v>-775.65999999999985</v>
      </c>
      <c r="AD131" s="8">
        <f>IFERROR(AC131/AC444, "NA")</f>
        <v>-1.0023908972991945E-2</v>
      </c>
    </row>
    <row r="132" spans="1:30" ht="16.5" customHeight="1" x14ac:dyDescent="0.45">
      <c r="A132" s="12" t="s">
        <v>124</v>
      </c>
      <c r="B132" s="7">
        <v>5489.51</v>
      </c>
      <c r="C132" s="8">
        <f>IFERROR(B132/B444, "NA")</f>
        <v>5.565140256080129E-2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-5489.51</v>
      </c>
      <c r="I132" s="8">
        <f>IFERROR(H132/H444, "NA")</f>
        <v>0.24092500638574091</v>
      </c>
      <c r="J132" s="9"/>
      <c r="K132" s="7">
        <v>3739.27</v>
      </c>
      <c r="L132" s="8">
        <f>IFERROR(K132/K444, "NA")</f>
        <v>3.6029689635163821E-2</v>
      </c>
      <c r="M132" s="9"/>
      <c r="N132" s="10">
        <f t="shared" si="29"/>
        <v>-1750.2400000000002</v>
      </c>
      <c r="O132" s="8">
        <f>IFERROR(N132/N444, "NA")</f>
        <v>0.34037985072014476</v>
      </c>
      <c r="P132" s="9"/>
      <c r="Q132" s="7">
        <v>41814.230000000003</v>
      </c>
      <c r="R132" s="8">
        <f>IFERROR(Q132/Q444, "NA")</f>
        <v>4.6978365859105878E-2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-41814.230000000003</v>
      </c>
      <c r="X132" s="8">
        <f>IFERROR(W132/W444, "NA")</f>
        <v>0.88692669521400835</v>
      </c>
      <c r="Y132" s="9"/>
      <c r="Z132" s="7">
        <v>29245.73</v>
      </c>
      <c r="AA132" s="8">
        <f>IFERROR(Z132/Z444, "NA")</f>
        <v>3.5986188539197536E-2</v>
      </c>
      <c r="AB132" s="9"/>
      <c r="AC132" s="10">
        <f t="shared" si="31"/>
        <v>-12568.500000000004</v>
      </c>
      <c r="AD132" s="8">
        <f>IFERROR(AC132/AC444, "NA")</f>
        <v>-0.16242361334482805</v>
      </c>
    </row>
    <row r="133" spans="1:30" ht="16.5" customHeight="1" x14ac:dyDescent="0.45">
      <c r="A133" s="12" t="s">
        <v>125</v>
      </c>
      <c r="B133" s="7">
        <v>2654.2</v>
      </c>
      <c r="C133" s="8">
        <f>IFERROR(B133/B444, "NA")</f>
        <v>2.6907675307427943E-2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-2654.2</v>
      </c>
      <c r="I133" s="8">
        <f>IFERROR(H133/H444, "NA")</f>
        <v>0.11648820239858082</v>
      </c>
      <c r="J133" s="9"/>
      <c r="K133" s="7">
        <v>2483.71</v>
      </c>
      <c r="L133" s="8">
        <f>IFERROR(K133/K444, "NA")</f>
        <v>2.393175685193975E-2</v>
      </c>
      <c r="M133" s="9"/>
      <c r="N133" s="10">
        <f t="shared" si="29"/>
        <v>-170.48999999999978</v>
      </c>
      <c r="O133" s="8">
        <f>IFERROR(N133/N444, "NA")</f>
        <v>3.3156230430842287E-2</v>
      </c>
      <c r="P133" s="9"/>
      <c r="Q133" s="7">
        <v>23109.68</v>
      </c>
      <c r="R133" s="8">
        <f>IFERROR(Q133/Q444, "NA")</f>
        <v>2.5963768839623778E-2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-23109.68</v>
      </c>
      <c r="X133" s="8">
        <f>IFERROR(W133/W444, "NA")</f>
        <v>0.49018222049893689</v>
      </c>
      <c r="Y133" s="9"/>
      <c r="Z133" s="7">
        <v>18389.87</v>
      </c>
      <c r="AA133" s="8">
        <f>IFERROR(Z133/Z444, "NA")</f>
        <v>2.2628306047800226E-2</v>
      </c>
      <c r="AB133" s="9"/>
      <c r="AC133" s="10">
        <f t="shared" si="31"/>
        <v>-4719.8100000000013</v>
      </c>
      <c r="AD133" s="8">
        <f>IFERROR(AC133/AC444, "NA")</f>
        <v>-6.0994438039627071E-2</v>
      </c>
    </row>
    <row r="134" spans="1:30" ht="16.5" customHeight="1" x14ac:dyDescent="0.45">
      <c r="A134" s="12" t="s">
        <v>126</v>
      </c>
      <c r="B134" s="7">
        <v>1044.1199999999999</v>
      </c>
      <c r="C134" s="8">
        <f>IFERROR(B134/B444, "NA")</f>
        <v>1.0585050840928213E-2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-1044.1199999999999</v>
      </c>
      <c r="I134" s="8">
        <f>IFERROR(H134/H444, "NA")</f>
        <v>4.5824603228244366E-2</v>
      </c>
      <c r="J134" s="9"/>
      <c r="K134" s="7">
        <v>986.76</v>
      </c>
      <c r="L134" s="8">
        <f>IFERROR(K134/K444, "NA")</f>
        <v>9.5079137223025492E-3</v>
      </c>
      <c r="M134" s="9"/>
      <c r="N134" s="10">
        <f t="shared" si="29"/>
        <v>-57.3599999999999</v>
      </c>
      <c r="O134" s="8">
        <f>IFERROR(N134/N444, "NA")</f>
        <v>1.1155149143721699E-2</v>
      </c>
      <c r="P134" s="9"/>
      <c r="Q134" s="7">
        <v>7586.63</v>
      </c>
      <c r="R134" s="8">
        <f>IFERROR(Q134/Q444, "NA")</f>
        <v>8.5235930394429935E-3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-7586.63</v>
      </c>
      <c r="X134" s="8">
        <f>IFERROR(W134/W444, "NA")</f>
        <v>0.16092092748596476</v>
      </c>
      <c r="Y134" s="9"/>
      <c r="Z134" s="7">
        <v>8594.1299999999992</v>
      </c>
      <c r="AA134" s="8">
        <f>IFERROR(Z134/Z444, "NA")</f>
        <v>1.0574876486597315E-2</v>
      </c>
      <c r="AB134" s="9"/>
      <c r="AC134" s="10">
        <f t="shared" si="31"/>
        <v>1007.4999999999991</v>
      </c>
      <c r="AD134" s="8">
        <f>IFERROR(AC134/AC444, "NA")</f>
        <v>1.301999367027999E-2</v>
      </c>
    </row>
    <row r="135" spans="1:30" ht="16.5" customHeight="1" x14ac:dyDescent="0.45">
      <c r="A135" s="12" t="s">
        <v>127</v>
      </c>
      <c r="B135" s="7">
        <v>695.93</v>
      </c>
      <c r="C135" s="8">
        <f>IFERROR(B135/B444, "NA")</f>
        <v>7.055179894769923E-3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-695.93</v>
      </c>
      <c r="I135" s="8">
        <f>IFERROR(H135/H444, "NA")</f>
        <v>3.054315224747357E-2</v>
      </c>
      <c r="J135" s="9"/>
      <c r="K135" s="7">
        <v>587.16</v>
      </c>
      <c r="L135" s="8">
        <f>IFERROR(K135/K444, "NA")</f>
        <v>5.657572886200459E-3</v>
      </c>
      <c r="M135" s="9"/>
      <c r="N135" s="10">
        <f t="shared" si="29"/>
        <v>-108.76999999999998</v>
      </c>
      <c r="O135" s="8">
        <f>IFERROR(N135/N444, "NA")</f>
        <v>2.1153165487493221E-2</v>
      </c>
      <c r="P135" s="9"/>
      <c r="Q135" s="7">
        <v>6236.07</v>
      </c>
      <c r="R135" s="8">
        <f>IFERROR(Q135/Q444, "NA")</f>
        <v>7.0062363454497277E-3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-6236.07</v>
      </c>
      <c r="X135" s="8">
        <f>IFERROR(W135/W444, "NA")</f>
        <v>0.13227403580606939</v>
      </c>
      <c r="Y135" s="9"/>
      <c r="Z135" s="7">
        <v>5091.76</v>
      </c>
      <c r="AA135" s="8">
        <f>IFERROR(Z135/Z444, "NA")</f>
        <v>6.2652919026587621E-3</v>
      </c>
      <c r="AB135" s="9"/>
      <c r="AC135" s="10">
        <f t="shared" si="31"/>
        <v>-1144.3099999999995</v>
      </c>
      <c r="AD135" s="8">
        <f>IFERROR(AC135/AC444, "NA")</f>
        <v>-1.4787998964603576E-2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804.51</v>
      </c>
      <c r="L136" s="8">
        <f>IFERROR(K136/K444, "NA")</f>
        <v>7.7518461112424742E-3</v>
      </c>
      <c r="M136" s="9"/>
      <c r="N136" s="10">
        <f t="shared" si="29"/>
        <v>804.51</v>
      </c>
      <c r="O136" s="8">
        <f>IFERROR(N136/N444, "NA")</f>
        <v>-0.15645796788032706</v>
      </c>
      <c r="P136" s="9"/>
      <c r="Q136" s="7">
        <v>4617.18</v>
      </c>
      <c r="R136" s="8">
        <f>IFERROR(Q136/Q444, "NA")</f>
        <v>5.1874103930012938E-3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9.7935564007951711E-2</v>
      </c>
      <c r="Y136" s="9"/>
      <c r="Z136" s="7">
        <v>7473.52</v>
      </c>
      <c r="AA136" s="8">
        <f>IFERROR(Z136/Z444, "NA")</f>
        <v>9.1959920224751971E-3</v>
      </c>
      <c r="AB136" s="9"/>
      <c r="AC136" s="10">
        <f t="shared" si="31"/>
        <v>2856.34</v>
      </c>
      <c r="AD136" s="8">
        <f>IFERROR(AC136/AC444, "NA")</f>
        <v>3.6912683593218441E-2</v>
      </c>
    </row>
    <row r="137" spans="1:30" ht="16.5" customHeight="1" x14ac:dyDescent="0.45">
      <c r="A137" s="12" t="s">
        <v>129</v>
      </c>
      <c r="B137" s="7">
        <v>498.02</v>
      </c>
      <c r="C137" s="8">
        <f>IFERROR(B137/B444, "NA")</f>
        <v>5.0488133737492521E-3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-498.02</v>
      </c>
      <c r="I137" s="8">
        <f>IFERROR(H137/H444, "NA")</f>
        <v>2.1857228000354618E-2</v>
      </c>
      <c r="J137" s="9"/>
      <c r="K137" s="7">
        <v>703.26</v>
      </c>
      <c r="L137" s="8">
        <f>IFERROR(K137/K444, "NA")</f>
        <v>6.7762529939868772E-3</v>
      </c>
      <c r="M137" s="9"/>
      <c r="N137" s="10">
        <f t="shared" si="29"/>
        <v>205.24</v>
      </c>
      <c r="O137" s="8">
        <f>IFERROR(N137/N444, "NA")</f>
        <v>-3.991427493475324E-2</v>
      </c>
      <c r="P137" s="9"/>
      <c r="Q137" s="7">
        <v>5189.5600000000004</v>
      </c>
      <c r="R137" s="8">
        <f>IFERROR(Q137/Q444, "NA")</f>
        <v>5.8304803969314156E-3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-5189.5600000000004</v>
      </c>
      <c r="X137" s="8">
        <f>IFERROR(W137/W444, "NA")</f>
        <v>0.11007638548921765</v>
      </c>
      <c r="Y137" s="9"/>
      <c r="Z137" s="7">
        <v>5074.24</v>
      </c>
      <c r="AA137" s="8">
        <f>IFERROR(Z137/Z444, "NA")</f>
        <v>6.2437339513541868E-3</v>
      </c>
      <c r="AB137" s="9"/>
      <c r="AC137" s="10">
        <f t="shared" si="31"/>
        <v>-115.32000000000062</v>
      </c>
      <c r="AD137" s="8">
        <f>IFERROR(AC137/AC444, "NA")</f>
        <v>-1.4902885062597498E-3</v>
      </c>
    </row>
    <row r="138" spans="1:30" ht="16.5" customHeight="1" x14ac:dyDescent="0.45">
      <c r="A138" s="12" t="s">
        <v>130</v>
      </c>
      <c r="B138" s="7">
        <v>5834.83</v>
      </c>
      <c r="C138" s="8">
        <f>IFERROR(B138/B444, "NA")</f>
        <v>5.9152178100384221E-2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-5834.83</v>
      </c>
      <c r="I138" s="8">
        <f>IFERROR(H138/H444, "NA")</f>
        <v>0.25608049807901112</v>
      </c>
      <c r="J138" s="9"/>
      <c r="K138" s="7">
        <v>5264.37</v>
      </c>
      <c r="L138" s="8">
        <f>IFERROR(K138/K444, "NA")</f>
        <v>5.0724771740117025E-2</v>
      </c>
      <c r="M138" s="9"/>
      <c r="N138" s="10">
        <f t="shared" si="29"/>
        <v>-570.46</v>
      </c>
      <c r="O138" s="8">
        <f>IFERROR(N138/N444, "NA")</f>
        <v>0.11094083648060482</v>
      </c>
      <c r="P138" s="9"/>
      <c r="Q138" s="7">
        <v>53654.14</v>
      </c>
      <c r="R138" s="8">
        <f>IFERROR(Q138/Q444, "NA")</f>
        <v>6.0280526958781423E-2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-53654.14</v>
      </c>
      <c r="X138" s="8">
        <f>IFERROR(W138/W444, "NA")</f>
        <v>1.138064459748505</v>
      </c>
      <c r="Y138" s="9"/>
      <c r="Z138" s="7">
        <v>39995.58</v>
      </c>
      <c r="AA138" s="8">
        <f>IFERROR(Z138/Z444, "NA")</f>
        <v>4.9213628198528744E-2</v>
      </c>
      <c r="AB138" s="9"/>
      <c r="AC138" s="10">
        <f t="shared" si="31"/>
        <v>-13658.559999999998</v>
      </c>
      <c r="AD138" s="8">
        <f>IFERROR(AC138/AC444, "NA")</f>
        <v>-0.1765105357271857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23237.339999999997</v>
      </c>
      <c r="C141" s="15">
        <f>IFERROR(B141/B444, "NA")</f>
        <v>0.23557486237974065</v>
      </c>
      <c r="D141" s="2"/>
      <c r="E141" s="14">
        <f>IFERROR(E129+E130+E131+E132+E133+E134+E135+E136+E137+E138+E139+E140, "NA")</f>
        <v>27442.31</v>
      </c>
      <c r="F141" s="15">
        <f>IFERROR(E141/E444, "NA")</f>
        <v>0.22600001943568329</v>
      </c>
      <c r="G141" s="2"/>
      <c r="H141" s="14">
        <f t="shared" si="28"/>
        <v>4204.9700000000048</v>
      </c>
      <c r="I141" s="15">
        <f>IFERROR(H141/H444, "NA")</f>
        <v>-0.18454878925475135</v>
      </c>
      <c r="J141" s="2"/>
      <c r="K141" s="14">
        <f>IFERROR(K129+K130+K131+K132+K133+K134+K135+K136+K137+K138+K139+K140, "NA")</f>
        <v>24711.019999999993</v>
      </c>
      <c r="L141" s="15">
        <f>IFERROR(K141/K444, "NA")</f>
        <v>0.23810272624558423</v>
      </c>
      <c r="M141" s="2"/>
      <c r="N141" s="14">
        <f t="shared" si="29"/>
        <v>1473.6799999999967</v>
      </c>
      <c r="O141" s="15">
        <f>IFERROR(N141/N444, "NA")</f>
        <v>-0.28659554027405482</v>
      </c>
      <c r="P141" s="2"/>
      <c r="Q141" s="14">
        <f>IFERROR(Q129+Q130+Q131+Q132+Q133+Q134+Q135+Q136+Q137+Q138+Q139+Q140, "NA")</f>
        <v>219794.78000000003</v>
      </c>
      <c r="R141" s="15">
        <f>IFERROR(Q141/Q444, "NA")</f>
        <v>0.24693984772078043</v>
      </c>
      <c r="S141" s="2"/>
      <c r="T141" s="14">
        <f>IFERROR(T129+T130+T131+T132+T133+T134+T135+T136+T137+T138+T139+T140, "NA")</f>
        <v>219247.02</v>
      </c>
      <c r="U141" s="15">
        <f>IFERROR(T141/T444, "NA")</f>
        <v>0.23393354329843311</v>
      </c>
      <c r="V141" s="2"/>
      <c r="W141" s="14">
        <f t="shared" si="30"/>
        <v>-547.76000000003842</v>
      </c>
      <c r="X141" s="15">
        <f>IFERROR(W141/W444, "NA")</f>
        <v>1.1618603680384865E-2</v>
      </c>
      <c r="Y141" s="2"/>
      <c r="Z141" s="14">
        <f>IFERROR(Z129+Z130+Z131+Z132+Z133+Z134+Z135+Z136+Z137+Z138+Z139+Z140, "NA")</f>
        <v>194709.88</v>
      </c>
      <c r="AA141" s="15">
        <f>IFERROR(Z141/Z444, "NA")</f>
        <v>0.23958596527166623</v>
      </c>
      <c r="AB141" s="2"/>
      <c r="AC141" s="14">
        <f t="shared" si="31"/>
        <v>-25084.900000000023</v>
      </c>
      <c r="AD141" s="15">
        <f>IFERROR(AC141/AC444, "NA")</f>
        <v>-0.32417393470928746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969.82</v>
      </c>
      <c r="C144" s="8">
        <f>IFERROR(B144/B444, "NA")</f>
        <v>9.8318143571131684E-3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-969.82</v>
      </c>
      <c r="I144" s="8">
        <f>IFERROR(H144/H444, "NA")</f>
        <v>4.256370599434544E-2</v>
      </c>
      <c r="J144" s="9"/>
      <c r="K144" s="7">
        <v>958.71</v>
      </c>
      <c r="L144" s="8">
        <f>IFERROR(K144/K444, "NA")</f>
        <v>9.2376382957443329E-3</v>
      </c>
      <c r="M144" s="9"/>
      <c r="N144" s="10">
        <f t="shared" si="33"/>
        <v>-11.110000000000014</v>
      </c>
      <c r="O144" s="8">
        <f>IFERROR(N144/N444, "NA")</f>
        <v>2.1606294802431741E-3</v>
      </c>
      <c r="P144" s="9"/>
      <c r="Q144" s="7">
        <v>11370.73</v>
      </c>
      <c r="R144" s="8">
        <f>IFERROR(Q144/Q444, "NA")</f>
        <v>1.2775036489374812E-2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-11370.73</v>
      </c>
      <c r="X144" s="8">
        <f>IFERROR(W144/W444, "NA")</f>
        <v>0.24118593074823522</v>
      </c>
      <c r="Y144" s="9"/>
      <c r="Z144" s="7">
        <v>7631.28</v>
      </c>
      <c r="AA144" s="8">
        <f>IFERROR(Z144/Z444, "NA")</f>
        <v>9.3901120223501798E-3</v>
      </c>
      <c r="AB144" s="9"/>
      <c r="AC144" s="10">
        <f t="shared" si="35"/>
        <v>-3739.45</v>
      </c>
      <c r="AD144" s="8">
        <f>IFERROR(AC144/AC444, "NA")</f>
        <v>-4.832517650652958E-2</v>
      </c>
    </row>
    <row r="145" spans="1:30" ht="16.5" customHeight="1" x14ac:dyDescent="0.45">
      <c r="A145" s="12" t="s">
        <v>136</v>
      </c>
      <c r="B145" s="7">
        <v>66.66</v>
      </c>
      <c r="C145" s="8">
        <f>IFERROR(B145/B444, "NA")</f>
        <v>6.757839032451009E-4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-66.66</v>
      </c>
      <c r="I145" s="8">
        <f>IFERROR(H145/H444, "NA")</f>
        <v>2.9255909772772956E-3</v>
      </c>
      <c r="J145" s="9"/>
      <c r="K145" s="7">
        <v>53.45</v>
      </c>
      <c r="L145" s="8">
        <f>IFERROR(K145/K444, "NA")</f>
        <v>5.1501681103517704E-4</v>
      </c>
      <c r="M145" s="9"/>
      <c r="N145" s="10">
        <f t="shared" si="33"/>
        <v>-13.209999999999994</v>
      </c>
      <c r="O145" s="8">
        <f>IFERROR(N145/N444, "NA")</f>
        <v>2.5690292919903039E-3</v>
      </c>
      <c r="P145" s="9"/>
      <c r="Q145" s="7">
        <v>564.77</v>
      </c>
      <c r="R145" s="8">
        <f>IFERROR(Q145/Q444, "NA")</f>
        <v>6.345201546518308E-4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-564.77</v>
      </c>
      <c r="X145" s="8">
        <f>IFERROR(W145/W444, "NA")</f>
        <v>1.1979404849880422E-2</v>
      </c>
      <c r="Y145" s="9"/>
      <c r="Z145" s="7">
        <v>550.63</v>
      </c>
      <c r="AA145" s="8">
        <f>IFERROR(Z145/Z444, "NA")</f>
        <v>6.7753737025331008E-4</v>
      </c>
      <c r="AB145" s="9"/>
      <c r="AC145" s="10">
        <f t="shared" si="35"/>
        <v>-14.139999999999986</v>
      </c>
      <c r="AD145" s="8">
        <f>IFERROR(AC145/AC444, "NA")</f>
        <v>-1.8273221885633652E-4</v>
      </c>
    </row>
    <row r="146" spans="1:30" ht="16.5" customHeight="1" x14ac:dyDescent="0.45">
      <c r="A146" s="12" t="s">
        <v>137</v>
      </c>
      <c r="B146" s="7">
        <v>41.16</v>
      </c>
      <c r="C146" s="8">
        <f>IFERROR(B146/B444, "NA")</f>
        <v>4.1727070893441873E-4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-41.16</v>
      </c>
      <c r="I146" s="8">
        <f>IFERROR(H146/H444, "NA")</f>
        <v>1.8064405134223444E-3</v>
      </c>
      <c r="J146" s="9"/>
      <c r="K146" s="7">
        <v>605.55999999999995</v>
      </c>
      <c r="L146" s="8">
        <f>IFERROR(K146/K444, "NA")</f>
        <v>5.8348658576325872E-3</v>
      </c>
      <c r="M146" s="9"/>
      <c r="N146" s="10">
        <f t="shared" si="33"/>
        <v>564.4</v>
      </c>
      <c r="O146" s="8">
        <f>IFERROR(N146/N444, "NA")</f>
        <v>-0.10976231130956307</v>
      </c>
      <c r="P146" s="9"/>
      <c r="Q146" s="7">
        <v>929.69</v>
      </c>
      <c r="R146" s="8">
        <f>IFERROR(Q146/Q444, "NA")</f>
        <v>1.0445084593343496E-3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-929.69</v>
      </c>
      <c r="X146" s="8">
        <f>IFERROR(W146/W444, "NA")</f>
        <v>1.9719767152797298E-2</v>
      </c>
      <c r="Y146" s="9"/>
      <c r="Z146" s="7">
        <v>2693.48</v>
      </c>
      <c r="AA146" s="8">
        <f>IFERROR(Z146/Z444, "NA")</f>
        <v>3.3142643082103873E-3</v>
      </c>
      <c r="AB146" s="9"/>
      <c r="AC146" s="10">
        <f t="shared" si="35"/>
        <v>1763.79</v>
      </c>
      <c r="AD146" s="8">
        <f>IFERROR(AC146/AC444, "NA")</f>
        <v>2.279358276496592E-2</v>
      </c>
    </row>
    <row r="147" spans="1:30" ht="16.5" customHeight="1" x14ac:dyDescent="0.45">
      <c r="A147" s="12" t="s">
        <v>138</v>
      </c>
      <c r="B147" s="7">
        <v>21.71</v>
      </c>
      <c r="C147" s="8">
        <f>IFERROR(B147/B444, "NA")</f>
        <v>2.2009103719548669E-4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-21.71</v>
      </c>
      <c r="I147" s="8">
        <f>IFERROR(H147/H444, "NA")</f>
        <v>9.5281398314866626E-4</v>
      </c>
      <c r="J147" s="9"/>
      <c r="K147" s="7">
        <v>0</v>
      </c>
      <c r="L147" s="8">
        <f>IFERROR(K147/K444, "NA")</f>
        <v>0</v>
      </c>
      <c r="M147" s="9"/>
      <c r="N147" s="10">
        <f t="shared" si="33"/>
        <v>-21.71</v>
      </c>
      <c r="O147" s="8">
        <f>IFERROR(N147/N444, "NA")</f>
        <v>4.2220761490620387E-3</v>
      </c>
      <c r="P147" s="9"/>
      <c r="Q147" s="7">
        <v>111.48</v>
      </c>
      <c r="R147" s="8">
        <f>IFERROR(Q147/Q444, "NA")</f>
        <v>1.2524798916476815E-4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-111.48</v>
      </c>
      <c r="X147" s="8">
        <f>IFERROR(W147/W444, "NA")</f>
        <v>2.3646157775106141E-3</v>
      </c>
      <c r="Y147" s="9"/>
      <c r="Z147" s="7">
        <v>113.32</v>
      </c>
      <c r="AA147" s="8">
        <f>IFERROR(Z147/Z444, "NA")</f>
        <v>1.3943761654305995E-4</v>
      </c>
      <c r="AB147" s="9"/>
      <c r="AC147" s="10">
        <f t="shared" si="35"/>
        <v>1.8399999999999892</v>
      </c>
      <c r="AD147" s="8">
        <f>IFERROR(AC147/AC444, "NA")</f>
        <v>2.3778449978476489E-5</v>
      </c>
    </row>
    <row r="148" spans="1:30" ht="16.5" customHeight="1" x14ac:dyDescent="0.45">
      <c r="A148" s="13" t="s">
        <v>139</v>
      </c>
      <c r="B148" s="14">
        <f>IFERROR(B143+B144+B145+B146+B147, "NA")</f>
        <v>1099.3500000000001</v>
      </c>
      <c r="C148" s="15">
        <f>IFERROR(B148/B444, "NA")</f>
        <v>1.1144960006488175E-2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-1099.3500000000001</v>
      </c>
      <c r="I148" s="15">
        <f>IFERROR(H148/H444, "NA")</f>
        <v>4.8248551468193748E-2</v>
      </c>
      <c r="J148" s="2"/>
      <c r="K148" s="14">
        <f>IFERROR(K143+K144+K145+K146+K147, "NA")</f>
        <v>1617.72</v>
      </c>
      <c r="L148" s="15">
        <f>IFERROR(K148/K444, "NA")</f>
        <v>1.5587520964412098E-2</v>
      </c>
      <c r="M148" s="2"/>
      <c r="N148" s="14">
        <f t="shared" si="33"/>
        <v>518.36999999999989</v>
      </c>
      <c r="O148" s="15">
        <f>IFERROR(N148/N444, "NA")</f>
        <v>-0.10081057638826754</v>
      </c>
      <c r="P148" s="2"/>
      <c r="Q148" s="14">
        <f>IFERROR(Q143+Q144+Q145+Q146+Q147, "NA")</f>
        <v>12976.67</v>
      </c>
      <c r="R148" s="15">
        <f>IFERROR(Q148/Q444, "NA")</f>
        <v>1.457931309252576E-2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-12976.67</v>
      </c>
      <c r="X148" s="15">
        <f>IFERROR(W148/W444, "NA")</f>
        <v>0.27524971852842356</v>
      </c>
      <c r="Y148" s="2"/>
      <c r="Z148" s="14">
        <f>IFERROR(Z143+Z144+Z145+Z146+Z147, "NA")</f>
        <v>10988.71</v>
      </c>
      <c r="AA148" s="15">
        <f>IFERROR(Z148/Z444, "NA")</f>
        <v>1.3521351317356937E-2</v>
      </c>
      <c r="AB148" s="2"/>
      <c r="AC148" s="14">
        <f t="shared" si="35"/>
        <v>-1987.9600000000009</v>
      </c>
      <c r="AD148" s="15">
        <f>IFERROR(AC148/AC444, "NA")</f>
        <v>-2.5690547510441534E-2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24336.689999999995</v>
      </c>
      <c r="C149" s="15">
        <f>IFERROR(B149/B444, "NA")</f>
        <v>0.2467198223862288</v>
      </c>
      <c r="D149" s="2"/>
      <c r="E149" s="14">
        <f>IFERROR(E127+E129+E130+E131+E132+E133+E134+E135+E136+E137+E138+E139+E140+E143+E144+E145+E146+E147, "NA")</f>
        <v>27442.31</v>
      </c>
      <c r="F149" s="15">
        <f>IFERROR(E149/E444, "NA")</f>
        <v>0.22600001943568329</v>
      </c>
      <c r="G149" s="2"/>
      <c r="H149" s="14">
        <f t="shared" si="32"/>
        <v>3105.6200000000063</v>
      </c>
      <c r="I149" s="15">
        <f>IFERROR(H149/H444, "NA")</f>
        <v>-0.13630023778655767</v>
      </c>
      <c r="J149" s="2"/>
      <c r="K149" s="14">
        <f>IFERROR(K127+K129+K130+K131+K132+K133+K134+K135+K136+K137+K138+K139+K140+K143+K144+K145+K146+K147, "NA")</f>
        <v>26328.739999999994</v>
      </c>
      <c r="L149" s="15">
        <f>IFERROR(K149/K444, "NA")</f>
        <v>0.25369024720999633</v>
      </c>
      <c r="M149" s="2"/>
      <c r="N149" s="14">
        <f t="shared" si="33"/>
        <v>1992.0499999999993</v>
      </c>
      <c r="O149" s="15">
        <f>IFERROR(N149/N444, "NA")</f>
        <v>-0.38740611666232294</v>
      </c>
      <c r="P149" s="2"/>
      <c r="Q149" s="14">
        <f>IFERROR(Q127+Q129+Q130+Q131+Q132+Q133+Q134+Q135+Q136+Q137+Q138+Q139+Q140+Q143+Q144+Q145+Q146+Q147, "NA")</f>
        <v>232771.45000000004</v>
      </c>
      <c r="R149" s="15">
        <f>IFERROR(Q149/Q444, "NA")</f>
        <v>0.26151916081330617</v>
      </c>
      <c r="S149" s="2"/>
      <c r="T149" s="14">
        <f>IFERROR(T127+T129+T130+T131+T132+T133+T134+T135+T136+T137+T138+T139+T140+T143+T144+T145+T146+T147, "NA")</f>
        <v>219247.02</v>
      </c>
      <c r="U149" s="15">
        <f>IFERROR(T149/T444, "NA")</f>
        <v>0.23393354329843311</v>
      </c>
      <c r="V149" s="2"/>
      <c r="W149" s="14">
        <f t="shared" si="34"/>
        <v>-13524.430000000051</v>
      </c>
      <c r="X149" s="15">
        <f>IFERROR(W149/W444, "NA")</f>
        <v>0.2868683222088087</v>
      </c>
      <c r="Y149" s="2"/>
      <c r="Z149" s="14">
        <f>IFERROR(Z127+Z129+Z130+Z131+Z132+Z133+Z134+Z135+Z136+Z137+Z138+Z139+Z140+Z143+Z144+Z145+Z146+Z147, "NA")</f>
        <v>205698.59000000003</v>
      </c>
      <c r="AA149" s="15">
        <f>IFERROR(Z149/Z444, "NA")</f>
        <v>0.25310731658902319</v>
      </c>
      <c r="AB149" s="2"/>
      <c r="AC149" s="14">
        <f t="shared" si="35"/>
        <v>-27072.860000000015</v>
      </c>
      <c r="AD149" s="15">
        <f>IFERROR(AC149/AC444, "NA")</f>
        <v>-0.34986448221972888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1821.39</v>
      </c>
      <c r="F153" s="8">
        <f>IFERROR(E153/E444, "NA")</f>
        <v>1.4999982705536057E-2</v>
      </c>
      <c r="G153" s="9"/>
      <c r="H153" s="10">
        <f t="shared" ref="H153:H158" si="36">IFERROR(-(B153-E153), "NA")</f>
        <v>1821.39</v>
      </c>
      <c r="I153" s="8">
        <f>IFERROR(H153/H444, "NA")</f>
        <v>-7.993762601414782E-2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15080.46</v>
      </c>
      <c r="U153" s="8">
        <f>IFERROR(T153/T444, "NA")</f>
        <v>1.6090642611107271E-2</v>
      </c>
      <c r="V153" s="9"/>
      <c r="W153" s="10">
        <f t="shared" ref="W153:W158" si="38">IFERROR(-(Q153-T153), "NA")</f>
        <v>15080.46</v>
      </c>
      <c r="X153" s="8">
        <f>IFERROR(W153/W444, "NA")</f>
        <v>-0.31987346293611152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3687.75</v>
      </c>
      <c r="C154" s="8">
        <f>IFERROR(B154/B444, "NA")</f>
        <v>3.7385569894871302E-2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-3687.75</v>
      </c>
      <c r="I154" s="8">
        <f>IFERROR(H154/H444, "NA")</f>
        <v>0.16184890678749395</v>
      </c>
      <c r="J154" s="9"/>
      <c r="K154" s="7">
        <v>3311.96</v>
      </c>
      <c r="L154" s="8">
        <f>IFERROR(K154/K444, "NA")</f>
        <v>3.1912349438279981E-2</v>
      </c>
      <c r="M154" s="9"/>
      <c r="N154" s="10">
        <f t="shared" si="37"/>
        <v>-375.78999999999996</v>
      </c>
      <c r="O154" s="8">
        <f>IFERROR(N154/N444, "NA")</f>
        <v>7.3082173931645469E-2</v>
      </c>
      <c r="P154" s="9"/>
      <c r="Q154" s="7">
        <v>31333.52</v>
      </c>
      <c r="R154" s="8">
        <f>IFERROR(Q154/Q444, "NA")</f>
        <v>3.5203268509634428E-2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-31333.52</v>
      </c>
      <c r="X154" s="8">
        <f>IFERROR(W154/W444, "NA")</f>
        <v>0.66461908644550027</v>
      </c>
      <c r="Y154" s="9"/>
      <c r="Z154" s="7">
        <v>26823.49</v>
      </c>
      <c r="AA154" s="8">
        <f>IFERROR(Z154/Z444, "NA")</f>
        <v>3.3005678723672813E-2</v>
      </c>
      <c r="AB154" s="9"/>
      <c r="AC154" s="10">
        <f t="shared" si="39"/>
        <v>-4510.0299999999988</v>
      </c>
      <c r="AD154" s="8">
        <f>IFERROR(AC154/AC444, "NA")</f>
        <v>-5.8283436280667893E-2</v>
      </c>
    </row>
    <row r="155" spans="1:30" ht="16.5" customHeight="1" x14ac:dyDescent="0.45">
      <c r="A155" s="12" t="s">
        <v>144</v>
      </c>
      <c r="B155" s="7">
        <v>866.94</v>
      </c>
      <c r="C155" s="8">
        <f>IFERROR(B155/B444, "NA")</f>
        <v>8.7888403402236401E-3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-866.94</v>
      </c>
      <c r="I155" s="8">
        <f>IFERROR(H155/H444, "NA")</f>
        <v>3.804848247585927E-2</v>
      </c>
      <c r="J155" s="9"/>
      <c r="K155" s="7">
        <v>1024.78</v>
      </c>
      <c r="L155" s="8">
        <f>IFERROR(K155/K444, "NA")</f>
        <v>9.8742549600117618E-3</v>
      </c>
      <c r="M155" s="9"/>
      <c r="N155" s="10">
        <f t="shared" si="37"/>
        <v>157.83999999999992</v>
      </c>
      <c r="O155" s="8">
        <f>IFERROR(N155/N444, "NA")</f>
        <v>-3.0696107755317909E-2</v>
      </c>
      <c r="P155" s="9"/>
      <c r="Q155" s="7">
        <v>8291.2099999999991</v>
      </c>
      <c r="R155" s="8">
        <f>IFERROR(Q155/Q444, "NA")</f>
        <v>9.3151899914138605E-3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-8291.2099999999991</v>
      </c>
      <c r="X155" s="8">
        <f>IFERROR(W155/W444, "NA")</f>
        <v>0.1758658591734282</v>
      </c>
      <c r="Y155" s="9"/>
      <c r="Z155" s="7">
        <v>9401.4599999999991</v>
      </c>
      <c r="AA155" s="8">
        <f>IFERROR(Z155/Z444, "NA")</f>
        <v>1.1568277218716169E-2</v>
      </c>
      <c r="AB155" s="9"/>
      <c r="AC155" s="10">
        <f t="shared" si="39"/>
        <v>1110.25</v>
      </c>
      <c r="AD155" s="8">
        <f>IFERROR(AC155/AC444, "NA")</f>
        <v>1.4347839178588956E-2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54.77</v>
      </c>
      <c r="AA156" s="8">
        <f>IFERROR(Z156/Z444, "NA")</f>
        <v>6.7393207360248801E-5</v>
      </c>
      <c r="AB156" s="9"/>
      <c r="AC156" s="10">
        <f t="shared" si="39"/>
        <v>54.77</v>
      </c>
      <c r="AD156" s="8">
        <f>IFERROR(AC156/AC444, "NA")</f>
        <v>7.0779657897889403E-4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4554.6900000000005</v>
      </c>
      <c r="C158" s="15">
        <f>IFERROR(B158/B444, "NA")</f>
        <v>4.6174410235094943E-2</v>
      </c>
      <c r="D158" s="2"/>
      <c r="E158" s="14">
        <f>IFERROR(E153+E154+E155+E156+E157, "NA")</f>
        <v>1821.39</v>
      </c>
      <c r="F158" s="15">
        <f>IFERROR(E158/E444, "NA")</f>
        <v>1.4999982705536057E-2</v>
      </c>
      <c r="G158" s="2"/>
      <c r="H158" s="14">
        <f t="shared" si="36"/>
        <v>-2733.3</v>
      </c>
      <c r="I158" s="15">
        <f>IFERROR(H158/H444, "NA")</f>
        <v>0.11995976324920542</v>
      </c>
      <c r="J158" s="2"/>
      <c r="K158" s="14">
        <f>IFERROR(K153+K154+K155+K156+K157, "NA")</f>
        <v>4336.74</v>
      </c>
      <c r="L158" s="15">
        <f>IFERROR(K158/K444, "NA")</f>
        <v>4.1786604398291738E-2</v>
      </c>
      <c r="M158" s="2"/>
      <c r="N158" s="14">
        <f t="shared" si="37"/>
        <v>-217.95000000000073</v>
      </c>
      <c r="O158" s="15">
        <f>IFERROR(N158/N444, "NA")</f>
        <v>4.2386066176327702E-2</v>
      </c>
      <c r="P158" s="2"/>
      <c r="Q158" s="14">
        <f>IFERROR(Q153+Q154+Q155+Q156+Q157, "NA")</f>
        <v>39624.729999999996</v>
      </c>
      <c r="R158" s="15">
        <f>IFERROR(Q158/Q444, "NA")</f>
        <v>4.4518458501048283E-2</v>
      </c>
      <c r="S158" s="2"/>
      <c r="T158" s="14">
        <f>IFERROR(T153+T154+T155+T156+T157, "NA")</f>
        <v>15080.46</v>
      </c>
      <c r="U158" s="15">
        <f>IFERROR(T158/T444, "NA")</f>
        <v>1.6090642611107271E-2</v>
      </c>
      <c r="V158" s="2"/>
      <c r="W158" s="14">
        <f t="shared" si="38"/>
        <v>-24544.269999999997</v>
      </c>
      <c r="X158" s="15">
        <f>IFERROR(W158/W444, "NA")</f>
        <v>0.52061148268281687</v>
      </c>
      <c r="Y158" s="2"/>
      <c r="Z158" s="14">
        <f>IFERROR(Z153+Z154+Z155+Z156+Z157, "NA")</f>
        <v>36279.719999999994</v>
      </c>
      <c r="AA158" s="15">
        <f>IFERROR(Z158/Z444, "NA")</f>
        <v>4.4641349149749224E-2</v>
      </c>
      <c r="AB158" s="2"/>
      <c r="AC158" s="14">
        <f t="shared" si="39"/>
        <v>-3345.010000000002</v>
      </c>
      <c r="AD158" s="15">
        <f>IFERROR(AC158/AC444, "NA")</f>
        <v>-4.3227800523100088E-2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258.49</v>
      </c>
      <c r="C161" s="8">
        <f>IFERROR(B161/B444, "NA")</f>
        <v>2.6205127685242444E-3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-258.49</v>
      </c>
      <c r="I161" s="8">
        <f>IFERROR(H161/H444, "NA")</f>
        <v>1.1344674643210444E-2</v>
      </c>
      <c r="J161" s="9"/>
      <c r="K161" s="7">
        <v>338.09</v>
      </c>
      <c r="L161" s="8">
        <f>IFERROR(K161/K444, "NA")</f>
        <v>3.257661995189579E-3</v>
      </c>
      <c r="M161" s="9"/>
      <c r="N161" s="10">
        <f t="shared" si="41"/>
        <v>79.599999999999966</v>
      </c>
      <c r="O161" s="8">
        <f>IFERROR(N161/N444, "NA")</f>
        <v>-1.5480297626224694E-2</v>
      </c>
      <c r="P161" s="9"/>
      <c r="Q161" s="7">
        <v>2297.58</v>
      </c>
      <c r="R161" s="8">
        <f>IFERROR(Q161/Q444, "NA")</f>
        <v>2.5813354408430926E-3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-2297.58</v>
      </c>
      <c r="X161" s="8">
        <f>IFERROR(W161/W444, "NA")</f>
        <v>4.8734247560933232E-2</v>
      </c>
      <c r="Y161" s="9"/>
      <c r="Z161" s="7">
        <v>3172.46</v>
      </c>
      <c r="AA161" s="8">
        <f>IFERROR(Z161/Z444, "NA")</f>
        <v>3.9036380248693606E-3</v>
      </c>
      <c r="AB161" s="9"/>
      <c r="AC161" s="10">
        <f t="shared" si="43"/>
        <v>874.88000000000011</v>
      </c>
      <c r="AD161" s="8">
        <f>IFERROR(AC161/AC444, "NA")</f>
        <v>1.1306136041940019E-2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258.49</v>
      </c>
      <c r="C166" s="15">
        <f>IFERROR(B166/B444, "NA")</f>
        <v>2.6205127685242444E-3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-258.49</v>
      </c>
      <c r="I166" s="15">
        <f>IFERROR(H166/H444, "NA")</f>
        <v>1.1344674643210444E-2</v>
      </c>
      <c r="J166" s="2"/>
      <c r="K166" s="14">
        <f>IFERROR(K160+K161+K162+K163+K164+K165, "NA")</f>
        <v>338.09</v>
      </c>
      <c r="L166" s="15">
        <f>IFERROR(K166/K444, "NA")</f>
        <v>3.257661995189579E-3</v>
      </c>
      <c r="M166" s="2"/>
      <c r="N166" s="14">
        <f t="shared" si="41"/>
        <v>79.599999999999966</v>
      </c>
      <c r="O166" s="15">
        <f>IFERROR(N166/N444, "NA")</f>
        <v>-1.5480297626224694E-2</v>
      </c>
      <c r="P166" s="2"/>
      <c r="Q166" s="14">
        <f>IFERROR(Q160+Q161+Q162+Q163+Q164+Q165, "NA")</f>
        <v>2297.58</v>
      </c>
      <c r="R166" s="15">
        <f>IFERROR(Q166/Q444, "NA")</f>
        <v>2.5813354408430926E-3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-2297.58</v>
      </c>
      <c r="X166" s="15">
        <f>IFERROR(W166/W444, "NA")</f>
        <v>4.8734247560933232E-2</v>
      </c>
      <c r="Y166" s="2"/>
      <c r="Z166" s="14">
        <f>IFERROR(Z160+Z161+Z162+Z163+Z164+Z165, "NA")</f>
        <v>3172.46</v>
      </c>
      <c r="AA166" s="15">
        <f>IFERROR(Z166/Z444, "NA")</f>
        <v>3.9036380248693606E-3</v>
      </c>
      <c r="AB166" s="2"/>
      <c r="AC166" s="14">
        <f t="shared" si="43"/>
        <v>874.88000000000011</v>
      </c>
      <c r="AD166" s="15">
        <f>IFERROR(AC166/AC444, "NA")</f>
        <v>1.1306136041940019E-2</v>
      </c>
    </row>
    <row r="167" spans="1:30" ht="16.5" customHeight="1" x14ac:dyDescent="0.45">
      <c r="A167" s="6" t="s">
        <v>155</v>
      </c>
      <c r="B167" s="7">
        <v>118.21</v>
      </c>
      <c r="C167" s="8">
        <f>IFERROR(B167/B444, "NA")</f>
        <v>1.1983860666457153E-3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-118.21</v>
      </c>
      <c r="I167" s="8">
        <f>IFERROR(H167/H444, "NA")</f>
        <v>5.1880304444036768E-3</v>
      </c>
      <c r="J167" s="9"/>
      <c r="K167" s="7">
        <v>91.69</v>
      </c>
      <c r="L167" s="8">
        <f>IFERROR(K167/K444, "NA")</f>
        <v>8.8347785601151322E-4</v>
      </c>
      <c r="M167" s="9"/>
      <c r="N167" s="10">
        <f t="shared" si="41"/>
        <v>-26.519999999999996</v>
      </c>
      <c r="O167" s="8">
        <f>IFERROR(N167/N444, "NA")</f>
        <v>5.1575061940638068E-3</v>
      </c>
      <c r="P167" s="9"/>
      <c r="Q167" s="7">
        <v>1019.39</v>
      </c>
      <c r="R167" s="8">
        <f>IFERROR(Q167/Q444, "NA")</f>
        <v>1.145286577634311E-3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-1019.39</v>
      </c>
      <c r="X167" s="8">
        <f>IFERROR(W167/W444, "NA")</f>
        <v>2.1622404713280811E-2</v>
      </c>
      <c r="Y167" s="9"/>
      <c r="Z167" s="7">
        <v>1110.47</v>
      </c>
      <c r="AA167" s="8">
        <f>IFERROR(Z167/Z444, "NA")</f>
        <v>1.3664074306615934E-3</v>
      </c>
      <c r="AB167" s="9"/>
      <c r="AC167" s="10">
        <f t="shared" si="43"/>
        <v>91.080000000000041</v>
      </c>
      <c r="AD167" s="8">
        <f>IFERROR(AC167/AC444, "NA")</f>
        <v>1.1770332739345936E-3</v>
      </c>
    </row>
    <row r="168" spans="1:30" ht="16.5" customHeight="1" x14ac:dyDescent="0.45">
      <c r="A168" s="6" t="s">
        <v>156</v>
      </c>
      <c r="B168" s="7">
        <v>36.31</v>
      </c>
      <c r="C168" s="8">
        <f>IFERROR(B168/B444, "NA")</f>
        <v>3.6810251315375959E-4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-36.31</v>
      </c>
      <c r="I168" s="8">
        <f>IFERROR(H168/H444, "NA")</f>
        <v>1.5935824840224815E-3</v>
      </c>
      <c r="J168" s="9"/>
      <c r="K168" s="7">
        <v>50.6</v>
      </c>
      <c r="L168" s="8">
        <f>IFERROR(K168/K444, "NA")</f>
        <v>4.8755567143835281E-4</v>
      </c>
      <c r="M168" s="9"/>
      <c r="N168" s="10">
        <f t="shared" si="41"/>
        <v>14.29</v>
      </c>
      <c r="O168" s="8">
        <f>IFERROR(N168/N444, "NA")</f>
        <v>-2.7790634808888314E-3</v>
      </c>
      <c r="P168" s="9"/>
      <c r="Q168" s="7">
        <v>356.24</v>
      </c>
      <c r="R168" s="8">
        <f>IFERROR(Q168/Q444, "NA")</f>
        <v>4.0023630839663619E-4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-356.24</v>
      </c>
      <c r="X168" s="8">
        <f>IFERROR(W168/W444, "NA")</f>
        <v>7.5562497719804554E-3</v>
      </c>
      <c r="Y168" s="9"/>
      <c r="Z168" s="7">
        <v>396.5</v>
      </c>
      <c r="AA168" s="8">
        <f>IFERROR(Z168/Z444, "NA")</f>
        <v>4.8788400069999356E-4</v>
      </c>
      <c r="AB168" s="9"/>
      <c r="AC168" s="10">
        <f t="shared" si="43"/>
        <v>40.259999999999991</v>
      </c>
      <c r="AD168" s="8">
        <f>IFERROR(AC168/AC444, "NA")</f>
        <v>5.2028282398558089E-4</v>
      </c>
    </row>
    <row r="169" spans="1:30" ht="16.5" customHeight="1" x14ac:dyDescent="0.45">
      <c r="A169" s="6" t="s">
        <v>157</v>
      </c>
      <c r="B169" s="7">
        <v>-1469.27</v>
      </c>
      <c r="C169" s="8">
        <f>IFERROR(B169/B444, "NA")</f>
        <v>-1.4895124745288471E-2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1469.27</v>
      </c>
      <c r="I169" s="8">
        <f>IFERROR(H169/H444, "NA")</f>
        <v>-6.4483694197182903E-2</v>
      </c>
      <c r="J169" s="9"/>
      <c r="K169" s="7">
        <v>-3970.92</v>
      </c>
      <c r="L169" s="8">
        <f>IFERROR(K169/K444, "NA")</f>
        <v>-3.8261750332568852E-2</v>
      </c>
      <c r="M169" s="9"/>
      <c r="N169" s="10">
        <f t="shared" si="41"/>
        <v>-2501.65</v>
      </c>
      <c r="O169" s="8">
        <f>IFERROR(N169/N444, "NA")</f>
        <v>0.48651113764629428</v>
      </c>
      <c r="P169" s="9"/>
      <c r="Q169" s="7">
        <v>-16767.669999999998</v>
      </c>
      <c r="R169" s="8">
        <f>IFERROR(Q169/Q444, "NA")</f>
        <v>-1.8838508705403729E-2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16767.669999999998</v>
      </c>
      <c r="X169" s="8">
        <f>IFERROR(W169/W444, "NA")</f>
        <v>-0.35566107852611584</v>
      </c>
      <c r="Y169" s="9"/>
      <c r="Z169" s="7">
        <v>-20628.38</v>
      </c>
      <c r="AA169" s="8">
        <f>IFERROR(Z169/Z444, "NA")</f>
        <v>-2.5382740384261623E-2</v>
      </c>
      <c r="AB169" s="9"/>
      <c r="AC169" s="10">
        <f t="shared" si="43"/>
        <v>-3860.7100000000028</v>
      </c>
      <c r="AD169" s="8">
        <f>IFERROR(AC169/AC444, "NA")</f>
        <v>-4.9892228052393787E-2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3498.4300000000007</v>
      </c>
      <c r="C170" s="15">
        <f>IFERROR(B170/B444, "NA")</f>
        <v>3.5466286838130197E-2</v>
      </c>
      <c r="D170" s="2"/>
      <c r="E170" s="14">
        <f>IFERROR(E151+E153+E154+E155+E156+E157+E160+E161+E162+E163+E164+E165+E167+E168+E169, "NA")</f>
        <v>1821.39</v>
      </c>
      <c r="F170" s="15">
        <f>IFERROR(E170/E444, "NA")</f>
        <v>1.4999982705536057E-2</v>
      </c>
      <c r="G170" s="2"/>
      <c r="H170" s="14">
        <f t="shared" si="40"/>
        <v>-1677.0400000000006</v>
      </c>
      <c r="I170" s="15">
        <f>IFERROR(H170/H444, "NA")</f>
        <v>7.3602356623659132E-2</v>
      </c>
      <c r="J170" s="2"/>
      <c r="K170" s="14">
        <f>IFERROR(K151+K153+K154+K155+K156+K157+K160+K161+K162+K163+K164+K165+K167+K168+K169, "NA")</f>
        <v>846.19999999999982</v>
      </c>
      <c r="L170" s="15">
        <f>IFERROR(K170/K444, "NA")</f>
        <v>8.1535495883623323E-3</v>
      </c>
      <c r="M170" s="2"/>
      <c r="N170" s="14">
        <f t="shared" si="41"/>
        <v>-2652.2300000000009</v>
      </c>
      <c r="O170" s="15">
        <f>IFERROR(N170/N444, "NA")</f>
        <v>0.51579534890957224</v>
      </c>
      <c r="P170" s="2"/>
      <c r="Q170" s="14">
        <f>IFERROR(Q151+Q153+Q154+Q155+Q156+Q157+Q160+Q161+Q162+Q163+Q164+Q165+Q167+Q168+Q169, "NA")</f>
        <v>26530.269999999997</v>
      </c>
      <c r="R170" s="15">
        <f>IFERROR(Q170/Q444, "NA")</f>
        <v>2.9806808122518593E-2</v>
      </c>
      <c r="S170" s="2"/>
      <c r="T170" s="14">
        <f>IFERROR(T151+T153+T154+T155+T156+T157+T160+T161+T162+T163+T164+T165+T167+T168+T169, "NA")</f>
        <v>15080.46</v>
      </c>
      <c r="U170" s="15">
        <f>IFERROR(T170/T444, "NA")</f>
        <v>1.6090642611107271E-2</v>
      </c>
      <c r="V170" s="2"/>
      <c r="W170" s="14">
        <f t="shared" si="42"/>
        <v>-11449.809999999998</v>
      </c>
      <c r="X170" s="15">
        <f>IFERROR(W170/W444, "NA")</f>
        <v>0.24286330620289556</v>
      </c>
      <c r="Y170" s="2"/>
      <c r="Z170" s="14">
        <f>IFERROR(Z151+Z153+Z154+Z155+Z156+Z157+Z160+Z161+Z162+Z163+Z164+Z165+Z167+Z168+Z169, "NA")</f>
        <v>20330.769999999993</v>
      </c>
      <c r="AA170" s="15">
        <f>IFERROR(Z170/Z444, "NA")</f>
        <v>2.5016538221718548E-2</v>
      </c>
      <c r="AB170" s="2"/>
      <c r="AC170" s="14">
        <f t="shared" si="43"/>
        <v>-6199.5000000000036</v>
      </c>
      <c r="AD170" s="15">
        <f>IFERROR(AC170/AC444, "NA")</f>
        <v>-8.0116576435633663E-2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27835.119999999995</v>
      </c>
      <c r="C171" s="15">
        <f>IFERROR(B171/B444, "NA")</f>
        <v>0.28218610922435899</v>
      </c>
      <c r="D171" s="2"/>
      <c r="E171" s="14">
        <f>IFERROR(E127+E129+E130+E131+E132+E133+E134+E135+E136+E137+E138+E139+E140+E143+E144+E145+E146+E147+E151+E153+E154+E155+E156+E157+E160+E161+E162+E163+E164+E165+E167+E168+E169, "NA")</f>
        <v>29263.7</v>
      </c>
      <c r="F171" s="15">
        <f>IFERROR(E171/E444, "NA")</f>
        <v>0.24100000214121936</v>
      </c>
      <c r="G171" s="2"/>
      <c r="H171" s="14">
        <f t="shared" si="40"/>
        <v>1428.5800000000054</v>
      </c>
      <c r="I171" s="15">
        <f>IFERROR(H171/H444, "NA")</f>
        <v>-6.2697881162898511E-2</v>
      </c>
      <c r="J171" s="2"/>
      <c r="K171" s="14">
        <f>IFERROR(K127+K129+K130+K131+K132+K133+K134+K135+K136+K137+K138+K139+K140+K143+K144+K145+K146+K147+K151+K153+K154+K155+K156+K157+K160+K161+K162+K163+K164+K165+K167+K168+K169, "NA")</f>
        <v>27174.939999999988</v>
      </c>
      <c r="L171" s="15">
        <f>IFERROR(K171/K444, "NA")</f>
        <v>0.26184379679835862</v>
      </c>
      <c r="M171" s="2"/>
      <c r="N171" s="14">
        <f t="shared" si="41"/>
        <v>-660.18000000000757</v>
      </c>
      <c r="O171" s="15">
        <f>IFERROR(N171/N444, "NA")</f>
        <v>0.12838923224725052</v>
      </c>
      <c r="P171" s="2"/>
      <c r="Q171" s="14">
        <f>IFERROR(Q127+Q129+Q130+Q131+Q132+Q133+Q134+Q135+Q136+Q137+Q138+Q139+Q140+Q143+Q144+Q145+Q146+Q147+Q151+Q153+Q154+Q155+Q156+Q157+Q160+Q161+Q162+Q163+Q164+Q165+Q167+Q168+Q169, "NA")</f>
        <v>259301.72000000009</v>
      </c>
      <c r="R171" s="15">
        <f>IFERROR(Q171/Q444, "NA")</f>
        <v>0.29132596893582485</v>
      </c>
      <c r="S171" s="2"/>
      <c r="T171" s="14">
        <f>IFERROR(T127+T129+T130+T131+T132+T133+T134+T135+T136+T137+T138+T139+T140+T143+T144+T145+T146+T147+T151+T153+T154+T155+T156+T157+T160+T161+T162+T163+T164+T165+T167+T168+T169, "NA")</f>
        <v>234327.47999999998</v>
      </c>
      <c r="U171" s="15">
        <f>IFERROR(T171/T444, "NA")</f>
        <v>0.25002418590954034</v>
      </c>
      <c r="V171" s="2"/>
      <c r="W171" s="14">
        <f t="shared" si="42"/>
        <v>-24974.240000000107</v>
      </c>
      <c r="X171" s="15">
        <f>IFERROR(W171/W444, "NA")</f>
        <v>0.52973162841170551</v>
      </c>
      <c r="Y171" s="2"/>
      <c r="Z171" s="14">
        <f>IFERROR(Z127+Z129+Z130+Z131+Z132+Z133+Z134+Z135+Z136+Z137+Z138+Z139+Z140+Z143+Z144+Z145+Z146+Z147+Z151+Z153+Z154+Z155+Z156+Z157+Z160+Z161+Z162+Z163+Z164+Z165+Z167+Z168+Z169, "NA")</f>
        <v>226029.36</v>
      </c>
      <c r="AA171" s="15">
        <f>IFERROR(Z171/Z444, "NA")</f>
        <v>0.2781238548107417</v>
      </c>
      <c r="AB171" s="2"/>
      <c r="AC171" s="14">
        <f t="shared" si="43"/>
        <v>-33272.360000000102</v>
      </c>
      <c r="AD171" s="15">
        <f>IFERROR(AC171/AC444, "NA")</f>
        <v>-0.42998105865536362</v>
      </c>
    </row>
    <row r="172" spans="1:30" ht="16.5" customHeight="1" x14ac:dyDescent="0.45">
      <c r="A172" s="22" t="s">
        <v>160</v>
      </c>
      <c r="B172" s="23">
        <f>IFERROR(B124-B171, "NA")</f>
        <v>70805.880000000034</v>
      </c>
      <c r="C172" s="24">
        <f>IFERROR(B172/B444, "NA")</f>
        <v>0.71781389077564128</v>
      </c>
      <c r="D172" s="25"/>
      <c r="E172" s="23">
        <f>IFERROR(E124-E171, "NA")</f>
        <v>92162.439999999988</v>
      </c>
      <c r="F172" s="24">
        <f>IFERROR(E172/E444, "NA")</f>
        <v>0.75899999785878058</v>
      </c>
      <c r="G172" s="25"/>
      <c r="H172" s="23">
        <f>IFERROR(B172-E172, "NA")</f>
        <v>-21356.559999999954</v>
      </c>
      <c r="I172" s="24">
        <f>IFERROR(H172/H444, "NA")</f>
        <v>0.93730211883709968</v>
      </c>
      <c r="J172" s="25"/>
      <c r="K172" s="23">
        <f>IFERROR(K124-K171, "NA")</f>
        <v>76608.079999999987</v>
      </c>
      <c r="L172" s="24">
        <f>IFERROR(K172/K444, "NA")</f>
        <v>0.7381562032016411</v>
      </c>
      <c r="M172" s="25"/>
      <c r="N172" s="23">
        <f>IFERROR(B172-K172, "NA")</f>
        <v>-5802.1999999999534</v>
      </c>
      <c r="O172" s="24">
        <f>IFERROR(N172/N444, "NA")</f>
        <v>1.1283892322472391</v>
      </c>
      <c r="P172" s="25"/>
      <c r="Q172" s="23">
        <f>IFERROR(Q124-Q171, "NA")</f>
        <v>630772.45000000007</v>
      </c>
      <c r="R172" s="24">
        <f>IFERROR(Q172/Q444, "NA")</f>
        <v>0.70867403106417526</v>
      </c>
      <c r="S172" s="25"/>
      <c r="T172" s="23">
        <f>IFERROR(T124-T171, "NA")</f>
        <v>702891.7699999999</v>
      </c>
      <c r="U172" s="24">
        <f>IFERROR(T172/T444, "NA")</f>
        <v>0.74997581409045955</v>
      </c>
      <c r="V172" s="25"/>
      <c r="W172" s="23">
        <f>IFERROR(Q172-T172, "NA")</f>
        <v>-72119.319999999832</v>
      </c>
      <c r="X172" s="24">
        <f>IFERROR(W172/W444, "NA")</f>
        <v>1.5297316284117006</v>
      </c>
      <c r="Y172" s="25"/>
      <c r="Z172" s="23">
        <f>IFERROR(Z124-Z171, "NA")</f>
        <v>586663.81999999972</v>
      </c>
      <c r="AA172" s="24">
        <f>IFERROR(Z172/Z444, "NA")</f>
        <v>0.72187614518925791</v>
      </c>
      <c r="AB172" s="25"/>
      <c r="AC172" s="23">
        <f>IFERROR(Q172-Z172, "NA")</f>
        <v>44108.630000000354</v>
      </c>
      <c r="AD172" s="24">
        <f>IFERROR(AC172/AC444, "NA")</f>
        <v>0.57001894134464237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5.9267039060836774E-2</v>
      </c>
      <c r="D178" s="9"/>
      <c r="E178" s="7">
        <v>5692.31</v>
      </c>
      <c r="F178" s="8">
        <f>IFERROR(E178/E444, "NA")</f>
        <v>4.687878573756854E-2</v>
      </c>
      <c r="G178" s="9"/>
      <c r="H178" s="10">
        <f t="shared" si="44"/>
        <v>-153.84999999999945</v>
      </c>
      <c r="I178" s="8">
        <f>IFERROR(H178/H444, "NA")</f>
        <v>6.7522077985915146E-3</v>
      </c>
      <c r="J178" s="9"/>
      <c r="K178" s="7">
        <v>5615.4</v>
      </c>
      <c r="L178" s="8">
        <f>IFERROR(K178/K444, "NA")</f>
        <v>5.4107116944563757E-2</v>
      </c>
      <c r="M178" s="9"/>
      <c r="N178" s="10">
        <f t="shared" si="45"/>
        <v>-230.76000000000022</v>
      </c>
      <c r="O178" s="8">
        <f>IFERROR(N178/N444, "NA")</f>
        <v>4.487730502798512E-2</v>
      </c>
      <c r="P178" s="9"/>
      <c r="Q178" s="7">
        <v>49417.36</v>
      </c>
      <c r="R178" s="8">
        <f>IFERROR(Q178/Q444, "NA")</f>
        <v>5.5520496679507057E-2</v>
      </c>
      <c r="S178" s="9"/>
      <c r="T178" s="7">
        <v>48384.62</v>
      </c>
      <c r="U178" s="8">
        <f>IFERROR(T178/T444, "NA")</f>
        <v>5.1625721516070013E-2</v>
      </c>
      <c r="V178" s="9"/>
      <c r="W178" s="10">
        <f t="shared" si="46"/>
        <v>-1032.739999999998</v>
      </c>
      <c r="X178" s="8">
        <f>IFERROR(W178/W444, "NA")</f>
        <v>2.1905573179640356E-2</v>
      </c>
      <c r="Y178" s="9"/>
      <c r="Z178" s="7">
        <v>47730.9</v>
      </c>
      <c r="AA178" s="8">
        <f>IFERROR(Z178/Z444, "NA")</f>
        <v>5.8731759013899931E-2</v>
      </c>
      <c r="AB178" s="9"/>
      <c r="AC178" s="10">
        <f t="shared" si="47"/>
        <v>-1686.4599999999991</v>
      </c>
      <c r="AD178" s="8">
        <f>IFERROR(AC178/AC444, "NA")</f>
        <v>-2.1794241712337868E-2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19074.03</v>
      </c>
      <c r="C180" s="8">
        <f>IFERROR(B180/B444, "NA")</f>
        <v>0.19336817347756002</v>
      </c>
      <c r="D180" s="9"/>
      <c r="E180" s="7">
        <v>23070.97</v>
      </c>
      <c r="F180" s="8">
        <f>IFERROR(E180/E444, "NA")</f>
        <v>0.19000002800056068</v>
      </c>
      <c r="G180" s="9"/>
      <c r="H180" s="10">
        <f t="shared" si="44"/>
        <v>3996.9400000000023</v>
      </c>
      <c r="I180" s="8">
        <f>IFERROR(H180/H444, "NA")</f>
        <v>-0.17541871588236904</v>
      </c>
      <c r="J180" s="9"/>
      <c r="K180" s="7">
        <v>20220.169999999998</v>
      </c>
      <c r="L180" s="8">
        <f>IFERROR(K180/K444, "NA")</f>
        <v>0.19483119685667269</v>
      </c>
      <c r="M180" s="9"/>
      <c r="N180" s="10">
        <f t="shared" si="45"/>
        <v>1146.1399999999994</v>
      </c>
      <c r="O180" s="8">
        <f>IFERROR(N180/N444, "NA")</f>
        <v>-0.22289683820755238</v>
      </c>
      <c r="P180" s="9"/>
      <c r="Q180" s="7">
        <v>165326.29999999999</v>
      </c>
      <c r="R180" s="8">
        <f>IFERROR(Q180/Q444, "NA")</f>
        <v>0.18574440824409047</v>
      </c>
      <c r="S180" s="9"/>
      <c r="T180" s="7">
        <v>182808.33</v>
      </c>
      <c r="U180" s="8">
        <f>IFERROR(T180/T444, "NA")</f>
        <v>0.19505396416046725</v>
      </c>
      <c r="V180" s="9"/>
      <c r="W180" s="10">
        <f t="shared" si="46"/>
        <v>17482.03</v>
      </c>
      <c r="X180" s="8">
        <f>IFERROR(W180/W444, "NA")</f>
        <v>-0.37081345497769891</v>
      </c>
      <c r="Y180" s="9"/>
      <c r="Z180" s="7">
        <v>167349.10999999999</v>
      </c>
      <c r="AA180" s="8">
        <f>IFERROR(Z180/Z444, "NA")</f>
        <v>0.20591917604131976</v>
      </c>
      <c r="AB180" s="9"/>
      <c r="AC180" s="10">
        <f t="shared" si="47"/>
        <v>2022.8099999999977</v>
      </c>
      <c r="AD180" s="8">
        <f>IFERROR(AC180/AC444, "NA")</f>
        <v>2.6140916522262095E-2</v>
      </c>
    </row>
    <row r="181" spans="1:30" ht="16.5" customHeight="1" x14ac:dyDescent="0.45">
      <c r="A181" s="12" t="s">
        <v>166</v>
      </c>
      <c r="B181" s="7">
        <v>939.47</v>
      </c>
      <c r="C181" s="8">
        <f>IFERROR(B181/B444, "NA")</f>
        <v>9.5241329670218266E-3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-939.47</v>
      </c>
      <c r="I181" s="8">
        <f>IFERROR(H181/H444, "NA")</f>
        <v>4.1231697501090625E-2</v>
      </c>
      <c r="J181" s="9"/>
      <c r="K181" s="7">
        <v>29.47</v>
      </c>
      <c r="L181" s="8">
        <f>IFERROR(K181/K444, "NA")</f>
        <v>2.8395781891874027E-4</v>
      </c>
      <c r="M181" s="9"/>
      <c r="N181" s="10">
        <f t="shared" si="45"/>
        <v>-910</v>
      </c>
      <c r="O181" s="8">
        <f>IFERROR(N181/N444, "NA")</f>
        <v>0.17697325175709144</v>
      </c>
      <c r="P181" s="9"/>
      <c r="Q181" s="7">
        <v>4450.88</v>
      </c>
      <c r="R181" s="8">
        <f>IFERROR(Q181/Q444, "NA")</f>
        <v>5.0005720309802947E-3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-4450.88</v>
      </c>
      <c r="X181" s="8">
        <f>IFERROR(W181/W444, "NA")</f>
        <v>9.4408154573075373E-2</v>
      </c>
      <c r="Y181" s="9"/>
      <c r="Z181" s="7">
        <v>1469.66</v>
      </c>
      <c r="AA181" s="8">
        <f>IFERROR(Z181/Z444, "NA")</f>
        <v>1.808382346705555E-3</v>
      </c>
      <c r="AB181" s="9"/>
      <c r="AC181" s="10">
        <f t="shared" si="47"/>
        <v>-2981.2200000000003</v>
      </c>
      <c r="AD181" s="8">
        <f>IFERROR(AC181/AC444, "NA")</f>
        <v>-3.8526516654801141E-2</v>
      </c>
    </row>
    <row r="182" spans="1:30" ht="16.5" customHeight="1" x14ac:dyDescent="0.45">
      <c r="A182" s="13" t="s">
        <v>167</v>
      </c>
      <c r="B182" s="14">
        <f>IFERROR(B177+B178+B179+B180+B181, "NA")</f>
        <v>25859.66</v>
      </c>
      <c r="C182" s="15">
        <f>IFERROR(B182/B444, "NA")</f>
        <v>0.26215934550541864</v>
      </c>
      <c r="D182" s="2"/>
      <c r="E182" s="14">
        <f>IFERROR(E177+E178+E179+E180+E181, "NA")</f>
        <v>28763.280000000002</v>
      </c>
      <c r="F182" s="15">
        <f>IFERROR(E182/E444, "NA")</f>
        <v>0.23687881373812922</v>
      </c>
      <c r="G182" s="2"/>
      <c r="H182" s="14">
        <f t="shared" si="44"/>
        <v>2903.6200000000026</v>
      </c>
      <c r="I182" s="15">
        <f>IFERROR(H182/H444, "NA")</f>
        <v>-0.12743481058268691</v>
      </c>
      <c r="J182" s="2"/>
      <c r="K182" s="14">
        <f>IFERROR(K177+K178+K179+K180+K181, "NA")</f>
        <v>25865.040000000001</v>
      </c>
      <c r="L182" s="15">
        <f>IFERROR(K182/K444, "NA")</f>
        <v>0.2492222716201552</v>
      </c>
      <c r="M182" s="2"/>
      <c r="N182" s="14">
        <f t="shared" si="45"/>
        <v>5.3800000000010186</v>
      </c>
      <c r="O182" s="15">
        <f>IFERROR(N182/N444, "NA")</f>
        <v>-1.0462814224761893E-3</v>
      </c>
      <c r="P182" s="2"/>
      <c r="Q182" s="14">
        <f>IFERROR(Q177+Q178+Q179+Q180+Q181, "NA")</f>
        <v>219194.53999999998</v>
      </c>
      <c r="R182" s="15">
        <f>IFERROR(Q182/Q444, "NA")</f>
        <v>0.24626547695457782</v>
      </c>
      <c r="S182" s="2"/>
      <c r="T182" s="14">
        <f>IFERROR(T177+T178+T179+T180+T181, "NA")</f>
        <v>231192.94999999998</v>
      </c>
      <c r="U182" s="15">
        <f>IFERROR(T182/T444, "NA")</f>
        <v>0.24667968567653725</v>
      </c>
      <c r="V182" s="2"/>
      <c r="W182" s="14">
        <f t="shared" si="46"/>
        <v>11998.410000000003</v>
      </c>
      <c r="X182" s="15">
        <f>IFERROR(W182/W444, "NA")</f>
        <v>-0.25449972722498326</v>
      </c>
      <c r="Y182" s="2"/>
      <c r="Z182" s="14">
        <f>IFERROR(Z177+Z178+Z179+Z180+Z181, "NA")</f>
        <v>216549.66999999998</v>
      </c>
      <c r="AA182" s="15">
        <f>IFERROR(Z182/Z444, "NA")</f>
        <v>0.26645931740192524</v>
      </c>
      <c r="AB182" s="2"/>
      <c r="AC182" s="14">
        <f t="shared" si="47"/>
        <v>-2644.8699999999953</v>
      </c>
      <c r="AD182" s="15">
        <f>IFERROR(AC182/AC444, "NA")</f>
        <v>-3.4179841844876831E-2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5.0688861629545525E-3</v>
      </c>
      <c r="D184" s="9"/>
      <c r="E184" s="7">
        <v>500</v>
      </c>
      <c r="F184" s="8">
        <f>IFERROR(E184/E444, "NA")</f>
        <v>4.1177295103014882E-3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400</v>
      </c>
      <c r="L184" s="8">
        <f>IFERROR(K184/K444, "NA")</f>
        <v>3.854195031133224E-3</v>
      </c>
      <c r="M184" s="9"/>
      <c r="N184" s="10">
        <f t="shared" si="45"/>
        <v>-100</v>
      </c>
      <c r="O184" s="8">
        <f>IFERROR(N184/N444, "NA")</f>
        <v>1.944761008319686E-2</v>
      </c>
      <c r="P184" s="9"/>
      <c r="Q184" s="7">
        <v>2050</v>
      </c>
      <c r="R184" s="8">
        <f>IFERROR(Q184/Q444, "NA")</f>
        <v>2.3031788463201892E-3</v>
      </c>
      <c r="S184" s="9"/>
      <c r="T184" s="7">
        <v>4000</v>
      </c>
      <c r="U184" s="8">
        <f>IFERROR(T184/T444, "NA")</f>
        <v>4.267944773861612E-3</v>
      </c>
      <c r="V184" s="9"/>
      <c r="W184" s="10">
        <f t="shared" si="46"/>
        <v>1950</v>
      </c>
      <c r="X184" s="8">
        <f>IFERROR(W184/W444, "NA")</f>
        <v>-4.1361686097467681E-2</v>
      </c>
      <c r="Y184" s="9"/>
      <c r="Z184" s="7">
        <v>2600</v>
      </c>
      <c r="AA184" s="8">
        <f>IFERROR(Z184/Z444, "NA")</f>
        <v>3.1992393488524166E-3</v>
      </c>
      <c r="AB184" s="9"/>
      <c r="AC184" s="10">
        <f t="shared" si="47"/>
        <v>550</v>
      </c>
      <c r="AD184" s="8">
        <f>IFERROR(AC184/AC444, "NA")</f>
        <v>7.1076888522620361E-3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2337.58</v>
      </c>
      <c r="C186" s="8">
        <f>IFERROR(B186/B444, "NA")</f>
        <v>2.3697853833598605E-2</v>
      </c>
      <c r="D186" s="9"/>
      <c r="E186" s="7">
        <v>2918.77</v>
      </c>
      <c r="F186" s="8">
        <f>IFERROR(E186/E444, "NA")</f>
        <v>2.4037410725565353E-2</v>
      </c>
      <c r="G186" s="9"/>
      <c r="H186" s="10">
        <f t="shared" ref="H186:H197" si="48">IFERROR(-(B186-E186), "NA")</f>
        <v>581.19000000000005</v>
      </c>
      <c r="I186" s="8">
        <f>IFERROR(H186/H444, "NA")</f>
        <v>-2.5507414042661141E-2</v>
      </c>
      <c r="J186" s="9"/>
      <c r="K186" s="7">
        <v>2569.9</v>
      </c>
      <c r="L186" s="8">
        <f>IFERROR(K186/K444, "NA")</f>
        <v>2.476223952627318E-2</v>
      </c>
      <c r="M186" s="9"/>
      <c r="N186" s="10">
        <f t="shared" ref="N186:N197" si="49">IFERROR(-(B186-K186), "NA")</f>
        <v>232.32000000000016</v>
      </c>
      <c r="O186" s="8">
        <f>IFERROR(N186/N444, "NA")</f>
        <v>-4.5180687745282978E-2</v>
      </c>
      <c r="P186" s="9"/>
      <c r="Q186" s="7">
        <v>22156.22</v>
      </c>
      <c r="R186" s="8">
        <f>IFERROR(Q186/Q444, "NA")</f>
        <v>2.4892554740690881E-2</v>
      </c>
      <c r="S186" s="9"/>
      <c r="T186" s="7">
        <v>25820.13</v>
      </c>
      <c r="U186" s="8">
        <f>IFERROR(T186/T444, "NA")</f>
        <v>2.754972222348186E-2</v>
      </c>
      <c r="V186" s="9"/>
      <c r="W186" s="10">
        <f t="shared" ref="W186:W197" si="50">IFERROR(-(Q186-T186), "NA")</f>
        <v>3663.91</v>
      </c>
      <c r="X186" s="8">
        <f>IFERROR(W186/W444, "NA")</f>
        <v>-7.771563862019118E-2</v>
      </c>
      <c r="Y186" s="9"/>
      <c r="Z186" s="7">
        <v>22671.3</v>
      </c>
      <c r="AA186" s="8">
        <f>IFERROR(Z186/Z444, "NA")</f>
        <v>2.7896505788322229E-2</v>
      </c>
      <c r="AB186" s="9"/>
      <c r="AC186" s="10">
        <f t="shared" ref="AC186:AC197" si="51">IFERROR(-(Q186-Z186), "NA")</f>
        <v>515.07999999999811</v>
      </c>
      <c r="AD186" s="8">
        <f>IFERROR(AC186/AC444, "NA")</f>
        <v>6.6564152254965743E-3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-7.3828600358132687E-8</v>
      </c>
      <c r="AB187" s="9"/>
      <c r="AC187" s="10">
        <f t="shared" si="51"/>
        <v>-0.06</v>
      </c>
      <c r="AD187" s="8">
        <f>IFERROR(AC187/AC444, "NA")</f>
        <v>-7.7538423842858567E-7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2337.58</v>
      </c>
      <c r="C193" s="15">
        <f>IFERROR(B193/B444, "NA")</f>
        <v>2.3697853833598605E-2</v>
      </c>
      <c r="D193" s="2"/>
      <c r="E193" s="14">
        <f>IFERROR(E186+E187+E188+E189+E190+E191+E192, "NA")</f>
        <v>2918.77</v>
      </c>
      <c r="F193" s="15">
        <f>IFERROR(E193/E444, "NA")</f>
        <v>2.4037410725565353E-2</v>
      </c>
      <c r="G193" s="2"/>
      <c r="H193" s="14">
        <f t="shared" si="48"/>
        <v>581.19000000000005</v>
      </c>
      <c r="I193" s="15">
        <f>IFERROR(H193/H444, "NA")</f>
        <v>-2.5507414042661141E-2</v>
      </c>
      <c r="J193" s="2"/>
      <c r="K193" s="14">
        <f>IFERROR(K186+K187+K188+K189+K190+K191+K192, "NA")</f>
        <v>2569.9</v>
      </c>
      <c r="L193" s="15">
        <f>IFERROR(K193/K444, "NA")</f>
        <v>2.476223952627318E-2</v>
      </c>
      <c r="M193" s="2"/>
      <c r="N193" s="14">
        <f t="shared" si="49"/>
        <v>232.32000000000016</v>
      </c>
      <c r="O193" s="15">
        <f>IFERROR(N193/N444, "NA")</f>
        <v>-4.5180687745282978E-2</v>
      </c>
      <c r="P193" s="2"/>
      <c r="Q193" s="14">
        <f>IFERROR(Q186+Q187+Q188+Q189+Q190+Q191+Q192, "NA")</f>
        <v>22156.22</v>
      </c>
      <c r="R193" s="15">
        <f>IFERROR(Q193/Q444, "NA")</f>
        <v>2.4892554740690881E-2</v>
      </c>
      <c r="S193" s="2"/>
      <c r="T193" s="14">
        <f>IFERROR(T186+T187+T188+T189+T190+T191+T192, "NA")</f>
        <v>25820.13</v>
      </c>
      <c r="U193" s="15">
        <f>IFERROR(T193/T444, "NA")</f>
        <v>2.754972222348186E-2</v>
      </c>
      <c r="V193" s="2"/>
      <c r="W193" s="14">
        <f t="shared" si="50"/>
        <v>3663.91</v>
      </c>
      <c r="X193" s="15">
        <f>IFERROR(W193/W444, "NA")</f>
        <v>-7.771563862019118E-2</v>
      </c>
      <c r="Y193" s="2"/>
      <c r="Z193" s="14">
        <f>IFERROR(Z186+Z187+Z188+Z189+Z190+Z191+Z192, "NA")</f>
        <v>22671.239999999998</v>
      </c>
      <c r="AA193" s="15">
        <f>IFERROR(Z193/Z444, "NA")</f>
        <v>2.7896431959721867E-2</v>
      </c>
      <c r="AB193" s="2"/>
      <c r="AC193" s="14">
        <f t="shared" si="51"/>
        <v>515.0199999999968</v>
      </c>
      <c r="AD193" s="15">
        <f>IFERROR(AC193/AC444, "NA")</f>
        <v>6.6556398412581288E-3</v>
      </c>
    </row>
    <row r="194" spans="1:30" ht="16.5" customHeight="1" x14ac:dyDescent="0.45">
      <c r="A194" s="6" t="s">
        <v>178</v>
      </c>
      <c r="B194" s="7">
        <v>224</v>
      </c>
      <c r="C194" s="8">
        <f>IFERROR(B194/B444, "NA")</f>
        <v>2.2708610010036393E-3</v>
      </c>
      <c r="D194" s="9"/>
      <c r="E194" s="7">
        <v>234.11</v>
      </c>
      <c r="F194" s="8">
        <f>IFERROR(E194/E444, "NA")</f>
        <v>1.9280033113133631E-3</v>
      </c>
      <c r="G194" s="9"/>
      <c r="H194" s="10">
        <f t="shared" si="48"/>
        <v>10.110000000000014</v>
      </c>
      <c r="I194" s="8">
        <f>IFERROR(H194/H444, "NA")</f>
        <v>-4.4371024272837531E-4</v>
      </c>
      <c r="J194" s="9"/>
      <c r="K194" s="7">
        <v>248</v>
      </c>
      <c r="L194" s="8">
        <f>IFERROR(K194/K444, "NA")</f>
        <v>2.3896009193025989E-3</v>
      </c>
      <c r="M194" s="9"/>
      <c r="N194" s="10">
        <f t="shared" si="49"/>
        <v>24</v>
      </c>
      <c r="O194" s="8">
        <f>IFERROR(N194/N444, "NA")</f>
        <v>-4.6674264199672464E-3</v>
      </c>
      <c r="P194" s="9"/>
      <c r="Q194" s="7">
        <v>1908</v>
      </c>
      <c r="R194" s="8">
        <f>IFERROR(Q194/Q444, "NA")</f>
        <v>2.1436415798921564E-3</v>
      </c>
      <c r="S194" s="9"/>
      <c r="T194" s="7">
        <v>1881.55</v>
      </c>
      <c r="U194" s="8">
        <f>IFERROR(T194/T444, "NA")</f>
        <v>2.0075878723148292E-3</v>
      </c>
      <c r="V194" s="9"/>
      <c r="W194" s="10">
        <f t="shared" si="50"/>
        <v>-26.450000000000045</v>
      </c>
      <c r="X194" s="8">
        <f>IFERROR(W194/W444, "NA")</f>
        <v>5.6103415245026776E-4</v>
      </c>
      <c r="Y194" s="9"/>
      <c r="Z194" s="7">
        <v>1694</v>
      </c>
      <c r="AA194" s="8">
        <f>IFERROR(Z194/Z444, "NA")</f>
        <v>2.0844274834446131E-3</v>
      </c>
      <c r="AB194" s="9"/>
      <c r="AC194" s="10">
        <f t="shared" si="51"/>
        <v>-214</v>
      </c>
      <c r="AD194" s="8">
        <f>IFERROR(AC194/AC444, "NA")</f>
        <v>-2.7655371170619558E-3</v>
      </c>
    </row>
    <row r="195" spans="1:30" ht="16.5" customHeight="1" x14ac:dyDescent="0.45">
      <c r="A195" s="6" t="s">
        <v>179</v>
      </c>
      <c r="B195" s="7">
        <v>249.04</v>
      </c>
      <c r="C195" s="8">
        <f>IFERROR(B195/B444, "NA")</f>
        <v>2.5247108200444034E-3</v>
      </c>
      <c r="D195" s="9"/>
      <c r="E195" s="7">
        <v>204.84</v>
      </c>
      <c r="F195" s="8">
        <f>IFERROR(E195/E444, "NA")</f>
        <v>1.6869514257803139E-3</v>
      </c>
      <c r="G195" s="9"/>
      <c r="H195" s="10">
        <f t="shared" si="48"/>
        <v>-44.199999999999989</v>
      </c>
      <c r="I195" s="8">
        <f>IFERROR(H195/H444, "NA")</f>
        <v>1.9398608040152481E-3</v>
      </c>
      <c r="J195" s="9"/>
      <c r="K195" s="7">
        <v>246.55</v>
      </c>
      <c r="L195" s="8">
        <f>IFERROR(K195/K444, "NA")</f>
        <v>2.3756294623147409E-3</v>
      </c>
      <c r="M195" s="9"/>
      <c r="N195" s="10">
        <f t="shared" si="49"/>
        <v>-2.4899999999999807</v>
      </c>
      <c r="O195" s="8">
        <f>IFERROR(N195/N444, "NA")</f>
        <v>4.8424549107159805E-4</v>
      </c>
      <c r="P195" s="9"/>
      <c r="Q195" s="7">
        <v>2108.4499999999998</v>
      </c>
      <c r="R195" s="8">
        <f>IFERROR(Q195/Q444, "NA")</f>
        <v>2.3688475309872207E-3</v>
      </c>
      <c r="S195" s="9"/>
      <c r="T195" s="7">
        <v>1646.36</v>
      </c>
      <c r="U195" s="8">
        <f>IFERROR(T195/T444, "NA")</f>
        <v>1.7566433894737009E-3</v>
      </c>
      <c r="V195" s="9"/>
      <c r="W195" s="10">
        <f t="shared" si="50"/>
        <v>-462.08999999999992</v>
      </c>
      <c r="X195" s="8">
        <f>IFERROR(W195/W444, "NA")</f>
        <v>9.8014469378353026E-3</v>
      </c>
      <c r="Y195" s="9"/>
      <c r="Z195" s="7">
        <v>1802.5</v>
      </c>
      <c r="AA195" s="8">
        <f>IFERROR(Z195/Z444, "NA")</f>
        <v>2.2179342024255698E-3</v>
      </c>
      <c r="AB195" s="9"/>
      <c r="AC195" s="10">
        <f t="shared" si="51"/>
        <v>-305.94999999999982</v>
      </c>
      <c r="AD195" s="8">
        <f>IFERROR(AC195/AC444, "NA")</f>
        <v>-3.9538134624537606E-3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29170.28</v>
      </c>
      <c r="C196" s="15">
        <f>IFERROR(B196/B444, "NA")</f>
        <v>0.2957216573230198</v>
      </c>
      <c r="D196" s="2"/>
      <c r="E196" s="14">
        <f>IFERROR(E175+E177+E178+E179+E180+E181+E183+E184+E186+E187+E188+E189+E190+E191+E192+E194+E195, "NA")</f>
        <v>32621.000000000004</v>
      </c>
      <c r="F196" s="15">
        <f>IFERROR(E196/E444, "NA")</f>
        <v>0.26864890871108976</v>
      </c>
      <c r="G196" s="2"/>
      <c r="H196" s="14">
        <f t="shared" si="48"/>
        <v>3450.7200000000048</v>
      </c>
      <c r="I196" s="15">
        <f>IFERROR(H196/H444, "NA")</f>
        <v>-0.15144607406406127</v>
      </c>
      <c r="J196" s="2"/>
      <c r="K196" s="14">
        <f>IFERROR(K175+K177+K178+K179+K180+K181+K183+K184+K186+K187+K188+K189+K190+K191+K192+K194+K195, "NA")</f>
        <v>29329.49</v>
      </c>
      <c r="L196" s="15">
        <f>IFERROR(K196/K444, "NA")</f>
        <v>0.28260393655917893</v>
      </c>
      <c r="M196" s="2"/>
      <c r="N196" s="14">
        <f t="shared" si="49"/>
        <v>159.21000000000276</v>
      </c>
      <c r="O196" s="15">
        <f>IFERROR(N196/N444, "NA")</f>
        <v>-3.0962540013458259E-2</v>
      </c>
      <c r="P196" s="2"/>
      <c r="Q196" s="14">
        <f>IFERROR(Q175+Q177+Q178+Q179+Q180+Q181+Q183+Q184+Q186+Q187+Q188+Q189+Q190+Q191+Q192+Q194+Q195, "NA")</f>
        <v>247417.21</v>
      </c>
      <c r="R196" s="15">
        <f>IFERROR(Q196/Q444, "NA")</f>
        <v>0.27797369965246826</v>
      </c>
      <c r="S196" s="2"/>
      <c r="T196" s="14">
        <f>IFERROR(T175+T177+T178+T179+T180+T181+T183+T184+T186+T187+T188+T189+T190+T191+T192+T194+T195, "NA")</f>
        <v>264540.99</v>
      </c>
      <c r="U196" s="15">
        <f>IFERROR(T196/T444, "NA")</f>
        <v>0.28226158393566925</v>
      </c>
      <c r="V196" s="2"/>
      <c r="W196" s="14">
        <f t="shared" si="50"/>
        <v>17123.78</v>
      </c>
      <c r="X196" s="15">
        <f>IFERROR(W196/W444, "NA")</f>
        <v>-0.36321457085235648</v>
      </c>
      <c r="Y196" s="2"/>
      <c r="Z196" s="14">
        <f>IFERROR(Z175+Z177+Z178+Z179+Z180+Z181+Z183+Z184+Z186+Z187+Z188+Z189+Z190+Z191+Z192+Z194+Z195, "NA")</f>
        <v>245317.40999999997</v>
      </c>
      <c r="AA196" s="15">
        <f>IFERROR(Z196/Z444, "NA")</f>
        <v>0.30185735039636968</v>
      </c>
      <c r="AB196" s="2"/>
      <c r="AC196" s="14">
        <f t="shared" si="51"/>
        <v>-2099.8000000000175</v>
      </c>
      <c r="AD196" s="15">
        <f>IFERROR(AC196/AC444, "NA")</f>
        <v>-2.7135863730872629E-2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29170.28</v>
      </c>
      <c r="C197" s="15">
        <f>IFERROR(B197/B444, "NA")</f>
        <v>0.2957216573230198</v>
      </c>
      <c r="D197" s="2"/>
      <c r="E197" s="14">
        <f>IFERROR(E175+E177+E178+E179+E180+E181+E183+E184+E186+E187+E188+E189+E190+E191+E192+E194+E195, "NA")</f>
        <v>32621.000000000004</v>
      </c>
      <c r="F197" s="15">
        <f>IFERROR(E197/E444, "NA")</f>
        <v>0.26864890871108976</v>
      </c>
      <c r="G197" s="2"/>
      <c r="H197" s="14">
        <f t="shared" si="48"/>
        <v>3450.7200000000048</v>
      </c>
      <c r="I197" s="15">
        <f>IFERROR(H197/H444, "NA")</f>
        <v>-0.15144607406406127</v>
      </c>
      <c r="J197" s="2"/>
      <c r="K197" s="14">
        <f>IFERROR(K175+K177+K178+K179+K180+K181+K183+K184+K186+K187+K188+K189+K190+K191+K192+K194+K195, "NA")</f>
        <v>29329.49</v>
      </c>
      <c r="L197" s="15">
        <f>IFERROR(K197/K444, "NA")</f>
        <v>0.28260393655917893</v>
      </c>
      <c r="M197" s="2"/>
      <c r="N197" s="14">
        <f t="shared" si="49"/>
        <v>159.21000000000276</v>
      </c>
      <c r="O197" s="15">
        <f>IFERROR(N197/N444, "NA")</f>
        <v>-3.0962540013458259E-2</v>
      </c>
      <c r="P197" s="2"/>
      <c r="Q197" s="14">
        <f>IFERROR(Q175+Q177+Q178+Q179+Q180+Q181+Q183+Q184+Q186+Q187+Q188+Q189+Q190+Q191+Q192+Q194+Q195, "NA")</f>
        <v>247417.21</v>
      </c>
      <c r="R197" s="15">
        <f>IFERROR(Q197/Q444, "NA")</f>
        <v>0.27797369965246826</v>
      </c>
      <c r="S197" s="2"/>
      <c r="T197" s="14">
        <f>IFERROR(T175+T177+T178+T179+T180+T181+T183+T184+T186+T187+T188+T189+T190+T191+T192+T194+T195, "NA")</f>
        <v>264540.99</v>
      </c>
      <c r="U197" s="15">
        <f>IFERROR(T197/T444, "NA")</f>
        <v>0.28226158393566925</v>
      </c>
      <c r="V197" s="2"/>
      <c r="W197" s="14">
        <f t="shared" si="50"/>
        <v>17123.78</v>
      </c>
      <c r="X197" s="15">
        <f>IFERROR(W197/W444, "NA")</f>
        <v>-0.36321457085235648</v>
      </c>
      <c r="Y197" s="2"/>
      <c r="Z197" s="14">
        <f>IFERROR(Z175+Z177+Z178+Z179+Z180+Z181+Z183+Z184+Z186+Z187+Z188+Z189+Z190+Z191+Z192+Z194+Z195, "NA")</f>
        <v>245317.40999999997</v>
      </c>
      <c r="AA197" s="15">
        <f>IFERROR(Z197/Z444, "NA")</f>
        <v>0.30185735039636968</v>
      </c>
      <c r="AB197" s="2"/>
      <c r="AC197" s="14">
        <f t="shared" si="51"/>
        <v>-2099.8000000000175</v>
      </c>
      <c r="AD197" s="15">
        <f>IFERROR(AC197/AC444, "NA")</f>
        <v>-2.7135863730872629E-2</v>
      </c>
    </row>
    <row r="198" spans="1:30" ht="16.5" customHeight="1" x14ac:dyDescent="0.45">
      <c r="A198" s="22" t="s">
        <v>181</v>
      </c>
      <c r="B198" s="23">
        <f>IFERROR(B172-B197, "NA")</f>
        <v>41635.600000000035</v>
      </c>
      <c r="C198" s="24">
        <f>IFERROR(B198/B444, "NA")</f>
        <v>0.42209223345262148</v>
      </c>
      <c r="D198" s="25"/>
      <c r="E198" s="23">
        <f>IFERROR(E172-E197, "NA")</f>
        <v>59541.439999999988</v>
      </c>
      <c r="F198" s="24">
        <f>IFERROR(E198/E444, "NA")</f>
        <v>0.49035108914769082</v>
      </c>
      <c r="G198" s="25"/>
      <c r="H198" s="23">
        <f>IFERROR(B198-E198, "NA")</f>
        <v>-17905.839999999953</v>
      </c>
      <c r="I198" s="24">
        <f>IFERROR(H198/H444, "NA")</f>
        <v>0.78585604477303861</v>
      </c>
      <c r="J198" s="25"/>
      <c r="K198" s="23">
        <f>IFERROR(K172-K197, "NA")</f>
        <v>47278.589999999982</v>
      </c>
      <c r="L198" s="24">
        <f>IFERROR(K198/K444, "NA")</f>
        <v>0.45555226664246212</v>
      </c>
      <c r="M198" s="25"/>
      <c r="N198" s="23">
        <f>IFERROR(B198-K198, "NA")</f>
        <v>-5642.989999999947</v>
      </c>
      <c r="O198" s="24">
        <f>IFERROR(N198/N444, "NA")</f>
        <v>1.0974266922337803</v>
      </c>
      <c r="P198" s="25"/>
      <c r="Q198" s="23">
        <f>IFERROR(Q172-Q197, "NA")</f>
        <v>383355.24000000011</v>
      </c>
      <c r="R198" s="24">
        <f>IFERROR(Q198/Q444, "NA")</f>
        <v>0.43070033141170705</v>
      </c>
      <c r="S198" s="25"/>
      <c r="T198" s="23">
        <f>IFERROR(T172-T197, "NA")</f>
        <v>438350.77999999991</v>
      </c>
      <c r="U198" s="24">
        <f>IFERROR(T198/T444, "NA")</f>
        <v>0.46771423015479024</v>
      </c>
      <c r="V198" s="25"/>
      <c r="W198" s="23">
        <f>IFERROR(Q198-T198, "NA")</f>
        <v>-54995.539999999804</v>
      </c>
      <c r="X198" s="24">
        <f>IFERROR(W198/W444, "NA")</f>
        <v>1.1665170575593435</v>
      </c>
      <c r="Y198" s="25"/>
      <c r="Z198" s="23">
        <f>IFERROR(Z172-Z197, "NA")</f>
        <v>341346.40999999974</v>
      </c>
      <c r="AA198" s="24">
        <f>IFERROR(Z198/Z444, "NA")</f>
        <v>0.42001879479288817</v>
      </c>
      <c r="AB198" s="25"/>
      <c r="AC198" s="23">
        <f>IFERROR(Q198-Z198, "NA")</f>
        <v>42008.830000000366</v>
      </c>
      <c r="AD198" s="24">
        <f>IFERROR(AC198/AC444, "NA")</f>
        <v>0.54288307761377008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2549.9499999999998</v>
      </c>
      <c r="F201" s="8">
        <f>IFERROR(E201/E444, "NA")</f>
        <v>2.1000008729586562E-2</v>
      </c>
      <c r="G201" s="9"/>
      <c r="H201" s="10">
        <f t="shared" ref="H201:H209" si="52">IFERROR(-(B201-E201), "NA")</f>
        <v>2549.9499999999998</v>
      </c>
      <c r="I201" s="8">
        <f>IFERROR(H201/H444, "NA")</f>
        <v>-0.11191285197282087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20022.32</v>
      </c>
      <c r="U201" s="8">
        <f>IFERROR(T201/T444, "NA")</f>
        <v>2.1363539001146209E-2</v>
      </c>
      <c r="V201" s="9"/>
      <c r="W201" s="10">
        <f t="shared" ref="W201:W209" si="54">IFERROR(-(Q201-T201), "NA")</f>
        <v>20022.32</v>
      </c>
      <c r="X201" s="8">
        <f>IFERROR(W201/W444, "NA")</f>
        <v>-0.42469585373489699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1612.87</v>
      </c>
      <c r="C202" s="8">
        <f>IFERROR(B202/B444, "NA")</f>
        <v>1.6350908851289016E-2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-1612.87</v>
      </c>
      <c r="I202" s="8">
        <f>IFERROR(H202/H444, "NA")</f>
        <v>7.0786047397558227E-2</v>
      </c>
      <c r="J202" s="9"/>
      <c r="K202" s="7">
        <v>1176.45</v>
      </c>
      <c r="L202" s="8">
        <f>IFERROR(K202/K444, "NA")</f>
        <v>1.1335669360941703E-2</v>
      </c>
      <c r="M202" s="9"/>
      <c r="N202" s="10">
        <f t="shared" si="53"/>
        <v>-436.41999999999985</v>
      </c>
      <c r="O202" s="8">
        <f>IFERROR(N202/N444, "NA")</f>
        <v>8.4873259925087707E-2</v>
      </c>
      <c r="P202" s="9"/>
      <c r="Q202" s="7">
        <v>13185.98</v>
      </c>
      <c r="R202" s="8">
        <f>IFERROR(Q202/Q444, "NA")</f>
        <v>1.4814473270244433E-2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-13185.98</v>
      </c>
      <c r="X202" s="8">
        <f>IFERROR(W202/W444, "NA")</f>
        <v>0.27968941828076249</v>
      </c>
      <c r="Y202" s="9"/>
      <c r="Z202" s="7">
        <v>9885.68</v>
      </c>
      <c r="AA202" s="8">
        <f>IFERROR(Z202/Z444, "NA")</f>
        <v>1.2164098633139754E-2</v>
      </c>
      <c r="AB202" s="9"/>
      <c r="AC202" s="10">
        <f t="shared" si="55"/>
        <v>-3300.2999999999993</v>
      </c>
      <c r="AD202" s="8">
        <f>IFERROR(AC202/AC444, "NA")</f>
        <v>-4.2650010034764346E-2</v>
      </c>
    </row>
    <row r="203" spans="1:30" ht="16.5" customHeight="1" x14ac:dyDescent="0.45">
      <c r="A203" s="6" t="s">
        <v>185</v>
      </c>
      <c r="B203" s="7">
        <v>669.53</v>
      </c>
      <c r="C203" s="8">
        <f>IFERROR(B203/B444, "NA")</f>
        <v>6.7875427053659225E-3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-669.53</v>
      </c>
      <c r="I203" s="8">
        <f>IFERROR(H203/H444, "NA")</f>
        <v>2.9384502355482563E-2</v>
      </c>
      <c r="J203" s="9"/>
      <c r="K203" s="7">
        <v>740.9</v>
      </c>
      <c r="L203" s="8">
        <f>IFERROR(K203/K444, "NA")</f>
        <v>7.1389327464165134E-3</v>
      </c>
      <c r="M203" s="9"/>
      <c r="N203" s="10">
        <f t="shared" si="53"/>
        <v>71.37</v>
      </c>
      <c r="O203" s="8">
        <f>IFERROR(N203/N444, "NA")</f>
        <v>-1.38797593163776E-2</v>
      </c>
      <c r="P203" s="9"/>
      <c r="Q203" s="7">
        <v>7271.79</v>
      </c>
      <c r="R203" s="8">
        <f>IFERROR(Q203/Q444, "NA")</f>
        <v>8.1698697087232621E-3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-7271.79</v>
      </c>
      <c r="X203" s="8">
        <f>IFERROR(W203/W444, "NA")</f>
        <v>0.15424281812651514</v>
      </c>
      <c r="Y203" s="9"/>
      <c r="Z203" s="7">
        <v>4087.58</v>
      </c>
      <c r="AA203" s="8">
        <f>IFERROR(Z203/Z444, "NA")</f>
        <v>5.0296718375316008E-3</v>
      </c>
      <c r="AB203" s="9"/>
      <c r="AC203" s="10">
        <f t="shared" si="55"/>
        <v>-3184.21</v>
      </c>
      <c r="AD203" s="8">
        <f>IFERROR(AC203/AC444, "NA")</f>
        <v>-4.114977076411145E-2</v>
      </c>
    </row>
    <row r="204" spans="1:30" ht="16.5" customHeight="1" x14ac:dyDescent="0.45">
      <c r="A204" s="6" t="s">
        <v>186</v>
      </c>
      <c r="B204" s="7">
        <v>380.68</v>
      </c>
      <c r="C204" s="8">
        <f>IFERROR(B204/B444, "NA")</f>
        <v>3.859247169027078E-3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-380.68</v>
      </c>
      <c r="I204" s="8">
        <f>IFERROR(H204/H444, "NA")</f>
        <v>1.6707380336482464E-2</v>
      </c>
      <c r="J204" s="9"/>
      <c r="K204" s="7">
        <v>31.48</v>
      </c>
      <c r="L204" s="8">
        <f>IFERROR(K204/K444, "NA")</f>
        <v>3.0332514895018472E-4</v>
      </c>
      <c r="M204" s="9"/>
      <c r="N204" s="10">
        <f t="shared" si="53"/>
        <v>-349.2</v>
      </c>
      <c r="O204" s="8">
        <f>IFERROR(N204/N444, "NA")</f>
        <v>6.7911054410523433E-2</v>
      </c>
      <c r="P204" s="9"/>
      <c r="Q204" s="7">
        <v>2184.37</v>
      </c>
      <c r="R204" s="8">
        <f>IFERROR(Q204/Q444, "NA")</f>
        <v>2.4541437934324055E-3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-2184.37</v>
      </c>
      <c r="X204" s="8">
        <f>IFERROR(W204/W444, "NA")</f>
        <v>4.6332936543961784E-2</v>
      </c>
      <c r="Y204" s="9"/>
      <c r="Z204" s="7">
        <v>902.13</v>
      </c>
      <c r="AA204" s="8">
        <f>IFERROR(Z204/Z444, "NA")</f>
        <v>1.1100499206847041E-3</v>
      </c>
      <c r="AB204" s="9"/>
      <c r="AC204" s="10">
        <f t="shared" si="55"/>
        <v>-1282.2399999999998</v>
      </c>
      <c r="AD204" s="8">
        <f>IFERROR(AC204/AC444, "NA")</f>
        <v>-1.6570478098044492E-2</v>
      </c>
    </row>
    <row r="205" spans="1:30" ht="16.5" customHeight="1" x14ac:dyDescent="0.45">
      <c r="A205" s="6" t="s">
        <v>187</v>
      </c>
      <c r="B205" s="7">
        <v>221.19</v>
      </c>
      <c r="C205" s="8">
        <f>IFERROR(B205/B444, "NA")</f>
        <v>2.2423738607678348E-3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-221.19</v>
      </c>
      <c r="I205" s="8">
        <f>IFERROR(H205/H444, "NA")</f>
        <v>9.7076427882383E-3</v>
      </c>
      <c r="J205" s="9"/>
      <c r="K205" s="7">
        <v>207.88</v>
      </c>
      <c r="L205" s="8">
        <f>IFERROR(K205/K444, "NA")</f>
        <v>2.0030251576799362E-3</v>
      </c>
      <c r="M205" s="9"/>
      <c r="N205" s="10">
        <f t="shared" si="53"/>
        <v>-13.310000000000002</v>
      </c>
      <c r="O205" s="8">
        <f>IFERROR(N205/N444, "NA")</f>
        <v>2.5884769020735024E-3</v>
      </c>
      <c r="P205" s="9"/>
      <c r="Q205" s="7">
        <v>1908.37</v>
      </c>
      <c r="R205" s="8">
        <f>IFERROR(Q205/Q444, "NA")</f>
        <v>2.1440572755863701E-3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-1908.37</v>
      </c>
      <c r="X205" s="8">
        <f>IFERROR(W205/W444, "NA")</f>
        <v>4.0478667127089432E-2</v>
      </c>
      <c r="Y205" s="9"/>
      <c r="Z205" s="7">
        <v>1876.78</v>
      </c>
      <c r="AA205" s="8">
        <f>IFERROR(Z205/Z444, "NA")</f>
        <v>2.3093340096689377E-3</v>
      </c>
      <c r="AB205" s="9"/>
      <c r="AC205" s="10">
        <f t="shared" si="55"/>
        <v>-31.589999999999918</v>
      </c>
      <c r="AD205" s="8">
        <f>IFERROR(AC205/AC444, "NA")</f>
        <v>-4.082398015326493E-4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1400.97</v>
      </c>
      <c r="R206" s="8">
        <f>IFERROR(Q206/Q444, "NA")</f>
        <v>1.5739924235752172E-3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-1400.97</v>
      </c>
      <c r="X206" s="8">
        <f>IFERROR(W206/W444, "NA")</f>
        <v>2.9716144293317589E-2</v>
      </c>
      <c r="Y206" s="9"/>
      <c r="Z206" s="7">
        <v>9.84</v>
      </c>
      <c r="AA206" s="8">
        <f>IFERROR(Z206/Z444, "NA")</f>
        <v>1.2107890458733761E-5</v>
      </c>
      <c r="AB206" s="9"/>
      <c r="AC206" s="10">
        <f t="shared" si="55"/>
        <v>-1391.13</v>
      </c>
      <c r="AD206" s="8">
        <f>IFERROR(AC206/AC444, "NA")</f>
        <v>-1.7977671260085974E-2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762.98</v>
      </c>
      <c r="R207" s="8">
        <f>IFERROR(Q207/Q444, "NA")</f>
        <v>8.5720946154408686E-4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1.6183661158279947E-2</v>
      </c>
      <c r="Y207" s="9"/>
      <c r="Z207" s="7">
        <v>308.3</v>
      </c>
      <c r="AA207" s="8">
        <f>IFERROR(Z207/Z444, "NA")</f>
        <v>3.7935595817353851E-4</v>
      </c>
      <c r="AB207" s="9"/>
      <c r="AC207" s="10">
        <f t="shared" si="55"/>
        <v>-454.68</v>
      </c>
      <c r="AD207" s="8">
        <f>IFERROR(AC207/AC444, "NA")</f>
        <v>-5.8758617588118229E-3</v>
      </c>
    </row>
    <row r="208" spans="1:30" ht="16.5" customHeight="1" x14ac:dyDescent="0.45">
      <c r="A208" s="6" t="s">
        <v>190</v>
      </c>
      <c r="B208" s="7">
        <v>240.82</v>
      </c>
      <c r="C208" s="8">
        <f>IFERROR(B208/B444, "NA")</f>
        <v>2.4413783315254305E-3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-240.82</v>
      </c>
      <c r="I208" s="8">
        <f>IFERROR(H208/H444, "NA")</f>
        <v>1.056916920413919E-2</v>
      </c>
      <c r="J208" s="9"/>
      <c r="K208" s="7">
        <v>37.07</v>
      </c>
      <c r="L208" s="8">
        <f>IFERROR(K208/K444, "NA")</f>
        <v>3.571875245102715E-4</v>
      </c>
      <c r="M208" s="9"/>
      <c r="N208" s="10">
        <f t="shared" si="53"/>
        <v>-203.75</v>
      </c>
      <c r="O208" s="8">
        <f>IFERROR(N208/N444, "NA")</f>
        <v>3.9624505544513605E-2</v>
      </c>
      <c r="P208" s="9"/>
      <c r="Q208" s="7">
        <v>1120.46</v>
      </c>
      <c r="R208" s="8">
        <f>IFERROR(Q208/Q444, "NA")</f>
        <v>1.2588389122672777E-3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-1120.46</v>
      </c>
      <c r="X208" s="8">
        <f>IFERROR(W208/W444, "NA")</f>
        <v>2.3766212720394177E-2</v>
      </c>
      <c r="Y208" s="9"/>
      <c r="Z208" s="7">
        <v>1617.99</v>
      </c>
      <c r="AA208" s="8">
        <f>IFERROR(Z208/Z444, "NA")</f>
        <v>1.9908989515575854E-3</v>
      </c>
      <c r="AB208" s="9"/>
      <c r="AC208" s="10">
        <f t="shared" si="55"/>
        <v>497.53</v>
      </c>
      <c r="AD208" s="8">
        <f>IFERROR(AC208/AC444, "NA")</f>
        <v>6.4296153357562376E-3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3125.0899999999997</v>
      </c>
      <c r="C209" s="15">
        <f>IFERROR(B209/B444, "NA")</f>
        <v>3.1681450917975279E-2</v>
      </c>
      <c r="D209" s="2"/>
      <c r="E209" s="14">
        <f>IFERROR(E201+E202+E203+E204+E205+E206+E207+E208, "NA")</f>
        <v>2549.9499999999998</v>
      </c>
      <c r="F209" s="15">
        <f>IFERROR(E209/E444, "NA")</f>
        <v>2.1000008729586562E-2</v>
      </c>
      <c r="G209" s="2"/>
      <c r="H209" s="14">
        <f t="shared" si="52"/>
        <v>-575.13999999999987</v>
      </c>
      <c r="I209" s="15">
        <f>IFERROR(H209/H444, "NA")</f>
        <v>2.5241890109079859E-2</v>
      </c>
      <c r="J209" s="2"/>
      <c r="K209" s="14">
        <f>IFERROR(K201+K202+K203+K204+K205+K206+K207+K208, "NA")</f>
        <v>2193.7800000000002</v>
      </c>
      <c r="L209" s="15">
        <f>IFERROR(K209/K444, "NA")</f>
        <v>2.1138139938498612E-2</v>
      </c>
      <c r="M209" s="2"/>
      <c r="N209" s="14">
        <f t="shared" si="53"/>
        <v>-931.30999999999949</v>
      </c>
      <c r="O209" s="15">
        <f>IFERROR(N209/N444, "NA")</f>
        <v>0.18111753746582057</v>
      </c>
      <c r="P209" s="2"/>
      <c r="Q209" s="14">
        <f>IFERROR(Q201+Q202+Q203+Q204+Q205+Q206+Q207+Q208, "NA")</f>
        <v>27834.92</v>
      </c>
      <c r="R209" s="15">
        <f>IFERROR(Q209/Q444, "NA")</f>
        <v>3.1272584845373048E-2</v>
      </c>
      <c r="S209" s="2"/>
      <c r="T209" s="14">
        <f>IFERROR(T201+T202+T203+T204+T205+T206+T207+T208, "NA")</f>
        <v>20022.32</v>
      </c>
      <c r="U209" s="15">
        <f>IFERROR(T209/T444, "NA")</f>
        <v>2.1363539001146209E-2</v>
      </c>
      <c r="V209" s="2"/>
      <c r="W209" s="14">
        <f t="shared" si="54"/>
        <v>-7812.5999999999985</v>
      </c>
      <c r="X209" s="15">
        <f>IFERROR(W209/W444, "NA")</f>
        <v>0.16571400451542356</v>
      </c>
      <c r="Y209" s="2"/>
      <c r="Z209" s="14">
        <f>IFERROR(Z201+Z202+Z203+Z204+Z205+Z206+Z207+Z208, "NA")</f>
        <v>18688.3</v>
      </c>
      <c r="AA209" s="15">
        <f>IFERROR(Z209/Z444, "NA")</f>
        <v>2.2995517201214854E-2</v>
      </c>
      <c r="AB209" s="2"/>
      <c r="AC209" s="14">
        <f t="shared" si="55"/>
        <v>-9146.619999999999</v>
      </c>
      <c r="AD209" s="15">
        <f>IFERROR(AC209/AC444, "NA")</f>
        <v>-0.1182024163815945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2787.64</v>
      </c>
      <c r="F213" s="8">
        <f>IFERROR(E213/E444, "NA")</f>
        <v>2.2957494984193683E-2</v>
      </c>
      <c r="G213" s="9"/>
      <c r="H213" s="10">
        <f t="shared" ref="H213:H227" si="56">IFERROR(-(B213-E213), "NA")</f>
        <v>2787.64</v>
      </c>
      <c r="I213" s="8">
        <f>IFERROR(H213/H444, "NA")</f>
        <v>-0.12234465094355355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21829.119999999999</v>
      </c>
      <c r="U213" s="8">
        <f>IFERROR(T213/T444, "NA")</f>
        <v>2.3291369655499498E-2</v>
      </c>
      <c r="V213" s="9"/>
      <c r="W213" s="10">
        <f t="shared" ref="W213:W227" si="58">IFERROR(-(Q213-T213), "NA")</f>
        <v>21829.119999999999</v>
      </c>
      <c r="X213" s="8">
        <f>IFERROR(W213/W444, "NA")</f>
        <v>-0.46302010729433524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414.83</v>
      </c>
      <c r="C214" s="8">
        <f>IFERROR(B214/B444, "NA")</f>
        <v>4.2054520939568737E-3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-414.83</v>
      </c>
      <c r="I214" s="8">
        <f>IFERROR(H214/H444, "NA")</f>
        <v>1.8206164192978404E-2</v>
      </c>
      <c r="J214" s="9"/>
      <c r="K214" s="7">
        <v>1295.46</v>
      </c>
      <c r="L214" s="8">
        <f>IFERROR(K214/K444, "NA")</f>
        <v>1.2482388737579616E-2</v>
      </c>
      <c r="M214" s="9"/>
      <c r="N214" s="10">
        <f t="shared" si="57"/>
        <v>880.63000000000011</v>
      </c>
      <c r="O214" s="8">
        <f>IFERROR(N214/N444, "NA")</f>
        <v>-0.17126148867565652</v>
      </c>
      <c r="P214" s="9"/>
      <c r="Q214" s="7">
        <v>15813.48</v>
      </c>
      <c r="R214" s="8">
        <f>IFERROR(Q214/Q444, "NA")</f>
        <v>1.7766474450101162E-2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-15813.48</v>
      </c>
      <c r="X214" s="8">
        <f>IFERROR(W214/W444, "NA")</f>
        <v>0.33542163890696575</v>
      </c>
      <c r="Y214" s="9"/>
      <c r="Z214" s="7">
        <v>4280.46</v>
      </c>
      <c r="AA214" s="8">
        <f>IFERROR(Z214/Z444, "NA")</f>
        <v>5.267006178149544E-3</v>
      </c>
      <c r="AB214" s="9"/>
      <c r="AC214" s="10">
        <f t="shared" si="59"/>
        <v>-11533.02</v>
      </c>
      <c r="AD214" s="8">
        <f>IFERROR(AC214/AC444, "NA")</f>
        <v>-0.14904203215802747</v>
      </c>
    </row>
    <row r="215" spans="1:30" ht="16.5" customHeight="1" x14ac:dyDescent="0.45">
      <c r="A215" s="12" t="s">
        <v>195</v>
      </c>
      <c r="B215" s="7">
        <v>160.71</v>
      </c>
      <c r="C215" s="8">
        <f>IFERROR(B215/B444, "NA")</f>
        <v>1.6292413904968523E-3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-160.71</v>
      </c>
      <c r="I215" s="8">
        <f>IFERROR(H215/H444, "NA")</f>
        <v>7.0532812174952629E-3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-160.71</v>
      </c>
      <c r="O215" s="8">
        <f>IFERROR(N215/N444, "NA")</f>
        <v>3.1254254164705675E-2</v>
      </c>
      <c r="P215" s="9"/>
      <c r="Q215" s="7">
        <v>326.67</v>
      </c>
      <c r="R215" s="8">
        <f>IFERROR(Q215/Q444, "NA")</f>
        <v>3.670143579158128E-4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-326.67</v>
      </c>
      <c r="X215" s="8">
        <f>IFERROR(W215/W444, "NA")</f>
        <v>6.9290369217742407E-3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-326.67</v>
      </c>
      <c r="AD215" s="8">
        <f>IFERROR(AC215/AC444, "NA")</f>
        <v>-4.2215794861244355E-3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2.7076395217715397E-6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5.1118801792254932E-5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-3.1144600243548196E-5</v>
      </c>
    </row>
    <row r="217" spans="1:30" ht="16.5" customHeight="1" x14ac:dyDescent="0.45">
      <c r="A217" s="12" t="s">
        <v>197</v>
      </c>
      <c r="B217" s="7">
        <v>215.49</v>
      </c>
      <c r="C217" s="8">
        <f>IFERROR(B217/B444, "NA")</f>
        <v>2.184588558510153E-3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-215.49</v>
      </c>
      <c r="I217" s="8">
        <f>IFERROR(H217/H444, "NA")</f>
        <v>9.4574797433766046E-3</v>
      </c>
      <c r="J217" s="9"/>
      <c r="K217" s="7">
        <v>3388.77</v>
      </c>
      <c r="L217" s="8">
        <f>IFERROR(K217/K444, "NA")</f>
        <v>3.2652451239133337E-2</v>
      </c>
      <c r="M217" s="9"/>
      <c r="N217" s="10">
        <f t="shared" si="57"/>
        <v>3173.2799999999997</v>
      </c>
      <c r="O217" s="8">
        <f>IFERROR(N217/N444, "NA")</f>
        <v>-0.61712712124806923</v>
      </c>
      <c r="P217" s="9"/>
      <c r="Q217" s="7">
        <v>12559.72</v>
      </c>
      <c r="R217" s="8">
        <f>IFERROR(Q217/Q444, "NA")</f>
        <v>1.4110868985221759E-2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-12559.72</v>
      </c>
      <c r="X217" s="8">
        <f>IFERROR(W217/W444, "NA")</f>
        <v>0.26640574159594194</v>
      </c>
      <c r="Y217" s="9"/>
      <c r="Z217" s="7">
        <v>4345.24</v>
      </c>
      <c r="AA217" s="8">
        <f>IFERROR(Z217/Z444, "NA")</f>
        <v>5.3467164570028744E-3</v>
      </c>
      <c r="AB217" s="9"/>
      <c r="AC217" s="10">
        <f t="shared" si="59"/>
        <v>-8214.48</v>
      </c>
      <c r="AD217" s="8">
        <f>IFERROR(AC217/AC444, "NA")</f>
        <v>-0.10615630531478081</v>
      </c>
    </row>
    <row r="218" spans="1:30" ht="16.5" customHeight="1" x14ac:dyDescent="0.45">
      <c r="A218" s="13" t="s">
        <v>198</v>
      </c>
      <c r="B218" s="14">
        <f>IFERROR(B213+B214+B215+B216+B217, "NA")</f>
        <v>791.03</v>
      </c>
      <c r="C218" s="15">
        <f>IFERROR(B218/B444, "NA")</f>
        <v>8.0192820429638781E-3</v>
      </c>
      <c r="D218" s="2"/>
      <c r="E218" s="14">
        <f>IFERROR(E213+E214+E215+E216+E217, "NA")</f>
        <v>2787.64</v>
      </c>
      <c r="F218" s="15">
        <f>IFERROR(E218/E444, "NA")</f>
        <v>2.2957494984193683E-2</v>
      </c>
      <c r="G218" s="2"/>
      <c r="H218" s="14">
        <f t="shared" si="56"/>
        <v>1996.61</v>
      </c>
      <c r="I218" s="15">
        <f>IFERROR(H218/H444, "NA")</f>
        <v>-8.7627725789703292E-2</v>
      </c>
      <c r="J218" s="2"/>
      <c r="K218" s="14">
        <f>IFERROR(K213+K214+K215+K216+K217, "NA")</f>
        <v>4684.2299999999996</v>
      </c>
      <c r="L218" s="15">
        <f>IFERROR(K218/K444, "NA")</f>
        <v>4.513483997671295E-2</v>
      </c>
      <c r="M218" s="2"/>
      <c r="N218" s="14">
        <f t="shared" si="57"/>
        <v>3893.2</v>
      </c>
      <c r="O218" s="15">
        <f>IFERROR(N218/N444, "NA")</f>
        <v>-0.75713435575902011</v>
      </c>
      <c r="P218" s="2"/>
      <c r="Q218" s="14">
        <f>IFERROR(Q213+Q214+Q215+Q216+Q217, "NA")</f>
        <v>28702.28</v>
      </c>
      <c r="R218" s="15">
        <f>IFERROR(Q218/Q444, "NA")</f>
        <v>3.2247065432760506E-2</v>
      </c>
      <c r="S218" s="2"/>
      <c r="T218" s="14">
        <f>IFERROR(T213+T214+T215+T216+T217, "NA")</f>
        <v>21829.119999999999</v>
      </c>
      <c r="U218" s="15">
        <f>IFERROR(T218/T444, "NA")</f>
        <v>2.3291369655499498E-2</v>
      </c>
      <c r="V218" s="2"/>
      <c r="W218" s="14">
        <f t="shared" si="58"/>
        <v>-6873.16</v>
      </c>
      <c r="X218" s="15">
        <f>IFERROR(W218/W444, "NA")</f>
        <v>0.14578742893213897</v>
      </c>
      <c r="Y218" s="2"/>
      <c r="Z218" s="14">
        <f>IFERROR(Z213+Z214+Z215+Z216+Z217, "NA")</f>
        <v>8625.7000000000007</v>
      </c>
      <c r="AA218" s="15">
        <f>IFERROR(Z218/Z444, "NA")</f>
        <v>1.0613722635152421E-2</v>
      </c>
      <c r="AB218" s="2"/>
      <c r="AC218" s="14">
        <f t="shared" si="59"/>
        <v>-20076.579999999998</v>
      </c>
      <c r="AD218" s="15">
        <f>IFERROR(AC218/AC444, "NA")</f>
        <v>-0.25945106155917624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150</v>
      </c>
      <c r="C222" s="8">
        <f>IFERROR(B222/B444, "NA")</f>
        <v>1.5206658488863658E-3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-150</v>
      </c>
      <c r="I222" s="8">
        <f>IFERROR(H222/H444, "NA")</f>
        <v>6.5832380226761829E-3</v>
      </c>
      <c r="J222" s="9"/>
      <c r="K222" s="7">
        <v>150</v>
      </c>
      <c r="L222" s="8">
        <f>IFERROR(K222/K444, "NA")</f>
        <v>1.445323136674959E-3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2280.27</v>
      </c>
      <c r="R222" s="8">
        <f>IFERROR(Q222/Q444, "NA")</f>
        <v>2.5618876233651404E-3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-2280.27</v>
      </c>
      <c r="X222" s="8">
        <f>IFERROR(W222/W444, "NA")</f>
        <v>4.8367083055114168E-2</v>
      </c>
      <c r="Y222" s="9"/>
      <c r="Z222" s="7">
        <v>1200</v>
      </c>
      <c r="AA222" s="8">
        <f>IFERROR(Z222/Z444, "NA")</f>
        <v>1.4765720071626539E-3</v>
      </c>
      <c r="AB222" s="9"/>
      <c r="AC222" s="10">
        <f t="shared" si="59"/>
        <v>-1080.27</v>
      </c>
      <c r="AD222" s="8">
        <f>IFERROR(AC222/AC444, "NA")</f>
        <v>-1.3960405520787471E-2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121.43</v>
      </c>
      <c r="F226" s="8">
        <f>IFERROR(E226/E444, "NA")</f>
        <v>1.0000317888718196E-3</v>
      </c>
      <c r="G226" s="9"/>
      <c r="H226" s="10">
        <f t="shared" si="56"/>
        <v>121.43</v>
      </c>
      <c r="I226" s="8">
        <f>IFERROR(H226/H444, "NA")</f>
        <v>-5.3293506206237929E-3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937.21</v>
      </c>
      <c r="U226" s="8">
        <f>IFERROR(T226/T444, "NA")</f>
        <v>9.9999013037771044E-4</v>
      </c>
      <c r="V226" s="9"/>
      <c r="W226" s="10">
        <f t="shared" si="58"/>
        <v>937.21</v>
      </c>
      <c r="X226" s="8">
        <f>IFERROR(W226/W444, "NA")</f>
        <v>-1.9879274783285994E-2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941.03</v>
      </c>
      <c r="C227" s="15">
        <f>IFERROR(B227/B444, "NA")</f>
        <v>9.5399478918502447E-3</v>
      </c>
      <c r="D227" s="2"/>
      <c r="E227" s="14">
        <f>IFERROR(E211+E213+E214+E215+E216+E217+E219+E220+E221+E222+E223+E224+E225+E226, "NA")</f>
        <v>2909.0699999999997</v>
      </c>
      <c r="F227" s="15">
        <f>IFERROR(E227/E444, "NA")</f>
        <v>2.39575267730655E-2</v>
      </c>
      <c r="G227" s="2"/>
      <c r="H227" s="14">
        <f t="shared" si="56"/>
        <v>1968.0399999999997</v>
      </c>
      <c r="I227" s="15">
        <f>IFERROR(H227/H444, "NA")</f>
        <v>-8.6373838387650892E-2</v>
      </c>
      <c r="J227" s="2"/>
      <c r="K227" s="14">
        <f>IFERROR(K211+K213+K214+K215+K216+K217+K219+K220+K221+K222+K223+K224+K225+K226, "NA")</f>
        <v>4834.2299999999996</v>
      </c>
      <c r="L227" s="15">
        <f>IFERROR(K227/K444, "NA")</f>
        <v>4.6580163113387904E-2</v>
      </c>
      <c r="M227" s="2"/>
      <c r="N227" s="14">
        <f t="shared" si="57"/>
        <v>3893.2</v>
      </c>
      <c r="O227" s="15">
        <f>IFERROR(N227/N444, "NA")</f>
        <v>-0.75713435575902011</v>
      </c>
      <c r="P227" s="2"/>
      <c r="Q227" s="14">
        <f>IFERROR(Q211+Q213+Q214+Q215+Q216+Q217+Q219+Q220+Q221+Q222+Q223+Q224+Q225+Q226, "NA")</f>
        <v>30982.55</v>
      </c>
      <c r="R227" s="15">
        <f>IFERROR(Q227/Q444, "NA")</f>
        <v>3.4808953056125649E-2</v>
      </c>
      <c r="S227" s="2"/>
      <c r="T227" s="14">
        <f>IFERROR(T211+T213+T214+T215+T216+T217+T219+T220+T221+T222+T223+T224+T225+T226, "NA")</f>
        <v>22766.329999999998</v>
      </c>
      <c r="U227" s="15">
        <f>IFERROR(T227/T444, "NA")</f>
        <v>2.4291359785877209E-2</v>
      </c>
      <c r="V227" s="2"/>
      <c r="W227" s="14">
        <f t="shared" si="58"/>
        <v>-8216.2200000000012</v>
      </c>
      <c r="X227" s="15">
        <f>IFERROR(W227/W444, "NA")</f>
        <v>0.17427523720396718</v>
      </c>
      <c r="Y227" s="2"/>
      <c r="Z227" s="14">
        <f>IFERROR(Z211+Z213+Z214+Z215+Z216+Z217+Z219+Z220+Z221+Z222+Z223+Z224+Z225+Z226, "NA")</f>
        <v>9825.7000000000007</v>
      </c>
      <c r="AA227" s="15">
        <f>IFERROR(Z227/Z444, "NA")</f>
        <v>1.2090294642315074E-2</v>
      </c>
      <c r="AB227" s="2"/>
      <c r="AC227" s="14">
        <f t="shared" si="59"/>
        <v>-21156.85</v>
      </c>
      <c r="AD227" s="15">
        <f>IFERROR(AC227/AC444, "NA")</f>
        <v>-0.27341146707996372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1457.11</v>
      </c>
      <c r="F229" s="8">
        <f>IFERROR(E229/E444, "NA")</f>
        <v>1.1999969693510804E-2</v>
      </c>
      <c r="G229" s="9"/>
      <c r="H229" s="10">
        <f t="shared" ref="H229:H236" si="60">IFERROR(-(B229-E229), "NA")</f>
        <v>1457.11</v>
      </c>
      <c r="I229" s="8">
        <f>IFERROR(H229/H444, "NA")</f>
        <v>-6.3950013034811279E-2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11246.62</v>
      </c>
      <c r="U229" s="8">
        <f>IFERROR(T229/T444, "NA")</f>
        <v>1.1999988263151873E-2</v>
      </c>
      <c r="V229" s="9"/>
      <c r="W229" s="10">
        <f t="shared" ref="W229:W236" si="62">IFERROR(-(Q229-T229), "NA")</f>
        <v>11246.62</v>
      </c>
      <c r="X229" s="8">
        <f>IFERROR(W229/W444, "NA")</f>
        <v>-0.23855341851153949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2.7685725134299761E-4</v>
      </c>
      <c r="AB230" s="9"/>
      <c r="AC230" s="10">
        <f t="shared" si="63"/>
        <v>225</v>
      </c>
      <c r="AD230" s="8">
        <f>IFERROR(AC230/AC444, "NA")</f>
        <v>2.9076908941071964E-3</v>
      </c>
    </row>
    <row r="231" spans="1:30" ht="16.5" customHeight="1" x14ac:dyDescent="0.45">
      <c r="A231" s="6" t="s">
        <v>210</v>
      </c>
      <c r="B231" s="7">
        <v>91</v>
      </c>
      <c r="C231" s="8">
        <f>IFERROR(B231/B444, "NA")</f>
        <v>9.2253728165772857E-4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-91</v>
      </c>
      <c r="I231" s="8">
        <f>IFERROR(H231/H444, "NA")</f>
        <v>3.9938310670902177E-3</v>
      </c>
      <c r="J231" s="9"/>
      <c r="K231" s="7">
        <v>218.08</v>
      </c>
      <c r="L231" s="8">
        <f>IFERROR(K231/K444, "NA")</f>
        <v>2.1013071309738335E-3</v>
      </c>
      <c r="M231" s="9"/>
      <c r="N231" s="10">
        <f t="shared" si="61"/>
        <v>127.08000000000001</v>
      </c>
      <c r="O231" s="8">
        <f>IFERROR(N231/N444, "NA")</f>
        <v>-2.4714022893726574E-2</v>
      </c>
      <c r="P231" s="9"/>
      <c r="Q231" s="7">
        <v>1130.26</v>
      </c>
      <c r="R231" s="8">
        <f>IFERROR(Q231/Q444, "NA")</f>
        <v>1.2698492306545644E-3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-1130.26</v>
      </c>
      <c r="X231" s="8">
        <f>IFERROR(W231/W444, "NA")</f>
        <v>2.3974081706935293E-2</v>
      </c>
      <c r="Y231" s="9"/>
      <c r="Z231" s="7">
        <v>1605.76</v>
      </c>
      <c r="AA231" s="8">
        <f>IFERROR(Z231/Z444, "NA")</f>
        <v>1.9758502218512526E-3</v>
      </c>
      <c r="AB231" s="9"/>
      <c r="AC231" s="10">
        <f t="shared" si="63"/>
        <v>475.5</v>
      </c>
      <c r="AD231" s="8">
        <f>IFERROR(AC231/AC444, "NA")</f>
        <v>6.144920089546542E-3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1146.5</v>
      </c>
      <c r="C234" s="8">
        <f>IFERROR(B234/B444, "NA")</f>
        <v>1.1622955971654789E-2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-1146.5</v>
      </c>
      <c r="I234" s="8">
        <f>IFERROR(H234/H444, "NA")</f>
        <v>5.0317882619988291E-2</v>
      </c>
      <c r="J234" s="9"/>
      <c r="K234" s="7">
        <v>1100.27</v>
      </c>
      <c r="L234" s="8">
        <f>IFERROR(K234/K444, "NA")</f>
        <v>1.0601637917262379E-2</v>
      </c>
      <c r="M234" s="9"/>
      <c r="N234" s="10">
        <f t="shared" si="61"/>
        <v>-46.230000000000018</v>
      </c>
      <c r="O234" s="8">
        <f>IFERROR(N234/N444, "NA")</f>
        <v>8.9906301414619128E-3</v>
      </c>
      <c r="P234" s="9"/>
      <c r="Q234" s="7">
        <v>10624.94</v>
      </c>
      <c r="R234" s="8">
        <f>IFERROR(Q234/Q444, "NA")</f>
        <v>1.1937140025083528E-2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-10624.94</v>
      </c>
      <c r="X234" s="8">
        <f>IFERROR(W234/W444, "NA")</f>
        <v>0.22536688876124528</v>
      </c>
      <c r="Y234" s="9"/>
      <c r="Z234" s="7">
        <v>10446.49</v>
      </c>
      <c r="AA234" s="8">
        <f>IFERROR(Z234/Z444, "NA")</f>
        <v>1.2854162255920492E-2</v>
      </c>
      <c r="AB234" s="9"/>
      <c r="AC234" s="10">
        <f t="shared" si="63"/>
        <v>-178.45000000000073</v>
      </c>
      <c r="AD234" s="8">
        <f>IFERROR(AC234/AC444, "NA")</f>
        <v>-2.306121955793028E-3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1237.5</v>
      </c>
      <c r="C236" s="15">
        <f>IFERROR(B236/B444, "NA")</f>
        <v>1.2545493253312516E-2</v>
      </c>
      <c r="D236" s="2"/>
      <c r="E236" s="14">
        <f>IFERROR(E229+E230+E231+E232+E233+E234+E235, "NA")</f>
        <v>1457.11</v>
      </c>
      <c r="F236" s="15">
        <f>IFERROR(E236/E444, "NA")</f>
        <v>1.1999969693510804E-2</v>
      </c>
      <c r="G236" s="2"/>
      <c r="H236" s="14">
        <f t="shared" si="60"/>
        <v>219.6099999999999</v>
      </c>
      <c r="I236" s="15">
        <f>IFERROR(H236/H444, "NA")</f>
        <v>-9.6382993477327726E-3</v>
      </c>
      <c r="J236" s="2"/>
      <c r="K236" s="14">
        <f>IFERROR(K229+K230+K231+K232+K233+K234+K235, "NA")</f>
        <v>1318.35</v>
      </c>
      <c r="L236" s="15">
        <f>IFERROR(K236/K444, "NA")</f>
        <v>1.2702945048236214E-2</v>
      </c>
      <c r="M236" s="2"/>
      <c r="N236" s="14">
        <f t="shared" si="61"/>
        <v>80.849999999999909</v>
      </c>
      <c r="O236" s="15">
        <f>IFERROR(N236/N444, "NA")</f>
        <v>-1.5723392752264646E-2</v>
      </c>
      <c r="P236" s="2"/>
      <c r="Q236" s="14">
        <f>IFERROR(Q229+Q230+Q231+Q232+Q233+Q234+Q235, "NA")</f>
        <v>11755.2</v>
      </c>
      <c r="R236" s="15">
        <f>IFERROR(Q236/Q444, "NA")</f>
        <v>1.3206989255738093E-2</v>
      </c>
      <c r="S236" s="2"/>
      <c r="T236" s="14">
        <f>IFERROR(T229+T230+T231+T232+T233+T234+T235, "NA")</f>
        <v>11246.62</v>
      </c>
      <c r="U236" s="15">
        <f>IFERROR(T236/T444, "NA")</f>
        <v>1.1999988263151873E-2</v>
      </c>
      <c r="V236" s="2"/>
      <c r="W236" s="14">
        <f t="shared" si="62"/>
        <v>-508.57999999999993</v>
      </c>
      <c r="X236" s="15">
        <f>IFERROR(W236/W444, "NA")</f>
        <v>1.0787551956641083E-2</v>
      </c>
      <c r="Y236" s="2"/>
      <c r="Z236" s="14">
        <f>IFERROR(Z229+Z230+Z231+Z232+Z233+Z234+Z235, "NA")</f>
        <v>12277.25</v>
      </c>
      <c r="AA236" s="15">
        <f>IFERROR(Z236/Z444, "NA")</f>
        <v>1.5106869729114743E-2</v>
      </c>
      <c r="AB236" s="2"/>
      <c r="AC236" s="14">
        <f t="shared" si="63"/>
        <v>522.04999999999927</v>
      </c>
      <c r="AD236" s="15">
        <f>IFERROR(AC236/AC444, "NA")</f>
        <v>6.7464890278607099E-3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5724.03</v>
      </c>
      <c r="F240" s="8">
        <f>IFERROR(E240/E444, "NA")</f>
        <v>4.7140014497702061E-2</v>
      </c>
      <c r="G240" s="9"/>
      <c r="H240" s="10">
        <f t="shared" ref="H240:H263" si="64">IFERROR(-(B240-E240), "NA")</f>
        <v>5724.03</v>
      </c>
      <c r="I240" s="8">
        <f>IFERROR(H240/H444, "NA")</f>
        <v>-0.25121767959292768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44544.89</v>
      </c>
      <c r="U240" s="8">
        <f>IFERROR(T240/T444, "NA")</f>
        <v>4.7528782619435099E-2</v>
      </c>
      <c r="V240" s="9"/>
      <c r="W240" s="10">
        <f t="shared" ref="W240:W263" si="66">IFERROR(-(Q240-T240), "NA")</f>
        <v>44544.89</v>
      </c>
      <c r="X240" s="8">
        <f>IFERROR(W240/W444, "NA")</f>
        <v>-0.94484705509037292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838.12</v>
      </c>
      <c r="C242" s="8">
        <f>IFERROR(B242/B444, "NA")</f>
        <v>8.4966697417909395E-3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-838.12</v>
      </c>
      <c r="I242" s="8">
        <f>IFERROR(H242/H444, "NA")</f>
        <v>3.6783623010435751E-2</v>
      </c>
      <c r="J242" s="9"/>
      <c r="K242" s="7">
        <v>850.25</v>
      </c>
      <c r="L242" s="8">
        <f>IFERROR(K242/K444, "NA")</f>
        <v>8.1925733130525594E-3</v>
      </c>
      <c r="M242" s="9"/>
      <c r="N242" s="10">
        <f t="shared" si="65"/>
        <v>12.129999999999995</v>
      </c>
      <c r="O242" s="8">
        <f>IFERROR(N242/N444, "NA")</f>
        <v>-2.3589951030917782E-3</v>
      </c>
      <c r="P242" s="9"/>
      <c r="Q242" s="7">
        <v>9759.89</v>
      </c>
      <c r="R242" s="8">
        <f>IFERROR(Q242/Q444, "NA")</f>
        <v>1.096525472703022E-2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-9759.89</v>
      </c>
      <c r="X242" s="8">
        <f>IFERROR(W242/W444, "NA")</f>
        <v>0.20701820847477634</v>
      </c>
      <c r="Y242" s="9"/>
      <c r="Z242" s="7">
        <v>7011.24</v>
      </c>
      <c r="AA242" s="8">
        <f>IFERROR(Z242/Z444, "NA")</f>
        <v>8.6271672662492378E-3</v>
      </c>
      <c r="AB242" s="9"/>
      <c r="AC242" s="10">
        <f t="shared" si="67"/>
        <v>-2748.6499999999996</v>
      </c>
      <c r="AD242" s="8">
        <f>IFERROR(AC242/AC444, "NA")</f>
        <v>-3.5520998115945529E-2</v>
      </c>
    </row>
    <row r="243" spans="1:30" ht="16.5" customHeight="1" x14ac:dyDescent="0.45">
      <c r="A243" s="12" t="s">
        <v>220</v>
      </c>
      <c r="B243" s="7">
        <v>1835.23</v>
      </c>
      <c r="C243" s="8">
        <f>IFERROR(B243/B444, "NA")</f>
        <v>1.8605143905678165E-2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-1835.23</v>
      </c>
      <c r="I243" s="8">
        <f>IFERROR(H243/H444, "NA")</f>
        <v>8.0545039442373415E-2</v>
      </c>
      <c r="J243" s="9"/>
      <c r="K243" s="7">
        <v>2019.96</v>
      </c>
      <c r="L243" s="8">
        <f>IFERROR(K243/K444, "NA")</f>
        <v>1.9463299487719667E-2</v>
      </c>
      <c r="M243" s="9"/>
      <c r="N243" s="10">
        <f t="shared" si="65"/>
        <v>184.73000000000002</v>
      </c>
      <c r="O243" s="8">
        <f>IFERROR(N243/N444, "NA")</f>
        <v>-3.5925570106689564E-2</v>
      </c>
      <c r="P243" s="9"/>
      <c r="Q243" s="7">
        <v>17662.169999999998</v>
      </c>
      <c r="R243" s="8">
        <f>IFERROR(Q243/Q444, "NA")</f>
        <v>1.9843481133712707E-2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-17662.169999999998</v>
      </c>
      <c r="X243" s="8">
        <f>IFERROR(W243/W444, "NA")</f>
        <v>0.37463442632826188</v>
      </c>
      <c r="Y243" s="9"/>
      <c r="Z243" s="7">
        <v>21076.05</v>
      </c>
      <c r="AA243" s="8">
        <f>IFERROR(Z243/Z444, "NA")</f>
        <v>2.5933587876300374E-2</v>
      </c>
      <c r="AB243" s="9"/>
      <c r="AC243" s="10">
        <f t="shared" si="67"/>
        <v>3413.880000000001</v>
      </c>
      <c r="AD243" s="8">
        <f>IFERROR(AC243/AC444, "NA")</f>
        <v>4.4117812398109683E-2</v>
      </c>
    </row>
    <row r="244" spans="1:30" ht="16.5" customHeight="1" x14ac:dyDescent="0.45">
      <c r="A244" s="12" t="s">
        <v>221</v>
      </c>
      <c r="B244" s="7">
        <v>895.93</v>
      </c>
      <c r="C244" s="8">
        <f>IFERROR(B244/B444, "NA")</f>
        <v>9.0827343599517441E-3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-895.93</v>
      </c>
      <c r="I244" s="8">
        <f>IFERROR(H244/H444, "NA")</f>
        <v>3.9320802944375149E-2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-895.93</v>
      </c>
      <c r="O244" s="8">
        <f>IFERROR(N244/N444, "NA")</f>
        <v>0.17423697301838562</v>
      </c>
      <c r="P244" s="9"/>
      <c r="Q244" s="7">
        <v>1232.57</v>
      </c>
      <c r="R244" s="8">
        <f>IFERROR(Q244/Q444, "NA")</f>
        <v>1.3847947076140856E-3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-1232.57</v>
      </c>
      <c r="X244" s="8">
        <f>IFERROR(W244/W444, "NA")</f>
        <v>2.6144191504182429E-2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-1232.57</v>
      </c>
      <c r="AD244" s="8">
        <f>IFERROR(AC244/AC444, "NA")</f>
        <v>-1.5928589179332032E-2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220.99</v>
      </c>
      <c r="C246" s="8">
        <f>IFERROR(B246/B444, "NA")</f>
        <v>2.2403463063026532E-3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-220.99</v>
      </c>
      <c r="I246" s="8">
        <f>IFERROR(H246/H444, "NA")</f>
        <v>9.6988651375413976E-3</v>
      </c>
      <c r="J246" s="9"/>
      <c r="K246" s="7">
        <v>209.62</v>
      </c>
      <c r="L246" s="8">
        <f>IFERROR(K246/K444, "NA")</f>
        <v>2.019790906065366E-3</v>
      </c>
      <c r="M246" s="9"/>
      <c r="N246" s="10">
        <f t="shared" si="65"/>
        <v>-11.370000000000005</v>
      </c>
      <c r="O246" s="8">
        <f>IFERROR(N246/N444, "NA")</f>
        <v>2.211193266459484E-3</v>
      </c>
      <c r="P246" s="9"/>
      <c r="Q246" s="7">
        <v>2310.4</v>
      </c>
      <c r="R246" s="8">
        <f>IFERROR(Q246/Q444, "NA")</f>
        <v>2.5957387348966659E-3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-2310.4</v>
      </c>
      <c r="X246" s="8">
        <f>IFERROR(W246/W444, "NA")</f>
        <v>4.9006174133122742E-2</v>
      </c>
      <c r="Y246" s="9"/>
      <c r="Z246" s="7">
        <v>282.51</v>
      </c>
      <c r="AA246" s="8">
        <f>IFERROR(Z246/Z444, "NA")</f>
        <v>3.4762196478626775E-4</v>
      </c>
      <c r="AB246" s="9"/>
      <c r="AC246" s="10">
        <f t="shared" si="67"/>
        <v>-2027.89</v>
      </c>
      <c r="AD246" s="8">
        <f>IFERROR(AC246/AC444, "NA")</f>
        <v>-2.6206565721115745E-2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275.66000000000003</v>
      </c>
      <c r="C248" s="8">
        <f>IFERROR(B248/B444, "NA")</f>
        <v>2.7945783193601042E-3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-275.66000000000003</v>
      </c>
      <c r="I248" s="8">
        <f>IFERROR(H248/H444, "NA")</f>
        <v>1.2098235955539445E-2</v>
      </c>
      <c r="J248" s="9"/>
      <c r="K248" s="7">
        <v>277.45</v>
      </c>
      <c r="L248" s="8">
        <f>IFERROR(K248/K444, "NA")</f>
        <v>2.673366028469782E-3</v>
      </c>
      <c r="M248" s="9"/>
      <c r="N248" s="10">
        <f t="shared" si="65"/>
        <v>1.7899999999999636</v>
      </c>
      <c r="O248" s="8">
        <f>IFERROR(N248/N444, "NA")</f>
        <v>-3.481122204892167E-4</v>
      </c>
      <c r="P248" s="9"/>
      <c r="Q248" s="7">
        <v>2198.0500000000002</v>
      </c>
      <c r="R248" s="8">
        <f>IFERROR(Q248/Q444, "NA")</f>
        <v>2.4695132990995572E-3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-2198.0500000000002</v>
      </c>
      <c r="X248" s="8">
        <f>IFERROR(W248/W444, "NA")</f>
        <v>4.6623104680276334E-2</v>
      </c>
      <c r="Y248" s="9"/>
      <c r="Z248" s="7">
        <v>2065.19</v>
      </c>
      <c r="AA248" s="8">
        <f>IFERROR(Z248/Z444, "NA")</f>
        <v>2.541168119560201E-3</v>
      </c>
      <c r="AB248" s="9"/>
      <c r="AC248" s="10">
        <f t="shared" si="67"/>
        <v>-132.86000000000013</v>
      </c>
      <c r="AD248" s="8">
        <f>IFERROR(AC248/AC444, "NA")</f>
        <v>-1.7169591652937001E-3</v>
      </c>
    </row>
    <row r="249" spans="1:30" ht="16.5" customHeight="1" x14ac:dyDescent="0.45">
      <c r="A249" s="12" t="s">
        <v>226</v>
      </c>
      <c r="B249" s="7">
        <v>537.16999999999996</v>
      </c>
      <c r="C249" s="8">
        <f>IFERROR(B249/B444, "NA")</f>
        <v>5.4457071603085938E-3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-537.16999999999996</v>
      </c>
      <c r="I249" s="8">
        <f>IFERROR(H249/H444, "NA")</f>
        <v>2.3575453124273098E-2</v>
      </c>
      <c r="J249" s="9"/>
      <c r="K249" s="7">
        <v>810.76</v>
      </c>
      <c r="L249" s="8">
        <f>IFERROR(K249/K444, "NA")</f>
        <v>7.8120679086039315E-3</v>
      </c>
      <c r="M249" s="9"/>
      <c r="N249" s="10">
        <f t="shared" si="65"/>
        <v>273.59000000000003</v>
      </c>
      <c r="O249" s="8">
        <f>IFERROR(N249/N444, "NA")</f>
        <v>-5.3206716426618297E-2</v>
      </c>
      <c r="P249" s="9"/>
      <c r="Q249" s="7">
        <v>7692.05</v>
      </c>
      <c r="R249" s="8">
        <f>IFERROR(Q249/Q444, "NA")</f>
        <v>8.6420326072376638E-3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-7692.05</v>
      </c>
      <c r="X249" s="8">
        <f>IFERROR(W249/W444, "NA")</f>
        <v>0.16315700386975707</v>
      </c>
      <c r="Y249" s="9"/>
      <c r="Z249" s="7">
        <v>5943.9</v>
      </c>
      <c r="AA249" s="8">
        <f>IFERROR(Z249/Z444, "NA")</f>
        <v>7.3138302944784151E-3</v>
      </c>
      <c r="AB249" s="9"/>
      <c r="AC249" s="10">
        <f t="shared" si="67"/>
        <v>-1748.1500000000005</v>
      </c>
      <c r="AD249" s="8">
        <f>IFERROR(AC249/AC444, "NA")</f>
        <v>-2.2591465940148877E-2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2464.48</v>
      </c>
      <c r="AA254" s="8">
        <f>IFERROR(Z254/Z444, "NA")</f>
        <v>3.0324851501768476E-3</v>
      </c>
      <c r="AB254" s="9"/>
      <c r="AC254" s="10">
        <f t="shared" si="67"/>
        <v>2464.48</v>
      </c>
      <c r="AD254" s="8">
        <f>IFERROR(AC254/AC444, "NA")</f>
        <v>3.184864913204135E-2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4961.25</v>
      </c>
      <c r="R257" s="8">
        <f>IFERROR(Q257/Q444, "NA")</f>
        <v>5.573973683563921E-3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-4961.25</v>
      </c>
      <c r="X257" s="8">
        <f>IFERROR(W257/W444, "NA")</f>
        <v>0.10523367443644181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-4961.25</v>
      </c>
      <c r="AD257" s="8">
        <f>IFERROR(AC257/AC444, "NA")</f>
        <v>-6.4114584215063677E-2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4603.0999999999995</v>
      </c>
      <c r="C262" s="15">
        <f>IFERROR(B262/B444, "NA")</f>
        <v>4.6665179793392193E-2</v>
      </c>
      <c r="D262" s="2"/>
      <c r="E262" s="14">
        <f>IFERROR(E240+E241+E242+E243+E244+E245+E246+E247+E248+E249+E250+E251+E252+E253+E254+E255+E256+E257+E258+E259+E260+E261, "NA")</f>
        <v>5724.03</v>
      </c>
      <c r="F262" s="15">
        <f>IFERROR(E262/E444, "NA")</f>
        <v>4.7140014497702061E-2</v>
      </c>
      <c r="G262" s="2"/>
      <c r="H262" s="14">
        <f t="shared" si="64"/>
        <v>1120.9300000000003</v>
      </c>
      <c r="I262" s="15">
        <f>IFERROR(H262/H444, "NA")</f>
        <v>-4.9195659978389435E-2</v>
      </c>
      <c r="J262" s="2"/>
      <c r="K262" s="14">
        <f>IFERROR(K240+K241+K242+K243+K244+K245+K246+K247+K248+K249+K250+K251+K252+K253+K254+K255+K256+K257+K258+K259+K260+K261, "NA")</f>
        <v>4168.04</v>
      </c>
      <c r="L262" s="15">
        <f>IFERROR(K262/K444, "NA")</f>
        <v>4.0161097643911306E-2</v>
      </c>
      <c r="M262" s="2"/>
      <c r="N262" s="14">
        <f t="shared" si="65"/>
        <v>-435.05999999999949</v>
      </c>
      <c r="O262" s="15">
        <f>IFERROR(N262/N444, "NA")</f>
        <v>8.4608772427956169E-2</v>
      </c>
      <c r="P262" s="2"/>
      <c r="Q262" s="14">
        <f>IFERROR(Q240+Q241+Q242+Q243+Q244+Q245+Q246+Q247+Q248+Q249+Q250+Q251+Q252+Q253+Q254+Q255+Q256+Q257+Q258+Q259+Q260+Q261, "NA")</f>
        <v>45816.380000000005</v>
      </c>
      <c r="R262" s="15">
        <f>IFERROR(Q262/Q444, "NA")</f>
        <v>5.1474788893154828E-2</v>
      </c>
      <c r="S262" s="2"/>
      <c r="T262" s="14">
        <f>IFERROR(T240+T241+T242+T243+T244+T245+T246+T247+T248+T249+T250+T251+T252+T253+T254+T255+T256+T257+T258+T259+T260+T261, "NA")</f>
        <v>44544.89</v>
      </c>
      <c r="U262" s="15">
        <f>IFERROR(T262/T444, "NA")</f>
        <v>4.7528782619435099E-2</v>
      </c>
      <c r="V262" s="2"/>
      <c r="W262" s="14">
        <f t="shared" si="66"/>
        <v>-1271.4900000000052</v>
      </c>
      <c r="X262" s="15">
        <f>IFERROR(W262/W444, "NA")</f>
        <v>2.6969728336445845E-2</v>
      </c>
      <c r="Y262" s="2"/>
      <c r="Z262" s="14">
        <f>IFERROR(Z240+Z241+Z242+Z243+Z244+Z245+Z246+Z247+Z248+Z249+Z250+Z251+Z252+Z253+Z254+Z255+Z256+Z257+Z258+Z259+Z260+Z261, "NA")</f>
        <v>38843.370000000003</v>
      </c>
      <c r="AA262" s="15">
        <f>IFERROR(Z262/Z444, "NA")</f>
        <v>4.7795860671551345E-2</v>
      </c>
      <c r="AB262" s="2"/>
      <c r="AC262" s="14">
        <f t="shared" si="67"/>
        <v>-6973.010000000002</v>
      </c>
      <c r="AD262" s="15">
        <f>IFERROR(AC262/AC444, "NA")</f>
        <v>-9.0112700806748575E-2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4603.0999999999995</v>
      </c>
      <c r="C263" s="15">
        <f>IFERROR(B263/B444, "NA")</f>
        <v>4.6665179793392193E-2</v>
      </c>
      <c r="D263" s="2"/>
      <c r="E263" s="14">
        <f>IFERROR(E238+E240+E241+E242+E243+E244+E245+E246+E247+E248+E249+E250+E251+E252+E253+E254+E255+E256+E257+E258+E259+E260+E261, "NA")</f>
        <v>5724.03</v>
      </c>
      <c r="F263" s="15">
        <f>IFERROR(E263/E444, "NA")</f>
        <v>4.7140014497702061E-2</v>
      </c>
      <c r="G263" s="2"/>
      <c r="H263" s="14">
        <f t="shared" si="64"/>
        <v>1120.9300000000003</v>
      </c>
      <c r="I263" s="15">
        <f>IFERROR(H263/H444, "NA")</f>
        <v>-4.9195659978389435E-2</v>
      </c>
      <c r="J263" s="2"/>
      <c r="K263" s="14">
        <f>IFERROR(K238+K240+K241+K242+K243+K244+K245+K246+K247+K248+K249+K250+K251+K252+K253+K254+K255+K256+K257+K258+K259+K260+K261, "NA")</f>
        <v>4168.04</v>
      </c>
      <c r="L263" s="15">
        <f>IFERROR(K263/K444, "NA")</f>
        <v>4.0161097643911306E-2</v>
      </c>
      <c r="M263" s="2"/>
      <c r="N263" s="14">
        <f t="shared" si="65"/>
        <v>-435.05999999999949</v>
      </c>
      <c r="O263" s="15">
        <f>IFERROR(N263/N444, "NA")</f>
        <v>8.4608772427956169E-2</v>
      </c>
      <c r="P263" s="2"/>
      <c r="Q263" s="14">
        <f>IFERROR(Q238+Q240+Q241+Q242+Q243+Q244+Q245+Q246+Q247+Q248+Q249+Q250+Q251+Q252+Q253+Q254+Q255+Q256+Q257+Q258+Q259+Q260+Q261, "NA")</f>
        <v>45816.380000000005</v>
      </c>
      <c r="R263" s="15">
        <f>IFERROR(Q263/Q444, "NA")</f>
        <v>5.1474788893154828E-2</v>
      </c>
      <c r="S263" s="2"/>
      <c r="T263" s="14">
        <f>IFERROR(T238+T240+T241+T242+T243+T244+T245+T246+T247+T248+T249+T250+T251+T252+T253+T254+T255+T256+T257+T258+T259+T260+T261, "NA")</f>
        <v>44544.89</v>
      </c>
      <c r="U263" s="15">
        <f>IFERROR(T263/T444, "NA")</f>
        <v>4.7528782619435099E-2</v>
      </c>
      <c r="V263" s="2"/>
      <c r="W263" s="14">
        <f t="shared" si="66"/>
        <v>-1271.4900000000052</v>
      </c>
      <c r="X263" s="15">
        <f>IFERROR(W263/W444, "NA")</f>
        <v>2.6969728336445845E-2</v>
      </c>
      <c r="Y263" s="2"/>
      <c r="Z263" s="14">
        <f>IFERROR(Z238+Z240+Z241+Z242+Z243+Z244+Z245+Z246+Z247+Z248+Z249+Z250+Z251+Z252+Z253+Z254+Z255+Z256+Z257+Z258+Z259+Z260+Z261, "NA")</f>
        <v>38843.370000000003</v>
      </c>
      <c r="AA263" s="15">
        <f>IFERROR(Z263/Z444, "NA")</f>
        <v>4.7795860671551345E-2</v>
      </c>
      <c r="AB263" s="2"/>
      <c r="AC263" s="14">
        <f t="shared" si="67"/>
        <v>-6973.010000000002</v>
      </c>
      <c r="AD263" s="15">
        <f>IFERROR(AC263/AC444, "NA")</f>
        <v>-9.0112700806748575E-2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3125.54</v>
      </c>
      <c r="C265" s="8">
        <f>IFERROR(B265/B444, "NA")</f>
        <v>3.1686012915521942E-2</v>
      </c>
      <c r="D265" s="9"/>
      <c r="E265" s="7">
        <v>3399.93</v>
      </c>
      <c r="F265" s="8">
        <f>IFERROR(E265/E444, "NA")</f>
        <v>2.7999984187918679E-2</v>
      </c>
      <c r="G265" s="9"/>
      <c r="H265" s="10">
        <f>IFERROR(-(B265-E265), "NA")</f>
        <v>274.38999999999987</v>
      </c>
      <c r="I265" s="8">
        <f>IFERROR(H265/H444, "NA")</f>
        <v>-1.2042497873614113E-2</v>
      </c>
      <c r="J265" s="9"/>
      <c r="K265" s="7">
        <v>3070.69</v>
      </c>
      <c r="L265" s="8">
        <f>IFERROR(K265/K444, "NA")</f>
        <v>2.9587595350376198E-2</v>
      </c>
      <c r="M265" s="9"/>
      <c r="N265" s="10">
        <f>IFERROR(-(B265-K265), "NA")</f>
        <v>-54.849999999999909</v>
      </c>
      <c r="O265" s="8">
        <f>IFERROR(N265/N444, "NA")</f>
        <v>1.066701413063346E-2</v>
      </c>
      <c r="P265" s="9"/>
      <c r="Q265" s="7">
        <v>24777.67</v>
      </c>
      <c r="R265" s="8">
        <f>IFERROR(Q265/Q444, "NA")</f>
        <v>2.783775873419627E-2</v>
      </c>
      <c r="S265" s="9"/>
      <c r="T265" s="7">
        <v>26412.49</v>
      </c>
      <c r="U265" s="8">
        <f>IFERROR(T265/T444, "NA")</f>
        <v>2.8181762165043027E-2</v>
      </c>
      <c r="V265" s="9"/>
      <c r="W265" s="10">
        <f>IFERROR(-(Q265-T265), "NA")</f>
        <v>1634.8200000000033</v>
      </c>
      <c r="X265" s="8">
        <f>IFERROR(W265/W444, "NA")</f>
        <v>-3.4676364956852439E-2</v>
      </c>
      <c r="Y265" s="9"/>
      <c r="Z265" s="7">
        <v>24487.919999999998</v>
      </c>
      <c r="AA265" s="8">
        <f>IFERROR(Z265/Z444, "NA")</f>
        <v>3.013181432136541E-2</v>
      </c>
      <c r="AB265" s="9"/>
      <c r="AC265" s="10">
        <f>IFERROR(-(Q265-Z265), "NA")</f>
        <v>-289.75</v>
      </c>
      <c r="AD265" s="8">
        <f>IFERROR(AC265/AC444, "NA")</f>
        <v>-3.7444597180780453E-3</v>
      </c>
    </row>
    <row r="266" spans="1:30" ht="16.5" customHeight="1" x14ac:dyDescent="0.45">
      <c r="A266" s="6" t="s">
        <v>242</v>
      </c>
      <c r="B266" s="7">
        <v>82.72</v>
      </c>
      <c r="C266" s="8">
        <f>IFERROR(B266/B444, "NA")</f>
        <v>8.385965267992011E-4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-82.72</v>
      </c>
      <c r="I266" s="8">
        <f>IFERROR(H266/H444, "NA")</f>
        <v>3.6304363282384923E-3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-82.72</v>
      </c>
      <c r="O266" s="8">
        <f>IFERROR(N266/N444, "NA")</f>
        <v>1.6087063060820441E-2</v>
      </c>
      <c r="P266" s="9"/>
      <c r="Q266" s="7">
        <v>175.35</v>
      </c>
      <c r="R266" s="8">
        <f>IFERROR(Q266/Q444, "NA")</f>
        <v>1.9700605400109518E-4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-175.35</v>
      </c>
      <c r="X266" s="8">
        <f>IFERROR(W266/W444, "NA")</f>
        <v>3.7193700806107477E-3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-175.35</v>
      </c>
      <c r="AD266" s="8">
        <f>IFERROR(AC266/AC444, "NA")</f>
        <v>-2.2660604368075418E-3</v>
      </c>
    </row>
    <row r="267" spans="1:30" ht="16.5" customHeight="1" x14ac:dyDescent="0.45">
      <c r="A267" s="19" t="s">
        <v>243</v>
      </c>
      <c r="B267" s="14">
        <f>IFERROR(B265+B266, "NA")</f>
        <v>3208.2599999999998</v>
      </c>
      <c r="C267" s="15">
        <f>IFERROR(B267/B444, "NA")</f>
        <v>3.2524609442321141E-2</v>
      </c>
      <c r="D267" s="2"/>
      <c r="E267" s="14">
        <f>IFERROR(E265+E266, "NA")</f>
        <v>3399.93</v>
      </c>
      <c r="F267" s="15">
        <f>IFERROR(E267/E444, "NA")</f>
        <v>2.7999984187918679E-2</v>
      </c>
      <c r="G267" s="2"/>
      <c r="H267" s="14">
        <f>IFERROR(-(B267-E267), "NA")</f>
        <v>191.67000000000007</v>
      </c>
      <c r="I267" s="15">
        <f>IFERROR(H267/H444, "NA")</f>
        <v>-8.4120615453756303E-3</v>
      </c>
      <c r="J267" s="2"/>
      <c r="K267" s="14">
        <f>IFERROR(K265+K266, "NA")</f>
        <v>3070.69</v>
      </c>
      <c r="L267" s="15">
        <f>IFERROR(K267/K444, "NA")</f>
        <v>2.9587595350376198E-2</v>
      </c>
      <c r="M267" s="2"/>
      <c r="N267" s="14">
        <f>IFERROR(-(B267-K267), "NA")</f>
        <v>-137.56999999999971</v>
      </c>
      <c r="O267" s="15">
        <f>IFERROR(N267/N444, "NA")</f>
        <v>2.6754077191453864E-2</v>
      </c>
      <c r="P267" s="2"/>
      <c r="Q267" s="14">
        <f>IFERROR(Q265+Q266, "NA")</f>
        <v>24953.019999999997</v>
      </c>
      <c r="R267" s="15">
        <f>IFERROR(Q267/Q444, "NA")</f>
        <v>2.8034764788197365E-2</v>
      </c>
      <c r="S267" s="2"/>
      <c r="T267" s="14">
        <f>IFERROR(T265+T266, "NA")</f>
        <v>26412.49</v>
      </c>
      <c r="U267" s="15">
        <f>IFERROR(T267/T444, "NA")</f>
        <v>2.8181762165043027E-2</v>
      </c>
      <c r="V267" s="2"/>
      <c r="W267" s="14">
        <f>IFERROR(-(Q267-T267), "NA")</f>
        <v>1459.4700000000048</v>
      </c>
      <c r="X267" s="15">
        <f>IFERROR(W267/W444, "NA")</f>
        <v>-3.0956994876241723E-2</v>
      </c>
      <c r="Y267" s="2"/>
      <c r="Z267" s="14">
        <f>IFERROR(Z265+Z266, "NA")</f>
        <v>24487.919999999998</v>
      </c>
      <c r="AA267" s="15">
        <f>IFERROR(Z267/Z444, "NA")</f>
        <v>3.013181432136541E-2</v>
      </c>
      <c r="AB267" s="2"/>
      <c r="AC267" s="14">
        <f>IFERROR(-(Q267-Z267), "NA")</f>
        <v>-465.09999999999854</v>
      </c>
      <c r="AD267" s="15">
        <f>IFERROR(AC267/AC444, "NA")</f>
        <v>-6.010520154885568E-3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197.88</v>
      </c>
      <c r="C270" s="8">
        <f>IFERROR(B270/B444, "NA")</f>
        <v>2.0060623878508936E-3</v>
      </c>
      <c r="D270" s="9"/>
      <c r="E270" s="7">
        <v>175.58</v>
      </c>
      <c r="F270" s="8">
        <f>IFERROR(E270/E444, "NA")</f>
        <v>1.4459818948374709E-3</v>
      </c>
      <c r="G270" s="9"/>
      <c r="H270" s="10">
        <f>IFERROR(-(B270-E270), "NA")</f>
        <v>-22.299999999999983</v>
      </c>
      <c r="I270" s="8">
        <f>IFERROR(H270/H444, "NA")</f>
        <v>9.7870805270452521E-4</v>
      </c>
      <c r="J270" s="9"/>
      <c r="K270" s="7">
        <v>175.13</v>
      </c>
      <c r="L270" s="8">
        <f>IFERROR(K270/K444, "NA")</f>
        <v>1.6874629395059037E-3</v>
      </c>
      <c r="M270" s="9"/>
      <c r="N270" s="10">
        <f>IFERROR(-(B270-K270), "NA")</f>
        <v>-22.75</v>
      </c>
      <c r="O270" s="8">
        <f>IFERROR(N270/N444, "NA")</f>
        <v>4.4243312939272854E-3</v>
      </c>
      <c r="P270" s="9"/>
      <c r="Q270" s="7">
        <v>1610.71</v>
      </c>
      <c r="R270" s="8">
        <f>IFERROR(Q270/Q444, "NA")</f>
        <v>1.809635707100679E-3</v>
      </c>
      <c r="S270" s="9"/>
      <c r="T270" s="7">
        <v>1571.74</v>
      </c>
      <c r="U270" s="8">
        <f>IFERROR(T270/T444, "NA")</f>
        <v>1.6770248797173127E-3</v>
      </c>
      <c r="V270" s="9"/>
      <c r="W270" s="10">
        <f>IFERROR(-(Q270-T270), "NA")</f>
        <v>-38.970000000000027</v>
      </c>
      <c r="X270" s="8">
        <f>IFERROR(W270/W444, "NA")</f>
        <v>8.2659738831708551E-4</v>
      </c>
      <c r="Y270" s="9"/>
      <c r="Z270" s="7">
        <v>949.51</v>
      </c>
      <c r="AA270" s="8">
        <f>IFERROR(Z270/Z444, "NA")</f>
        <v>1.1683499054341762E-3</v>
      </c>
      <c r="AB270" s="9"/>
      <c r="AC270" s="10">
        <f>IFERROR(-(Q270-Z270), "NA")</f>
        <v>-661.2</v>
      </c>
      <c r="AD270" s="8">
        <f>IFERROR(AC270/AC444, "NA")</f>
        <v>-8.5447343074830148E-3</v>
      </c>
    </row>
    <row r="271" spans="1:30" ht="16.5" customHeight="1" x14ac:dyDescent="0.45">
      <c r="A271" s="6" t="s">
        <v>246</v>
      </c>
      <c r="B271" s="7">
        <v>894.43</v>
      </c>
      <c r="C271" s="8">
        <f>IFERROR(B271/B444, "NA")</f>
        <v>9.0675277014628797E-3</v>
      </c>
      <c r="D271" s="9"/>
      <c r="E271" s="7">
        <v>728.56</v>
      </c>
      <c r="F271" s="8">
        <f>IFERROR(E271/E444, "NA")</f>
        <v>6.000026024050505E-3</v>
      </c>
      <c r="G271" s="9"/>
      <c r="H271" s="10">
        <f>IFERROR(-(B271-E271), "NA")</f>
        <v>-165.87</v>
      </c>
      <c r="I271" s="8">
        <f>IFERROR(H271/H444, "NA")</f>
        <v>7.279744605475323E-3</v>
      </c>
      <c r="J271" s="9"/>
      <c r="K271" s="7">
        <v>778.58</v>
      </c>
      <c r="L271" s="8">
        <f>IFERROR(K271/K444, "NA")</f>
        <v>7.5019979183492637E-3</v>
      </c>
      <c r="M271" s="9"/>
      <c r="N271" s="10">
        <f>IFERROR(-(B271-K271), "NA")</f>
        <v>-115.84999999999991</v>
      </c>
      <c r="O271" s="8">
        <f>IFERROR(N271/N444, "NA")</f>
        <v>2.2530056281383545E-2</v>
      </c>
      <c r="P271" s="9"/>
      <c r="Q271" s="7">
        <v>6511.05</v>
      </c>
      <c r="R271" s="8">
        <f>IFERROR(Q271/Q444, "NA")</f>
        <v>7.3151768913819843E-3</v>
      </c>
      <c r="S271" s="9"/>
      <c r="T271" s="7">
        <v>5623.33</v>
      </c>
      <c r="U271" s="8">
        <f>IFERROR(T271/T444, "NA")</f>
        <v>6.0000154712998048E-3</v>
      </c>
      <c r="V271" s="9"/>
      <c r="W271" s="10">
        <f>IFERROR(-(Q271-T271), "NA")</f>
        <v>-887.72000000000025</v>
      </c>
      <c r="X271" s="8">
        <f>IFERROR(W271/W444, "NA")</f>
        <v>1.8829536401253344E-2</v>
      </c>
      <c r="Y271" s="9"/>
      <c r="Z271" s="7">
        <v>5005.7700000000004</v>
      </c>
      <c r="AA271" s="8">
        <f>IFERROR(Z271/Z444, "NA")</f>
        <v>6.159483213578832E-3</v>
      </c>
      <c r="AB271" s="9"/>
      <c r="AC271" s="10">
        <f>IFERROR(-(Q271-Z271), "NA")</f>
        <v>-1505.2799999999997</v>
      </c>
      <c r="AD271" s="8">
        <f>IFERROR(AC271/AC444, "NA")</f>
        <v>-1.9452839773696357E-2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1092.31</v>
      </c>
      <c r="C273" s="15">
        <f>IFERROR(B273/B444, "NA")</f>
        <v>1.1073590089313773E-2</v>
      </c>
      <c r="D273" s="2"/>
      <c r="E273" s="14">
        <f>IFERROR(E269+E270+E271+E272, "NA")</f>
        <v>904.14</v>
      </c>
      <c r="F273" s="15">
        <f>IFERROR(E273/E444, "NA")</f>
        <v>7.4460079188879754E-3</v>
      </c>
      <c r="G273" s="2"/>
      <c r="H273" s="14">
        <f>IFERROR(-(B273-E273), "NA")</f>
        <v>-188.16999999999996</v>
      </c>
      <c r="I273" s="15">
        <f>IFERROR(H273/H444, "NA")</f>
        <v>8.2584526581798469E-3</v>
      </c>
      <c r="J273" s="2"/>
      <c r="K273" s="14">
        <f>IFERROR(K269+K270+K271+K272, "NA")</f>
        <v>953.71</v>
      </c>
      <c r="L273" s="15">
        <f>IFERROR(K273/K444, "NA")</f>
        <v>9.1894608578551671E-3</v>
      </c>
      <c r="M273" s="2"/>
      <c r="N273" s="14">
        <f>IFERROR(-(B273-K273), "NA")</f>
        <v>-138.59999999999991</v>
      </c>
      <c r="O273" s="15">
        <f>IFERROR(N273/N444, "NA")</f>
        <v>2.695438757531083E-2</v>
      </c>
      <c r="P273" s="2"/>
      <c r="Q273" s="14">
        <f>IFERROR(Q269+Q270+Q271+Q272, "NA")</f>
        <v>8121.76</v>
      </c>
      <c r="R273" s="15">
        <f>IFERROR(Q273/Q444, "NA")</f>
        <v>9.124812598482664E-3</v>
      </c>
      <c r="S273" s="2"/>
      <c r="T273" s="14">
        <f>IFERROR(T269+T270+T271+T272, "NA")</f>
        <v>7195.07</v>
      </c>
      <c r="U273" s="15">
        <f>IFERROR(T273/T444, "NA")</f>
        <v>7.6770403510171177E-3</v>
      </c>
      <c r="V273" s="2"/>
      <c r="W273" s="14">
        <f>IFERROR(-(Q273-T273), "NA")</f>
        <v>-926.69000000000051</v>
      </c>
      <c r="X273" s="15">
        <f>IFERROR(W273/W444, "NA")</f>
        <v>1.9656133789570436E-2</v>
      </c>
      <c r="Y273" s="2"/>
      <c r="Z273" s="14">
        <f>IFERROR(Z269+Z270+Z271+Z272, "NA")</f>
        <v>5955.2800000000007</v>
      </c>
      <c r="AA273" s="15">
        <f>IFERROR(Z273/Z444, "NA")</f>
        <v>7.3278331190130084E-3</v>
      </c>
      <c r="AB273" s="2"/>
      <c r="AC273" s="14">
        <f>IFERROR(-(Q273-Z273), "NA")</f>
        <v>-2166.4799999999996</v>
      </c>
      <c r="AD273" s="15">
        <f>IFERROR(AC273/AC444, "NA")</f>
        <v>-2.7997574081179366E-2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2.4706377061808932E-3</v>
      </c>
      <c r="G287" s="9"/>
      <c r="H287" s="10">
        <f t="shared" si="72"/>
        <v>300</v>
      </c>
      <c r="I287" s="8">
        <f>IFERROR(H287/H444, "NA")</f>
        <v>-1.3166476045352366E-2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2400</v>
      </c>
      <c r="U287" s="8">
        <f>IFERROR(T287/T444, "NA")</f>
        <v>2.5607668643169673E-3</v>
      </c>
      <c r="V287" s="9"/>
      <c r="W287" s="10">
        <f t="shared" si="74"/>
        <v>2400</v>
      </c>
      <c r="X287" s="8">
        <f>IFERROR(W287/W444, "NA")</f>
        <v>-5.0906690581498687E-2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1.3939436948125019E-3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6.0346348541198344E-3</v>
      </c>
      <c r="J288" s="9"/>
      <c r="K288" s="7">
        <v>137.5</v>
      </c>
      <c r="L288" s="8">
        <f>IFERROR(K288/K444, "NA")</f>
        <v>1.3248795419520457E-3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1100</v>
      </c>
      <c r="R288" s="8">
        <f>IFERROR(Q288/Q444, "NA")</f>
        <v>1.2358520638791259E-3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-1100</v>
      </c>
      <c r="X288" s="8">
        <f>IFERROR(W288/W444, "NA")</f>
        <v>2.3332233183186897E-2</v>
      </c>
      <c r="Y288" s="9"/>
      <c r="Z288" s="7">
        <v>1100</v>
      </c>
      <c r="AA288" s="8">
        <f>IFERROR(Z288/Z444, "NA")</f>
        <v>1.3535243398990994E-3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206.28</v>
      </c>
      <c r="C289" s="8">
        <f>IFERROR(B289/B444, "NA")</f>
        <v>2.0912196753885303E-3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-206.28</v>
      </c>
      <c r="I289" s="8">
        <f>IFERROR(H289/H444, "NA")</f>
        <v>9.0532689287842871E-3</v>
      </c>
      <c r="J289" s="9"/>
      <c r="K289" s="7">
        <v>0</v>
      </c>
      <c r="L289" s="8">
        <f>IFERROR(K289/K444, "NA")</f>
        <v>0</v>
      </c>
      <c r="M289" s="9"/>
      <c r="N289" s="10">
        <f t="shared" si="73"/>
        <v>-206.28</v>
      </c>
      <c r="O289" s="8">
        <f>IFERROR(N289/N444, "NA")</f>
        <v>4.0116530079618483E-2</v>
      </c>
      <c r="P289" s="9"/>
      <c r="Q289" s="7">
        <v>1449.75</v>
      </c>
      <c r="R289" s="8">
        <f>IFERROR(Q289/Q444, "NA")</f>
        <v>1.6287968450988753E-3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-1449.75</v>
      </c>
      <c r="X289" s="8">
        <f>IFERROR(W289/W444, "NA")</f>
        <v>3.0750822779386552E-2</v>
      </c>
      <c r="Y289" s="9"/>
      <c r="Z289" s="7">
        <v>1170.19</v>
      </c>
      <c r="AA289" s="8">
        <f>IFERROR(Z289/Z444, "NA")</f>
        <v>1.4398914975513883E-3</v>
      </c>
      <c r="AB289" s="9"/>
      <c r="AC289" s="10">
        <f t="shared" si="75"/>
        <v>-279.55999999999995</v>
      </c>
      <c r="AD289" s="8">
        <f>IFERROR(AC289/AC444, "NA")</f>
        <v>-3.6127736282515898E-3</v>
      </c>
    </row>
    <row r="290" spans="1:30" ht="16.5" customHeight="1" x14ac:dyDescent="0.45">
      <c r="A290" s="6" t="s">
        <v>263</v>
      </c>
      <c r="B290" s="7">
        <v>2869.35</v>
      </c>
      <c r="C290" s="8">
        <f>IFERROR(B290/B444, "NA")</f>
        <v>2.9088817023347289E-2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-2869.35</v>
      </c>
      <c r="I290" s="8">
        <f>IFERROR(H290/H444, "NA")</f>
        <v>0.1259307601357727</v>
      </c>
      <c r="J290" s="9"/>
      <c r="K290" s="7">
        <v>339.43</v>
      </c>
      <c r="L290" s="8">
        <f>IFERROR(K290/K444, "NA")</f>
        <v>3.2705735485438754E-3</v>
      </c>
      <c r="M290" s="9"/>
      <c r="N290" s="10">
        <f t="shared" si="73"/>
        <v>-2529.92</v>
      </c>
      <c r="O290" s="8">
        <f>IFERROR(N290/N444, "NA")</f>
        <v>0.49200897701681401</v>
      </c>
      <c r="P290" s="9"/>
      <c r="Q290" s="7">
        <v>6186.81</v>
      </c>
      <c r="R290" s="8">
        <f>IFERROR(Q290/Q444, "NA")</f>
        <v>6.9508926430254681E-3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-6186.81</v>
      </c>
      <c r="X290" s="8">
        <f>IFERROR(W290/W444, "NA")</f>
        <v>0.13122917598188413</v>
      </c>
      <c r="Y290" s="9"/>
      <c r="Z290" s="7">
        <v>360.75</v>
      </c>
      <c r="AA290" s="8">
        <f>IFERROR(Z290/Z444, "NA")</f>
        <v>4.4389445965327282E-4</v>
      </c>
      <c r="AB290" s="9"/>
      <c r="AC290" s="10">
        <f t="shared" si="75"/>
        <v>-5826.06</v>
      </c>
      <c r="AD290" s="8">
        <f>IFERROR(AC290/AC444, "NA")</f>
        <v>-7.5290584935654103E-2</v>
      </c>
    </row>
    <row r="291" spans="1:30" ht="16.5" customHeight="1" x14ac:dyDescent="0.45">
      <c r="A291" s="6" t="s">
        <v>264</v>
      </c>
      <c r="B291" s="7">
        <v>379</v>
      </c>
      <c r="C291" s="8">
        <f>IFERROR(B291/B444, "NA")</f>
        <v>3.8422157115195507E-3</v>
      </c>
      <c r="D291" s="9"/>
      <c r="E291" s="7">
        <v>1457.11</v>
      </c>
      <c r="F291" s="8">
        <f>IFERROR(E291/E444, "NA")</f>
        <v>1.1999969693510804E-2</v>
      </c>
      <c r="G291" s="9"/>
      <c r="H291" s="10">
        <f t="shared" si="72"/>
        <v>1078.1099999999999</v>
      </c>
      <c r="I291" s="8">
        <f>IFERROR(H291/H444, "NA")</f>
        <v>-4.7316364964182796E-2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-379</v>
      </c>
      <c r="O291" s="8">
        <f>IFERROR(N291/N444, "NA")</f>
        <v>7.3706442215316095E-2</v>
      </c>
      <c r="P291" s="9"/>
      <c r="Q291" s="7">
        <v>2854.03</v>
      </c>
      <c r="R291" s="8">
        <f>IFERROR(Q291/Q444, "NA")</f>
        <v>3.2065080598844926E-3</v>
      </c>
      <c r="S291" s="9"/>
      <c r="T291" s="7">
        <v>11246.62</v>
      </c>
      <c r="U291" s="8">
        <f>IFERROR(T291/T444, "NA")</f>
        <v>1.1999988263151873E-2</v>
      </c>
      <c r="V291" s="9"/>
      <c r="W291" s="10">
        <f t="shared" si="74"/>
        <v>8392.59</v>
      </c>
      <c r="X291" s="8">
        <f>IFERROR(W291/W444, "NA")</f>
        <v>-0.17801624262807503</v>
      </c>
      <c r="Y291" s="9"/>
      <c r="Z291" s="7">
        <v>1092.1500000000001</v>
      </c>
      <c r="AA291" s="8">
        <f>IFERROR(Z291/Z444, "NA")</f>
        <v>1.3438650980189103E-3</v>
      </c>
      <c r="AB291" s="9"/>
      <c r="AC291" s="10">
        <f t="shared" si="75"/>
        <v>-1761.88</v>
      </c>
      <c r="AD291" s="8">
        <f>IFERROR(AC291/AC444, "NA")</f>
        <v>-2.2768899700042613E-2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500.86</v>
      </c>
      <c r="R292" s="8">
        <f>IFERROR(Q292/Q444, "NA")</f>
        <v>5.6271714974045367E-4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1.0623802101937264E-2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-6.4726491609890247E-3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4.1561704908255005E-4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7.8466300195057549E-3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-4.7806315220314454E-3</v>
      </c>
    </row>
    <row r="294" spans="1:30" ht="16.5" customHeight="1" x14ac:dyDescent="0.45">
      <c r="A294" s="6" t="s">
        <v>267</v>
      </c>
      <c r="B294" s="7">
        <v>310</v>
      </c>
      <c r="C294" s="8">
        <f>IFERROR(B294/B444, "NA")</f>
        <v>3.1427094210318223E-3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-310</v>
      </c>
      <c r="I294" s="8">
        <f>IFERROR(H294/H444, "NA")</f>
        <v>1.3605358580197445E-2</v>
      </c>
      <c r="J294" s="9"/>
      <c r="K294" s="7">
        <v>0</v>
      </c>
      <c r="L294" s="8">
        <f>IFERROR(K294/K444, "NA")</f>
        <v>0</v>
      </c>
      <c r="M294" s="9"/>
      <c r="N294" s="10">
        <f t="shared" si="73"/>
        <v>-310</v>
      </c>
      <c r="O294" s="8">
        <f>IFERROR(N294/N444, "NA")</f>
        <v>6.0287591257910271E-2</v>
      </c>
      <c r="P294" s="9"/>
      <c r="Q294" s="7">
        <v>2708.94</v>
      </c>
      <c r="R294" s="8">
        <f>IFERROR(Q294/Q444, "NA")</f>
        <v>3.0434991726588359E-3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-2708.94</v>
      </c>
      <c r="X294" s="8">
        <f>IFERROR(W294/W444, "NA")</f>
        <v>5.7459654326602105E-2</v>
      </c>
      <c r="Y294" s="9"/>
      <c r="Z294" s="7">
        <v>593.75</v>
      </c>
      <c r="AA294" s="8">
        <f>IFERROR(Z294/Z444, "NA")</f>
        <v>7.3059552437735481E-4</v>
      </c>
      <c r="AB294" s="9"/>
      <c r="AC294" s="10">
        <f t="shared" si="75"/>
        <v>-2115.19</v>
      </c>
      <c r="AD294" s="8">
        <f>IFERROR(AC294/AC444, "NA")</f>
        <v>-2.7334749788029338E-2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3902.13</v>
      </c>
      <c r="C295" s="15">
        <f>IFERROR(B295/B444, "NA")</f>
        <v>3.9558905526099697E-2</v>
      </c>
      <c r="D295" s="2"/>
      <c r="E295" s="14">
        <f>IFERROR(E286+E287+E288+E289+E290+E291+E292+E293+E294, "NA")</f>
        <v>1757.11</v>
      </c>
      <c r="F295" s="15">
        <f>IFERROR(E295/E444, "NA")</f>
        <v>1.4470607399691696E-2</v>
      </c>
      <c r="G295" s="2"/>
      <c r="H295" s="14">
        <f t="shared" si="72"/>
        <v>-2145.0200000000004</v>
      </c>
      <c r="I295" s="15">
        <f>IFERROR(H295/H444, "NA")</f>
        <v>9.4141181489339129E-2</v>
      </c>
      <c r="J295" s="2"/>
      <c r="K295" s="14">
        <f>IFERROR(K286+K287+K288+K289+K290+K291+K292+K293+K294, "NA")</f>
        <v>476.93</v>
      </c>
      <c r="L295" s="15">
        <f>IFERROR(K295/K444, "NA")</f>
        <v>4.5954530904959209E-3</v>
      </c>
      <c r="M295" s="2"/>
      <c r="N295" s="14">
        <f t="shared" si="73"/>
        <v>-3425.2000000000003</v>
      </c>
      <c r="O295" s="15">
        <f>IFERROR(N295/N444, "NA")</f>
        <v>0.66611954056965894</v>
      </c>
      <c r="P295" s="2"/>
      <c r="Q295" s="14">
        <f>IFERROR(Q286+Q287+Q288+Q289+Q290+Q291+Q292+Q293+Q294, "NA")</f>
        <v>15170.320000000003</v>
      </c>
      <c r="R295" s="15">
        <f>IFERROR(Q295/Q444, "NA")</f>
        <v>1.7043882983369806E-2</v>
      </c>
      <c r="S295" s="2"/>
      <c r="T295" s="14">
        <f>IFERROR(T286+T287+T288+T289+T290+T291+T292+T293+T294, "NA")</f>
        <v>13646.62</v>
      </c>
      <c r="U295" s="15">
        <f>IFERROR(T295/T444, "NA")</f>
        <v>1.4560755127468841E-2</v>
      </c>
      <c r="V295" s="2"/>
      <c r="W295" s="14">
        <f t="shared" si="74"/>
        <v>-1523.7000000000025</v>
      </c>
      <c r="X295" s="15">
        <f>IFERROR(W295/W444, "NA")</f>
        <v>3.2319385182929032E-2</v>
      </c>
      <c r="Y295" s="2"/>
      <c r="Z295" s="14">
        <f>IFERROR(Z286+Z287+Z288+Z289+Z290+Z291+Z292+Z293+Z294, "NA")</f>
        <v>4316.84</v>
      </c>
      <c r="AA295" s="15">
        <f>IFERROR(Z295/Z444, "NA")</f>
        <v>5.311770919500026E-3</v>
      </c>
      <c r="AB295" s="2"/>
      <c r="AC295" s="14">
        <f t="shared" si="75"/>
        <v>-10853.480000000003</v>
      </c>
      <c r="AD295" s="15">
        <f>IFERROR(AC295/AC444, "NA")</f>
        <v>-0.14026028873499816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1578.54</v>
      </c>
      <c r="F297" s="8">
        <f>IFERROR(E297/E444, "NA")</f>
        <v>1.3000001482382624E-2</v>
      </c>
      <c r="G297" s="9"/>
      <c r="H297" s="10">
        <f t="shared" ref="H297:H325" si="76">IFERROR(-(B297-E297), "NA")</f>
        <v>1578.54</v>
      </c>
      <c r="I297" s="8">
        <f>IFERROR(H297/H444, "NA")</f>
        <v>-6.9279363655435078E-2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12183.85</v>
      </c>
      <c r="U297" s="8">
        <f>IFERROR(T297/T444, "NA")</f>
        <v>1.2999999733253453E-2</v>
      </c>
      <c r="V297" s="9"/>
      <c r="W297" s="10">
        <f t="shared" ref="W297:W325" si="78">IFERROR(-(Q297-T297), "NA")</f>
        <v>12183.85</v>
      </c>
      <c r="X297" s="8">
        <f>IFERROR(W297/W444, "NA")</f>
        <v>-0.25843311751724701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393.49</v>
      </c>
      <c r="C299" s="8">
        <f>IFERROR(B299/B444, "NA")</f>
        <v>3.9891120325219733E-3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-393.49</v>
      </c>
      <c r="I299" s="8">
        <f>IFERROR(H299/H444, "NA")</f>
        <v>1.7269588863619009E-2</v>
      </c>
      <c r="J299" s="9"/>
      <c r="K299" s="7">
        <v>184.72</v>
      </c>
      <c r="L299" s="8">
        <f>IFERROR(K299/K444, "NA")</f>
        <v>1.7798672653773226E-3</v>
      </c>
      <c r="M299" s="9"/>
      <c r="N299" s="10">
        <f t="shared" si="77"/>
        <v>-208.77</v>
      </c>
      <c r="O299" s="8">
        <f>IFERROR(N299/N444, "NA")</f>
        <v>4.0600775570690091E-2</v>
      </c>
      <c r="P299" s="9"/>
      <c r="Q299" s="7">
        <v>2300.7199999999998</v>
      </c>
      <c r="R299" s="8">
        <f>IFERROR(Q299/Q444, "NA")</f>
        <v>2.5848632367345293E-3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-2300.7199999999998</v>
      </c>
      <c r="X299" s="8">
        <f>IFERROR(W299/W444, "NA")</f>
        <v>4.8800850481110686E-2</v>
      </c>
      <c r="Y299" s="9"/>
      <c r="Z299" s="7">
        <v>1735.5</v>
      </c>
      <c r="AA299" s="8">
        <f>IFERROR(Z299/Z444, "NA")</f>
        <v>2.1354922653589879E-3</v>
      </c>
      <c r="AB299" s="9"/>
      <c r="AC299" s="10">
        <f t="shared" si="79"/>
        <v>-565.2199999999998</v>
      </c>
      <c r="AD299" s="8">
        <f>IFERROR(AC299/AC444, "NA")</f>
        <v>-7.3043779874100842E-3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133.63</v>
      </c>
      <c r="L304" s="8">
        <f>IFERROR(K304/K444, "NA")</f>
        <v>1.2875902050258317E-3</v>
      </c>
      <c r="M304" s="9"/>
      <c r="N304" s="10">
        <f t="shared" si="77"/>
        <v>133.63</v>
      </c>
      <c r="O304" s="8">
        <f>IFERROR(N304/N444, "NA")</f>
        <v>-2.5987841354175964E-2</v>
      </c>
      <c r="P304" s="9"/>
      <c r="Q304" s="7">
        <v>348.44</v>
      </c>
      <c r="R304" s="8">
        <f>IFERROR(Q304/Q444, "NA")</f>
        <v>3.9147299376185695E-4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-348.44</v>
      </c>
      <c r="X304" s="8">
        <f>IFERROR(W304/W444, "NA")</f>
        <v>7.3908030275905839E-3</v>
      </c>
      <c r="Y304" s="9"/>
      <c r="Z304" s="7">
        <v>402.55</v>
      </c>
      <c r="AA304" s="8">
        <f>IFERROR(Z304/Z444, "NA")</f>
        <v>4.9532838456943864E-4</v>
      </c>
      <c r="AB304" s="9"/>
      <c r="AC304" s="10">
        <f t="shared" si="79"/>
        <v>54.110000000000014</v>
      </c>
      <c r="AD304" s="8">
        <f>IFERROR(AC304/AC444, "NA")</f>
        <v>6.9926735235617977E-4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0.01</v>
      </c>
      <c r="C310" s="8">
        <f>IFERROR(B310/B444, "NA")</f>
        <v>1.0137772325909104E-7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-0.01</v>
      </c>
      <c r="I310" s="8">
        <f>IFERROR(H310/H444, "NA")</f>
        <v>4.388825348450789E-7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-0.01</v>
      </c>
      <c r="O310" s="8">
        <f>IFERROR(N310/N444, "NA")</f>
        <v>1.9447610083196859E-6</v>
      </c>
      <c r="P310" s="9"/>
      <c r="Q310" s="7">
        <v>411.02</v>
      </c>
      <c r="R310" s="8">
        <f>IFERROR(Q310/Q444, "NA")</f>
        <v>4.6178174117781663E-4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-411.02</v>
      </c>
      <c r="X310" s="8">
        <f>IFERROR(W310/W444, "NA")</f>
        <v>8.7181949845031616E-3</v>
      </c>
      <c r="Y310" s="9"/>
      <c r="Z310" s="7">
        <v>249.92</v>
      </c>
      <c r="AA310" s="8">
        <f>IFERROR(Z310/Z444, "NA")</f>
        <v>3.0752073002507537E-4</v>
      </c>
      <c r="AB310" s="9"/>
      <c r="AC310" s="10">
        <f t="shared" si="79"/>
        <v>-161.1</v>
      </c>
      <c r="AD310" s="8">
        <f>IFERROR(AC310/AC444, "NA")</f>
        <v>-2.0819066801807526E-3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2.9997500095975147E-5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5.6633693271917291E-4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-3.4504598610072065E-4</v>
      </c>
    </row>
    <row r="312" spans="1:30" ht="16.5" customHeight="1" x14ac:dyDescent="0.45">
      <c r="A312" s="6" t="s">
        <v>284</v>
      </c>
      <c r="B312" s="7">
        <v>160.85</v>
      </c>
      <c r="C312" s="8">
        <f>IFERROR(B312/B444, "NA")</f>
        <v>1.6306606786224795E-3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-160.85</v>
      </c>
      <c r="I312" s="8">
        <f>IFERROR(H312/H444, "NA")</f>
        <v>7.0594255729830935E-3</v>
      </c>
      <c r="J312" s="9"/>
      <c r="K312" s="7">
        <v>30.4</v>
      </c>
      <c r="L312" s="8">
        <f>IFERROR(K312/K444, "NA")</f>
        <v>2.9291882236612499E-4</v>
      </c>
      <c r="M312" s="9"/>
      <c r="N312" s="10">
        <f t="shared" si="77"/>
        <v>-130.44999999999999</v>
      </c>
      <c r="O312" s="8">
        <f>IFERROR(N312/N444, "NA")</f>
        <v>2.5369407353530302E-2</v>
      </c>
      <c r="P312" s="9"/>
      <c r="Q312" s="7">
        <v>1467.12</v>
      </c>
      <c r="R312" s="8">
        <f>IFERROR(Q312/Q444, "NA")</f>
        <v>1.6483120726894028E-3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-1467.12</v>
      </c>
      <c r="X312" s="8">
        <f>IFERROR(W312/W444, "NA")</f>
        <v>3.1119259952470144E-2</v>
      </c>
      <c r="Y312" s="9"/>
      <c r="Z312" s="7">
        <v>238.72</v>
      </c>
      <c r="AA312" s="8">
        <f>IFERROR(Z312/Z444, "NA")</f>
        <v>2.9373939129155726E-4</v>
      </c>
      <c r="AB312" s="9"/>
      <c r="AC312" s="10">
        <f t="shared" si="79"/>
        <v>-1228.3999999999999</v>
      </c>
      <c r="AD312" s="8">
        <f>IFERROR(AC312/AC444, "NA")</f>
        <v>-1.5874699974761243E-2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53.75</v>
      </c>
      <c r="R313" s="8">
        <f>IFERROR(Q313/Q444, "NA")</f>
        <v>6.0388225848639105E-5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-53.75</v>
      </c>
      <c r="X313" s="8">
        <f>IFERROR(W313/W444, "NA")</f>
        <v>1.1400977578148144E-3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-53.75</v>
      </c>
      <c r="AD313" s="8">
        <f>IFERROR(AC313/AC444, "NA")</f>
        <v>-6.9461504692560803E-4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8.0505063817276797E-3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3.4852100974582557E-2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0.1544354164316746</v>
      </c>
      <c r="P315" s="9"/>
      <c r="Q315" s="7">
        <v>6352.88</v>
      </c>
      <c r="R315" s="8">
        <f>IFERROR(Q315/Q444, "NA")</f>
        <v>7.1374725996149286E-3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-6352.88</v>
      </c>
      <c r="X315" s="8">
        <f>IFERROR(W315/W444, "NA")</f>
        <v>0.13475170685891308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-6352.88</v>
      </c>
      <c r="AD315" s="8">
        <f>IFERROR(AC315/AC444, "NA")</f>
        <v>-8.209871701046989E-2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4.9735911030910074E-3</v>
      </c>
      <c r="D318" s="9"/>
      <c r="E318" s="7">
        <v>718</v>
      </c>
      <c r="F318" s="8">
        <f>IFERROR(E318/E444, "NA")</f>
        <v>5.9130595767929381E-3</v>
      </c>
      <c r="G318" s="9"/>
      <c r="H318" s="10">
        <f t="shared" si="76"/>
        <v>227.39999999999998</v>
      </c>
      <c r="I318" s="8">
        <f>IFERROR(H318/H444, "NA")</f>
        <v>-9.9801888423770926E-3</v>
      </c>
      <c r="J318" s="9"/>
      <c r="K318" s="7">
        <v>490.6</v>
      </c>
      <c r="L318" s="8">
        <f>IFERROR(K318/K444, "NA")</f>
        <v>4.727170205684899E-3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3924.8</v>
      </c>
      <c r="R318" s="8">
        <f>IFERROR(Q318/Q444, "NA")</f>
        <v>4.4095201639207217E-3</v>
      </c>
      <c r="S318" s="9"/>
      <c r="T318" s="7">
        <v>5744</v>
      </c>
      <c r="U318" s="8">
        <f>IFERROR(T318/T444, "NA")</f>
        <v>6.1287686952652756E-3</v>
      </c>
      <c r="V318" s="9"/>
      <c r="W318" s="10">
        <f t="shared" si="78"/>
        <v>1819.1999999999998</v>
      </c>
      <c r="X318" s="8">
        <f>IFERROR(W318/W444, "NA")</f>
        <v>-3.8587271460776E-2</v>
      </c>
      <c r="Y318" s="9"/>
      <c r="Z318" s="7">
        <v>3924.8</v>
      </c>
      <c r="AA318" s="8">
        <f>IFERROR(Z318/Z444, "NA")</f>
        <v>4.8293748447599868E-3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160.1</v>
      </c>
      <c r="C319" s="8">
        <f>IFERROR(B319/B444, "NA")</f>
        <v>1.6230573493780476E-3</v>
      </c>
      <c r="D319" s="9"/>
      <c r="E319" s="7">
        <v>160</v>
      </c>
      <c r="F319" s="8">
        <f>IFERROR(E319/E444, "NA")</f>
        <v>1.3176734432964765E-3</v>
      </c>
      <c r="G319" s="9"/>
      <c r="H319" s="10">
        <f t="shared" si="76"/>
        <v>-9.9999999999994316E-2</v>
      </c>
      <c r="I319" s="8">
        <f>IFERROR(H319/H444, "NA")</f>
        <v>4.3888253484505388E-6</v>
      </c>
      <c r="J319" s="9"/>
      <c r="K319" s="7">
        <v>159.81</v>
      </c>
      <c r="L319" s="8">
        <f>IFERROR(K319/K444, "NA")</f>
        <v>1.5398472698135012E-3</v>
      </c>
      <c r="M319" s="9"/>
      <c r="N319" s="10">
        <f t="shared" si="77"/>
        <v>-0.28999999999999204</v>
      </c>
      <c r="O319" s="8">
        <f>IFERROR(N319/N444, "NA")</f>
        <v>5.6398069241269346E-5</v>
      </c>
      <c r="P319" s="9"/>
      <c r="Q319" s="7">
        <v>1411.31</v>
      </c>
      <c r="R319" s="8">
        <f>IFERROR(Q319/Q444, "NA")</f>
        <v>1.5856094329756809E-3</v>
      </c>
      <c r="S319" s="9"/>
      <c r="T319" s="7">
        <v>1280</v>
      </c>
      <c r="U319" s="8">
        <f>IFERROR(T319/T444, "NA")</f>
        <v>1.365742327635716E-3</v>
      </c>
      <c r="V319" s="9"/>
      <c r="W319" s="10">
        <f t="shared" si="78"/>
        <v>-131.30999999999995</v>
      </c>
      <c r="X319" s="8">
        <f>IFERROR(W319/W444, "NA")</f>
        <v>2.7852323084402459E-3</v>
      </c>
      <c r="Y319" s="9"/>
      <c r="Z319" s="7">
        <v>1277.76</v>
      </c>
      <c r="AA319" s="8">
        <f>IFERROR(Z319/Z444, "NA")</f>
        <v>1.5722538732267938E-3</v>
      </c>
      <c r="AB319" s="9"/>
      <c r="AC319" s="10">
        <f t="shared" si="79"/>
        <v>-133.54999999999995</v>
      </c>
      <c r="AD319" s="8">
        <f>IFERROR(AC319/AC444, "NA")</f>
        <v>-1.7258760840356264E-3</v>
      </c>
    </row>
    <row r="320" spans="1:30" ht="16.5" customHeight="1" x14ac:dyDescent="0.45">
      <c r="A320" s="6" t="s">
        <v>292</v>
      </c>
      <c r="B320" s="7">
        <v>1123.58</v>
      </c>
      <c r="C320" s="8">
        <f>IFERROR(B320/B444, "NA")</f>
        <v>1.1390598229944952E-2</v>
      </c>
      <c r="D320" s="9"/>
      <c r="E320" s="7">
        <v>827</v>
      </c>
      <c r="F320" s="8">
        <f>IFERROR(E320/E444, "NA")</f>
        <v>6.8107246100386626E-3</v>
      </c>
      <c r="G320" s="9"/>
      <c r="H320" s="10">
        <f t="shared" si="76"/>
        <v>-296.57999999999993</v>
      </c>
      <c r="I320" s="8">
        <f>IFERROR(H320/H444, "NA")</f>
        <v>1.3016378218435347E-2</v>
      </c>
      <c r="J320" s="9"/>
      <c r="K320" s="7">
        <v>653.91999999999996</v>
      </c>
      <c r="L320" s="8">
        <f>IFERROR(K320/K444, "NA")</f>
        <v>6.3008380368965939E-3</v>
      </c>
      <c r="M320" s="9"/>
      <c r="N320" s="10">
        <f t="shared" si="77"/>
        <v>-469.65999999999997</v>
      </c>
      <c r="O320" s="8">
        <f>IFERROR(N320/N444, "NA")</f>
        <v>9.1337645516742366E-2</v>
      </c>
      <c r="P320" s="9"/>
      <c r="Q320" s="7">
        <v>9286.31</v>
      </c>
      <c r="R320" s="8">
        <f>IFERROR(Q320/Q444, "NA")</f>
        <v>1.0433186708473968E-2</v>
      </c>
      <c r="S320" s="9"/>
      <c r="T320" s="7">
        <v>6616</v>
      </c>
      <c r="U320" s="8">
        <f>IFERROR(T320/T444, "NA")</f>
        <v>7.059180655967107E-3</v>
      </c>
      <c r="V320" s="9"/>
      <c r="W320" s="10">
        <f t="shared" si="78"/>
        <v>-2670.3099999999995</v>
      </c>
      <c r="X320" s="8">
        <f>IFERROR(W320/W444, "NA")</f>
        <v>5.6640268719450722E-2</v>
      </c>
      <c r="Y320" s="9"/>
      <c r="Z320" s="7">
        <v>6467.7</v>
      </c>
      <c r="AA320" s="8">
        <f>IFERROR(Z320/Z444, "NA")</f>
        <v>7.9583539756049124E-3</v>
      </c>
      <c r="AB320" s="9"/>
      <c r="AC320" s="10">
        <f t="shared" si="79"/>
        <v>-2818.6099999999997</v>
      </c>
      <c r="AD320" s="8">
        <f>IFERROR(AC320/AC444, "NA")</f>
        <v>-3.6425096137953264E-2</v>
      </c>
    </row>
    <row r="321" spans="1:30" ht="16.5" customHeight="1" x14ac:dyDescent="0.45">
      <c r="A321" s="6" t="s">
        <v>293</v>
      </c>
      <c r="B321" s="7">
        <v>1469.27</v>
      </c>
      <c r="C321" s="8">
        <f>IFERROR(B321/B444, "NA")</f>
        <v>1.4895124745288471E-2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-1469.27</v>
      </c>
      <c r="I321" s="8">
        <f>IFERROR(H321/H444, "NA")</f>
        <v>6.4483694197182903E-2</v>
      </c>
      <c r="J321" s="9"/>
      <c r="K321" s="7">
        <v>3970.92</v>
      </c>
      <c r="L321" s="8">
        <f>IFERROR(K321/K444, "NA")</f>
        <v>3.8261750332568852E-2</v>
      </c>
      <c r="M321" s="9"/>
      <c r="N321" s="10">
        <f t="shared" si="77"/>
        <v>2501.65</v>
      </c>
      <c r="O321" s="8">
        <f>IFERROR(N321/N444, "NA")</f>
        <v>-0.48651113764629428</v>
      </c>
      <c r="P321" s="9"/>
      <c r="Q321" s="7">
        <v>16767.669999999998</v>
      </c>
      <c r="R321" s="8">
        <f>IFERROR(Q321/Q444, "NA")</f>
        <v>1.8838508705403729E-2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-16767.669999999998</v>
      </c>
      <c r="X321" s="8">
        <f>IFERROR(W321/W444, "NA")</f>
        <v>0.35566107852611584</v>
      </c>
      <c r="Y321" s="9"/>
      <c r="Z321" s="7">
        <v>20628.38</v>
      </c>
      <c r="AA321" s="8">
        <f>IFERROR(Z321/Z444, "NA")</f>
        <v>2.5382740384261623E-2</v>
      </c>
      <c r="AB321" s="9"/>
      <c r="AC321" s="10">
        <f t="shared" si="79"/>
        <v>3860.7100000000028</v>
      </c>
      <c r="AD321" s="8">
        <f>IFERROR(AC321/AC444, "NA")</f>
        <v>4.9892228052393787E-2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3.4365020630366685E-3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1.4877240166178484E-2</v>
      </c>
      <c r="J322" s="9"/>
      <c r="K322" s="7">
        <v>155.97</v>
      </c>
      <c r="L322" s="8">
        <f>IFERROR(K322/K444, "NA")</f>
        <v>1.5028469975146223E-3</v>
      </c>
      <c r="M322" s="9"/>
      <c r="N322" s="10">
        <f t="shared" si="77"/>
        <v>-183.01000000000002</v>
      </c>
      <c r="O322" s="8">
        <f>IFERROR(N322/N444, "NA")</f>
        <v>3.5591071213258579E-2</v>
      </c>
      <c r="P322" s="9"/>
      <c r="Q322" s="7">
        <v>2792.13</v>
      </c>
      <c r="R322" s="8">
        <f>IFERROR(Q322/Q444, "NA")</f>
        <v>3.1369632937443851E-3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-2792.13</v>
      </c>
      <c r="X322" s="8">
        <f>IFERROR(W322/W444, "NA")</f>
        <v>5.922420748888331E-2</v>
      </c>
      <c r="Y322" s="9"/>
      <c r="Z322" s="7">
        <v>1597.76</v>
      </c>
      <c r="AA322" s="8">
        <f>IFERROR(Z322/Z444, "NA")</f>
        <v>1.966006408470168E-3</v>
      </c>
      <c r="AB322" s="9"/>
      <c r="AC322" s="10">
        <f t="shared" si="79"/>
        <v>-1194.3700000000001</v>
      </c>
      <c r="AD322" s="8">
        <f>IFERROR(AC322/AC444, "NA")</f>
        <v>-1.5434927880865834E-2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4930.99</v>
      </c>
      <c r="C324" s="15">
        <f>IFERROR(B324/B444, "NA")</f>
        <v>4.9989253961334537E-2</v>
      </c>
      <c r="D324" s="2"/>
      <c r="E324" s="14">
        <f>IFERROR(E297+E298+E299+E300+E301+E302+E303+E304+E305+E306+E307+E308+E309+E310+E311+E312+E313+E314+E315+E316+E317+E318+E319+E320+E321+E322+E323, "NA")</f>
        <v>3283.54</v>
      </c>
      <c r="F324" s="15">
        <f>IFERROR(E324/E444, "NA")</f>
        <v>2.7041459112510699E-2</v>
      </c>
      <c r="G324" s="2"/>
      <c r="H324" s="14">
        <f t="shared" si="76"/>
        <v>-1647.4499999999998</v>
      </c>
      <c r="I324" s="15">
        <f>IFERROR(H324/H444, "NA")</f>
        <v>7.2303703203052516E-2</v>
      </c>
      <c r="J324" s="2"/>
      <c r="K324" s="14">
        <f>IFERROR(K297+K298+K299+K300+K301+K302+K303+K304+K305+K306+K307+K308+K309+K310+K311+K312+K313+K314+K315+K316+K317+K318+K319+K320+K321+K322+K323, "NA")</f>
        <v>5779.97</v>
      </c>
      <c r="L324" s="15">
        <f>IFERROR(K324/K444, "NA")</f>
        <v>5.569282913524775E-2</v>
      </c>
      <c r="M324" s="2"/>
      <c r="N324" s="14">
        <f t="shared" si="77"/>
        <v>848.98000000000047</v>
      </c>
      <c r="O324" s="15">
        <f>IFERROR(N324/N444, "NA")</f>
        <v>-0.1651063200843248</v>
      </c>
      <c r="P324" s="2"/>
      <c r="Q324" s="14">
        <f>IFERROR(Q297+Q298+Q299+Q300+Q301+Q302+Q303+Q304+Q305+Q306+Q307+Q308+Q309+Q310+Q311+Q312+Q313+Q314+Q315+Q316+Q317+Q318+Q319+Q320+Q321+Q322+Q323, "NA")</f>
        <v>45142.85</v>
      </c>
      <c r="R324" s="15">
        <f>IFERROR(Q324/Q444, "NA")</f>
        <v>5.0718076674441635E-2</v>
      </c>
      <c r="S324" s="2"/>
      <c r="T324" s="14">
        <f>IFERROR(T297+T298+T299+T300+T301+T302+T303+T304+T305+T306+T307+T308+T309+T310+T311+T312+T313+T314+T315+T316+T317+T318+T319+T320+T321+T322+T323, "NA")</f>
        <v>25823.85</v>
      </c>
      <c r="U324" s="15">
        <f>IFERROR(T324/T444, "NA")</f>
        <v>2.7553691412121547E-2</v>
      </c>
      <c r="V324" s="2"/>
      <c r="W324" s="14">
        <f t="shared" si="78"/>
        <v>-19319</v>
      </c>
      <c r="X324" s="15">
        <f>IFERROR(W324/W444, "NA")</f>
        <v>0.40977764805998879</v>
      </c>
      <c r="Y324" s="2"/>
      <c r="Z324" s="14">
        <f>IFERROR(Z297+Z298+Z299+Z300+Z301+Z302+Z303+Z304+Z305+Z306+Z307+Z308+Z309+Z310+Z311+Z312+Z313+Z314+Z315+Z316+Z317+Z318+Z319+Z320+Z321+Z322+Z323, "NA")</f>
        <v>36523.090000000004</v>
      </c>
      <c r="AA324" s="15">
        <f>IFERROR(Z324/Z444, "NA")</f>
        <v>4.4940810257568548E-2</v>
      </c>
      <c r="AB324" s="2"/>
      <c r="AC324" s="14">
        <f t="shared" si="79"/>
        <v>-8619.7599999999948</v>
      </c>
      <c r="AD324" s="15">
        <f>IFERROR(AC324/AC444, "NA")</f>
        <v>-0.11139376738395303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23040.409999999996</v>
      </c>
      <c r="C325" s="15">
        <f>IFERROR(B325/B444, "NA")</f>
        <v>0.23357843087559935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21984.880000000001</v>
      </c>
      <c r="F325" s="15">
        <f>IFERROR(E325/E444, "NA")</f>
        <v>0.181055578312874</v>
      </c>
      <c r="G325" s="2"/>
      <c r="H325" s="14">
        <f t="shared" si="76"/>
        <v>-1055.5299999999952</v>
      </c>
      <c r="I325" s="15">
        <f>IFERROR(H325/H444, "NA")</f>
        <v>4.6325368200502398E-2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22795.700000000004</v>
      </c>
      <c r="L325" s="15">
        <f>IFERROR(K325/K444, "NA")</f>
        <v>0.21964768417800912</v>
      </c>
      <c r="M325" s="2"/>
      <c r="N325" s="14">
        <f t="shared" si="77"/>
        <v>-244.70999999999185</v>
      </c>
      <c r="O325" s="15">
        <f>IFERROR(N325/N444, "NA")</f>
        <v>4.7590246634589453E-2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209776.99999999994</v>
      </c>
      <c r="R325" s="15">
        <f>IFERROR(Q325/Q444, "NA")</f>
        <v>0.23568485309488302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171658.19</v>
      </c>
      <c r="U325" s="15">
        <f>IFERROR(T325/T444, "NA")</f>
        <v>0.18315691872526094</v>
      </c>
      <c r="V325" s="2"/>
      <c r="W325" s="14">
        <f t="shared" si="78"/>
        <v>-38118.809999999939</v>
      </c>
      <c r="X325" s="15">
        <f>IFERROR(W325/W444, "NA")</f>
        <v>0.80854269416872282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150917.74999999997</v>
      </c>
      <c r="AA325" s="15">
        <f>IFERROR(Z325/Z444, "NA")</f>
        <v>0.18570077086164297</v>
      </c>
      <c r="AB325" s="2"/>
      <c r="AC325" s="14">
        <f t="shared" si="79"/>
        <v>-58859.249999999971</v>
      </c>
      <c r="AD325" s="15">
        <f>IFERROR(AC325/AC444, "NA")</f>
        <v>-0.7606422455954619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13526.48</v>
      </c>
      <c r="C329" s="8">
        <f>IFERROR(B329/B444, "NA")</f>
        <v>0.13712837461096297</v>
      </c>
      <c r="D329" s="9"/>
      <c r="E329" s="7">
        <v>12484</v>
      </c>
      <c r="F329" s="8">
        <f>IFERROR(E329/E444, "NA")</f>
        <v>0.10281147041320757</v>
      </c>
      <c r="G329" s="9"/>
      <c r="H329" s="10">
        <f t="shared" si="80"/>
        <v>-1042.4799999999996</v>
      </c>
      <c r="I329" s="8">
        <f>IFERROR(H329/H444, "NA")</f>
        <v>4.5752626492529765E-2</v>
      </c>
      <c r="J329" s="9"/>
      <c r="K329" s="7">
        <v>13132.5</v>
      </c>
      <c r="L329" s="8">
        <f>IFERROR(K329/K444, "NA")</f>
        <v>0.12653804061589266</v>
      </c>
      <c r="M329" s="9"/>
      <c r="N329" s="10">
        <f t="shared" si="81"/>
        <v>-393.97999999999956</v>
      </c>
      <c r="O329" s="8">
        <f>IFERROR(N329/N444, "NA")</f>
        <v>7.661969420577891E-2</v>
      </c>
      <c r="P329" s="9"/>
      <c r="Q329" s="7">
        <v>105847.96</v>
      </c>
      <c r="R329" s="8">
        <f>IFERROR(Q329/Q444, "NA")</f>
        <v>0.11892038165763197</v>
      </c>
      <c r="S329" s="9"/>
      <c r="T329" s="7">
        <v>103760</v>
      </c>
      <c r="U329" s="8">
        <f>IFERROR(T329/T444, "NA")</f>
        <v>0.11071048743397023</v>
      </c>
      <c r="V329" s="9"/>
      <c r="W329" s="10">
        <f t="shared" si="82"/>
        <v>-2087.9600000000064</v>
      </c>
      <c r="X329" s="8">
        <f>IFERROR(W329/W444, "NA")</f>
        <v>4.4287972361060968E-2</v>
      </c>
      <c r="Y329" s="9"/>
      <c r="Z329" s="7">
        <v>102765</v>
      </c>
      <c r="AA329" s="8">
        <f>IFERROR(Z329/Z444, "NA")</f>
        <v>0.12644993526339177</v>
      </c>
      <c r="AB329" s="9"/>
      <c r="AC329" s="10">
        <f t="shared" si="83"/>
        <v>-3082.9600000000064</v>
      </c>
      <c r="AD329" s="8">
        <f>IFERROR(AC329/AC444, "NA")</f>
        <v>-3.9841309861763291E-2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2.1552903964882755E-2</v>
      </c>
      <c r="D330" s="9"/>
      <c r="E330" s="7">
        <v>1875</v>
      </c>
      <c r="F330" s="8">
        <f>IFERROR(E330/E444, "NA")</f>
        <v>1.5441485663630582E-2</v>
      </c>
      <c r="G330" s="9"/>
      <c r="H330" s="10">
        <f t="shared" si="80"/>
        <v>-251</v>
      </c>
      <c r="I330" s="8">
        <f>IFERROR(H330/H444, "NA")</f>
        <v>1.101595162461148E-2</v>
      </c>
      <c r="J330" s="9"/>
      <c r="K330" s="7">
        <v>2239.62</v>
      </c>
      <c r="L330" s="8">
        <f>IFERROR(K330/K444, "NA")</f>
        <v>2.1579830689066475E-2</v>
      </c>
      <c r="M330" s="9"/>
      <c r="N330" s="10">
        <f t="shared" si="81"/>
        <v>113.61999999999989</v>
      </c>
      <c r="O330" s="8">
        <f>IFERROR(N330/N444, "NA")</f>
        <v>-2.2096374576528251E-2</v>
      </c>
      <c r="P330" s="9"/>
      <c r="Q330" s="7">
        <v>17099.78</v>
      </c>
      <c r="R330" s="8">
        <f>IFERROR(Q330/Q444, "NA")</f>
        <v>1.921163491352636E-2</v>
      </c>
      <c r="S330" s="9"/>
      <c r="T330" s="7">
        <v>15000</v>
      </c>
      <c r="U330" s="8">
        <f>IFERROR(T330/T444, "NA")</f>
        <v>1.6004792901981046E-2</v>
      </c>
      <c r="V330" s="9"/>
      <c r="W330" s="10">
        <f t="shared" si="82"/>
        <v>-2099.7799999999988</v>
      </c>
      <c r="X330" s="8">
        <f>IFERROR(W330/W444, "NA")</f>
        <v>4.4538687812174689E-2</v>
      </c>
      <c r="Y330" s="9"/>
      <c r="Z330" s="7">
        <v>16458.48</v>
      </c>
      <c r="AA330" s="8">
        <f>IFERROR(Z330/Z444, "NA")</f>
        <v>2.0251775707038663E-2</v>
      </c>
      <c r="AB330" s="9"/>
      <c r="AC330" s="10">
        <f t="shared" si="83"/>
        <v>-641.29999999999927</v>
      </c>
      <c r="AD330" s="8">
        <f>IFERROR(AC330/AC444, "NA")</f>
        <v>-8.2875652017375245E-3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1.8247990186636388E-3</v>
      </c>
      <c r="D332" s="9"/>
      <c r="E332" s="7">
        <v>180</v>
      </c>
      <c r="F332" s="8">
        <f>IFERROR(E332/E444, "NA")</f>
        <v>1.482382623708536E-3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1.7343877640099508E-3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1440</v>
      </c>
      <c r="R332" s="8">
        <f>IFERROR(Q332/Q444, "NA")</f>
        <v>1.6178427018054011E-3</v>
      </c>
      <c r="S332" s="9"/>
      <c r="T332" s="7">
        <v>1440</v>
      </c>
      <c r="U332" s="8">
        <f>IFERROR(T332/T444, "NA")</f>
        <v>1.5364601185901806E-3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1440</v>
      </c>
      <c r="AA332" s="8">
        <f>IFERROR(Z332/Z444, "NA")</f>
        <v>1.7718864085951847E-3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1024.7</v>
      </c>
      <c r="C333" s="8">
        <f>IFERROR(B333/B444, "NA")</f>
        <v>1.0388175302359061E-2</v>
      </c>
      <c r="D333" s="9"/>
      <c r="E333" s="7">
        <v>1254</v>
      </c>
      <c r="F333" s="8">
        <f>IFERROR(E333/E444, "NA")</f>
        <v>1.0327265611836134E-2</v>
      </c>
      <c r="G333" s="9"/>
      <c r="H333" s="10">
        <f t="shared" si="80"/>
        <v>229.29999999999995</v>
      </c>
      <c r="I333" s="8">
        <f>IFERROR(H333/H444, "NA")</f>
        <v>-1.0063576523997657E-2</v>
      </c>
      <c r="J333" s="9"/>
      <c r="K333" s="7">
        <v>1254</v>
      </c>
      <c r="L333" s="8">
        <f>IFERROR(K333/K444, "NA")</f>
        <v>1.2082901422602656E-2</v>
      </c>
      <c r="M333" s="9"/>
      <c r="N333" s="10">
        <f t="shared" si="81"/>
        <v>229.29999999999995</v>
      </c>
      <c r="O333" s="8">
        <f>IFERROR(N333/N444, "NA")</f>
        <v>-4.4593369920770391E-2</v>
      </c>
      <c r="P333" s="9"/>
      <c r="Q333" s="7">
        <v>8197.5400000000009</v>
      </c>
      <c r="R333" s="8">
        <f>IFERROR(Q333/Q444, "NA")</f>
        <v>9.209951570665174E-3</v>
      </c>
      <c r="S333" s="9"/>
      <c r="T333" s="7">
        <v>10032</v>
      </c>
      <c r="U333" s="8">
        <f>IFERROR(T333/T444, "NA")</f>
        <v>1.0704005492844924E-2</v>
      </c>
      <c r="V333" s="9"/>
      <c r="W333" s="10">
        <f t="shared" si="82"/>
        <v>1834.4599999999991</v>
      </c>
      <c r="X333" s="8">
        <f>IFERROR(W333/W444, "NA")</f>
        <v>-3.8910953168390015E-2</v>
      </c>
      <c r="Y333" s="9"/>
      <c r="Z333" s="7">
        <v>6525.41</v>
      </c>
      <c r="AA333" s="8">
        <f>IFERROR(Z333/Z444, "NA")</f>
        <v>8.0293647843827105E-3</v>
      </c>
      <c r="AB333" s="9"/>
      <c r="AC333" s="10">
        <f t="shared" si="83"/>
        <v>-1672.130000000001</v>
      </c>
      <c r="AD333" s="8">
        <f>IFERROR(AC333/AC444, "NA")</f>
        <v>-2.1609054110059863E-2</v>
      </c>
    </row>
    <row r="334" spans="1:30" ht="16.5" customHeight="1" x14ac:dyDescent="0.45">
      <c r="A334" s="6" t="s">
        <v>305</v>
      </c>
      <c r="B334" s="7">
        <v>-1041.54</v>
      </c>
      <c r="C334" s="8">
        <f>IFERROR(B334/B444, "NA")</f>
        <v>-1.0558895388327369E-2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1041.54</v>
      </c>
      <c r="I334" s="8">
        <f>IFERROR(H334/H444, "NA")</f>
        <v>-4.5711371534254343E-2</v>
      </c>
      <c r="J334" s="9"/>
      <c r="K334" s="7">
        <v>-1011.2</v>
      </c>
      <c r="L334" s="8">
        <f>IFERROR(K334/K444, "NA")</f>
        <v>-9.7434050387047895E-3</v>
      </c>
      <c r="M334" s="9"/>
      <c r="N334" s="10">
        <f t="shared" si="81"/>
        <v>30.339999999999918</v>
      </c>
      <c r="O334" s="8">
        <f>IFERROR(N334/N444, "NA")</f>
        <v>-5.9004048992419116E-3</v>
      </c>
      <c r="P334" s="9"/>
      <c r="Q334" s="7">
        <v>-2083.08</v>
      </c>
      <c r="R334" s="8">
        <f>IFERROR(Q334/Q444, "NA")</f>
        <v>-2.3403442883866629E-3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2083.08</v>
      </c>
      <c r="X334" s="8">
        <f>IFERROR(W334/W444, "NA")</f>
        <v>-4.4184462090211783E-2</v>
      </c>
      <c r="Y334" s="9"/>
      <c r="Z334" s="7">
        <v>-2022.4</v>
      </c>
      <c r="AA334" s="8">
        <f>IFERROR(Z334/Z444, "NA")</f>
        <v>-2.4885160227381261E-3</v>
      </c>
      <c r="AB334" s="9"/>
      <c r="AC334" s="10">
        <f t="shared" si="83"/>
        <v>60.679999999999836</v>
      </c>
      <c r="AD334" s="8">
        <f>IFERROR(AC334/AC444, "NA")</f>
        <v>7.8417192646410754E-4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1372.81</v>
      </c>
      <c r="F337" s="8">
        <f>IFERROR(E337/E444, "NA")</f>
        <v>1.1305720498073973E-2</v>
      </c>
      <c r="G337" s="9"/>
      <c r="H337" s="10">
        <f t="shared" ref="H337:H344" si="84">IFERROR(-(B337-E337), "NA")</f>
        <v>1372.81</v>
      </c>
      <c r="I337" s="8">
        <f>IFERROR(H337/H444, "NA")</f>
        <v>-6.0250233266067273E-2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11505.68</v>
      </c>
      <c r="U337" s="8">
        <f>IFERROR(T337/T444, "NA")</f>
        <v>1.2276401706431019E-2</v>
      </c>
      <c r="V337" s="9"/>
      <c r="W337" s="10">
        <f t="shared" ref="W337:W344" si="86">IFERROR(-(Q337-T337), "NA")</f>
        <v>11505.68</v>
      </c>
      <c r="X337" s="8">
        <f>IFERROR(W337/W444, "NA")</f>
        <v>-0.24404837153739076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592.09</v>
      </c>
      <c r="C338" s="8">
        <f>IFERROR(B338/B444, "NA")</f>
        <v>6.0024736164475219E-3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-592.09</v>
      </c>
      <c r="I338" s="8">
        <f>IFERROR(H338/H444, "NA")</f>
        <v>2.5985796005642277E-2</v>
      </c>
      <c r="J338" s="9"/>
      <c r="K338" s="7">
        <v>400</v>
      </c>
      <c r="L338" s="8">
        <f>IFERROR(K338/K444, "NA")</f>
        <v>3.854195031133224E-3</v>
      </c>
      <c r="M338" s="9"/>
      <c r="N338" s="10">
        <f t="shared" si="85"/>
        <v>-192.09000000000003</v>
      </c>
      <c r="O338" s="8">
        <f>IFERROR(N338/N444, "NA")</f>
        <v>3.7356914208812854E-2</v>
      </c>
      <c r="P338" s="9"/>
      <c r="Q338" s="7">
        <v>3261.14</v>
      </c>
      <c r="R338" s="8">
        <f>IFERROR(Q338/Q444, "NA")</f>
        <v>3.6638969087261566E-3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-3261.14</v>
      </c>
      <c r="X338" s="8">
        <f>IFERROR(W338/W444, "NA")</f>
        <v>6.9172435384561928E-2</v>
      </c>
      <c r="Y338" s="9"/>
      <c r="Z338" s="7">
        <v>3074.69</v>
      </c>
      <c r="AA338" s="8">
        <f>IFERROR(Z338/Z444, "NA")</f>
        <v>3.7833343205857834E-3</v>
      </c>
      <c r="AB338" s="9"/>
      <c r="AC338" s="10">
        <f t="shared" si="87"/>
        <v>-186.44999999999982</v>
      </c>
      <c r="AD338" s="8">
        <f>IFERROR(AC338/AC444, "NA")</f>
        <v>-2.409506520916828E-3</v>
      </c>
    </row>
    <row r="339" spans="1:30" ht="16.5" customHeight="1" x14ac:dyDescent="0.45">
      <c r="A339" s="12" t="s">
        <v>309</v>
      </c>
      <c r="B339" s="7">
        <v>317.66000000000003</v>
      </c>
      <c r="C339" s="8">
        <f>IFERROR(B339/B444, "NA")</f>
        <v>3.2203647570482863E-3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-317.66000000000003</v>
      </c>
      <c r="I339" s="8">
        <f>IFERROR(H339/H444, "NA")</f>
        <v>1.3941542601888776E-2</v>
      </c>
      <c r="J339" s="9"/>
      <c r="K339" s="7">
        <v>320.98</v>
      </c>
      <c r="L339" s="8">
        <f>IFERROR(K339/K444, "NA")</f>
        <v>3.0927988027328558E-3</v>
      </c>
      <c r="M339" s="9"/>
      <c r="N339" s="10">
        <f t="shared" si="85"/>
        <v>3.3199999999999932</v>
      </c>
      <c r="O339" s="8">
        <f>IFERROR(N339/N444, "NA")</f>
        <v>-6.4566065476213443E-4</v>
      </c>
      <c r="P339" s="9"/>
      <c r="Q339" s="7">
        <v>2752.31</v>
      </c>
      <c r="R339" s="8">
        <f>IFERROR(Q339/Q444, "NA")</f>
        <v>3.092225449031961E-3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-2752.31</v>
      </c>
      <c r="X339" s="8">
        <f>IFERROR(W339/W444, "NA")</f>
        <v>5.8379580647651939E-2</v>
      </c>
      <c r="Y339" s="9"/>
      <c r="Z339" s="7">
        <v>2650.21</v>
      </c>
      <c r="AA339" s="8">
        <f>IFERROR(Z339/Z444, "NA")</f>
        <v>3.2610215825854476E-3</v>
      </c>
      <c r="AB339" s="9"/>
      <c r="AC339" s="10">
        <f t="shared" si="87"/>
        <v>-102.09999999999991</v>
      </c>
      <c r="AD339" s="8">
        <f>IFERROR(AC339/AC444, "NA")</f>
        <v>-1.3194455123926422E-3</v>
      </c>
    </row>
    <row r="340" spans="1:30" ht="16.5" customHeight="1" x14ac:dyDescent="0.45">
      <c r="A340" s="12" t="s">
        <v>310</v>
      </c>
      <c r="B340" s="7">
        <v>1025.1500000000001</v>
      </c>
      <c r="C340" s="8">
        <f>IFERROR(B340/B444, "NA")</f>
        <v>1.0392737299905719E-2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-1025.1500000000001</v>
      </c>
      <c r="I340" s="8">
        <f>IFERROR(H340/H444, "NA")</f>
        <v>4.4992043059643265E-2</v>
      </c>
      <c r="J340" s="9"/>
      <c r="K340" s="7">
        <v>375</v>
      </c>
      <c r="L340" s="8">
        <f>IFERROR(K340/K444, "NA")</f>
        <v>3.6133078416873974E-3</v>
      </c>
      <c r="M340" s="9"/>
      <c r="N340" s="10">
        <f t="shared" si="85"/>
        <v>-650.15000000000009</v>
      </c>
      <c r="O340" s="8">
        <f>IFERROR(N340/N444, "NA")</f>
        <v>0.1264386369559044</v>
      </c>
      <c r="P340" s="9"/>
      <c r="Q340" s="7">
        <v>4754.33</v>
      </c>
      <c r="R340" s="8">
        <f>IFERROR(Q340/Q444, "NA")</f>
        <v>5.3414986753294947E-3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-4754.33</v>
      </c>
      <c r="X340" s="8">
        <f>IFERROR(W340/W444, "NA")</f>
        <v>0.1008446692634736</v>
      </c>
      <c r="Y340" s="9"/>
      <c r="Z340" s="7">
        <v>3071.05</v>
      </c>
      <c r="AA340" s="8">
        <f>IFERROR(Z340/Z444, "NA")</f>
        <v>3.7788553854973903E-3</v>
      </c>
      <c r="AB340" s="9"/>
      <c r="AC340" s="10">
        <f t="shared" si="87"/>
        <v>-1683.2799999999997</v>
      </c>
      <c r="AD340" s="8">
        <f>IFERROR(AC340/AC444, "NA")</f>
        <v>-2.1753146347701161E-2</v>
      </c>
    </row>
    <row r="341" spans="1:30" ht="16.5" customHeight="1" x14ac:dyDescent="0.45">
      <c r="A341" s="12" t="s">
        <v>311</v>
      </c>
      <c r="B341" s="7">
        <v>471.16</v>
      </c>
      <c r="C341" s="8">
        <f>IFERROR(B341/B444, "NA")</f>
        <v>4.7765128090753338E-3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-471.16</v>
      </c>
      <c r="I341" s="8">
        <f>IFERROR(H341/H444, "NA")</f>
        <v>2.0678389511760736E-2</v>
      </c>
      <c r="J341" s="9"/>
      <c r="K341" s="7">
        <v>440.26</v>
      </c>
      <c r="L341" s="8">
        <f>IFERROR(K341/K444, "NA")</f>
        <v>4.2421197610167825E-3</v>
      </c>
      <c r="M341" s="9"/>
      <c r="N341" s="10">
        <f t="shared" si="85"/>
        <v>-30.900000000000034</v>
      </c>
      <c r="O341" s="8">
        <f>IFERROR(N341/N444, "NA")</f>
        <v>6.0093115157078365E-3</v>
      </c>
      <c r="P341" s="9"/>
      <c r="Q341" s="7">
        <v>3771.88</v>
      </c>
      <c r="R341" s="8">
        <f>IFERROR(Q341/Q444, "NA")</f>
        <v>4.237714257003998E-3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-3771.88</v>
      </c>
      <c r="X341" s="8">
        <f>IFERROR(W341/W444, "NA")</f>
        <v>8.0005803362726363E-2</v>
      </c>
      <c r="Y341" s="9"/>
      <c r="Z341" s="7">
        <v>3524.63</v>
      </c>
      <c r="AA341" s="8">
        <f>IFERROR(Z341/Z444, "NA")</f>
        <v>4.3369749946714203E-3</v>
      </c>
      <c r="AB341" s="9"/>
      <c r="AC341" s="10">
        <f t="shared" si="87"/>
        <v>-247.25</v>
      </c>
      <c r="AD341" s="8">
        <f>IFERROR(AC341/AC444, "NA")</f>
        <v>-3.1952292158577969E-3</v>
      </c>
    </row>
    <row r="342" spans="1:30" ht="16.5" customHeight="1" x14ac:dyDescent="0.45">
      <c r="A342" s="13" t="s">
        <v>312</v>
      </c>
      <c r="B342" s="14">
        <f>IFERROR(B337+B338+B339+B340+B341, "NA")</f>
        <v>2406.06</v>
      </c>
      <c r="C342" s="15">
        <f>IFERROR(B342/B444, "NA")</f>
        <v>2.439208848247686E-2</v>
      </c>
      <c r="D342" s="2"/>
      <c r="E342" s="14">
        <f>IFERROR(E337+E338+E339+E340+E341, "NA")</f>
        <v>1372.81</v>
      </c>
      <c r="F342" s="15">
        <f>IFERROR(E342/E444, "NA")</f>
        <v>1.1305720498073973E-2</v>
      </c>
      <c r="G342" s="2"/>
      <c r="H342" s="14">
        <f t="shared" si="84"/>
        <v>-1033.25</v>
      </c>
      <c r="I342" s="15">
        <f>IFERROR(H342/H444, "NA")</f>
        <v>4.5347537912867775E-2</v>
      </c>
      <c r="J342" s="2"/>
      <c r="K342" s="14">
        <f>IFERROR(K337+K338+K339+K340+K341, "NA")</f>
        <v>1536.24</v>
      </c>
      <c r="L342" s="15">
        <f>IFERROR(K342/K444, "NA")</f>
        <v>1.4802421436570259E-2</v>
      </c>
      <c r="M342" s="2"/>
      <c r="N342" s="14">
        <f t="shared" si="85"/>
        <v>-869.81999999999994</v>
      </c>
      <c r="O342" s="15">
        <f>IFERROR(N342/N444, "NA")</f>
        <v>0.16915920202566292</v>
      </c>
      <c r="P342" s="2"/>
      <c r="Q342" s="14">
        <f>IFERROR(Q337+Q338+Q339+Q340+Q341, "NA")</f>
        <v>14539.66</v>
      </c>
      <c r="R342" s="15">
        <f>IFERROR(Q342/Q444, "NA")</f>
        <v>1.633533529009161E-2</v>
      </c>
      <c r="S342" s="2"/>
      <c r="T342" s="14">
        <f>IFERROR(T337+T338+T339+T340+T341, "NA")</f>
        <v>11505.68</v>
      </c>
      <c r="U342" s="15">
        <f>IFERROR(T342/T444, "NA")</f>
        <v>1.2276401706431019E-2</v>
      </c>
      <c r="V342" s="2"/>
      <c r="W342" s="14">
        <f t="shared" si="86"/>
        <v>-3033.9799999999996</v>
      </c>
      <c r="X342" s="15">
        <f>IFERROR(W342/W444, "NA")</f>
        <v>6.4354117121023069E-2</v>
      </c>
      <c r="Y342" s="2"/>
      <c r="Z342" s="14">
        <f>IFERROR(Z337+Z338+Z339+Z340+Z341, "NA")</f>
        <v>12320.580000000002</v>
      </c>
      <c r="AA342" s="15">
        <f>IFERROR(Z342/Z444, "NA")</f>
        <v>1.5160186283340043E-2</v>
      </c>
      <c r="AB342" s="2"/>
      <c r="AC342" s="14">
        <f t="shared" si="87"/>
        <v>-2219.0799999999981</v>
      </c>
      <c r="AD342" s="15">
        <f>IFERROR(AC342/AC444, "NA")</f>
        <v>-2.8677327596868408E-2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18221.7</v>
      </c>
      <c r="C343" s="15">
        <f>IFERROR(B343/B444, "NA")</f>
        <v>0.18472744599101795</v>
      </c>
      <c r="D343" s="2"/>
      <c r="E343" s="14">
        <f>IFERROR(E328+E329+E330+E331+E332+E333+E334+E335+E337+E338+E339+E340+E341, "NA")</f>
        <v>17165.810000000001</v>
      </c>
      <c r="F343" s="15">
        <f>IFERROR(E343/E444, "NA")</f>
        <v>0.1413683248104568</v>
      </c>
      <c r="G343" s="2"/>
      <c r="H343" s="14">
        <f t="shared" si="84"/>
        <v>-1055.8899999999994</v>
      </c>
      <c r="I343" s="15">
        <f>IFERROR(H343/H444, "NA")</f>
        <v>4.6341167971757004E-2</v>
      </c>
      <c r="J343" s="2"/>
      <c r="K343" s="14">
        <f>IFERROR(K328+K329+K330+K331+K332+K333+K334+K335+K337+K338+K339+K340+K341, "NA")</f>
        <v>17331.159999999996</v>
      </c>
      <c r="L343" s="15">
        <f>IFERROR(K343/K444, "NA")</f>
        <v>0.16699417688943716</v>
      </c>
      <c r="M343" s="2"/>
      <c r="N343" s="14">
        <f t="shared" si="85"/>
        <v>-890.54000000000451</v>
      </c>
      <c r="O343" s="15">
        <f>IFERROR(N343/N444, "NA")</f>
        <v>0.17318874683490221</v>
      </c>
      <c r="P343" s="2"/>
      <c r="Q343" s="14">
        <f>IFERROR(Q328+Q329+Q330+Q331+Q332+Q333+Q334+Q335+Q337+Q338+Q339+Q340+Q341, "NA")</f>
        <v>145041.85999999999</v>
      </c>
      <c r="R343" s="15">
        <f>IFERROR(Q343/Q444, "NA")</f>
        <v>0.16295480184533384</v>
      </c>
      <c r="S343" s="2"/>
      <c r="T343" s="14">
        <f>IFERROR(T328+T329+T330+T331+T332+T333+T334+T335+T337+T338+T339+T340+T341, "NA")</f>
        <v>141737.68</v>
      </c>
      <c r="U343" s="15">
        <f>IFERROR(T343/T444, "NA")</f>
        <v>0.1512321476538174</v>
      </c>
      <c r="V343" s="2"/>
      <c r="W343" s="14">
        <f t="shared" si="86"/>
        <v>-3304.179999999993</v>
      </c>
      <c r="X343" s="15">
        <f>IFERROR(W343/W444, "NA")</f>
        <v>7.0085362035656656E-2</v>
      </c>
      <c r="Y343" s="2"/>
      <c r="Z343" s="14">
        <f>IFERROR(Z328+Z329+Z330+Z331+Z332+Z333+Z334+Z335+Z337+Z338+Z339+Z340+Z341, "NA")</f>
        <v>137487.07</v>
      </c>
      <c r="AA343" s="15">
        <f>IFERROR(Z343/Z444, "NA")</f>
        <v>0.16917463242401026</v>
      </c>
      <c r="AB343" s="2"/>
      <c r="AC343" s="14">
        <f t="shared" si="87"/>
        <v>-7554.789999999979</v>
      </c>
      <c r="AD343" s="15">
        <f>IFERROR(AC343/AC444, "NA")</f>
        <v>-9.7631084843964641E-2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18221.7</v>
      </c>
      <c r="C344" s="15">
        <f>IFERROR(B344/B444, "NA")</f>
        <v>0.18472744599101795</v>
      </c>
      <c r="D344" s="2"/>
      <c r="E344" s="14">
        <f>IFERROR(E328+E329+E330+E331+E332+E333+E334+E335+E337+E338+E339+E340+E341, "NA")</f>
        <v>17165.810000000001</v>
      </c>
      <c r="F344" s="15">
        <f>IFERROR(E344/E444, "NA")</f>
        <v>0.1413683248104568</v>
      </c>
      <c r="G344" s="2"/>
      <c r="H344" s="14">
        <f t="shared" si="84"/>
        <v>-1055.8899999999994</v>
      </c>
      <c r="I344" s="15">
        <f>IFERROR(H344/H444, "NA")</f>
        <v>4.6341167971757004E-2</v>
      </c>
      <c r="J344" s="2"/>
      <c r="K344" s="14">
        <f>IFERROR(K328+K329+K330+K331+K332+K333+K334+K335+K337+K338+K339+K340+K341, "NA")</f>
        <v>17331.159999999996</v>
      </c>
      <c r="L344" s="15">
        <f>IFERROR(K344/K444, "NA")</f>
        <v>0.16699417688943716</v>
      </c>
      <c r="M344" s="2"/>
      <c r="N344" s="14">
        <f t="shared" si="85"/>
        <v>-890.54000000000451</v>
      </c>
      <c r="O344" s="15">
        <f>IFERROR(N344/N444, "NA")</f>
        <v>0.17318874683490221</v>
      </c>
      <c r="P344" s="2"/>
      <c r="Q344" s="14">
        <f>IFERROR(Q328+Q329+Q330+Q331+Q332+Q333+Q334+Q335+Q337+Q338+Q339+Q340+Q341, "NA")</f>
        <v>145041.85999999999</v>
      </c>
      <c r="R344" s="15">
        <f>IFERROR(Q344/Q444, "NA")</f>
        <v>0.16295480184533384</v>
      </c>
      <c r="S344" s="2"/>
      <c r="T344" s="14">
        <f>IFERROR(T328+T329+T330+T331+T332+T333+T334+T335+T337+T338+T339+T340+T341, "NA")</f>
        <v>141737.68</v>
      </c>
      <c r="U344" s="15">
        <f>IFERROR(T344/T444, "NA")</f>
        <v>0.1512321476538174</v>
      </c>
      <c r="V344" s="2"/>
      <c r="W344" s="14">
        <f t="shared" si="86"/>
        <v>-3304.179999999993</v>
      </c>
      <c r="X344" s="15">
        <f>IFERROR(W344/W444, "NA")</f>
        <v>7.0085362035656656E-2</v>
      </c>
      <c r="Y344" s="2"/>
      <c r="Z344" s="14">
        <f>IFERROR(Z328+Z329+Z330+Z331+Z332+Z333+Z334+Z335+Z337+Z338+Z339+Z340+Z341, "NA")</f>
        <v>137487.07</v>
      </c>
      <c r="AA344" s="15">
        <f>IFERROR(Z344/Z444, "NA")</f>
        <v>0.16917463242401026</v>
      </c>
      <c r="AB344" s="2"/>
      <c r="AC344" s="14">
        <f t="shared" si="87"/>
        <v>-7554.789999999979</v>
      </c>
      <c r="AD344" s="15">
        <f>IFERROR(AC344/AC444, "NA")</f>
        <v>-9.7631084843964641E-2</v>
      </c>
    </row>
    <row r="345" spans="1:30" ht="16.5" customHeight="1" x14ac:dyDescent="0.45">
      <c r="A345" s="22" t="s">
        <v>315</v>
      </c>
      <c r="B345" s="23">
        <f>IFERROR(B198-B325-B344, "NA")</f>
        <v>373.49000000003798</v>
      </c>
      <c r="C345" s="24">
        <f>IFERROR(B345/B444, "NA")</f>
        <v>3.7863565860041764E-3</v>
      </c>
      <c r="D345" s="25"/>
      <c r="E345" s="23">
        <f>IFERROR(E198-E325-E344, "NA")</f>
        <v>20390.749999999982</v>
      </c>
      <c r="F345" s="24">
        <f>IFERROR(E345/E444, "NA")</f>
        <v>0.16792718602436002</v>
      </c>
      <c r="G345" s="25"/>
      <c r="H345" s="23">
        <f>IFERROR(B345-E345, "NA")</f>
        <v>-20017.259999999944</v>
      </c>
      <c r="I345" s="24">
        <f>IFERROR(H345/H444, "NA")</f>
        <v>0.87852258094529789</v>
      </c>
      <c r="J345" s="25"/>
      <c r="K345" s="23">
        <f>IFERROR(K198-K325-K344, "NA")</f>
        <v>7151.7299999999814</v>
      </c>
      <c r="L345" s="24">
        <f>IFERROR(K345/K444, "NA")</f>
        <v>6.8910405575015848E-2</v>
      </c>
      <c r="M345" s="25"/>
      <c r="N345" s="23">
        <f>IFERROR(B345-K345, "NA")</f>
        <v>-6778.2399999999434</v>
      </c>
      <c r="O345" s="24">
        <f>IFERROR(N345/N444, "NA")</f>
        <v>1.3182056857032718</v>
      </c>
      <c r="P345" s="25"/>
      <c r="Q345" s="23">
        <f>IFERROR(Q198-Q325-Q344, "NA")</f>
        <v>28536.380000000179</v>
      </c>
      <c r="R345" s="24">
        <f>IFERROR(Q345/Q444, "NA")</f>
        <v>3.2060676471490211E-2</v>
      </c>
      <c r="S345" s="25"/>
      <c r="T345" s="23">
        <f>IFERROR(T198-T325-T344, "NA")</f>
        <v>124954.90999999992</v>
      </c>
      <c r="U345" s="24">
        <f>IFERROR(T345/T444, "NA")</f>
        <v>0.13332516377571194</v>
      </c>
      <c r="V345" s="25"/>
      <c r="W345" s="23">
        <f>IFERROR(Q345-T345, "NA")</f>
        <v>-96418.529999999737</v>
      </c>
      <c r="X345" s="24">
        <f>IFERROR(W345/W444, "NA")</f>
        <v>2.0451451137637231</v>
      </c>
      <c r="Y345" s="25"/>
      <c r="Z345" s="23">
        <f>IFERROR(Z198-Z325-Z344, "NA")</f>
        <v>52941.589999999764</v>
      </c>
      <c r="AA345" s="24">
        <f>IFERROR(Z345/Z444, "NA")</f>
        <v>6.5143391507234943E-2</v>
      </c>
      <c r="AB345" s="25"/>
      <c r="AC345" s="23">
        <f>IFERROR(Q345-Z345, "NA")</f>
        <v>-24405.209999999584</v>
      </c>
      <c r="AD345" s="24">
        <f>IFERROR(AC345/AC444, "NA")</f>
        <v>-0.31539025282565636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373.49000000003798</v>
      </c>
      <c r="C404" s="24">
        <f>IFERROR(B404/B444, "NA")</f>
        <v>3.7863565860041764E-3</v>
      </c>
      <c r="D404" s="25"/>
      <c r="E404" s="23">
        <f>IFERROR(E345-E403, "NA")</f>
        <v>20390.749999999982</v>
      </c>
      <c r="F404" s="24">
        <f>IFERROR(E404/E444, "NA")</f>
        <v>0.16792718602436002</v>
      </c>
      <c r="G404" s="25"/>
      <c r="H404" s="23">
        <f>IFERROR(B404-E404, "NA")</f>
        <v>-20017.259999999944</v>
      </c>
      <c r="I404" s="24">
        <f>IFERROR(H404/H444, "NA")</f>
        <v>0.87852258094529789</v>
      </c>
      <c r="J404" s="25"/>
      <c r="K404" s="23">
        <f>IFERROR(K345-K403, "NA")</f>
        <v>7151.7299999999814</v>
      </c>
      <c r="L404" s="24">
        <f>IFERROR(K404/K444, "NA")</f>
        <v>6.8910405575015848E-2</v>
      </c>
      <c r="M404" s="25"/>
      <c r="N404" s="23">
        <f>IFERROR(B404-K404, "NA")</f>
        <v>-6778.2399999999434</v>
      </c>
      <c r="O404" s="24">
        <f>IFERROR(N404/N444, "NA")</f>
        <v>1.3182056857032718</v>
      </c>
      <c r="P404" s="25"/>
      <c r="Q404" s="23">
        <f>IFERROR(Q345-Q403, "NA")</f>
        <v>28536.380000000179</v>
      </c>
      <c r="R404" s="24">
        <f>IFERROR(Q404/Q444, "NA")</f>
        <v>3.2060676471490211E-2</v>
      </c>
      <c r="S404" s="25"/>
      <c r="T404" s="23">
        <f>IFERROR(T345-T403, "NA")</f>
        <v>124954.90999999992</v>
      </c>
      <c r="U404" s="24">
        <f>IFERROR(T404/T444, "NA")</f>
        <v>0.13332516377571194</v>
      </c>
      <c r="V404" s="25"/>
      <c r="W404" s="23">
        <f>IFERROR(Q404-T404, "NA")</f>
        <v>-96418.529999999737</v>
      </c>
      <c r="X404" s="24">
        <f>IFERROR(W404/W444, "NA")</f>
        <v>2.0451451137637231</v>
      </c>
      <c r="Y404" s="25"/>
      <c r="Z404" s="23">
        <f>IFERROR(Z345-Z403, "NA")</f>
        <v>52941.589999999764</v>
      </c>
      <c r="AA404" s="24">
        <f>IFERROR(Z404/Z444, "NA")</f>
        <v>6.5143391507234943E-2</v>
      </c>
      <c r="AB404" s="25"/>
      <c r="AC404" s="23">
        <f>IFERROR(Q404-Z404, "NA")</f>
        <v>-24405.209999999584</v>
      </c>
      <c r="AD404" s="24">
        <f>IFERROR(AC404/AC444, "NA")</f>
        <v>-0.31539025282565636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1565</v>
      </c>
      <c r="AA408" s="8">
        <f>IFERROR(Z408/Z444, "NA")</f>
        <v>1.9256959926746277E-3</v>
      </c>
      <c r="AB408" s="9"/>
      <c r="AC408" s="10">
        <f t="shared" si="103"/>
        <v>1565</v>
      </c>
      <c r="AD408" s="8">
        <f>IFERROR(AC408/AC444, "NA")</f>
        <v>2.022460555234561E-2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8434.2199999999993</v>
      </c>
      <c r="C410" s="8">
        <f>IFERROR(B410/B444, "NA")</f>
        <v>8.5504202106629082E-2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-8434.2199999999993</v>
      </c>
      <c r="I410" s="8">
        <f>IFERROR(H410/H444, "NA")</f>
        <v>0.37016318530410608</v>
      </c>
      <c r="J410" s="9"/>
      <c r="K410" s="7">
        <v>8357.0499999999993</v>
      </c>
      <c r="L410" s="8">
        <f>IFERROR(K410/K444, "NA")</f>
        <v>8.0524251462329763E-2</v>
      </c>
      <c r="M410" s="9"/>
      <c r="N410" s="10">
        <f t="shared" si="101"/>
        <v>-77.170000000000073</v>
      </c>
      <c r="O410" s="8">
        <f>IFERROR(N410/N444, "NA")</f>
        <v>1.5007720701203032E-2</v>
      </c>
      <c r="P410" s="9"/>
      <c r="Q410" s="7">
        <v>65291.12</v>
      </c>
      <c r="R410" s="8">
        <f>IFERROR(Q410/Q444, "NA")</f>
        <v>7.3354695822708801E-2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-65291.12</v>
      </c>
      <c r="X410" s="8">
        <f>IFERROR(W410/W444, "NA")</f>
        <v>1.3848978514831254</v>
      </c>
      <c r="Y410" s="9"/>
      <c r="Z410" s="7">
        <v>66856.820000000007</v>
      </c>
      <c r="AA410" s="8">
        <f>IFERROR(Z410/Z444, "NA")</f>
        <v>8.226575741659356E-2</v>
      </c>
      <c r="AB410" s="9"/>
      <c r="AC410" s="10">
        <f t="shared" si="103"/>
        <v>1565.7000000000044</v>
      </c>
      <c r="AD410" s="8">
        <f>IFERROR(AC410/AC444, "NA")</f>
        <v>2.0233651701794E-2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-35.79</v>
      </c>
      <c r="C416" s="8">
        <f>IFERROR(B416/B444, "NA")</f>
        <v>-3.6283087154428685E-4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35.79</v>
      </c>
      <c r="I416" s="8">
        <f>IFERROR(H416/H444, "NA")</f>
        <v>-1.5707605922105372E-3</v>
      </c>
      <c r="J416" s="9"/>
      <c r="K416" s="7">
        <v>-39.090000000000003</v>
      </c>
      <c r="L416" s="8">
        <f>IFERROR(K416/K444, "NA")</f>
        <v>-3.7665120941749434E-4</v>
      </c>
      <c r="M416" s="9"/>
      <c r="N416" s="10">
        <f t="shared" si="101"/>
        <v>-3.3000000000000043</v>
      </c>
      <c r="O416" s="8">
        <f>IFERROR(N416/N444, "NA")</f>
        <v>6.4177113274549718E-4</v>
      </c>
      <c r="P416" s="9"/>
      <c r="Q416" s="7">
        <v>-233.98</v>
      </c>
      <c r="R416" s="8">
        <f>IFERROR(Q416/Q444, "NA")</f>
        <v>-2.628769690058526E-4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233.98</v>
      </c>
      <c r="X416" s="8">
        <f>IFERROR(W416/W444, "NA")</f>
        <v>-4.9629781092746092E-3</v>
      </c>
      <c r="Y416" s="9"/>
      <c r="Z416" s="7">
        <v>-292.29000000000002</v>
      </c>
      <c r="AA416" s="8">
        <f>IFERROR(Z416/Z444, "NA")</f>
        <v>-3.5965602664464344E-4</v>
      </c>
      <c r="AB416" s="9"/>
      <c r="AC416" s="10">
        <f t="shared" si="103"/>
        <v>-58.310000000000031</v>
      </c>
      <c r="AD416" s="8">
        <f>IFERROR(AC416/AC444, "NA")</f>
        <v>-7.535442490461809E-4</v>
      </c>
    </row>
    <row r="417" spans="1:30" ht="16.5" customHeight="1" x14ac:dyDescent="0.45">
      <c r="A417" s="6" t="s">
        <v>382</v>
      </c>
      <c r="B417" s="7">
        <v>-94.99</v>
      </c>
      <c r="C417" s="8">
        <f>IFERROR(B417/B444, "NA")</f>
        <v>-9.6298699323810579E-4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94.99</v>
      </c>
      <c r="I417" s="8">
        <f>IFERROR(H417/H444, "NA")</f>
        <v>-4.1689451984934043E-3</v>
      </c>
      <c r="J417" s="9"/>
      <c r="K417" s="7">
        <v>-43.22</v>
      </c>
      <c r="L417" s="8">
        <f>IFERROR(K417/K444, "NA")</f>
        <v>-4.1644577311394481E-4</v>
      </c>
      <c r="M417" s="9"/>
      <c r="N417" s="10">
        <f t="shared" si="101"/>
        <v>51.769999999999996</v>
      </c>
      <c r="O417" s="8">
        <f>IFERROR(N417/N444, "NA")</f>
        <v>-1.0068027740071013E-2</v>
      </c>
      <c r="P417" s="9"/>
      <c r="Q417" s="7">
        <v>-632.32000000000005</v>
      </c>
      <c r="R417" s="8">
        <f>IFERROR(Q417/Q444, "NA")</f>
        <v>-7.1041270639277175E-4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632.32000000000005</v>
      </c>
      <c r="X417" s="8">
        <f>IFERROR(W417/W444, "NA")</f>
        <v>-1.3412216078538855E-2</v>
      </c>
      <c r="Y417" s="9"/>
      <c r="Z417" s="7">
        <v>-3.84</v>
      </c>
      <c r="AA417" s="8">
        <f>IFERROR(Z417/Z444, "NA")</f>
        <v>-4.725030422920492E-6</v>
      </c>
      <c r="AB417" s="9"/>
      <c r="AC417" s="10">
        <f t="shared" si="103"/>
        <v>628.48</v>
      </c>
      <c r="AD417" s="8">
        <f>IFERROR(AC417/AC444, "NA")</f>
        <v>8.1218914361266253E-3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8303.4399999999987</v>
      </c>
      <c r="C428" s="15">
        <f>IFERROR(B428/B444, "NA")</f>
        <v>8.4178384241846677E-2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-8303.4399999999987</v>
      </c>
      <c r="I428" s="15">
        <f>IFERROR(H428/H444, "NA")</f>
        <v>0.36442347951340209</v>
      </c>
      <c r="J428" s="2"/>
      <c r="K428" s="14">
        <f>IFERROR(K407+K408+K409+K410+K411+K412+K413+K414+K415+K416+K417+K418+K419+K420+K421+K422+K423+K424+K425+K426+K427, "NA")</f>
        <v>8274.74</v>
      </c>
      <c r="L428" s="15">
        <f>IFERROR(K428/K444, "NA")</f>
        <v>7.9731154479798325E-2</v>
      </c>
      <c r="M428" s="2"/>
      <c r="N428" s="14">
        <f t="shared" si="101"/>
        <v>-28.699999999998909</v>
      </c>
      <c r="O428" s="15">
        <f>IFERROR(N428/N444, "NA")</f>
        <v>5.5814640938772865E-3</v>
      </c>
      <c r="P428" s="2"/>
      <c r="Q428" s="14">
        <f>IFERROR(Q407+Q408+Q409+Q410+Q411+Q412+Q413+Q414+Q415+Q416+Q417+Q418+Q419+Q420+Q421+Q422+Q423+Q424+Q425+Q426+Q427, "NA")</f>
        <v>64424.82</v>
      </c>
      <c r="R428" s="15">
        <f>IFERROR(Q428/Q444, "NA")</f>
        <v>7.2381406147310173E-2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-64424.82</v>
      </c>
      <c r="X428" s="15">
        <f>IFERROR(W428/W444, "NA")</f>
        <v>1.3665226572953117</v>
      </c>
      <c r="Y428" s="2"/>
      <c r="Z428" s="14">
        <f>IFERROR(Z407+Z408+Z409+Z410+Z411+Z412+Z413+Z414+Z415+Z416+Z417+Z418+Z419+Z420+Z421+Z422+Z423+Z424+Z425+Z426+Z427, "NA")</f>
        <v>68125.690000000017</v>
      </c>
      <c r="AA428" s="15">
        <f>IFERROR(Z428/Z444, "NA")</f>
        <v>8.3827072352200632E-2</v>
      </c>
      <c r="AB428" s="2"/>
      <c r="AC428" s="14">
        <f t="shared" si="103"/>
        <v>3700.8700000000172</v>
      </c>
      <c r="AD428" s="15">
        <f>IFERROR(AC428/AC444, "NA")</f>
        <v>4.7826604441220222E-2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8303.4399999999987</v>
      </c>
      <c r="C429" s="15">
        <f>IFERROR(B429/B444, "NA")</f>
        <v>8.4178384241846677E-2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-8303.4399999999987</v>
      </c>
      <c r="I429" s="15">
        <f>IFERROR(H429/H444, "NA")</f>
        <v>0.36442347951340209</v>
      </c>
      <c r="J429" s="2"/>
      <c r="K429" s="14">
        <f>IFERROR(K407+K408+K409+K410+K411+K412+K413+K414+K415+K416+K417+K418+K419+K420+K421+K422+K423+K424+K425+K426+K427, "NA")</f>
        <v>8274.74</v>
      </c>
      <c r="L429" s="15">
        <f>IFERROR(K429/K444, "NA")</f>
        <v>7.9731154479798325E-2</v>
      </c>
      <c r="M429" s="2"/>
      <c r="N429" s="14">
        <f t="shared" si="101"/>
        <v>-28.699999999998909</v>
      </c>
      <c r="O429" s="15">
        <f>IFERROR(N429/N444, "NA")</f>
        <v>5.5814640938772865E-3</v>
      </c>
      <c r="P429" s="2"/>
      <c r="Q429" s="14">
        <f>IFERROR(Q407+Q408+Q409+Q410+Q411+Q412+Q413+Q414+Q415+Q416+Q417+Q418+Q419+Q420+Q421+Q422+Q423+Q424+Q425+Q426+Q427, "NA")</f>
        <v>64424.82</v>
      </c>
      <c r="R429" s="15">
        <f>IFERROR(Q429/Q444, "NA")</f>
        <v>7.2381406147310173E-2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-64424.82</v>
      </c>
      <c r="X429" s="15">
        <f>IFERROR(W429/W444, "NA")</f>
        <v>1.3665226572953117</v>
      </c>
      <c r="Y429" s="2"/>
      <c r="Z429" s="14">
        <f>IFERROR(Z407+Z408+Z409+Z410+Z411+Z412+Z413+Z414+Z415+Z416+Z417+Z418+Z419+Z420+Z421+Z422+Z423+Z424+Z425+Z426+Z427, "NA")</f>
        <v>68125.690000000017</v>
      </c>
      <c r="AA429" s="15">
        <f>IFERROR(Z429/Z444, "NA")</f>
        <v>8.3827072352200632E-2</v>
      </c>
      <c r="AB429" s="2"/>
      <c r="AC429" s="14">
        <f t="shared" si="103"/>
        <v>3700.8700000000172</v>
      </c>
      <c r="AD429" s="15">
        <f>IFERROR(AC429/AC444, "NA")</f>
        <v>4.7826604441220222E-2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-7929.9499999999607</v>
      </c>
      <c r="C443" s="24">
        <f>IFERROR(B443/B444, "NA")</f>
        <v>-8.039202765584251E-2</v>
      </c>
      <c r="D443" s="25"/>
      <c r="E443" s="23">
        <f>IFERROR(E404-E429-E442, "NA")</f>
        <v>20390.749999999982</v>
      </c>
      <c r="F443" s="24">
        <f>IFERROR(E443/E444, "NA")</f>
        <v>0.16792718602436002</v>
      </c>
      <c r="G443" s="25"/>
      <c r="H443" s="23">
        <f>IFERROR(B443-E443, "NA")</f>
        <v>-28320.699999999943</v>
      </c>
      <c r="I443" s="24">
        <f>IFERROR(H443/H444, "NA")</f>
        <v>1.2429460604586999</v>
      </c>
      <c r="J443" s="25"/>
      <c r="K443" s="23">
        <f>IFERROR(K404-K429-K442, "NA")</f>
        <v>-1123.0100000000184</v>
      </c>
      <c r="L443" s="24">
        <f>IFERROR(K443/K444, "NA")</f>
        <v>-1.0820748904782481E-2</v>
      </c>
      <c r="M443" s="25"/>
      <c r="N443" s="23">
        <f>IFERROR(B443-K443, "NA")</f>
        <v>-6806.9399999999423</v>
      </c>
      <c r="O443" s="24">
        <f>IFERROR(N443/N444, "NA")</f>
        <v>1.3237871497971492</v>
      </c>
      <c r="P443" s="25"/>
      <c r="Q443" s="23">
        <f>IFERROR(Q404-Q429-Q442, "NA")</f>
        <v>-35888.43999999982</v>
      </c>
      <c r="R443" s="24">
        <f>IFERROR(Q443/Q444, "NA")</f>
        <v>-4.0320729675819955E-2</v>
      </c>
      <c r="S443" s="25"/>
      <c r="T443" s="23">
        <f>IFERROR(T404-T429-T442, "NA")</f>
        <v>124954.90999999992</v>
      </c>
      <c r="U443" s="24">
        <f>IFERROR(T443/T444, "NA")</f>
        <v>0.13332516377571194</v>
      </c>
      <c r="V443" s="25"/>
      <c r="W443" s="23">
        <f>IFERROR(Q443-T443, "NA")</f>
        <v>-160843.34999999974</v>
      </c>
      <c r="X443" s="24">
        <f>IFERROR(W443/W444, "NA")</f>
        <v>3.4116677710590348</v>
      </c>
      <c r="Y443" s="25"/>
      <c r="Z443" s="23">
        <f>IFERROR(Z404-Z429-Z442, "NA")</f>
        <v>-15184.100000000253</v>
      </c>
      <c r="AA443" s="24">
        <f>IFERROR(Z443/Z444, "NA")</f>
        <v>-1.8683680844965689E-2</v>
      </c>
      <c r="AB443" s="25"/>
      <c r="AC443" s="23">
        <f>IFERROR(Q443-Z443, "NA")</f>
        <v>-20704.339999999567</v>
      </c>
      <c r="AD443" s="24">
        <f>IFERROR(AC443/AC444, "NA")</f>
        <v>-0.26756364838443614</v>
      </c>
    </row>
    <row r="444" spans="1:30" ht="15.75" hidden="1" x14ac:dyDescent="0.45">
      <c r="A444" s="26" t="s">
        <v>117</v>
      </c>
      <c r="B444" s="7">
        <v>98641</v>
      </c>
      <c r="C444" s="27"/>
      <c r="D444" s="9"/>
      <c r="E444" s="7">
        <v>121426.14</v>
      </c>
      <c r="F444" s="27"/>
      <c r="G444" s="9"/>
      <c r="H444" s="10">
        <f>IFERROR(B444-E444, "NA")</f>
        <v>-22785.14</v>
      </c>
      <c r="I444" s="27"/>
      <c r="J444" s="9"/>
      <c r="K444" s="7">
        <v>103783.02</v>
      </c>
      <c r="L444" s="27"/>
      <c r="M444" s="9"/>
      <c r="N444" s="10">
        <f>IFERROR(B444-K444, "NA")</f>
        <v>-5142.0200000000041</v>
      </c>
      <c r="O444" s="27"/>
      <c r="P444" s="9"/>
      <c r="Q444" s="7">
        <v>890074.17</v>
      </c>
      <c r="R444" s="27"/>
      <c r="S444" s="9"/>
      <c r="T444" s="7">
        <v>937219.25</v>
      </c>
      <c r="U444" s="27"/>
      <c r="V444" s="9"/>
      <c r="W444" s="10">
        <f>IFERROR(Q444-T444, "NA")</f>
        <v>-47145.079999999958</v>
      </c>
      <c r="X444" s="27"/>
      <c r="Y444" s="9"/>
      <c r="Z444" s="7">
        <v>812693.18</v>
      </c>
      <c r="AA444" s="27"/>
      <c r="AB444" s="9"/>
      <c r="AC444" s="10">
        <f>IFERROR(Q444-Z444, "NA")</f>
        <v>77380.989999999991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64014.54</v>
      </c>
      <c r="F10" s="8">
        <f>IFERROR(E10/E444, "NA")</f>
        <v>0.53400002552607706</v>
      </c>
      <c r="G10" s="9"/>
      <c r="H10" s="10">
        <f t="shared" ref="H10:H19" si="0">IFERROR(B10-E10, "NA")</f>
        <v>-64014.54</v>
      </c>
      <c r="I10" s="8">
        <f>IFERROR(H10/H444, "NA")</f>
        <v>2.3439259604801315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523756.59</v>
      </c>
      <c r="U10" s="8">
        <f>IFERROR(T10/T444, "NA")</f>
        <v>0.53400001321346657</v>
      </c>
      <c r="V10" s="9"/>
      <c r="W10" s="10">
        <f t="shared" ref="W10:W19" si="2">IFERROR(Q10-T10, "NA")</f>
        <v>-523756.59</v>
      </c>
      <c r="X10" s="8">
        <f>IFERROR(W10/W444, "NA")</f>
        <v>6.3378717773008137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48839.47</v>
      </c>
      <c r="C11" s="8">
        <f>IFERROR(B11/B444, "NA")</f>
        <v>0.52761444490933507</v>
      </c>
      <c r="D11" s="9"/>
      <c r="E11" s="7">
        <v>0</v>
      </c>
      <c r="F11" s="8">
        <f>IFERROR(E11/E444, "NA")</f>
        <v>0</v>
      </c>
      <c r="G11" s="9"/>
      <c r="H11" s="10">
        <f t="shared" si="0"/>
        <v>48839.47</v>
      </c>
      <c r="I11" s="8">
        <f>IFERROR(H11/H444, "NA")</f>
        <v>-1.7882828124530858</v>
      </c>
      <c r="J11" s="9"/>
      <c r="K11" s="7">
        <v>52083.97</v>
      </c>
      <c r="L11" s="8">
        <f>IFERROR(K11/K444, "NA")</f>
        <v>0.4953037222356732</v>
      </c>
      <c r="M11" s="9"/>
      <c r="N11" s="10">
        <f t="shared" si="1"/>
        <v>-3244.5</v>
      </c>
      <c r="O11" s="8">
        <f>IFERROR(N11/N444, "NA")</f>
        <v>0.25772438384847762</v>
      </c>
      <c r="P11" s="9"/>
      <c r="Q11" s="7">
        <v>408614.2</v>
      </c>
      <c r="R11" s="8">
        <f>IFERROR(Q11/Q444, "NA")</f>
        <v>0.45493658458953984</v>
      </c>
      <c r="S11" s="9"/>
      <c r="T11" s="7">
        <v>0</v>
      </c>
      <c r="U11" s="8">
        <f>IFERROR(T11/T444, "NA")</f>
        <v>0</v>
      </c>
      <c r="V11" s="9"/>
      <c r="W11" s="10">
        <f t="shared" si="2"/>
        <v>408614.2</v>
      </c>
      <c r="X11" s="8">
        <f>IFERROR(W11/W444, "NA")</f>
        <v>-4.9445571768067875</v>
      </c>
      <c r="Y11" s="9"/>
      <c r="Z11" s="7">
        <v>456975.43</v>
      </c>
      <c r="AA11" s="8">
        <f>IFERROR(Z11/Z444, "NA")</f>
        <v>0.54187909489040775</v>
      </c>
      <c r="AB11" s="9"/>
      <c r="AC11" s="10">
        <f t="shared" si="3"/>
        <v>-48361.229999999981</v>
      </c>
      <c r="AD11" s="8">
        <f>IFERROR(AC11/AC444, "NA")</f>
        <v>-0.88150446163702956</v>
      </c>
    </row>
    <row r="12" spans="1:30" ht="16.5" customHeight="1" x14ac:dyDescent="0.45">
      <c r="A12" s="12" t="s">
        <v>14</v>
      </c>
      <c r="B12" s="7">
        <v>5611.65</v>
      </c>
      <c r="C12" s="8">
        <f>IFERROR(B12/B444, "NA")</f>
        <v>6.0622844592201137E-2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5611.65</v>
      </c>
      <c r="I12" s="8">
        <f>IFERROR(H12/H444, "NA")</f>
        <v>-0.2054735083018378</v>
      </c>
      <c r="J12" s="9"/>
      <c r="K12" s="7">
        <v>5586.15</v>
      </c>
      <c r="L12" s="8">
        <f>IFERROR(K12/K444, "NA")</f>
        <v>5.312269567713071E-2</v>
      </c>
      <c r="M12" s="9"/>
      <c r="N12" s="10">
        <f t="shared" si="1"/>
        <v>25.5</v>
      </c>
      <c r="O12" s="8">
        <f>IFERROR(N12/N444, "NA")</f>
        <v>-2.0255730584485066E-3</v>
      </c>
      <c r="P12" s="9"/>
      <c r="Q12" s="7">
        <v>48328.3</v>
      </c>
      <c r="R12" s="8">
        <f>IFERROR(Q12/Q444, "NA")</f>
        <v>5.3807018309737303E-2</v>
      </c>
      <c r="S12" s="9"/>
      <c r="T12" s="7">
        <v>0</v>
      </c>
      <c r="U12" s="8">
        <f>IFERROR(T12/T444, "NA")</f>
        <v>0</v>
      </c>
      <c r="V12" s="9"/>
      <c r="W12" s="10">
        <f t="shared" si="2"/>
        <v>48328.3</v>
      </c>
      <c r="X12" s="8">
        <f>IFERROR(W12/W444, "NA")</f>
        <v>-0.58481091114276373</v>
      </c>
      <c r="Y12" s="9"/>
      <c r="Z12" s="7">
        <v>47865.95</v>
      </c>
      <c r="AA12" s="8">
        <f>IFERROR(Z12/Z444, "NA")</f>
        <v>5.6759195263669897E-2</v>
      </c>
      <c r="AB12" s="9"/>
      <c r="AC12" s="10">
        <f t="shared" si="3"/>
        <v>462.35000000000582</v>
      </c>
      <c r="AD12" s="8">
        <f>IFERROR(AC12/AC444, "NA")</f>
        <v>8.4274859807719101E-3</v>
      </c>
    </row>
    <row r="13" spans="1:30" ht="16.5" customHeight="1" x14ac:dyDescent="0.45">
      <c r="A13" s="12" t="s">
        <v>15</v>
      </c>
      <c r="B13" s="7">
        <v>132.5</v>
      </c>
      <c r="C13" s="8">
        <f>IFERROR(B13/B444, "NA")</f>
        <v>1.4314019777546089E-3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132.5</v>
      </c>
      <c r="I13" s="8">
        <f>IFERROR(H13/H444, "NA")</f>
        <v>-4.8515570019501417E-3</v>
      </c>
      <c r="J13" s="9"/>
      <c r="K13" s="7">
        <v>235</v>
      </c>
      <c r="L13" s="8">
        <f>IFERROR(K13/K444, "NA")</f>
        <v>2.2347830767390276E-3</v>
      </c>
      <c r="M13" s="9"/>
      <c r="N13" s="10">
        <f t="shared" si="1"/>
        <v>-102.5</v>
      </c>
      <c r="O13" s="8">
        <f>IFERROR(N13/N444, "NA")</f>
        <v>8.1420093525871335E-3</v>
      </c>
      <c r="P13" s="9"/>
      <c r="Q13" s="7">
        <v>1355</v>
      </c>
      <c r="R13" s="8">
        <f>IFERROR(Q13/Q444, "NA")</f>
        <v>1.5086090305202963E-3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1355</v>
      </c>
      <c r="X13" s="8">
        <f>IFERROR(W13/W444, "NA")</f>
        <v>-1.6396578911288928E-2</v>
      </c>
      <c r="Y13" s="9"/>
      <c r="Z13" s="7">
        <v>2209.5</v>
      </c>
      <c r="AA13" s="8">
        <f>IFERROR(Z13/Z444, "NA")</f>
        <v>2.620013640909219E-3</v>
      </c>
      <c r="AB13" s="9"/>
      <c r="AC13" s="10">
        <f t="shared" si="3"/>
        <v>-854.5</v>
      </c>
      <c r="AD13" s="8">
        <f>IFERROR(AC13/AC444, "NA")</f>
        <v>-1.5575401255692671E-2</v>
      </c>
    </row>
    <row r="14" spans="1:30" ht="16.5" customHeight="1" x14ac:dyDescent="0.45">
      <c r="A14" s="12" t="s">
        <v>16</v>
      </c>
      <c r="B14" s="7">
        <v>25</v>
      </c>
      <c r="C14" s="8">
        <f>IFERROR(B14/B444, "NA")</f>
        <v>2.700758448593602E-4</v>
      </c>
      <c r="D14" s="9"/>
      <c r="E14" s="7">
        <v>0</v>
      </c>
      <c r="F14" s="8">
        <f>IFERROR(E14/E444, "NA")</f>
        <v>0</v>
      </c>
      <c r="G14" s="9"/>
      <c r="H14" s="10">
        <f t="shared" si="0"/>
        <v>25</v>
      </c>
      <c r="I14" s="8">
        <f>IFERROR(H14/H444, "NA")</f>
        <v>-9.1538811357549845E-4</v>
      </c>
      <c r="J14" s="9"/>
      <c r="K14" s="7">
        <v>550</v>
      </c>
      <c r="L14" s="8">
        <f>IFERROR(K14/K444, "NA")</f>
        <v>5.230343371091341E-3</v>
      </c>
      <c r="M14" s="9"/>
      <c r="N14" s="10">
        <f t="shared" si="1"/>
        <v>-525</v>
      </c>
      <c r="O14" s="8">
        <f>IFERROR(N14/N444, "NA")</f>
        <v>4.1702974732763368E-2</v>
      </c>
      <c r="P14" s="9"/>
      <c r="Q14" s="7">
        <v>2470</v>
      </c>
      <c r="R14" s="8">
        <f>IFERROR(Q14/Q444, "NA")</f>
        <v>2.7500105574798021E-3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2470</v>
      </c>
      <c r="X14" s="8">
        <f>IFERROR(W14/W444, "NA")</f>
        <v>-2.9888966723899377E-2</v>
      </c>
      <c r="Y14" s="9"/>
      <c r="Z14" s="7">
        <v>5850</v>
      </c>
      <c r="AA14" s="8">
        <f>IFERROR(Z14/Z444, "NA")</f>
        <v>6.9368996602484417E-3</v>
      </c>
      <c r="AB14" s="9"/>
      <c r="AC14" s="10">
        <f t="shared" si="3"/>
        <v>-3380</v>
      </c>
      <c r="AD14" s="8">
        <f>IFERROR(AC14/AC444, "NA")</f>
        <v>-6.1608959911341403E-2</v>
      </c>
    </row>
    <row r="15" spans="1:30" ht="16.5" customHeight="1" x14ac:dyDescent="0.45">
      <c r="A15" s="12" t="s">
        <v>17</v>
      </c>
      <c r="B15" s="7">
        <v>55</v>
      </c>
      <c r="C15" s="8">
        <f>IFERROR(B15/B444, "NA")</f>
        <v>5.941668586905924E-4</v>
      </c>
      <c r="D15" s="9"/>
      <c r="E15" s="7">
        <v>0</v>
      </c>
      <c r="F15" s="8">
        <f>IFERROR(E15/E444, "NA")</f>
        <v>0</v>
      </c>
      <c r="G15" s="9"/>
      <c r="H15" s="10">
        <f t="shared" si="0"/>
        <v>55</v>
      </c>
      <c r="I15" s="8">
        <f>IFERROR(H15/H444, "NA")</f>
        <v>-2.0138538498660967E-3</v>
      </c>
      <c r="J15" s="9"/>
      <c r="K15" s="7">
        <v>79</v>
      </c>
      <c r="L15" s="8">
        <f>IFERROR(K15/K444, "NA")</f>
        <v>7.5126750239311985E-4</v>
      </c>
      <c r="M15" s="9"/>
      <c r="N15" s="10">
        <f t="shared" si="1"/>
        <v>-24</v>
      </c>
      <c r="O15" s="8">
        <f>IFERROR(N15/N444, "NA")</f>
        <v>1.9064217020691827E-3</v>
      </c>
      <c r="P15" s="9"/>
      <c r="Q15" s="7">
        <v>367</v>
      </c>
      <c r="R15" s="8">
        <f>IFERROR(Q15/Q444, "NA")</f>
        <v>4.0860480752837546E-4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367</v>
      </c>
      <c r="X15" s="8">
        <f>IFERROR(W15/W444, "NA")</f>
        <v>-4.4409922217291788E-3</v>
      </c>
      <c r="Y15" s="9"/>
      <c r="Z15" s="7">
        <v>898</v>
      </c>
      <c r="AA15" s="8">
        <f>IFERROR(Z15/Z444, "NA")</f>
        <v>1.0648437427184787E-3</v>
      </c>
      <c r="AB15" s="9"/>
      <c r="AC15" s="10">
        <f t="shared" si="3"/>
        <v>-531</v>
      </c>
      <c r="AD15" s="8">
        <f>IFERROR(AC15/AC444, "NA")</f>
        <v>-9.6788040570775988E-3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54663.62</v>
      </c>
      <c r="C18" s="15">
        <f>IFERROR(B18/B444, "NA")</f>
        <v>0.5905329341828407</v>
      </c>
      <c r="D18" s="2"/>
      <c r="E18" s="14">
        <f>IFERROR(E10+E11+E12+E13+E14+E15+E16+E17, "NA")</f>
        <v>64014.54</v>
      </c>
      <c r="F18" s="15">
        <f>IFERROR(E18/E444, "NA")</f>
        <v>0.53400002552607706</v>
      </c>
      <c r="G18" s="2"/>
      <c r="H18" s="14">
        <f t="shared" si="0"/>
        <v>-9350.9199999999983</v>
      </c>
      <c r="I18" s="15">
        <f>IFERROR(H18/H444, "NA")</f>
        <v>0.3423888407598159</v>
      </c>
      <c r="J18" s="2"/>
      <c r="K18" s="14">
        <f>IFERROR(K10+K11+K12+K13+K14+K15+K16+K17, "NA")</f>
        <v>58534.12</v>
      </c>
      <c r="L18" s="15">
        <f>IFERROR(K18/K444, "NA")</f>
        <v>0.55664281186302744</v>
      </c>
      <c r="M18" s="2"/>
      <c r="N18" s="14">
        <f t="shared" si="1"/>
        <v>-3870.5</v>
      </c>
      <c r="O18" s="15">
        <f>IFERROR(N18/N444, "NA")</f>
        <v>0.30745021657744881</v>
      </c>
      <c r="P18" s="2"/>
      <c r="Q18" s="14">
        <f>IFERROR(Q10+Q11+Q12+Q13+Q14+Q15+Q16+Q17, "NA")</f>
        <v>461134.5</v>
      </c>
      <c r="R18" s="15">
        <f>IFERROR(Q18/Q444, "NA")</f>
        <v>0.51341082729480558</v>
      </c>
      <c r="S18" s="2"/>
      <c r="T18" s="14">
        <f>IFERROR(T10+T11+T12+T13+T14+T15+T16+T17, "NA")</f>
        <v>523756.59</v>
      </c>
      <c r="U18" s="15">
        <f>IFERROR(T18/T444, "NA")</f>
        <v>0.53400001321346657</v>
      </c>
      <c r="V18" s="2"/>
      <c r="W18" s="14">
        <f t="shared" si="2"/>
        <v>-62622.090000000026</v>
      </c>
      <c r="X18" s="15">
        <f>IFERROR(W18/W444, "NA")</f>
        <v>0.75777715149434521</v>
      </c>
      <c r="Y18" s="2"/>
      <c r="Z18" s="14">
        <f>IFERROR(Z10+Z11+Z12+Z13+Z14+Z15+Z16+Z17, "NA")</f>
        <v>513798.88</v>
      </c>
      <c r="AA18" s="15">
        <f>IFERROR(Z18/Z444, "NA")</f>
        <v>0.60926004719795379</v>
      </c>
      <c r="AB18" s="2"/>
      <c r="AC18" s="14">
        <f t="shared" si="3"/>
        <v>-52664.380000000005</v>
      </c>
      <c r="AD18" s="15">
        <f>IFERROR(AC18/AC444, "NA")</f>
        <v>-0.95994014088036983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12707.01</v>
      </c>
      <c r="F21" s="8">
        <f>IFERROR(E21/E444, "NA")</f>
        <v>0.10600003787202276</v>
      </c>
      <c r="G21" s="9"/>
      <c r="H21" s="10">
        <f t="shared" ref="H21:H29" si="4">IFERROR(B21-E21, "NA")</f>
        <v>-12707.01</v>
      </c>
      <c r="I21" s="8">
        <f>IFERROR(H21/H444, "NA")</f>
        <v>0.46527383652339976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103966.66</v>
      </c>
      <c r="U21" s="8">
        <f>IFERROR(T21/T444, "NA")</f>
        <v>0.10599999861340166</v>
      </c>
      <c r="V21" s="9"/>
      <c r="W21" s="10">
        <f t="shared" ref="W21:W29" si="6">IFERROR(Q21-T21, "NA")</f>
        <v>-103966.66</v>
      </c>
      <c r="X21" s="8">
        <f>IFERROR(W21/W444, "NA")</f>
        <v>1.2580793688805507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8974.65</v>
      </c>
      <c r="C22" s="8">
        <f>IFERROR(B22/B444, "NA")</f>
        <v>9.6953447242682261E-2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8974.65</v>
      </c>
      <c r="I22" s="8">
        <f>IFERROR(H22/H444, "NA")</f>
        <v>-0.32861151734001387</v>
      </c>
      <c r="J22" s="9"/>
      <c r="K22" s="7">
        <v>9672.57</v>
      </c>
      <c r="L22" s="8">
        <f>IFERROR(K22/K444, "NA")</f>
        <v>9.198338614712176E-2</v>
      </c>
      <c r="M22" s="9"/>
      <c r="N22" s="10">
        <f t="shared" si="5"/>
        <v>-697.92000000000007</v>
      </c>
      <c r="O22" s="8">
        <f>IFERROR(N22/N444, "NA")</f>
        <v>5.543874309617184E-2</v>
      </c>
      <c r="P22" s="9"/>
      <c r="Q22" s="7">
        <v>77982.2</v>
      </c>
      <c r="R22" s="8">
        <f>IFERROR(Q22/Q444, "NA")</f>
        <v>8.6822620767409486E-2</v>
      </c>
      <c r="S22" s="9"/>
      <c r="T22" s="7">
        <v>0</v>
      </c>
      <c r="U22" s="8">
        <f>IFERROR(T22/T444, "NA")</f>
        <v>0</v>
      </c>
      <c r="V22" s="9"/>
      <c r="W22" s="10">
        <f t="shared" si="6"/>
        <v>77982.2</v>
      </c>
      <c r="X22" s="8">
        <f>IFERROR(W22/W444, "NA")</f>
        <v>-0.94364671289735458</v>
      </c>
      <c r="Y22" s="9"/>
      <c r="Z22" s="7">
        <v>79491.61</v>
      </c>
      <c r="AA22" s="8">
        <f>IFERROR(Z22/Z444, "NA")</f>
        <v>9.426073887206865E-2</v>
      </c>
      <c r="AB22" s="9"/>
      <c r="AC22" s="10">
        <f t="shared" si="7"/>
        <v>-1509.4100000000035</v>
      </c>
      <c r="AD22" s="8">
        <f>IFERROR(AC22/AC444, "NA")</f>
        <v>-2.7512775201117761E-2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380.42</v>
      </c>
      <c r="C24" s="8">
        <f>IFERROR(B24/B444, "NA")</f>
        <v>4.1096901160559123E-3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380.42</v>
      </c>
      <c r="I24" s="8">
        <f>IFERROR(H24/H444, "NA")</f>
        <v>-1.3929277846655645E-2</v>
      </c>
      <c r="J24" s="9"/>
      <c r="K24" s="7">
        <v>388.04</v>
      </c>
      <c r="L24" s="8">
        <f>IFERROR(K24/K444, "NA")</f>
        <v>3.6901498940332435E-3</v>
      </c>
      <c r="M24" s="9"/>
      <c r="N24" s="10">
        <f t="shared" si="5"/>
        <v>-7.6200000000000045</v>
      </c>
      <c r="O24" s="8">
        <f>IFERROR(N24/N444, "NA")</f>
        <v>6.0528889040696587E-4</v>
      </c>
      <c r="P24" s="9"/>
      <c r="Q24" s="7">
        <v>8107.47</v>
      </c>
      <c r="R24" s="8">
        <f>IFERROR(Q24/Q444, "NA")</f>
        <v>9.0265700787250085E-3</v>
      </c>
      <c r="S24" s="9"/>
      <c r="T24" s="7">
        <v>0</v>
      </c>
      <c r="U24" s="8">
        <f>IFERROR(T24/T444, "NA")</f>
        <v>0</v>
      </c>
      <c r="V24" s="9"/>
      <c r="W24" s="10">
        <f t="shared" si="6"/>
        <v>8107.47</v>
      </c>
      <c r="X24" s="8">
        <f>IFERROR(W24/W444, "NA")</f>
        <v>-9.8106842528345145E-2</v>
      </c>
      <c r="Y24" s="9"/>
      <c r="Z24" s="7">
        <v>3254.24</v>
      </c>
      <c r="AA24" s="8">
        <f>IFERROR(Z24/Z444, "NA")</f>
        <v>3.8588609145926303E-3</v>
      </c>
      <c r="AB24" s="9"/>
      <c r="AC24" s="10">
        <f t="shared" si="7"/>
        <v>4853.2300000000005</v>
      </c>
      <c r="AD24" s="8">
        <f>IFERROR(AC24/AC444, "NA")</f>
        <v>8.8462264056366702E-2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916.47</v>
      </c>
      <c r="C28" s="8">
        <f>IFERROR(B28/B444, "NA")</f>
        <v>9.9006563815303133E-3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916.47</v>
      </c>
      <c r="I28" s="8">
        <f>IFERROR(H28/H444, "NA")</f>
        <v>-3.3557029777941484E-2</v>
      </c>
      <c r="J28" s="9"/>
      <c r="K28" s="7">
        <v>832.69</v>
      </c>
      <c r="L28" s="8">
        <f>IFERROR(K28/K444, "NA")</f>
        <v>7.9186447666800882E-3</v>
      </c>
      <c r="M28" s="9"/>
      <c r="N28" s="10">
        <f t="shared" si="5"/>
        <v>83.779999999999973</v>
      </c>
      <c r="O28" s="8">
        <f>IFERROR(N28/N444, "NA")</f>
        <v>-6.6550004249731698E-3</v>
      </c>
      <c r="P28" s="9"/>
      <c r="Q28" s="7">
        <v>7026.27</v>
      </c>
      <c r="R28" s="8">
        <f>IFERROR(Q28/Q444, "NA")</f>
        <v>7.822800275183648E-3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7026.27</v>
      </c>
      <c r="X28" s="8">
        <f>IFERROR(W28/W444, "NA")</f>
        <v>-8.5023461628798577E-2</v>
      </c>
      <c r="Y28" s="9"/>
      <c r="Z28" s="7">
        <v>6524.59</v>
      </c>
      <c r="AA28" s="8">
        <f>IFERROR(Z28/Z444, "NA")</f>
        <v>7.7368249836342537E-3</v>
      </c>
      <c r="AB28" s="9"/>
      <c r="AC28" s="10">
        <f t="shared" si="7"/>
        <v>501.68000000000029</v>
      </c>
      <c r="AD28" s="8">
        <f>IFERROR(AC28/AC444, "NA")</f>
        <v>9.1443736711011164E-3</v>
      </c>
    </row>
    <row r="29" spans="1:30" ht="16.5" customHeight="1" x14ac:dyDescent="0.45">
      <c r="A29" s="13" t="s">
        <v>30</v>
      </c>
      <c r="B29" s="14">
        <f>IFERROR(B21+B22+B23+B24+B25+B26+B27+B28, "NA")</f>
        <v>10271.539999999999</v>
      </c>
      <c r="C29" s="15">
        <f>IFERROR(B29/B444, "NA")</f>
        <v>0.11096379374026849</v>
      </c>
      <c r="D29" s="2"/>
      <c r="E29" s="14">
        <f>IFERROR(E21+E22+E23+E24+E25+E26+E27+E28, "NA")</f>
        <v>12707.01</v>
      </c>
      <c r="F29" s="15">
        <f>IFERROR(E29/E444, "NA")</f>
        <v>0.10600003787202276</v>
      </c>
      <c r="G29" s="2"/>
      <c r="H29" s="14">
        <f t="shared" si="4"/>
        <v>-2435.4700000000012</v>
      </c>
      <c r="I29" s="15">
        <f>IFERROR(H29/H444, "NA")</f>
        <v>8.9176011558788806E-2</v>
      </c>
      <c r="J29" s="2"/>
      <c r="K29" s="14">
        <f>IFERROR(K21+K22+K23+K24+K25+K26+K27+K28, "NA")</f>
        <v>10893.300000000001</v>
      </c>
      <c r="L29" s="15">
        <f>IFERROR(K29/K444, "NA")</f>
        <v>0.10359218080783511</v>
      </c>
      <c r="M29" s="2"/>
      <c r="N29" s="14">
        <f t="shared" si="5"/>
        <v>-621.76000000000204</v>
      </c>
      <c r="O29" s="15">
        <f>IFERROR(N29/N444, "NA")</f>
        <v>4.938903156160579E-2</v>
      </c>
      <c r="P29" s="2"/>
      <c r="Q29" s="14">
        <f>IFERROR(Q21+Q22+Q23+Q24+Q25+Q26+Q27+Q28, "NA")</f>
        <v>93115.94</v>
      </c>
      <c r="R29" s="15">
        <f>IFERROR(Q29/Q444, "NA")</f>
        <v>0.10367199112131814</v>
      </c>
      <c r="S29" s="2"/>
      <c r="T29" s="14">
        <f>IFERROR(T21+T22+T23+T24+T25+T26+T27+T28, "NA")</f>
        <v>103966.66</v>
      </c>
      <c r="U29" s="15">
        <f>IFERROR(T29/T444, "NA")</f>
        <v>0.10599999861340166</v>
      </c>
      <c r="V29" s="2"/>
      <c r="W29" s="14">
        <f t="shared" si="6"/>
        <v>-10850.720000000001</v>
      </c>
      <c r="X29" s="15">
        <f>IFERROR(W29/W444, "NA")</f>
        <v>0.13130235182605243</v>
      </c>
      <c r="Y29" s="2"/>
      <c r="Z29" s="14">
        <f>IFERROR(Z21+Z22+Z23+Z24+Z25+Z26+Z27+Z28, "NA")</f>
        <v>89270.44</v>
      </c>
      <c r="AA29" s="15">
        <f>IFERROR(Z29/Z444, "NA")</f>
        <v>0.10585642477029554</v>
      </c>
      <c r="AB29" s="2"/>
      <c r="AC29" s="14">
        <f t="shared" si="7"/>
        <v>3845.5</v>
      </c>
      <c r="AD29" s="15">
        <f>IFERROR(AC29/AC444, "NA")</f>
        <v>7.0093862526350109E-2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22896.58</v>
      </c>
      <c r="F31" s="8">
        <f>IFERROR(E31/E444, "NA")</f>
        <v>0.19099995570474873</v>
      </c>
      <c r="G31" s="9"/>
      <c r="H31" s="10">
        <f t="shared" ref="H31:H40" si="8">IFERROR(B31-E31, "NA")</f>
        <v>-22896.58</v>
      </c>
      <c r="I31" s="8">
        <f>IFERROR(H31/H444, "NA")</f>
        <v>0.83837028694121951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187336.14</v>
      </c>
      <c r="U31" s="8">
        <f>IFERROR(T31/T444, "NA")</f>
        <v>0.19099998576697588</v>
      </c>
      <c r="V31" s="9"/>
      <c r="W31" s="10">
        <f t="shared" ref="W31:W40" si="10">IFERROR(Q31-T31, "NA")</f>
        <v>-187336.14</v>
      </c>
      <c r="X31" s="8">
        <f>IFERROR(W31/W444, "NA")</f>
        <v>2.2669164593699414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5048.3599999999997</v>
      </c>
      <c r="C33" s="8">
        <f>IFERROR(B33/B444, "NA")</f>
        <v>5.4537603686167981E-2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5048.3599999999997</v>
      </c>
      <c r="I33" s="8">
        <f>IFERROR(H33/H444, "NA")</f>
        <v>-0.1848483494820001</v>
      </c>
      <c r="J33" s="9"/>
      <c r="K33" s="7">
        <v>6433.6</v>
      </c>
      <c r="L33" s="8">
        <f>IFERROR(K33/K444, "NA")</f>
        <v>6.1181703840460462E-2</v>
      </c>
      <c r="M33" s="9"/>
      <c r="N33" s="10">
        <f t="shared" si="9"/>
        <v>-1385.2400000000007</v>
      </c>
      <c r="O33" s="8">
        <f>IFERROR(N33/N444, "NA")</f>
        <v>0.11003548327392983</v>
      </c>
      <c r="P33" s="9"/>
      <c r="Q33" s="7">
        <v>63798.78</v>
      </c>
      <c r="R33" s="8">
        <f>IFERROR(Q33/Q444, "NA")</f>
        <v>7.1031303058433706E-2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63798.78</v>
      </c>
      <c r="X33" s="8">
        <f>IFERROR(W33/W444, "NA")</f>
        <v>-0.7720160374272782</v>
      </c>
      <c r="Y33" s="9"/>
      <c r="Z33" s="7">
        <v>45094.93</v>
      </c>
      <c r="AA33" s="8">
        <f>IFERROR(Z33/Z444, "NA")</f>
        <v>5.3473334118961928E-2</v>
      </c>
      <c r="AB33" s="9"/>
      <c r="AC33" s="10">
        <f t="shared" si="11"/>
        <v>18703.849999999999</v>
      </c>
      <c r="AD33" s="8">
        <f>IFERROR(AC33/AC444, "NA")</f>
        <v>0.34092448072122566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1125.56</v>
      </c>
      <c r="C35" s="8">
        <f>IFERROR(B35/B444, "NA")</f>
        <v>1.2159462717596057E-2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1125.56</v>
      </c>
      <c r="I35" s="8">
        <f>IFERROR(H35/H444, "NA")</f>
        <v>-4.1212969804641515E-2</v>
      </c>
      <c r="J35" s="9"/>
      <c r="K35" s="7">
        <v>1577.38</v>
      </c>
      <c r="L35" s="8">
        <f>IFERROR(K35/K444, "NA")</f>
        <v>1.5000434593985564E-2</v>
      </c>
      <c r="M35" s="9"/>
      <c r="N35" s="10">
        <f t="shared" si="9"/>
        <v>-451.82000000000016</v>
      </c>
      <c r="O35" s="8">
        <f>IFERROR(N35/N444, "NA")</f>
        <v>3.5889977226204101E-2</v>
      </c>
      <c r="P35" s="9"/>
      <c r="Q35" s="7">
        <v>10251.14</v>
      </c>
      <c r="R35" s="8">
        <f>IFERROR(Q35/Q444, "NA")</f>
        <v>1.1413256366884008E-2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10251.14</v>
      </c>
      <c r="X35" s="8">
        <f>IFERROR(W35/W444, "NA")</f>
        <v>-0.12404695641377889</v>
      </c>
      <c r="Y35" s="9"/>
      <c r="Z35" s="7">
        <v>1977.89</v>
      </c>
      <c r="AA35" s="8">
        <f>IFERROR(Z35/Z444, "NA")</f>
        <v>2.3453717041040669E-3</v>
      </c>
      <c r="AB35" s="9"/>
      <c r="AC35" s="10">
        <f t="shared" si="11"/>
        <v>8273.25</v>
      </c>
      <c r="AD35" s="8">
        <f>IFERROR(AC35/AC444, "NA")</f>
        <v>0.15080068863506071</v>
      </c>
    </row>
    <row r="36" spans="1:30" ht="16.5" customHeight="1" x14ac:dyDescent="0.45">
      <c r="A36" s="12" t="s">
        <v>36</v>
      </c>
      <c r="B36" s="7">
        <v>4651.7299999999996</v>
      </c>
      <c r="C36" s="8">
        <f>IFERROR(B36/B444, "NA")</f>
        <v>5.0252796392305253E-2</v>
      </c>
      <c r="D36" s="9"/>
      <c r="E36" s="7">
        <v>0</v>
      </c>
      <c r="F36" s="8">
        <f>IFERROR(E36/E444, "NA")</f>
        <v>0</v>
      </c>
      <c r="G36" s="9"/>
      <c r="H36" s="10">
        <f t="shared" si="8"/>
        <v>4651.7299999999996</v>
      </c>
      <c r="I36" s="8">
        <f>IFERROR(H36/H444, "NA")</f>
        <v>-0.17032553398250211</v>
      </c>
      <c r="J36" s="9"/>
      <c r="K36" s="7">
        <v>11884.66</v>
      </c>
      <c r="L36" s="8">
        <f>IFERROR(K36/K444, "NA")</f>
        <v>0.11301973208849893</v>
      </c>
      <c r="M36" s="9"/>
      <c r="N36" s="10">
        <f t="shared" si="9"/>
        <v>-7232.93</v>
      </c>
      <c r="O36" s="8">
        <f>IFERROR(N36/N444, "NA")</f>
        <v>0.57454228006446895</v>
      </c>
      <c r="P36" s="9"/>
      <c r="Q36" s="7">
        <v>76867.67</v>
      </c>
      <c r="R36" s="8">
        <f>IFERROR(Q36/Q444, "NA")</f>
        <v>8.5581742521811111E-2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76867.67</v>
      </c>
      <c r="X36" s="8">
        <f>IFERROR(W36/W444, "NA")</f>
        <v>-0.93016001245897906</v>
      </c>
      <c r="Y36" s="9"/>
      <c r="Z36" s="7">
        <v>57044.43</v>
      </c>
      <c r="AA36" s="8">
        <f>IFERROR(Z36/Z444, "NA")</f>
        <v>6.7642989245481372E-2</v>
      </c>
      <c r="AB36" s="9"/>
      <c r="AC36" s="10">
        <f t="shared" si="11"/>
        <v>19823.239999999998</v>
      </c>
      <c r="AD36" s="8">
        <f>IFERROR(AC36/AC444, "NA")</f>
        <v>0.3613281652286684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662.55</v>
      </c>
      <c r="C39" s="8">
        <f>IFERROR(B39/B444, "NA")</f>
        <v>7.1575500404627629E-3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662.55</v>
      </c>
      <c r="I39" s="8">
        <f>IFERROR(H39/H444, "NA")</f>
        <v>-2.4259615785977857E-2</v>
      </c>
      <c r="J39" s="9"/>
      <c r="K39" s="7">
        <v>734.16</v>
      </c>
      <c r="L39" s="8">
        <f>IFERROR(K39/K444, "NA")</f>
        <v>6.981652526037125E-3</v>
      </c>
      <c r="M39" s="9"/>
      <c r="N39" s="10">
        <f t="shared" si="9"/>
        <v>-71.610000000000014</v>
      </c>
      <c r="O39" s="8">
        <f>IFERROR(N39/N444, "NA")</f>
        <v>5.688285753548925E-3</v>
      </c>
      <c r="P39" s="9"/>
      <c r="Q39" s="7">
        <v>7211.36</v>
      </c>
      <c r="R39" s="8">
        <f>IFERROR(Q39/Q444, "NA")</f>
        <v>8.0288729286589252E-3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7211.36</v>
      </c>
      <c r="X39" s="8">
        <f>IFERROR(W39/W444, "NA")</f>
        <v>-8.7263198005691905E-2</v>
      </c>
      <c r="Y39" s="9"/>
      <c r="Z39" s="7">
        <v>7303.31</v>
      </c>
      <c r="AA39" s="8">
        <f>IFERROR(Z39/Z444, "NA")</f>
        <v>8.6602271209724867E-3</v>
      </c>
      <c r="AB39" s="9"/>
      <c r="AC39" s="10">
        <f t="shared" si="11"/>
        <v>-91.950000000000728</v>
      </c>
      <c r="AD39" s="8">
        <f>IFERROR(AC39/AC444, "NA")</f>
        <v>-1.6760188946295521E-3</v>
      </c>
    </row>
    <row r="40" spans="1:30" ht="16.5" customHeight="1" x14ac:dyDescent="0.45">
      <c r="A40" s="13" t="s">
        <v>40</v>
      </c>
      <c r="B40" s="14">
        <f>IFERROR(B31+B32+B33+B34+B35+B36+B37+B38+B39, "NA")</f>
        <v>11488.199999999999</v>
      </c>
      <c r="C40" s="15">
        <f>IFERROR(B40/B444, "NA")</f>
        <v>0.12410741283653205</v>
      </c>
      <c r="D40" s="2"/>
      <c r="E40" s="14">
        <f>IFERROR(E31+E32+E33+E34+E35+E36+E37+E38+E39, "NA")</f>
        <v>22896.58</v>
      </c>
      <c r="F40" s="15">
        <f>IFERROR(E40/E444, "NA")</f>
        <v>0.19099995570474873</v>
      </c>
      <c r="G40" s="2"/>
      <c r="H40" s="14">
        <f t="shared" si="8"/>
        <v>-11408.380000000003</v>
      </c>
      <c r="I40" s="15">
        <f>IFERROR(H40/H444, "NA")</f>
        <v>0.41772381788609791</v>
      </c>
      <c r="J40" s="2"/>
      <c r="K40" s="14">
        <f>IFERROR(K31+K32+K33+K34+K35+K36+K37+K38+K39, "NA")</f>
        <v>20629.8</v>
      </c>
      <c r="L40" s="15">
        <f>IFERROR(K40/K444, "NA")</f>
        <v>0.19618352304898207</v>
      </c>
      <c r="M40" s="2"/>
      <c r="N40" s="14">
        <f t="shared" si="9"/>
        <v>-9141.6</v>
      </c>
      <c r="O40" s="15">
        <f>IFERROR(N40/N444, "NA")</f>
        <v>0.72615602631815168</v>
      </c>
      <c r="P40" s="2"/>
      <c r="Q40" s="14">
        <f>IFERROR(Q31+Q32+Q33+Q34+Q35+Q36+Q37+Q38+Q39, "NA")</f>
        <v>158128.94999999998</v>
      </c>
      <c r="R40" s="15">
        <f>IFERROR(Q40/Q444, "NA")</f>
        <v>0.17605517487578773</v>
      </c>
      <c r="S40" s="2"/>
      <c r="T40" s="14">
        <f>IFERROR(T31+T32+T33+T34+T35+T36+T37+T38+T39, "NA")</f>
        <v>187336.14</v>
      </c>
      <c r="U40" s="15">
        <f>IFERROR(T40/T444, "NA")</f>
        <v>0.19099998576697588</v>
      </c>
      <c r="V40" s="2"/>
      <c r="W40" s="14">
        <f t="shared" si="10"/>
        <v>-29207.190000000031</v>
      </c>
      <c r="X40" s="15">
        <f>IFERROR(W40/W444, "NA")</f>
        <v>0.35343025506421361</v>
      </c>
      <c r="Y40" s="2"/>
      <c r="Z40" s="14">
        <f>IFERROR(Z31+Z32+Z33+Z34+Z35+Z36+Z37+Z38+Z39, "NA")</f>
        <v>111420.56</v>
      </c>
      <c r="AA40" s="15">
        <f>IFERROR(Z40/Z444, "NA")</f>
        <v>0.13212192218951985</v>
      </c>
      <c r="AB40" s="2"/>
      <c r="AC40" s="14">
        <f t="shared" si="11"/>
        <v>46708.389999999985</v>
      </c>
      <c r="AD40" s="15">
        <f>IFERROR(AC40/AC444, "NA")</f>
        <v>0.85137731569032504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1830.94</v>
      </c>
      <c r="C43" s="8">
        <f>IFERROR(B43/B444, "NA")</f>
        <v>1.9779706695471876E-2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1830.94</v>
      </c>
      <c r="I43" s="8">
        <f>IFERROR(H43/H444, "NA")</f>
        <v>-6.7040828506796921E-2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1830.94</v>
      </c>
      <c r="O43" s="8">
        <f>IFERROR(N43/N444, "NA")</f>
        <v>-0.14543932296610623</v>
      </c>
      <c r="P43" s="9"/>
      <c r="Q43" s="7">
        <v>44745.83</v>
      </c>
      <c r="R43" s="8">
        <f>IFERROR(Q43/Q444, "NA")</f>
        <v>4.981842303773136E-2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44745.83</v>
      </c>
      <c r="X43" s="8">
        <f>IFERROR(W43/W444, "NA")</f>
        <v>-0.54146017162075244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44745.83</v>
      </c>
      <c r="AD43" s="8">
        <f>IFERROR(AC43/AC444, "NA")</f>
        <v>0.81560474753541345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23615.85</v>
      </c>
      <c r="F46" s="8">
        <f>IFERROR(E46/E444, "NA")</f>
        <v>0.19700000191862668</v>
      </c>
      <c r="G46" s="9"/>
      <c r="H46" s="10">
        <f t="shared" ref="H46:H62" si="12">IFERROR(B46-E46, "NA")</f>
        <v>-23615.85</v>
      </c>
      <c r="I46" s="8">
        <f>IFERROR(H46/H444, "NA")</f>
        <v>0.86470673527927733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193221.07</v>
      </c>
      <c r="U46" s="8">
        <f>IFERROR(T46/T444, "NA")</f>
        <v>0.1970000108888752</v>
      </c>
      <c r="V46" s="9"/>
      <c r="W46" s="10">
        <f t="shared" ref="W46:W62" si="14">IFERROR(Q46-T46, "NA")</f>
        <v>-193221.07</v>
      </c>
      <c r="X46" s="8">
        <f>IFERROR(W46/W444, "NA")</f>
        <v>2.3381287982130496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10353.66</v>
      </c>
      <c r="C48" s="8">
        <f>IFERROR(B48/B444, "NA")</f>
        <v>0.11185093887546252</v>
      </c>
      <c r="D48" s="9"/>
      <c r="E48" s="7">
        <v>0</v>
      </c>
      <c r="F48" s="8">
        <f>IFERROR(E48/E444, "NA")</f>
        <v>0</v>
      </c>
      <c r="G48" s="9"/>
      <c r="H48" s="10">
        <f t="shared" si="12"/>
        <v>10353.66</v>
      </c>
      <c r="I48" s="8">
        <f>IFERROR(H48/H444, "NA")</f>
        <v>-0.37910469184008377</v>
      </c>
      <c r="J48" s="9"/>
      <c r="K48" s="7">
        <v>20086.43</v>
      </c>
      <c r="L48" s="8">
        <f>IFERROR(K48/K444, "NA")</f>
        <v>0.19101622908980045</v>
      </c>
      <c r="M48" s="9"/>
      <c r="N48" s="10">
        <f t="shared" si="13"/>
        <v>-9732.77</v>
      </c>
      <c r="O48" s="8">
        <f>IFERROR(N48/N444, "NA")</f>
        <v>0.77311516455199503</v>
      </c>
      <c r="P48" s="9"/>
      <c r="Q48" s="7">
        <v>106730.85</v>
      </c>
      <c r="R48" s="8">
        <f>IFERROR(Q48/Q444, "NA")</f>
        <v>0.11883034992258833</v>
      </c>
      <c r="S48" s="9"/>
      <c r="T48" s="7">
        <v>0</v>
      </c>
      <c r="U48" s="8">
        <f>IFERROR(T48/T444, "NA")</f>
        <v>0</v>
      </c>
      <c r="V48" s="9"/>
      <c r="W48" s="10">
        <f t="shared" si="14"/>
        <v>106730.85</v>
      </c>
      <c r="X48" s="8">
        <f>IFERROR(W48/W444, "NA")</f>
        <v>-1.2915282688516179</v>
      </c>
      <c r="Y48" s="9"/>
      <c r="Z48" s="7">
        <v>163632.04</v>
      </c>
      <c r="AA48" s="8">
        <f>IFERROR(Z48/Z444, "NA")</f>
        <v>0.19403402439004436</v>
      </c>
      <c r="AB48" s="9"/>
      <c r="AC48" s="10">
        <f t="shared" si="15"/>
        <v>-56901.19</v>
      </c>
      <c r="AD48" s="8">
        <f>IFERROR(AC48/AC444, "NA")</f>
        <v>-1.0371666075791777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1.4306735086483991E-5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-1.5549523174174373E-4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2.3422341268069141E-4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2000</v>
      </c>
      <c r="R53" s="8">
        <f>IFERROR(Q53/Q444, "NA")</f>
        <v>2.2267291963399207E-3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2000</v>
      </c>
      <c r="X53" s="8">
        <f>IFERROR(W53/W444, "NA")</f>
        <v>-2.4201592488987352E-2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2000</v>
      </c>
      <c r="AD53" s="8">
        <f>IFERROR(AC53/AC444, "NA")</f>
        <v>3.6455005864699054E-2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2.5941395137360079E-5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-2.8194855249670265E-4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4.2470081832374397E-4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35.75</v>
      </c>
      <c r="R55" s="8">
        <f>IFERROR(Q55/Q444, "NA")</f>
        <v>3.9802784384576086E-5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-4.3260346574064889E-4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6.5163322983149562E-4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56.2</v>
      </c>
      <c r="R56" s="8">
        <f>IFERROR(Q56/Q444, "NA")</f>
        <v>6.2571090417151774E-5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-6.8006474894054454E-4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1.0243856647980435E-3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492.65</v>
      </c>
      <c r="AA59" s="8">
        <f>IFERROR(Z59/Z444, "NA")</f>
        <v>5.8418181497801619E-4</v>
      </c>
      <c r="AB59" s="9"/>
      <c r="AC59" s="10">
        <f t="shared" si="15"/>
        <v>-492.65</v>
      </c>
      <c r="AD59" s="8">
        <f>IFERROR(AC59/AC444, "NA")</f>
        <v>-8.979779319621994E-3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10353.66</v>
      </c>
      <c r="C61" s="15">
        <f>IFERROR(B61/B444, "NA")</f>
        <v>0.11185093887546252</v>
      </c>
      <c r="D61" s="2"/>
      <c r="E61" s="14">
        <f>IFERROR(E46+E47+E48+E49+E50+E51+E52+E53+E54+E55+E56+E57+E58+E59+E60, "NA")</f>
        <v>23615.85</v>
      </c>
      <c r="F61" s="15">
        <f>IFERROR(E61/E444, "NA")</f>
        <v>0.19700000191862668</v>
      </c>
      <c r="G61" s="2"/>
      <c r="H61" s="14">
        <f t="shared" si="12"/>
        <v>-13262.189999999999</v>
      </c>
      <c r="I61" s="15">
        <f>IFERROR(H61/H444, "NA")</f>
        <v>0.4856020434391935</v>
      </c>
      <c r="J61" s="2"/>
      <c r="K61" s="14">
        <f>IFERROR(K46+K47+K48+K49+K50+K51+K52+K53+K54+K55+K56+K57+K58+K59+K60, "NA")</f>
        <v>20086.43</v>
      </c>
      <c r="L61" s="15">
        <f>IFERROR(K61/K444, "NA")</f>
        <v>0.19101622908980045</v>
      </c>
      <c r="M61" s="2"/>
      <c r="N61" s="14">
        <f t="shared" si="13"/>
        <v>-9732.77</v>
      </c>
      <c r="O61" s="15">
        <f>IFERROR(N61/N444, "NA")</f>
        <v>0.77311516455199503</v>
      </c>
      <c r="P61" s="2"/>
      <c r="Q61" s="14">
        <f>IFERROR(Q46+Q47+Q48+Q49+Q50+Q51+Q52+Q53+Q54+Q55+Q56+Q57+Q58+Q59+Q60, "NA")</f>
        <v>108858.95000000001</v>
      </c>
      <c r="R61" s="15">
        <f>IFERROR(Q61/Q444, "NA")</f>
        <v>0.12119970112395383</v>
      </c>
      <c r="S61" s="2"/>
      <c r="T61" s="14">
        <f>IFERROR(T46+T47+T48+T49+T50+T51+T52+T53+T54+T55+T56+T57+T58+T59+T60, "NA")</f>
        <v>193221.07</v>
      </c>
      <c r="U61" s="15">
        <f>IFERROR(T61/T444, "NA")</f>
        <v>0.1970000108888752</v>
      </c>
      <c r="V61" s="2"/>
      <c r="W61" s="14">
        <f t="shared" si="14"/>
        <v>-84362.12</v>
      </c>
      <c r="X61" s="15">
        <f>IFERROR(W61/W444, "NA")</f>
        <v>1.0208488248735248</v>
      </c>
      <c r="Y61" s="2"/>
      <c r="Z61" s="14">
        <f>IFERROR(Z46+Z47+Z48+Z49+Z50+Z51+Z52+Z53+Z54+Z55+Z56+Z57+Z58+Z59+Z60, "NA")</f>
        <v>164124.69</v>
      </c>
      <c r="AA61" s="15">
        <f>IFERROR(Z61/Z444, "NA")</f>
        <v>0.19461820620502238</v>
      </c>
      <c r="AB61" s="2"/>
      <c r="AC61" s="14">
        <f t="shared" si="15"/>
        <v>-55265.739999999991</v>
      </c>
      <c r="AD61" s="15">
        <f>IFERROR(AC61/AC444, "NA")</f>
        <v>-1.0073564379084663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12184.6</v>
      </c>
      <c r="C62" s="15">
        <f>IFERROR(B62/B444, "NA")</f>
        <v>0.1316306455709344</v>
      </c>
      <c r="D62" s="2"/>
      <c r="E62" s="14">
        <f>IFERROR(E42+E43+E44+E46+E47+E48+E49+E50+E51+E52+E53+E54+E55+E56+E57+E58+E59+E60, "NA")</f>
        <v>23615.85</v>
      </c>
      <c r="F62" s="15">
        <f>IFERROR(E62/E444, "NA")</f>
        <v>0.19700000191862668</v>
      </c>
      <c r="G62" s="2"/>
      <c r="H62" s="14">
        <f t="shared" si="12"/>
        <v>-11431.249999999998</v>
      </c>
      <c r="I62" s="15">
        <f>IFERROR(H62/H444, "NA")</f>
        <v>0.41856121493239656</v>
      </c>
      <c r="J62" s="2"/>
      <c r="K62" s="14">
        <f>IFERROR(K42+K43+K44+K46+K47+K48+K49+K50+K51+K52+K53+K54+K55+K56+K57+K58+K59+K60, "NA")</f>
        <v>20086.43</v>
      </c>
      <c r="L62" s="15">
        <f>IFERROR(K62/K444, "NA")</f>
        <v>0.19101622908980045</v>
      </c>
      <c r="M62" s="2"/>
      <c r="N62" s="14">
        <f t="shared" si="13"/>
        <v>-7901.83</v>
      </c>
      <c r="O62" s="15">
        <f>IFERROR(N62/N444, "NA")</f>
        <v>0.62767584158588874</v>
      </c>
      <c r="P62" s="2"/>
      <c r="Q62" s="14">
        <f>IFERROR(Q42+Q43+Q44+Q46+Q47+Q48+Q49+Q50+Q51+Q52+Q53+Q54+Q55+Q56+Q57+Q58+Q59+Q60, "NA")</f>
        <v>153604.78</v>
      </c>
      <c r="R62" s="15">
        <f>IFERROR(Q62/Q444, "NA")</f>
        <v>0.17101812416168516</v>
      </c>
      <c r="S62" s="2"/>
      <c r="T62" s="14">
        <f>IFERROR(T42+T43+T44+T46+T47+T48+T49+T50+T51+T52+T53+T54+T55+T56+T57+T58+T59+T60, "NA")</f>
        <v>193221.07</v>
      </c>
      <c r="U62" s="15">
        <f>IFERROR(T62/T444, "NA")</f>
        <v>0.1970000108888752</v>
      </c>
      <c r="V62" s="2"/>
      <c r="W62" s="14">
        <f t="shared" si="14"/>
        <v>-39616.290000000008</v>
      </c>
      <c r="X62" s="15">
        <f>IFERROR(W62/W444, "NA")</f>
        <v>0.47938865325277241</v>
      </c>
      <c r="Y62" s="2"/>
      <c r="Z62" s="14">
        <f>IFERROR(Z42+Z43+Z44+Z46+Z47+Z48+Z49+Z50+Z51+Z52+Z53+Z54+Z55+Z56+Z57+Z58+Z59+Z60, "NA")</f>
        <v>164124.69</v>
      </c>
      <c r="AA62" s="15">
        <f>IFERROR(Z62/Z444, "NA")</f>
        <v>0.19461820620502238</v>
      </c>
      <c r="AB62" s="2"/>
      <c r="AC62" s="14">
        <f t="shared" si="15"/>
        <v>-10519.910000000003</v>
      </c>
      <c r="AD62" s="15">
        <f>IFERROR(AC62/AC444, "NA")</f>
        <v>-0.19175169037305317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3836.81</v>
      </c>
      <c r="C65" s="8">
        <f>IFERROR(B65/B444, "NA")</f>
        <v>4.1449188092593667E-2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3836.81</v>
      </c>
      <c r="I65" s="8">
        <f>IFERROR(H65/H444, "NA")</f>
        <v>-0.14048681072190433</v>
      </c>
      <c r="J65" s="9"/>
      <c r="K65" s="7">
        <v>236.75</v>
      </c>
      <c r="L65" s="8">
        <f>IFERROR(K65/K444, "NA")</f>
        <v>2.2514250783743179E-3</v>
      </c>
      <c r="M65" s="9"/>
      <c r="N65" s="10">
        <f t="shared" si="17"/>
        <v>3600.06</v>
      </c>
      <c r="O65" s="8">
        <f>IFERROR(N65/N444, "NA")</f>
        <v>-0.28596802136463256</v>
      </c>
      <c r="P65" s="9"/>
      <c r="Q65" s="7">
        <v>16010.44</v>
      </c>
      <c r="R65" s="8">
        <f>IFERROR(Q65/Q444, "NA")</f>
        <v>1.7825457097124263E-2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16010.44</v>
      </c>
      <c r="X65" s="8">
        <f>IFERROR(W65/W444, "NA")</f>
        <v>-0.19373907222469133</v>
      </c>
      <c r="Y65" s="9"/>
      <c r="Z65" s="7">
        <v>1212.95</v>
      </c>
      <c r="AA65" s="8">
        <f>IFERROR(Z65/Z444, "NA")</f>
        <v>1.4383098192988629E-3</v>
      </c>
      <c r="AB65" s="9"/>
      <c r="AC65" s="10">
        <f t="shared" si="19"/>
        <v>14797.49</v>
      </c>
      <c r="AD65" s="8">
        <f>IFERROR(AC65/AC444, "NA")</f>
        <v>0.26972129236641279</v>
      </c>
    </row>
    <row r="66" spans="1:30" ht="16.5" customHeight="1" x14ac:dyDescent="0.45">
      <c r="A66" s="12" t="s">
        <v>63</v>
      </c>
      <c r="B66" s="7">
        <v>2240.42</v>
      </c>
      <c r="C66" s="8">
        <f>IFERROR(B66/B444, "NA")</f>
        <v>2.4203332973592308E-2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2240.42</v>
      </c>
      <c r="I66" s="8">
        <f>IFERROR(H66/H444, "NA")</f>
        <v>-8.2034153496672729E-2</v>
      </c>
      <c r="J66" s="9"/>
      <c r="K66" s="7">
        <v>0</v>
      </c>
      <c r="L66" s="8">
        <f>IFERROR(K66/K444, "NA")</f>
        <v>0</v>
      </c>
      <c r="M66" s="9"/>
      <c r="N66" s="10">
        <f t="shared" si="17"/>
        <v>2240.42</v>
      </c>
      <c r="O66" s="8">
        <f>IFERROR(N66/N444, "NA")</f>
        <v>-0.17796605457290993</v>
      </c>
      <c r="P66" s="9"/>
      <c r="Q66" s="7">
        <v>39863.120000000003</v>
      </c>
      <c r="R66" s="8">
        <f>IFERROR(Q66/Q444, "NA")</f>
        <v>4.4382186580600912E-2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39863.120000000003</v>
      </c>
      <c r="X66" s="8">
        <f>IFERROR(W66/W444, "NA")</f>
        <v>-0.48237549278980074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39863.120000000003</v>
      </c>
      <c r="AD66" s="8">
        <f>IFERROR(AC66/AC444, "NA")</f>
        <v>0.72660513669260107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909.05</v>
      </c>
      <c r="C68" s="8">
        <f>IFERROR(B68/B444, "NA")</f>
        <v>9.8204978707760546E-3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909.05</v>
      </c>
      <c r="I68" s="8">
        <f>IFERROR(H68/H444, "NA")</f>
        <v>-3.3285342585832274E-2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909.05</v>
      </c>
      <c r="O68" s="8">
        <f>IFERROR(N68/N444, "NA")</f>
        <v>-7.2209693677749598E-2</v>
      </c>
      <c r="P68" s="9"/>
      <c r="Q68" s="7">
        <v>5980.12</v>
      </c>
      <c r="R68" s="8">
        <f>IFERROR(Q68/Q444, "NA")</f>
        <v>6.6580539008081431E-3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5980.12</v>
      </c>
      <c r="X68" s="8">
        <f>IFERROR(W68/W444, "NA")</f>
        <v>-7.2364213637621522E-2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5980.12</v>
      </c>
      <c r="AD68" s="8">
        <f>IFERROR(AC68/AC444, "NA")</f>
        <v>0.10900265483580204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6986.28</v>
      </c>
      <c r="C73" s="15">
        <f>IFERROR(B73/B444, "NA")</f>
        <v>7.5473018936962025E-2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6986.28</v>
      </c>
      <c r="I73" s="15">
        <f>IFERROR(H73/H444, "NA")</f>
        <v>-0.2558063068044093</v>
      </c>
      <c r="J73" s="2"/>
      <c r="K73" s="14">
        <f>IFERROR(K64+K65+K66+K67+K68+K69+K70+K71+K72, "NA")</f>
        <v>236.75</v>
      </c>
      <c r="L73" s="15">
        <f>IFERROR(K73/K444, "NA")</f>
        <v>2.2514250783743179E-3</v>
      </c>
      <c r="M73" s="2"/>
      <c r="N73" s="14">
        <f t="shared" si="17"/>
        <v>6749.53</v>
      </c>
      <c r="O73" s="15">
        <f>IFERROR(N73/N444, "NA")</f>
        <v>-0.53614376961529209</v>
      </c>
      <c r="P73" s="2"/>
      <c r="Q73" s="14">
        <f>IFERROR(Q64+Q65+Q66+Q67+Q68+Q69+Q70+Q71+Q72, "NA")</f>
        <v>61853.680000000008</v>
      </c>
      <c r="R73" s="15">
        <f>IFERROR(Q73/Q444, "NA")</f>
        <v>6.8865697578533322E-2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61853.680000000008</v>
      </c>
      <c r="X73" s="15">
        <f>IFERROR(W73/W444, "NA")</f>
        <v>-0.74847877865211365</v>
      </c>
      <c r="Y73" s="2"/>
      <c r="Z73" s="14">
        <f>IFERROR(Z64+Z65+Z66+Z67+Z68+Z69+Z70+Z71+Z72, "NA")</f>
        <v>1212.95</v>
      </c>
      <c r="AA73" s="15">
        <f>IFERROR(Z73/Z444, "NA")</f>
        <v>1.4383098192988629E-3</v>
      </c>
      <c r="AB73" s="2"/>
      <c r="AC73" s="14">
        <f t="shared" si="19"/>
        <v>60640.73000000001</v>
      </c>
      <c r="AD73" s="15">
        <f>IFERROR(AC73/AC444, "NA")</f>
        <v>1.105329083894816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1798.16</v>
      </c>
      <c r="F75" s="8">
        <f>IFERROR(E75/E444, "NA")</f>
        <v>1.4999990406866481E-2</v>
      </c>
      <c r="G75" s="9"/>
      <c r="H75" s="10">
        <f t="shared" ref="H75:H92" si="20">IFERROR(B75-E75, "NA")</f>
        <v>-1798.16</v>
      </c>
      <c r="I75" s="8">
        <f>IFERROR(H75/H444, "NA")</f>
        <v>6.584057161227673E-2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14712.26</v>
      </c>
      <c r="U75" s="8">
        <f>IFERROR(T75/T444, "NA")</f>
        <v>1.499999653350415E-2</v>
      </c>
      <c r="V75" s="9"/>
      <c r="W75" s="10">
        <f t="shared" ref="W75:W92" si="22">IFERROR(Q75-T75, "NA")</f>
        <v>-14712.26</v>
      </c>
      <c r="X75" s="8">
        <f>IFERROR(W75/W444, "NA")</f>
        <v>0.17803006055601453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246.85</v>
      </c>
      <c r="C77" s="8">
        <f>IFERROR(B77/B444, "NA")</f>
        <v>2.6667288921413223E-3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246.85</v>
      </c>
      <c r="I77" s="8">
        <f>IFERROR(H77/H444, "NA")</f>
        <v>-9.0385422334444705E-3</v>
      </c>
      <c r="J77" s="9"/>
      <c r="K77" s="7">
        <v>50.83</v>
      </c>
      <c r="L77" s="8">
        <f>IFERROR(K77/K444, "NA")</f>
        <v>4.8337882464104156E-4</v>
      </c>
      <c r="M77" s="9"/>
      <c r="N77" s="10">
        <f t="shared" si="21"/>
        <v>196.01999999999998</v>
      </c>
      <c r="O77" s="8">
        <f>IFERROR(N77/N444, "NA")</f>
        <v>-1.5570699251650048E-2</v>
      </c>
      <c r="P77" s="9"/>
      <c r="Q77" s="7">
        <v>3964.49</v>
      </c>
      <c r="R77" s="8">
        <f>IFERROR(Q77/Q444, "NA")</f>
        <v>4.4139228157988259E-3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3964.49</v>
      </c>
      <c r="X77" s="8">
        <f>IFERROR(W77/W444, "NA")</f>
        <v>-4.7973485703332729E-2</v>
      </c>
      <c r="Y77" s="9"/>
      <c r="Z77" s="7">
        <v>586.04</v>
      </c>
      <c r="AA77" s="8">
        <f>IFERROR(Z77/Z444, "NA")</f>
        <v>6.9492319263111057E-4</v>
      </c>
      <c r="AB77" s="9"/>
      <c r="AC77" s="10">
        <f t="shared" si="23"/>
        <v>3378.45</v>
      </c>
      <c r="AD77" s="8">
        <f>IFERROR(AC77/AC444, "NA")</f>
        <v>6.1580707281796251E-2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0</v>
      </c>
      <c r="L79" s="8">
        <f>IFERROR(K79/K444, "NA")</f>
        <v>0</v>
      </c>
      <c r="M79" s="9"/>
      <c r="N79" s="10">
        <f t="shared" si="21"/>
        <v>0</v>
      </c>
      <c r="O79" s="8">
        <f>IFERROR(N79/N444, "NA")</f>
        <v>0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44.85</v>
      </c>
      <c r="AA79" s="8">
        <f>IFERROR(Z79/Z444, "NA")</f>
        <v>5.3182897395238056E-5</v>
      </c>
      <c r="AB79" s="9"/>
      <c r="AC79" s="10">
        <f t="shared" si="23"/>
        <v>-44.85</v>
      </c>
      <c r="AD79" s="8">
        <f>IFERROR(AC79/AC444, "NA")</f>
        <v>-8.1750350651587625E-4</v>
      </c>
    </row>
    <row r="80" spans="1:30" ht="16.5" customHeight="1" x14ac:dyDescent="0.45">
      <c r="A80" s="12" t="s">
        <v>76</v>
      </c>
      <c r="B80" s="7">
        <v>944.63</v>
      </c>
      <c r="C80" s="8">
        <f>IFERROR(B80/B444, "NA")</f>
        <v>1.0204869813179897E-2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944.63</v>
      </c>
      <c r="I80" s="8">
        <f>IFERROR(H80/H444, "NA")</f>
        <v>-3.4588122949072923E-2</v>
      </c>
      <c r="J80" s="9"/>
      <c r="K80" s="7">
        <v>1635</v>
      </c>
      <c r="L80" s="8">
        <f>IFERROR(K80/K444, "NA")</f>
        <v>1.5548384384971532E-2</v>
      </c>
      <c r="M80" s="9"/>
      <c r="N80" s="10">
        <f t="shared" si="21"/>
        <v>-690.37</v>
      </c>
      <c r="O80" s="8">
        <f>IFERROR(N80/N444, "NA")</f>
        <v>5.4839014602395902E-2</v>
      </c>
      <c r="P80" s="9"/>
      <c r="Q80" s="7">
        <v>8896.0499999999993</v>
      </c>
      <c r="R80" s="8">
        <f>IFERROR(Q80/Q444, "NA")</f>
        <v>9.9045471335498757E-3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8896.0499999999993</v>
      </c>
      <c r="X80" s="8">
        <f>IFERROR(W80/W444, "NA")</f>
        <v>-0.10764928843082795</v>
      </c>
      <c r="Y80" s="9"/>
      <c r="Z80" s="7">
        <v>10725</v>
      </c>
      <c r="AA80" s="8">
        <f>IFERROR(Z80/Z444, "NA")</f>
        <v>1.2717649377122144E-2</v>
      </c>
      <c r="AB80" s="9"/>
      <c r="AC80" s="10">
        <f t="shared" si="23"/>
        <v>-1828.9500000000007</v>
      </c>
      <c r="AD80" s="8">
        <f>IFERROR(AC80/AC444, "NA")</f>
        <v>-3.3337191488120678E-2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1191.48</v>
      </c>
      <c r="C88" s="15">
        <f>IFERROR(B88/B444, "NA")</f>
        <v>1.2871598705321218E-2</v>
      </c>
      <c r="D88" s="2"/>
      <c r="E88" s="14">
        <f>IFERROR(E75+E76+E77+E78+E79+E80+E81+E82+E83+E84+E85+E86+E87, "NA")</f>
        <v>1798.16</v>
      </c>
      <c r="F88" s="15">
        <f>IFERROR(E88/E444, "NA")</f>
        <v>1.4999990406866481E-2</v>
      </c>
      <c r="G88" s="2"/>
      <c r="H88" s="14">
        <f t="shared" si="20"/>
        <v>-606.68000000000006</v>
      </c>
      <c r="I88" s="15">
        <f>IFERROR(H88/H444, "NA")</f>
        <v>2.2213906429759338E-2</v>
      </c>
      <c r="J88" s="2"/>
      <c r="K88" s="14">
        <f>IFERROR(K75+K76+K77+K78+K79+K80+K81+K82+K83+K84+K85+K86+K87, "NA")</f>
        <v>1685.83</v>
      </c>
      <c r="L88" s="15">
        <f>IFERROR(K88/K444, "NA")</f>
        <v>1.6031763209612571E-2</v>
      </c>
      <c r="M88" s="2"/>
      <c r="N88" s="14">
        <f t="shared" si="21"/>
        <v>-494.34999999999991</v>
      </c>
      <c r="O88" s="15">
        <f>IFERROR(N88/N444, "NA")</f>
        <v>3.9268315350745847E-2</v>
      </c>
      <c r="P88" s="2"/>
      <c r="Q88" s="14">
        <f>IFERROR(Q75+Q76+Q77+Q78+Q79+Q80+Q81+Q82+Q83+Q84+Q85+Q86+Q87, "NA")</f>
        <v>12860.539999999999</v>
      </c>
      <c r="R88" s="15">
        <f>IFERROR(Q88/Q444, "NA")</f>
        <v>1.4318469949348701E-2</v>
      </c>
      <c r="S88" s="2"/>
      <c r="T88" s="14">
        <f>IFERROR(T75+T76+T77+T78+T79+T80+T81+T82+T83+T84+T85+T86+T87, "NA")</f>
        <v>14712.26</v>
      </c>
      <c r="U88" s="15">
        <f>IFERROR(T88/T444, "NA")</f>
        <v>1.499999653350415E-2</v>
      </c>
      <c r="V88" s="2"/>
      <c r="W88" s="14">
        <f t="shared" si="22"/>
        <v>-1851.7200000000012</v>
      </c>
      <c r="X88" s="15">
        <f>IFERROR(W88/W444, "NA")</f>
        <v>2.2407286421853842E-2</v>
      </c>
      <c r="Y88" s="2"/>
      <c r="Z88" s="14">
        <f>IFERROR(Z75+Z76+Z77+Z78+Z79+Z80+Z81+Z82+Z83+Z84+Z85+Z86+Z87, "NA")</f>
        <v>11355.89</v>
      </c>
      <c r="AA88" s="15">
        <f>IFERROR(Z88/Z444, "NA")</f>
        <v>1.3465755467148491E-2</v>
      </c>
      <c r="AB88" s="2"/>
      <c r="AC88" s="14">
        <f t="shared" si="23"/>
        <v>1504.6499999999996</v>
      </c>
      <c r="AD88" s="15">
        <f>IFERROR(AC88/AC444, "NA")</f>
        <v>2.7426012287159709E-2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192.26</v>
      </c>
      <c r="L89" s="8">
        <f>IFERROR(K89/K444, "NA")</f>
        <v>1.8283378482291293E-3</v>
      </c>
      <c r="M89" s="9"/>
      <c r="N89" s="10">
        <f t="shared" si="21"/>
        <v>-192.26</v>
      </c>
      <c r="O89" s="8">
        <f>IFERROR(N89/N444, "NA")</f>
        <v>1.5272026518325876E-2</v>
      </c>
      <c r="P89" s="9"/>
      <c r="Q89" s="7">
        <v>60.59</v>
      </c>
      <c r="R89" s="8">
        <f>IFERROR(Q89/Q444, "NA")</f>
        <v>6.7458761003117907E-5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60.59</v>
      </c>
      <c r="X89" s="8">
        <f>IFERROR(W89/W444, "NA")</f>
        <v>-7.331872444538718E-4</v>
      </c>
      <c r="Y89" s="9"/>
      <c r="Z89" s="7">
        <v>301.32</v>
      </c>
      <c r="AA89" s="8">
        <f>IFERROR(Z89/Z444, "NA")</f>
        <v>3.5730369326941204E-4</v>
      </c>
      <c r="AB89" s="9"/>
      <c r="AC89" s="10">
        <f t="shared" si="23"/>
        <v>-240.73</v>
      </c>
      <c r="AD89" s="8">
        <f>IFERROR(AC89/AC444, "NA")</f>
        <v>-4.3879067809045012E-3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-5154.7299999999996</v>
      </c>
      <c r="F94" s="8">
        <f>IFERROR(E94/E444, "NA")</f>
        <v>-4.3000011428341665E-2</v>
      </c>
      <c r="G94" s="9"/>
      <c r="H94" s="10">
        <f t="shared" ref="H94:H124" si="24">IFERROR(B94-E94, "NA")</f>
        <v>5154.7299999999996</v>
      </c>
      <c r="I94" s="8">
        <f>IFERROR(H94/H444, "NA")</f>
        <v>-0.18874314282764115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-42175.16</v>
      </c>
      <c r="U94" s="8">
        <f>IFERROR(T94/T444, "NA")</f>
        <v>-4.3000005016223405E-2</v>
      </c>
      <c r="V94" s="9"/>
      <c r="W94" s="10">
        <f t="shared" ref="W94:W124" si="26">IFERROR(Q94-T94, "NA")</f>
        <v>42175.16</v>
      </c>
      <c r="X94" s="8">
        <f>IFERROR(W94/W444, "NA")</f>
        <v>-0.51035301773891995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-1044.28</v>
      </c>
      <c r="C96" s="8">
        <f>IFERROR(B96/B444, "NA")</f>
        <v>-1.1281392130789306E-2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-1044.28</v>
      </c>
      <c r="I96" s="8">
        <f>IFERROR(H96/H444, "NA")</f>
        <v>3.8236859969784862E-2</v>
      </c>
      <c r="J96" s="9"/>
      <c r="K96" s="7">
        <v>-666</v>
      </c>
      <c r="L96" s="8">
        <f>IFERROR(K96/K444, "NA")</f>
        <v>-6.3334703366306052E-3</v>
      </c>
      <c r="M96" s="9"/>
      <c r="N96" s="10">
        <f t="shared" si="25"/>
        <v>-378.28</v>
      </c>
      <c r="O96" s="8">
        <f>IFERROR(N96/N444, "NA")</f>
        <v>3.0048383394113764E-2</v>
      </c>
      <c r="P96" s="9"/>
      <c r="Q96" s="7">
        <v>-8264.33</v>
      </c>
      <c r="R96" s="8">
        <f>IFERROR(Q96/Q444, "NA")</f>
        <v>-9.2012124495939492E-3</v>
      </c>
      <c r="S96" s="9"/>
      <c r="T96" s="7">
        <v>0</v>
      </c>
      <c r="U96" s="8">
        <f>IFERROR(T96/T444, "NA")</f>
        <v>0</v>
      </c>
      <c r="V96" s="9"/>
      <c r="W96" s="10">
        <f t="shared" si="26"/>
        <v>-8264.33</v>
      </c>
      <c r="X96" s="8">
        <f>IFERROR(W96/W444, "NA")</f>
        <v>0.10000497342725641</v>
      </c>
      <c r="Y96" s="9"/>
      <c r="Z96" s="7">
        <v>-9476.7800000000007</v>
      </c>
      <c r="AA96" s="8">
        <f>IFERROR(Z96/Z444, "NA")</f>
        <v>-1.1237516574743459E-2</v>
      </c>
      <c r="AB96" s="9"/>
      <c r="AC96" s="10">
        <f t="shared" si="27"/>
        <v>1212.4500000000007</v>
      </c>
      <c r="AD96" s="8">
        <f>IFERROR(AC96/AC444, "NA")</f>
        <v>2.2099935930327198E-2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-2405.75</v>
      </c>
      <c r="C98" s="8">
        <f>IFERROR(B98/B444, "NA")</f>
        <v>-2.598939855081623E-2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-2405.75</v>
      </c>
      <c r="I98" s="8">
        <f>IFERROR(H98/H444, "NA")</f>
        <v>8.8087798169370207E-2</v>
      </c>
      <c r="J98" s="9"/>
      <c r="K98" s="7">
        <v>-3555.67</v>
      </c>
      <c r="L98" s="8">
        <f>IFERROR(K98/K444, "NA")</f>
        <v>-3.3813409116887905E-2</v>
      </c>
      <c r="M98" s="9"/>
      <c r="N98" s="10">
        <f t="shared" si="25"/>
        <v>1149.92</v>
      </c>
      <c r="O98" s="8">
        <f>IFERROR(N98/N444, "NA")</f>
        <v>-9.1343018485141439E-2</v>
      </c>
      <c r="P98" s="9"/>
      <c r="Q98" s="7">
        <v>-22831.71</v>
      </c>
      <c r="R98" s="8">
        <f>IFERROR(Q98/Q444, "NA")</f>
        <v>-2.5420017629683066E-2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-22831.71</v>
      </c>
      <c r="X98" s="8">
        <f>IFERROR(W98/W444, "NA")</f>
        <v>0.27628187062336867</v>
      </c>
      <c r="Y98" s="9"/>
      <c r="Z98" s="7">
        <v>-21539.13</v>
      </c>
      <c r="AA98" s="8">
        <f>IFERROR(Z98/Z444, "NA")</f>
        <v>-2.5540988645990945E-2</v>
      </c>
      <c r="AB98" s="9"/>
      <c r="AC98" s="10">
        <f t="shared" si="27"/>
        <v>-1292.5799999999981</v>
      </c>
      <c r="AD98" s="8">
        <f>IFERROR(AC98/AC444, "NA")</f>
        <v>-2.3560505740296316E-2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-55.98</v>
      </c>
      <c r="C100" s="8">
        <f>IFERROR(B100/B444, "NA")</f>
        <v>-6.0475383180907927E-4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-55.98</v>
      </c>
      <c r="I100" s="8">
        <f>IFERROR(H100/H444, "NA")</f>
        <v>2.0497370639182559E-3</v>
      </c>
      <c r="J100" s="9"/>
      <c r="K100" s="7">
        <v>-1857.54</v>
      </c>
      <c r="L100" s="8">
        <f>IFERROR(K100/K444, "NA")</f>
        <v>-1.766467641006729E-2</v>
      </c>
      <c r="M100" s="9"/>
      <c r="N100" s="10">
        <f t="shared" si="25"/>
        <v>1801.56</v>
      </c>
      <c r="O100" s="8">
        <f>IFERROR(N100/N444, "NA")</f>
        <v>-0.14310554506582318</v>
      </c>
      <c r="P100" s="9"/>
      <c r="Q100" s="7">
        <v>-3266.27</v>
      </c>
      <c r="R100" s="8">
        <f>IFERROR(Q100/Q444, "NA")</f>
        <v>-3.6365493860645963E-3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-3266.27</v>
      </c>
      <c r="X100" s="8">
        <f>IFERROR(W100/W444, "NA")</f>
        <v>3.9524467749502357E-2</v>
      </c>
      <c r="Y100" s="9"/>
      <c r="Z100" s="7">
        <v>-2622.97</v>
      </c>
      <c r="AA100" s="8">
        <f>IFERROR(Z100/Z444, "NA")</f>
        <v>-3.110304222537069E-3</v>
      </c>
      <c r="AB100" s="9"/>
      <c r="AC100" s="10">
        <f t="shared" si="27"/>
        <v>-643.30000000000018</v>
      </c>
      <c r="AD100" s="8">
        <f>IFERROR(AC100/AC444, "NA")</f>
        <v>-1.1725752636380454E-2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-83.26</v>
      </c>
      <c r="C102" s="8">
        <f>IFERROR(B102/B444, "NA")</f>
        <v>-8.9946059371961323E-4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-83.26</v>
      </c>
      <c r="I102" s="8">
        <f>IFERROR(H102/H444, "NA")</f>
        <v>3.0486085734518402E-3</v>
      </c>
      <c r="J102" s="9"/>
      <c r="K102" s="7">
        <v>-53.9</v>
      </c>
      <c r="L102" s="8">
        <f>IFERROR(K102/K444, "NA")</f>
        <v>-5.1257365036695137E-4</v>
      </c>
      <c r="M102" s="9"/>
      <c r="N102" s="10">
        <f t="shared" si="25"/>
        <v>-29.360000000000007</v>
      </c>
      <c r="O102" s="8">
        <f>IFERROR(N102/N444, "NA")</f>
        <v>2.3321892155313004E-3</v>
      </c>
      <c r="P102" s="9"/>
      <c r="Q102" s="7">
        <v>-2154.54</v>
      </c>
      <c r="R102" s="8">
        <f>IFERROR(Q102/Q444, "NA")</f>
        <v>-2.3987885613411066E-3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-2154.54</v>
      </c>
      <c r="X102" s="8">
        <f>IFERROR(W102/W444, "NA")</f>
        <v>2.6071649540611402E-2</v>
      </c>
      <c r="Y102" s="9"/>
      <c r="Z102" s="7">
        <v>-2407.38</v>
      </c>
      <c r="AA102" s="8">
        <f>IFERROR(Z102/Z444, "NA")</f>
        <v>-2.8546587186476743E-3</v>
      </c>
      <c r="AB102" s="9"/>
      <c r="AC102" s="10">
        <f t="shared" si="27"/>
        <v>252.84000000000015</v>
      </c>
      <c r="AD102" s="8">
        <f>IFERROR(AC102/AC444, "NA")</f>
        <v>4.608641841415257E-3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-629.86</v>
      </c>
      <c r="C104" s="8">
        <f>IFERROR(B104/B444, "NA")</f>
        <v>-6.8043988657246644E-3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-629.86</v>
      </c>
      <c r="I104" s="8">
        <f>IFERROR(H104/H444, "NA")</f>
        <v>2.3062654288666537E-2</v>
      </c>
      <c r="J104" s="9"/>
      <c r="K104" s="7">
        <v>-845.36</v>
      </c>
      <c r="L104" s="8">
        <f>IFERROR(K104/K444, "NA")</f>
        <v>-8.0391328585195931E-3</v>
      </c>
      <c r="M104" s="9"/>
      <c r="N104" s="10">
        <f t="shared" si="25"/>
        <v>215.5</v>
      </c>
      <c r="O104" s="8">
        <f>IFERROR(N104/N444, "NA")</f>
        <v>-1.7118078199829537E-2</v>
      </c>
      <c r="P104" s="9"/>
      <c r="Q104" s="7">
        <v>-5918.66</v>
      </c>
      <c r="R104" s="8">
        <f>IFERROR(Q104/Q444, "NA")</f>
        <v>-6.5896265126046179E-3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-5918.66</v>
      </c>
      <c r="X104" s="8">
        <f>IFERROR(W104/W444, "NA")</f>
        <v>7.1620498700434937E-2</v>
      </c>
      <c r="Y104" s="9"/>
      <c r="Z104" s="7">
        <v>-9520.5499999999993</v>
      </c>
      <c r="AA104" s="8">
        <f>IFERROR(Z104/Z444, "NA")</f>
        <v>-1.128941881373988E-2</v>
      </c>
      <c r="AB104" s="9"/>
      <c r="AC104" s="10">
        <f t="shared" si="27"/>
        <v>3601.8899999999994</v>
      </c>
      <c r="AD104" s="8">
        <f>IFERROR(AC104/AC444, "NA")</f>
        <v>6.5653460537000427E-2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0</v>
      </c>
      <c r="C106" s="8">
        <f>IFERROR(B106/B444, "NA")</f>
        <v>0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0</v>
      </c>
      <c r="I106" s="8">
        <f>IFERROR(H106/H444, "NA")</f>
        <v>0</v>
      </c>
      <c r="J106" s="9"/>
      <c r="K106" s="7">
        <v>-124.4</v>
      </c>
      <c r="L106" s="8">
        <f>IFERROR(K106/K444, "NA")</f>
        <v>-1.1830085733886596E-3</v>
      </c>
      <c r="M106" s="9"/>
      <c r="N106" s="10">
        <f t="shared" si="25"/>
        <v>124.4</v>
      </c>
      <c r="O106" s="8">
        <f>IFERROR(N106/N444, "NA")</f>
        <v>-9.8816191557252638E-3</v>
      </c>
      <c r="P106" s="9"/>
      <c r="Q106" s="7">
        <v>-145.1</v>
      </c>
      <c r="R106" s="8">
        <f>IFERROR(Q106/Q444, "NA")</f>
        <v>-1.6154920319446124E-4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-145.1</v>
      </c>
      <c r="X106" s="8">
        <f>IFERROR(W106/W444, "NA")</f>
        <v>1.7558255350760322E-3</v>
      </c>
      <c r="Y106" s="9"/>
      <c r="Z106" s="7">
        <v>-2596.6999999999998</v>
      </c>
      <c r="AA106" s="8">
        <f>IFERROR(Z106/Z444, "NA")</f>
        <v>-3.0791533927807054E-3</v>
      </c>
      <c r="AB106" s="9"/>
      <c r="AC106" s="10">
        <f t="shared" si="27"/>
        <v>2451.6</v>
      </c>
      <c r="AD106" s="8">
        <f>IFERROR(AC106/AC444, "NA")</f>
        <v>4.4686546188948101E-2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-5.9289740685884116E-6</v>
      </c>
      <c r="AB108" s="9"/>
      <c r="AC108" s="10">
        <f t="shared" si="27"/>
        <v>5</v>
      </c>
      <c r="AD108" s="8">
        <f>IFERROR(AC108/AC444, "NA")</f>
        <v>9.1137514661747632E-5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-4219.13</v>
      </c>
      <c r="C118" s="15">
        <f>IFERROR(B118/B444, "NA")</f>
        <v>-4.5579403972858895E-2</v>
      </c>
      <c r="D118" s="2"/>
      <c r="E118" s="14">
        <f>IFERROR(E94+E95+E96+E97+E98+E99+E100+E101+E102+E103+E104+E105+E106+E107+E108+E109+E110+E111+E112+E113+E114+E115+E116+E117, "NA")</f>
        <v>-5154.7299999999996</v>
      </c>
      <c r="F118" s="15">
        <f>IFERROR(E118/E444, "NA")</f>
        <v>-4.3000011428341665E-2</v>
      </c>
      <c r="G118" s="2"/>
      <c r="H118" s="14">
        <f t="shared" si="24"/>
        <v>935.59999999999945</v>
      </c>
      <c r="I118" s="15">
        <f>IFERROR(H118/H444, "NA")</f>
        <v>-3.4257484762449435E-2</v>
      </c>
      <c r="J118" s="2"/>
      <c r="K118" s="14">
        <f>IFERROR(K94+K95+K96+K97+K98+K99+K100+K101+K102+K103+K104+K105+K106+K107+K108+K109+K110+K111+K112+K113+K114+K115+K116+K117, "NA")</f>
        <v>-7102.869999999999</v>
      </c>
      <c r="L118" s="15">
        <f>IFERROR(K118/K444, "NA")</f>
        <v>-6.7546270945860992E-2</v>
      </c>
      <c r="M118" s="2"/>
      <c r="N118" s="14">
        <f t="shared" si="25"/>
        <v>2883.7399999999989</v>
      </c>
      <c r="O118" s="15">
        <f>IFERROR(N118/N444, "NA")</f>
        <v>-0.22906768829687427</v>
      </c>
      <c r="P118" s="2"/>
      <c r="Q118" s="14">
        <f>IFERROR(Q94+Q95+Q96+Q97+Q98+Q99+Q100+Q101+Q102+Q103+Q104+Q105+Q106+Q107+Q108+Q109+Q110+Q111+Q112+Q113+Q114+Q115+Q116+Q117, "NA")</f>
        <v>-42580.609999999993</v>
      </c>
      <c r="R118" s="15">
        <f>IFERROR(Q118/Q444, "NA")</f>
        <v>-4.7407743742481787E-2</v>
      </c>
      <c r="S118" s="2"/>
      <c r="T118" s="14">
        <f>IFERROR(T94+T95+T96+T97+T98+T99+T100+T101+T102+T103+T104+T105+T106+T107+T108+T109+T110+T111+T112+T113+T114+T115+T116+T117, "NA")</f>
        <v>-42175.16</v>
      </c>
      <c r="U118" s="15">
        <f>IFERROR(T118/T444, "NA")</f>
        <v>-4.3000005016223405E-2</v>
      </c>
      <c r="V118" s="2"/>
      <c r="W118" s="14">
        <f t="shared" si="26"/>
        <v>-405.44999999998981</v>
      </c>
      <c r="X118" s="15">
        <f>IFERROR(W118/W444, "NA")</f>
        <v>4.9062678373298372E-3</v>
      </c>
      <c r="Y118" s="2"/>
      <c r="Z118" s="14">
        <f>IFERROR(Z94+Z95+Z96+Z97+Z98+Z99+Z100+Z101+Z102+Z103+Z104+Z105+Z106+Z107+Z108+Z109+Z110+Z111+Z112+Z113+Z114+Z115+Z116+Z117, "NA")</f>
        <v>-48168.509999999995</v>
      </c>
      <c r="AA118" s="15">
        <f>IFERROR(Z118/Z444, "NA")</f>
        <v>-5.7117969342508311E-2</v>
      </c>
      <c r="AB118" s="2"/>
      <c r="AC118" s="14">
        <f t="shared" si="27"/>
        <v>5587.9000000000015</v>
      </c>
      <c r="AD118" s="15">
        <f>IFERROR(AC118/AC444, "NA")</f>
        <v>0.10185346363567595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92566.590000000026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119877.41000000002</v>
      </c>
      <c r="F122" s="15">
        <f>IFERROR(E122/E444, "NA")</f>
        <v>1.0000000000000002</v>
      </c>
      <c r="G122" s="2"/>
      <c r="H122" s="14">
        <f t="shared" si="24"/>
        <v>-27310.819999999992</v>
      </c>
      <c r="I122" s="15">
        <f>IFERROR(H122/H444, "NA")</f>
        <v>0.99999999999999944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105155.62000000004</v>
      </c>
      <c r="L122" s="15">
        <f>IFERROR(K122/K444, "NA")</f>
        <v>1.0000000000000004</v>
      </c>
      <c r="M122" s="2"/>
      <c r="N122" s="14">
        <f t="shared" si="25"/>
        <v>-12589.030000000013</v>
      </c>
      <c r="O122" s="15">
        <f>IFERROR(N122/N444, "NA")</f>
        <v>1.0000000000000011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898178.36999999988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980817.55999999994</v>
      </c>
      <c r="U122" s="15">
        <f>IFERROR(T122/T444, "NA")</f>
        <v>0.99999999999999989</v>
      </c>
      <c r="V122" s="2"/>
      <c r="W122" s="14">
        <f t="shared" si="26"/>
        <v>-82639.190000000061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843316.22000000009</v>
      </c>
      <c r="AA122" s="15">
        <f>IFERROR(Z122/Z444, "NA")</f>
        <v>1.0000000000000002</v>
      </c>
      <c r="AB122" s="2"/>
      <c r="AC122" s="14">
        <f t="shared" si="27"/>
        <v>54862.14999999979</v>
      </c>
      <c r="AD122" s="15">
        <f>IFERROR(AC122/AC444, "NA")</f>
        <v>0.99999999999999578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92566.590000000026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119877.41000000002</v>
      </c>
      <c r="F124" s="15">
        <f>IFERROR(E124/E444, "NA")</f>
        <v>1.0000000000000002</v>
      </c>
      <c r="G124" s="2"/>
      <c r="H124" s="14">
        <f t="shared" si="24"/>
        <v>-27310.819999999992</v>
      </c>
      <c r="I124" s="15">
        <f>IFERROR(H124/H444, "NA")</f>
        <v>0.99999999999999944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105155.62000000004</v>
      </c>
      <c r="L124" s="15">
        <f>IFERROR(K124/K444, "NA")</f>
        <v>1.0000000000000004</v>
      </c>
      <c r="M124" s="2"/>
      <c r="N124" s="14">
        <f t="shared" si="25"/>
        <v>-12589.030000000013</v>
      </c>
      <c r="O124" s="15">
        <f>IFERROR(N124/N444, "NA")</f>
        <v>1.0000000000000011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898178.36999999988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980817.55999999994</v>
      </c>
      <c r="U124" s="15">
        <f>IFERROR(T124/T444, "NA")</f>
        <v>0.99999999999999989</v>
      </c>
      <c r="V124" s="2"/>
      <c r="W124" s="14">
        <f t="shared" si="26"/>
        <v>-82639.190000000061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843316.22000000009</v>
      </c>
      <c r="AA124" s="15">
        <f>IFERROR(Z124/Z444, "NA")</f>
        <v>1.0000000000000002</v>
      </c>
      <c r="AB124" s="2"/>
      <c r="AC124" s="14">
        <f t="shared" si="27"/>
        <v>54862.14999999979</v>
      </c>
      <c r="AD124" s="15">
        <f>IFERROR(AC124/AC444, "NA")</f>
        <v>0.99999999999999578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26852.54</v>
      </c>
      <c r="F129" s="8">
        <f>IFERROR(E129/E444, "NA")</f>
        <v>0.22400000133469683</v>
      </c>
      <c r="G129" s="9"/>
      <c r="H129" s="10">
        <f t="shared" ref="H129:H141" si="28">IFERROR(-(B129-E129), "NA")</f>
        <v>26852.54</v>
      </c>
      <c r="I129" s="8">
        <f>IFERROR(H129/H444, "NA")</f>
        <v>-0.98321983741242458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226598.37</v>
      </c>
      <c r="U129" s="8">
        <f>IFERROR(T129/T444, "NA")</f>
        <v>0.23103009085604054</v>
      </c>
      <c r="V129" s="9"/>
      <c r="W129" s="10">
        <f t="shared" ref="W129:W141" si="30">IFERROR(-(Q129-T129), "NA")</f>
        <v>226598.37</v>
      </c>
      <c r="X129" s="8">
        <f>IFERROR(W129/W444, "NA")</f>
        <v>-2.7420207047043883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4211.18</v>
      </c>
      <c r="C130" s="8">
        <f>IFERROR(B130/B444, "NA")</f>
        <v>4.5493519854193622E-2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-4211.18</v>
      </c>
      <c r="I130" s="8">
        <f>IFERROR(H130/H444, "NA")</f>
        <v>0.15419456464507469</v>
      </c>
      <c r="J130" s="9"/>
      <c r="K130" s="7">
        <v>6733.71</v>
      </c>
      <c r="L130" s="8">
        <f>IFERROR(K130/K444, "NA")</f>
        <v>6.4035664475184495E-2</v>
      </c>
      <c r="M130" s="9"/>
      <c r="N130" s="10">
        <f t="shared" si="29"/>
        <v>2522.5299999999997</v>
      </c>
      <c r="O130" s="8">
        <f>IFERROR(N130/N444, "NA")</f>
        <v>-0.20037524733835729</v>
      </c>
      <c r="P130" s="9"/>
      <c r="Q130" s="7">
        <v>51932.13</v>
      </c>
      <c r="R130" s="8">
        <f>IFERROR(Q130/Q444, "NA")</f>
        <v>5.7819395049560143E-2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-51932.13</v>
      </c>
      <c r="X130" s="8">
        <f>IFERROR(W130/W444, "NA")</f>
        <v>0.62842012367255728</v>
      </c>
      <c r="Y130" s="9"/>
      <c r="Z130" s="7">
        <v>57553.54</v>
      </c>
      <c r="AA130" s="8">
        <f>IFERROR(Z130/Z444, "NA")</f>
        <v>6.8246689243093184E-2</v>
      </c>
      <c r="AB130" s="9"/>
      <c r="AC130" s="10">
        <f t="shared" si="31"/>
        <v>5621.4100000000035</v>
      </c>
      <c r="AD130" s="8">
        <f>IFERROR(AC130/AC444, "NA")</f>
        <v>0.10246426725893902</v>
      </c>
    </row>
    <row r="131" spans="1:30" ht="16.5" customHeight="1" x14ac:dyDescent="0.45">
      <c r="A131" s="12" t="s">
        <v>123</v>
      </c>
      <c r="B131" s="7">
        <v>2977.23</v>
      </c>
      <c r="C131" s="8">
        <f>IFERROR(B131/B444, "NA")</f>
        <v>3.2163116303625318E-2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-2977.23</v>
      </c>
      <c r="I131" s="8">
        <f>IFERROR(H131/H444, "NA")</f>
        <v>0.10901283813521524</v>
      </c>
      <c r="J131" s="9"/>
      <c r="K131" s="7">
        <v>3276.34</v>
      </c>
      <c r="L131" s="8">
        <f>IFERROR(K131/K444, "NA")</f>
        <v>3.1157060364438917E-2</v>
      </c>
      <c r="M131" s="9"/>
      <c r="N131" s="10">
        <f t="shared" si="29"/>
        <v>299.11000000000013</v>
      </c>
      <c r="O131" s="8">
        <f>IFERROR(N131/N444, "NA")</f>
        <v>-2.3759574804413063E-2</v>
      </c>
      <c r="P131" s="9"/>
      <c r="Q131" s="7">
        <v>29134</v>
      </c>
      <c r="R131" s="8">
        <f>IFERROR(Q131/Q444, "NA")</f>
        <v>3.2436764203083626E-2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-29134</v>
      </c>
      <c r="X131" s="8">
        <f>IFERROR(W131/W444, "NA")</f>
        <v>0.35254459778707875</v>
      </c>
      <c r="Y131" s="9"/>
      <c r="Z131" s="7">
        <v>28462.27</v>
      </c>
      <c r="AA131" s="8">
        <f>IFERROR(Z131/Z444, "NA")</f>
        <v>3.3750412152632379E-2</v>
      </c>
      <c r="AB131" s="9"/>
      <c r="AC131" s="10">
        <f t="shared" si="31"/>
        <v>-671.72999999999956</v>
      </c>
      <c r="AD131" s="8">
        <f>IFERROR(AC131/AC444, "NA")</f>
        <v>-1.224396054474714E-2</v>
      </c>
    </row>
    <row r="132" spans="1:30" ht="16.5" customHeight="1" x14ac:dyDescent="0.45">
      <c r="A132" s="12" t="s">
        <v>124</v>
      </c>
      <c r="B132" s="7">
        <v>5158.3</v>
      </c>
      <c r="C132" s="8">
        <f>IFERROR(B132/B444, "NA")</f>
        <v>5.5725289221521507E-2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-5158.3</v>
      </c>
      <c r="I132" s="8">
        <f>IFERROR(H132/H444, "NA")</f>
        <v>0.18887386025025973</v>
      </c>
      <c r="J132" s="9"/>
      <c r="K132" s="7">
        <v>3596.14</v>
      </c>
      <c r="L132" s="8">
        <f>IFERROR(K132/K444, "NA")</f>
        <v>3.4198267291848022E-2</v>
      </c>
      <c r="M132" s="9"/>
      <c r="N132" s="10">
        <f t="shared" si="29"/>
        <v>-1562.1600000000003</v>
      </c>
      <c r="O132" s="8">
        <f>IFERROR(N132/N444, "NA")</f>
        <v>0.12408898858768312</v>
      </c>
      <c r="P132" s="9"/>
      <c r="Q132" s="7">
        <v>41748.47</v>
      </c>
      <c r="R132" s="8">
        <f>IFERROR(Q132/Q444, "NA")</f>
        <v>4.6481268525760649E-2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-41748.47</v>
      </c>
      <c r="X132" s="8">
        <f>IFERROR(W132/W444, "NA")</f>
        <v>0.50518972898935688</v>
      </c>
      <c r="Y132" s="9"/>
      <c r="Z132" s="7">
        <v>28912.93</v>
      </c>
      <c r="AA132" s="8">
        <f>IFERROR(Z132/Z444, "NA")</f>
        <v>3.4284802443382389E-2</v>
      </c>
      <c r="AB132" s="9"/>
      <c r="AC132" s="10">
        <f t="shared" si="31"/>
        <v>-12835.54</v>
      </c>
      <c r="AD132" s="8">
        <f>IFERROR(AC132/AC444, "NA")</f>
        <v>-0.23395984298828965</v>
      </c>
    </row>
    <row r="133" spans="1:30" ht="16.5" customHeight="1" x14ac:dyDescent="0.45">
      <c r="A133" s="12" t="s">
        <v>125</v>
      </c>
      <c r="B133" s="7">
        <v>2618.8200000000002</v>
      </c>
      <c r="C133" s="8">
        <f>IFERROR(B133/B444, "NA")</f>
        <v>2.8291200961383586E-2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-2618.8200000000002</v>
      </c>
      <c r="I133" s="8">
        <f>IFERROR(H133/H444, "NA")</f>
        <v>9.5889467983751475E-2</v>
      </c>
      <c r="J133" s="9"/>
      <c r="K133" s="7">
        <v>2286.71</v>
      </c>
      <c r="L133" s="8">
        <f>IFERROR(K133/K444, "NA")</f>
        <v>2.1745960891105965E-2</v>
      </c>
      <c r="M133" s="9"/>
      <c r="N133" s="10">
        <f t="shared" si="29"/>
        <v>-332.11000000000013</v>
      </c>
      <c r="O133" s="8">
        <f>IFERROR(N133/N444, "NA")</f>
        <v>2.6380904644758188E-2</v>
      </c>
      <c r="P133" s="9"/>
      <c r="Q133" s="7">
        <v>23575.51</v>
      </c>
      <c r="R133" s="8">
        <f>IFERROR(Q133/Q444, "NA")</f>
        <v>2.6248138217801881E-2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-23575.51</v>
      </c>
      <c r="X133" s="8">
        <f>IFERROR(W133/W444, "NA")</f>
        <v>0.28528244287002308</v>
      </c>
      <c r="Y133" s="9"/>
      <c r="Z133" s="7">
        <v>19300.46</v>
      </c>
      <c r="AA133" s="8">
        <f>IFERROR(Z133/Z444, "NA")</f>
        <v>2.2886385370365577E-2</v>
      </c>
      <c r="AB133" s="9"/>
      <c r="AC133" s="10">
        <f t="shared" si="31"/>
        <v>-4275.0499999999993</v>
      </c>
      <c r="AD133" s="8">
        <f>IFERROR(AC133/AC444, "NA")</f>
        <v>-7.7923486410940823E-2</v>
      </c>
    </row>
    <row r="134" spans="1:30" ht="16.5" customHeight="1" x14ac:dyDescent="0.45">
      <c r="A134" s="12" t="s">
        <v>126</v>
      </c>
      <c r="B134" s="7">
        <v>847.08</v>
      </c>
      <c r="C134" s="8">
        <f>IFERROR(B134/B444, "NA")</f>
        <v>9.1510338665386735E-3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-847.08</v>
      </c>
      <c r="I134" s="8">
        <f>IFERROR(H134/H444, "NA")</f>
        <v>3.1016278529901329E-2</v>
      </c>
      <c r="J134" s="9"/>
      <c r="K134" s="7">
        <v>1478.23</v>
      </c>
      <c r="L134" s="8">
        <f>IFERROR(K134/K444, "NA")</f>
        <v>1.4057546329906096E-2</v>
      </c>
      <c r="M134" s="9"/>
      <c r="N134" s="10">
        <f t="shared" si="29"/>
        <v>631.15</v>
      </c>
      <c r="O134" s="8">
        <f>IFERROR(N134/N444, "NA")</f>
        <v>-5.0134919052540187E-2</v>
      </c>
      <c r="P134" s="9"/>
      <c r="Q134" s="7">
        <v>8466.4</v>
      </c>
      <c r="R134" s="8">
        <f>IFERROR(Q134/Q444, "NA")</f>
        <v>9.4261900339461524E-3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-8466.4</v>
      </c>
      <c r="X134" s="8">
        <f>IFERROR(W134/W444, "NA")</f>
        <v>0.10245018132438125</v>
      </c>
      <c r="Y134" s="9"/>
      <c r="Z134" s="7">
        <v>10727.02</v>
      </c>
      <c r="AA134" s="8">
        <f>IFERROR(Z134/Z444, "NA")</f>
        <v>1.2720044682645853E-2</v>
      </c>
      <c r="AB134" s="9"/>
      <c r="AC134" s="10">
        <f t="shared" si="31"/>
        <v>2260.6200000000008</v>
      </c>
      <c r="AD134" s="8">
        <f>IFERROR(AC134/AC444, "NA")</f>
        <v>4.1205457678927998E-2</v>
      </c>
    </row>
    <row r="135" spans="1:30" ht="16.5" customHeight="1" x14ac:dyDescent="0.45">
      <c r="A135" s="12" t="s">
        <v>127</v>
      </c>
      <c r="B135" s="7">
        <v>622.89</v>
      </c>
      <c r="C135" s="8">
        <f>IFERROR(B135/B444, "NA")</f>
        <v>6.7291017201778743E-3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-622.89</v>
      </c>
      <c r="I135" s="8">
        <f>IFERROR(H135/H444, "NA")</f>
        <v>2.2807444082601689E-2</v>
      </c>
      <c r="J135" s="9"/>
      <c r="K135" s="7">
        <v>893.37</v>
      </c>
      <c r="L135" s="8">
        <f>IFERROR(K135/K444, "NA")</f>
        <v>8.4956942862397661E-3</v>
      </c>
      <c r="M135" s="9"/>
      <c r="N135" s="10">
        <f t="shared" si="29"/>
        <v>270.48</v>
      </c>
      <c r="O135" s="8">
        <f>IFERROR(N135/N444, "NA")</f>
        <v>-2.1485372582319688E-2</v>
      </c>
      <c r="P135" s="9"/>
      <c r="Q135" s="7">
        <v>6837.25</v>
      </c>
      <c r="R135" s="8">
        <f>IFERROR(Q135/Q444, "NA")</f>
        <v>7.6123520988375616E-3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-6837.25</v>
      </c>
      <c r="X135" s="8">
        <f>IFERROR(W135/W444, "NA")</f>
        <v>8.2736169122664377E-2</v>
      </c>
      <c r="Y135" s="9"/>
      <c r="Z135" s="7">
        <v>6861.4</v>
      </c>
      <c r="AA135" s="8">
        <f>IFERROR(Z135/Z444, "NA")</f>
        <v>8.1362125348425057E-3</v>
      </c>
      <c r="AB135" s="9"/>
      <c r="AC135" s="10">
        <f t="shared" si="31"/>
        <v>24.149999999999636</v>
      </c>
      <c r="AD135" s="8">
        <f>IFERROR(AC135/AC444, "NA")</f>
        <v>4.4019419581623441E-4</v>
      </c>
    </row>
    <row r="136" spans="1:30" ht="16.5" customHeight="1" x14ac:dyDescent="0.45">
      <c r="A136" s="12" t="s">
        <v>128</v>
      </c>
      <c r="B136" s="7">
        <v>0</v>
      </c>
      <c r="C136" s="8">
        <f>IFERROR(B136/B444, "NA")</f>
        <v>0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0</v>
      </c>
      <c r="I136" s="8">
        <f>IFERROR(H136/H444, "NA")</f>
        <v>0</v>
      </c>
      <c r="J136" s="9"/>
      <c r="K136" s="7">
        <v>619.98</v>
      </c>
      <c r="L136" s="8">
        <f>IFERROR(K136/K444, "NA")</f>
        <v>5.8958332421985629E-3</v>
      </c>
      <c r="M136" s="9"/>
      <c r="N136" s="10">
        <f t="shared" si="29"/>
        <v>619.98</v>
      </c>
      <c r="O136" s="8">
        <f>IFERROR(N136/N444, "NA")</f>
        <v>-4.9247638618702162E-2</v>
      </c>
      <c r="P136" s="9"/>
      <c r="Q136" s="7">
        <v>5225.92</v>
      </c>
      <c r="R136" s="8">
        <f>IFERROR(Q136/Q444, "NA")</f>
        <v>5.8183543208683592E-3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6.3237793110024393E-2</v>
      </c>
      <c r="Y136" s="9"/>
      <c r="Z136" s="7">
        <v>7375.02</v>
      </c>
      <c r="AA136" s="8">
        <f>IFERROR(Z136/Z444, "NA")</f>
        <v>8.745260467064182E-3</v>
      </c>
      <c r="AB136" s="9"/>
      <c r="AC136" s="10">
        <f t="shared" si="31"/>
        <v>2149.1000000000004</v>
      </c>
      <c r="AD136" s="8">
        <f>IFERROR(AC136/AC444, "NA")</f>
        <v>3.9172726551912375E-2</v>
      </c>
    </row>
    <row r="137" spans="1:30" ht="16.5" customHeight="1" x14ac:dyDescent="0.45">
      <c r="A137" s="12" t="s">
        <v>129</v>
      </c>
      <c r="B137" s="7">
        <v>656.13</v>
      </c>
      <c r="C137" s="8">
        <f>IFERROR(B137/B444, "NA")</f>
        <v>7.0881945635028797E-3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-656.13</v>
      </c>
      <c r="I137" s="8">
        <f>IFERROR(H137/H444, "NA")</f>
        <v>2.4024544118411671E-2</v>
      </c>
      <c r="J137" s="9"/>
      <c r="K137" s="7">
        <v>546.96</v>
      </c>
      <c r="L137" s="8">
        <f>IFERROR(K137/K444, "NA")</f>
        <v>5.2014338368220362E-3</v>
      </c>
      <c r="M137" s="9"/>
      <c r="N137" s="10">
        <f t="shared" si="29"/>
        <v>-109.16999999999996</v>
      </c>
      <c r="O137" s="8">
        <f>IFERROR(N137/N444, "NA")</f>
        <v>8.6718357172871907E-3</v>
      </c>
      <c r="P137" s="9"/>
      <c r="Q137" s="7">
        <v>4962.74</v>
      </c>
      <c r="R137" s="8">
        <f>IFERROR(Q137/Q444, "NA")</f>
        <v>5.5253390259219892E-3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-4962.74</v>
      </c>
      <c r="X137" s="8">
        <f>IFERROR(W137/W444, "NA")</f>
        <v>6.0053105554398536E-2</v>
      </c>
      <c r="Y137" s="9"/>
      <c r="Z137" s="7">
        <v>4533.51</v>
      </c>
      <c r="AA137" s="8">
        <f>IFERROR(Z137/Z444, "NA")</f>
        <v>5.3758126459372505E-3</v>
      </c>
      <c r="AB137" s="9"/>
      <c r="AC137" s="10">
        <f t="shared" si="31"/>
        <v>-429.22999999999956</v>
      </c>
      <c r="AD137" s="8">
        <f>IFERROR(AC137/AC444, "NA")</f>
        <v>-7.8237910836523785E-3</v>
      </c>
    </row>
    <row r="138" spans="1:30" ht="16.5" customHeight="1" x14ac:dyDescent="0.45">
      <c r="A138" s="12" t="s">
        <v>130</v>
      </c>
      <c r="B138" s="7">
        <v>6161.74</v>
      </c>
      <c r="C138" s="8">
        <f>IFERROR(B138/B444, "NA")</f>
        <v>6.6565485452148562E-2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-6161.74</v>
      </c>
      <c r="I138" s="8">
        <f>IFERROR(H138/H444, "NA")</f>
        <v>0.22561534219770765</v>
      </c>
      <c r="J138" s="9"/>
      <c r="K138" s="7">
        <v>4779.3100000000004</v>
      </c>
      <c r="L138" s="8">
        <f>IFERROR(K138/K444, "NA")</f>
        <v>4.5449877048891925E-2</v>
      </c>
      <c r="M138" s="9"/>
      <c r="N138" s="10">
        <f t="shared" si="29"/>
        <v>-1382.4299999999994</v>
      </c>
      <c r="O138" s="8">
        <f>IFERROR(N138/N444, "NA")</f>
        <v>0.10981227306631246</v>
      </c>
      <c r="P138" s="9"/>
      <c r="Q138" s="7">
        <v>56005.47</v>
      </c>
      <c r="R138" s="8">
        <f>IFERROR(Q138/Q444, "NA")</f>
        <v>6.2354507601869773E-2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-56005.47</v>
      </c>
      <c r="X138" s="8">
        <f>IFERROR(W138/W444, "NA")</f>
        <v>0.67771078104710325</v>
      </c>
      <c r="Y138" s="9"/>
      <c r="Z138" s="7">
        <v>41559.65</v>
      </c>
      <c r="AA138" s="8">
        <f>IFERROR(Z138/Z444, "NA")</f>
        <v>4.9281217429922079E-2</v>
      </c>
      <c r="AB138" s="9"/>
      <c r="AC138" s="10">
        <f t="shared" si="31"/>
        <v>-14445.82</v>
      </c>
      <c r="AD138" s="8">
        <f>IFERROR(AC138/AC444, "NA")</f>
        <v>-0.26331122641019344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124.04</v>
      </c>
      <c r="AA140" s="8">
        <f>IFERROR(Z140/Z444, "NA")</f>
        <v>1.4708598869354132E-4</v>
      </c>
      <c r="AB140" s="9"/>
      <c r="AC140" s="10">
        <f t="shared" si="31"/>
        <v>124.04</v>
      </c>
      <c r="AD140" s="8">
        <f>IFERROR(AC140/AC444, "NA")</f>
        <v>2.2609394637286354E-3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23253.370000000003</v>
      </c>
      <c r="C141" s="15">
        <f>IFERROR(B141/B444, "NA")</f>
        <v>0.25120694194309201</v>
      </c>
      <c r="D141" s="2"/>
      <c r="E141" s="14">
        <f>IFERROR(E129+E130+E131+E132+E133+E134+E135+E136+E137+E138+E139+E140, "NA")</f>
        <v>26852.54</v>
      </c>
      <c r="F141" s="15">
        <f>IFERROR(E141/E444, "NA")</f>
        <v>0.22400000133469683</v>
      </c>
      <c r="G141" s="2"/>
      <c r="H141" s="14">
        <f t="shared" si="28"/>
        <v>3599.1699999999983</v>
      </c>
      <c r="I141" s="15">
        <f>IFERROR(H141/H444, "NA")</f>
        <v>-0.131785497469501</v>
      </c>
      <c r="J141" s="2"/>
      <c r="K141" s="14">
        <f>IFERROR(K129+K130+K131+K132+K133+K134+K135+K136+K137+K138+K139+K140, "NA")</f>
        <v>24210.749999999996</v>
      </c>
      <c r="L141" s="15">
        <f>IFERROR(K141/K444, "NA")</f>
        <v>0.23023733776663574</v>
      </c>
      <c r="M141" s="2"/>
      <c r="N141" s="14">
        <f t="shared" si="29"/>
        <v>957.37999999999374</v>
      </c>
      <c r="O141" s="15">
        <f>IFERROR(N141/N444, "NA")</f>
        <v>-7.6048750380290922E-2</v>
      </c>
      <c r="P141" s="2"/>
      <c r="Q141" s="14">
        <f>IFERROR(Q129+Q130+Q131+Q132+Q133+Q134+Q135+Q136+Q137+Q138+Q139+Q140, "NA")</f>
        <v>227887.89</v>
      </c>
      <c r="R141" s="15">
        <f>IFERROR(Q141/Q444, "NA")</f>
        <v>0.25372230907765014</v>
      </c>
      <c r="S141" s="2"/>
      <c r="T141" s="14">
        <f>IFERROR(T129+T130+T131+T132+T133+T134+T135+T136+T137+T138+T139+T140, "NA")</f>
        <v>226598.37</v>
      </c>
      <c r="U141" s="15">
        <f>IFERROR(T141/T444, "NA")</f>
        <v>0.23103009085604054</v>
      </c>
      <c r="V141" s="2"/>
      <c r="W141" s="14">
        <f t="shared" si="30"/>
        <v>-1289.5200000000186</v>
      </c>
      <c r="X141" s="15">
        <f>IFERROR(W141/W444, "NA")</f>
        <v>1.5604218773199709E-2</v>
      </c>
      <c r="Y141" s="2"/>
      <c r="Z141" s="14">
        <f>IFERROR(Z129+Z130+Z131+Z132+Z133+Z134+Z135+Z136+Z137+Z138+Z139+Z140, "NA")</f>
        <v>205409.83999999997</v>
      </c>
      <c r="AA141" s="15">
        <f>IFERROR(Z141/Z444, "NA")</f>
        <v>0.24357392295857891</v>
      </c>
      <c r="AB141" s="2"/>
      <c r="AC141" s="14">
        <f t="shared" si="31"/>
        <v>-22478.050000000047</v>
      </c>
      <c r="AD141" s="15">
        <f>IFERROR(AC141/AC444, "NA")</f>
        <v>-0.40971872228850015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1423.27</v>
      </c>
      <c r="C144" s="8">
        <f>IFERROR(B144/B444, "NA")</f>
        <v>1.5375633908519261E-2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-1423.27</v>
      </c>
      <c r="I144" s="8">
        <f>IFERROR(H144/H444, "NA")</f>
        <v>5.2113777616343983E-2</v>
      </c>
      <c r="J144" s="9"/>
      <c r="K144" s="7">
        <v>1376.2</v>
      </c>
      <c r="L144" s="8">
        <f>IFERROR(K144/K444, "NA")</f>
        <v>1.3087270085992551E-2</v>
      </c>
      <c r="M144" s="9"/>
      <c r="N144" s="10">
        <f t="shared" si="33"/>
        <v>-47.069999999999936</v>
      </c>
      <c r="O144" s="8">
        <f>IFERROR(N144/N444, "NA")</f>
        <v>3.7389695631831793E-3</v>
      </c>
      <c r="P144" s="9"/>
      <c r="Q144" s="7">
        <v>13142.23</v>
      </c>
      <c r="R144" s="8">
        <f>IFERROR(Q144/Q444, "NA")</f>
        <v>1.4632093623007198E-2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-13142.23</v>
      </c>
      <c r="X144" s="8">
        <f>IFERROR(W144/W444, "NA")</f>
        <v>0.1590314474282721</v>
      </c>
      <c r="Y144" s="9"/>
      <c r="Z144" s="7">
        <v>10025.85</v>
      </c>
      <c r="AA144" s="8">
        <f>IFERROR(Z144/Z444, "NA")</f>
        <v>1.1888600933111426E-2</v>
      </c>
      <c r="AB144" s="9"/>
      <c r="AC144" s="10">
        <f t="shared" si="35"/>
        <v>-3116.3799999999992</v>
      </c>
      <c r="AD144" s="8">
        <f>IFERROR(AC144/AC444, "NA")</f>
        <v>-5.6803825588315406E-2</v>
      </c>
    </row>
    <row r="145" spans="1:30" ht="16.5" customHeight="1" x14ac:dyDescent="0.45">
      <c r="A145" s="12" t="s">
        <v>136</v>
      </c>
      <c r="B145" s="7">
        <v>37.880000000000003</v>
      </c>
      <c r="C145" s="8">
        <f>IFERROR(B145/B444, "NA")</f>
        <v>4.0921892013090255E-4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-37.880000000000003</v>
      </c>
      <c r="I145" s="8">
        <f>IFERROR(H145/H444, "NA")</f>
        <v>1.3869960696895954E-3</v>
      </c>
      <c r="J145" s="9"/>
      <c r="K145" s="7">
        <v>74.19</v>
      </c>
      <c r="L145" s="8">
        <f>IFERROR(K145/K444, "NA")</f>
        <v>7.0552577218412104E-4</v>
      </c>
      <c r="M145" s="9"/>
      <c r="N145" s="10">
        <f t="shared" si="33"/>
        <v>36.309999999999995</v>
      </c>
      <c r="O145" s="8">
        <f>IFERROR(N145/N444, "NA")</f>
        <v>-2.8842571667555003E-3</v>
      </c>
      <c r="P145" s="9"/>
      <c r="Q145" s="7">
        <v>431.67</v>
      </c>
      <c r="R145" s="8">
        <f>IFERROR(Q145/Q444, "NA")</f>
        <v>4.8060609609202682E-4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-431.67</v>
      </c>
      <c r="X145" s="8">
        <f>IFERROR(W145/W444, "NA")</f>
        <v>5.2235507148605852E-3</v>
      </c>
      <c r="Y145" s="9"/>
      <c r="Z145" s="7">
        <v>638.59</v>
      </c>
      <c r="AA145" s="8">
        <f>IFERROR(Z145/Z444, "NA")</f>
        <v>7.572367100919748E-4</v>
      </c>
      <c r="AB145" s="9"/>
      <c r="AC145" s="10">
        <f t="shared" si="35"/>
        <v>206.92000000000002</v>
      </c>
      <c r="AD145" s="8">
        <f>IFERROR(AC145/AC444, "NA")</f>
        <v>3.7716349067617645E-3</v>
      </c>
    </row>
    <row r="146" spans="1:30" ht="16.5" customHeight="1" x14ac:dyDescent="0.45">
      <c r="A146" s="12" t="s">
        <v>137</v>
      </c>
      <c r="B146" s="7">
        <v>59.57</v>
      </c>
      <c r="C146" s="8">
        <f>IFERROR(B146/B444, "NA")</f>
        <v>6.4353672313088341E-4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-59.57</v>
      </c>
      <c r="I146" s="8">
        <f>IFERROR(H146/H444, "NA")</f>
        <v>2.1811867970276976E-3</v>
      </c>
      <c r="J146" s="9"/>
      <c r="K146" s="7">
        <v>141.44</v>
      </c>
      <c r="L146" s="8">
        <f>IFERROR(K146/K444, "NA")</f>
        <v>1.3450541207402896E-3</v>
      </c>
      <c r="M146" s="9"/>
      <c r="N146" s="10">
        <f t="shared" si="33"/>
        <v>81.87</v>
      </c>
      <c r="O146" s="8">
        <f>IFERROR(N146/N444, "NA")</f>
        <v>-6.5032810311834999E-3</v>
      </c>
      <c r="P146" s="9"/>
      <c r="Q146" s="7">
        <v>893.37</v>
      </c>
      <c r="R146" s="8">
        <f>IFERROR(Q146/Q444, "NA")</f>
        <v>9.9464653106709749E-4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-893.37</v>
      </c>
      <c r="X146" s="8">
        <f>IFERROR(W146/W444, "NA")</f>
        <v>1.0810488340943315E-2</v>
      </c>
      <c r="Y146" s="9"/>
      <c r="Z146" s="7">
        <v>1790.77</v>
      </c>
      <c r="AA146" s="8">
        <f>IFERROR(Z146/Z444, "NA")</f>
        <v>2.1234857785612138E-3</v>
      </c>
      <c r="AB146" s="9"/>
      <c r="AC146" s="10">
        <f t="shared" si="35"/>
        <v>897.4</v>
      </c>
      <c r="AD146" s="8">
        <f>IFERROR(AC146/AC444, "NA")</f>
        <v>1.6357361131490465E-2</v>
      </c>
    </row>
    <row r="147" spans="1:30" ht="16.5" customHeight="1" x14ac:dyDescent="0.45">
      <c r="A147" s="12" t="s">
        <v>138</v>
      </c>
      <c r="B147" s="7">
        <v>24.83</v>
      </c>
      <c r="C147" s="8">
        <f>IFERROR(B147/B444, "NA")</f>
        <v>2.6823932911431651E-4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-24.83</v>
      </c>
      <c r="I147" s="8">
        <f>IFERROR(H147/H444, "NA")</f>
        <v>9.0916347440318497E-4</v>
      </c>
      <c r="J147" s="9"/>
      <c r="K147" s="7">
        <v>29.43</v>
      </c>
      <c r="L147" s="8">
        <f>IFERROR(K147/K444, "NA")</f>
        <v>2.7987091892948756E-4</v>
      </c>
      <c r="M147" s="9"/>
      <c r="N147" s="10">
        <f t="shared" si="33"/>
        <v>4.6000000000000014</v>
      </c>
      <c r="O147" s="8">
        <f>IFERROR(N147/N444, "NA")</f>
        <v>-3.6539749289659344E-4</v>
      </c>
      <c r="P147" s="9"/>
      <c r="Q147" s="7">
        <v>109.79</v>
      </c>
      <c r="R147" s="8">
        <f>IFERROR(Q147/Q444, "NA")</f>
        <v>1.2223629923307995E-4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-109.79</v>
      </c>
      <c r="X147" s="8">
        <f>IFERROR(W147/W444, "NA")</f>
        <v>1.3285464196829606E-3</v>
      </c>
      <c r="Y147" s="9"/>
      <c r="Z147" s="7">
        <v>259.12</v>
      </c>
      <c r="AA147" s="8">
        <f>IFERROR(Z147/Z444, "NA")</f>
        <v>3.0726315213052584E-4</v>
      </c>
      <c r="AB147" s="9"/>
      <c r="AC147" s="10">
        <f t="shared" si="35"/>
        <v>149.32999999999998</v>
      </c>
      <c r="AD147" s="8">
        <f>IFERROR(AC147/AC444, "NA")</f>
        <v>2.7219130128877545E-3</v>
      </c>
    </row>
    <row r="148" spans="1:30" ht="16.5" customHeight="1" x14ac:dyDescent="0.45">
      <c r="A148" s="13" t="s">
        <v>139</v>
      </c>
      <c r="B148" s="14">
        <f>IFERROR(B143+B144+B145+B146+B147, "NA")</f>
        <v>1545.55</v>
      </c>
      <c r="C148" s="15">
        <f>IFERROR(B148/B444, "NA")</f>
        <v>1.6696628880895365E-2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-1545.55</v>
      </c>
      <c r="I148" s="15">
        <f>IFERROR(H148/H444, "NA")</f>
        <v>5.6591123957464462E-2</v>
      </c>
      <c r="J148" s="2"/>
      <c r="K148" s="14">
        <f>IFERROR(K143+K144+K145+K146+K147, "NA")</f>
        <v>1621.2600000000002</v>
      </c>
      <c r="L148" s="15">
        <f>IFERROR(K148/K444, "NA")</f>
        <v>1.5417720897846451E-2</v>
      </c>
      <c r="M148" s="2"/>
      <c r="N148" s="14">
        <f t="shared" si="33"/>
        <v>75.710000000000264</v>
      </c>
      <c r="O148" s="15">
        <f>IFERROR(N148/N444, "NA")</f>
        <v>-6.0139661276524302E-3</v>
      </c>
      <c r="P148" s="2"/>
      <c r="Q148" s="14">
        <f>IFERROR(Q143+Q144+Q145+Q146+Q147, "NA")</f>
        <v>14577.060000000001</v>
      </c>
      <c r="R148" s="15">
        <f>IFERROR(Q148/Q444, "NA")</f>
        <v>1.6229582549399404E-2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-14577.060000000001</v>
      </c>
      <c r="X148" s="15">
        <f>IFERROR(W148/W444, "NA")</f>
        <v>0.17639403290375899</v>
      </c>
      <c r="Y148" s="2"/>
      <c r="Z148" s="14">
        <f>IFERROR(Z143+Z144+Z145+Z146+Z147, "NA")</f>
        <v>12714.330000000002</v>
      </c>
      <c r="AA148" s="15">
        <f>IFERROR(Z148/Z444, "NA")</f>
        <v>1.5076586573895143E-2</v>
      </c>
      <c r="AB148" s="2"/>
      <c r="AC148" s="14">
        <f t="shared" si="35"/>
        <v>-1862.7299999999996</v>
      </c>
      <c r="AD148" s="15">
        <f>IFERROR(AC148/AC444, "NA")</f>
        <v>-3.3952916537175429E-2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24798.920000000006</v>
      </c>
      <c r="C149" s="15">
        <f>IFERROR(B149/B444, "NA")</f>
        <v>0.26790357082398741</v>
      </c>
      <c r="D149" s="2"/>
      <c r="E149" s="14">
        <f>IFERROR(E127+E129+E130+E131+E132+E133+E134+E135+E136+E137+E138+E139+E140+E143+E144+E145+E146+E147, "NA")</f>
        <v>26852.54</v>
      </c>
      <c r="F149" s="15">
        <f>IFERROR(E149/E444, "NA")</f>
        <v>0.22400000133469683</v>
      </c>
      <c r="G149" s="2"/>
      <c r="H149" s="14">
        <f t="shared" si="32"/>
        <v>2053.6199999999953</v>
      </c>
      <c r="I149" s="15">
        <f>IFERROR(H149/H444, "NA")</f>
        <v>-7.5194373512036436E-2</v>
      </c>
      <c r="J149" s="2"/>
      <c r="K149" s="14">
        <f>IFERROR(K127+K129+K130+K131+K132+K133+K134+K135+K136+K137+K138+K139+K140+K143+K144+K145+K146+K147, "NA")</f>
        <v>25832.009999999995</v>
      </c>
      <c r="L149" s="15">
        <f>IFERROR(K149/K444, "NA")</f>
        <v>0.24565505866448217</v>
      </c>
      <c r="M149" s="2"/>
      <c r="N149" s="14">
        <f t="shared" si="33"/>
        <v>1033.0899999999892</v>
      </c>
      <c r="O149" s="15">
        <f>IFERROR(N149/N444, "NA")</f>
        <v>-8.2062716507942973E-2</v>
      </c>
      <c r="P149" s="2"/>
      <c r="Q149" s="14">
        <f>IFERROR(Q127+Q129+Q130+Q131+Q132+Q133+Q134+Q135+Q136+Q137+Q138+Q139+Q140+Q143+Q144+Q145+Q146+Q147, "NA")</f>
        <v>242464.95000000004</v>
      </c>
      <c r="R149" s="15">
        <f>IFERROR(Q149/Q444, "NA")</f>
        <v>0.26995189162704958</v>
      </c>
      <c r="S149" s="2"/>
      <c r="T149" s="14">
        <f>IFERROR(T127+T129+T130+T131+T132+T133+T134+T135+T136+T137+T138+T139+T140+T143+T144+T145+T146+T147, "NA")</f>
        <v>226598.37</v>
      </c>
      <c r="U149" s="15">
        <f>IFERROR(T149/T444, "NA")</f>
        <v>0.23103009085604054</v>
      </c>
      <c r="V149" s="2"/>
      <c r="W149" s="14">
        <f t="shared" si="34"/>
        <v>-15866.580000000045</v>
      </c>
      <c r="X149" s="15">
        <f>IFERROR(W149/W444, "NA")</f>
        <v>0.191998251676959</v>
      </c>
      <c r="Y149" s="2"/>
      <c r="Z149" s="14">
        <f>IFERROR(Z127+Z129+Z130+Z131+Z132+Z133+Z134+Z135+Z136+Z137+Z138+Z139+Z140+Z143+Z144+Z145+Z146+Z147, "NA")</f>
        <v>218124.16999999995</v>
      </c>
      <c r="AA149" s="15">
        <f>IFERROR(Z149/Z444, "NA")</f>
        <v>0.25865050953247404</v>
      </c>
      <c r="AB149" s="2"/>
      <c r="AC149" s="14">
        <f t="shared" si="35"/>
        <v>-24340.780000000086</v>
      </c>
      <c r="AD149" s="15">
        <f>IFERROR(AC149/AC444, "NA")</f>
        <v>-0.44367163882567628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2037.92</v>
      </c>
      <c r="F153" s="8">
        <f>IFERROR(E153/E444, "NA")</f>
        <v>1.7000033617676592E-2</v>
      </c>
      <c r="G153" s="9"/>
      <c r="H153" s="10">
        <f t="shared" ref="H153:H158" si="36">IFERROR(-(B153-E153), "NA")</f>
        <v>2037.92</v>
      </c>
      <c r="I153" s="8">
        <f>IFERROR(H153/H444, "NA")</f>
        <v>-7.4619509776711196E-2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17202.8</v>
      </c>
      <c r="U153" s="8">
        <f>IFERROR(T153/T444, "NA")</f>
        <v>1.7539245524927184E-2</v>
      </c>
      <c r="V153" s="9"/>
      <c r="W153" s="10">
        <f t="shared" ref="W153:W158" si="38">IFERROR(-(Q153-T153), "NA")</f>
        <v>17202.8</v>
      </c>
      <c r="X153" s="8">
        <f>IFERROR(W153/W444, "NA")</f>
        <v>-0.20816757763477578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3072.11</v>
      </c>
      <c r="C154" s="8">
        <f>IFERROR(B154/B444, "NA")</f>
        <v>3.3188108150035561E-2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-3072.11</v>
      </c>
      <c r="I154" s="8">
        <f>IFERROR(H154/H444, "NA")</f>
        <v>0.11248691910385698</v>
      </c>
      <c r="J154" s="9"/>
      <c r="K154" s="7">
        <v>3589.01</v>
      </c>
      <c r="L154" s="8">
        <f>IFERROR(K154/K444, "NA")</f>
        <v>3.4130463022328243E-2</v>
      </c>
      <c r="M154" s="9"/>
      <c r="N154" s="10">
        <f t="shared" si="37"/>
        <v>516.90000000000009</v>
      </c>
      <c r="O154" s="8">
        <f>IFERROR(N154/N444, "NA")</f>
        <v>-4.1059557408315031E-2</v>
      </c>
      <c r="P154" s="9"/>
      <c r="Q154" s="7">
        <v>30105.32</v>
      </c>
      <c r="R154" s="8">
        <f>IFERROR(Q154/Q444, "NA")</f>
        <v>3.3518197504578073E-2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-30105.32</v>
      </c>
      <c r="X154" s="8">
        <f>IFERROR(W154/W444, "NA")</f>
        <v>0.36429834319528032</v>
      </c>
      <c r="Y154" s="9"/>
      <c r="Z154" s="7">
        <v>28502</v>
      </c>
      <c r="AA154" s="8">
        <f>IFERROR(Z154/Z444, "NA")</f>
        <v>3.379752378058138E-2</v>
      </c>
      <c r="AB154" s="9"/>
      <c r="AC154" s="10">
        <f t="shared" si="39"/>
        <v>-1603.3199999999997</v>
      </c>
      <c r="AD154" s="8">
        <f>IFERROR(AC154/AC444, "NA")</f>
        <v>-2.9224520001494638E-2</v>
      </c>
    </row>
    <row r="155" spans="1:30" ht="16.5" customHeight="1" x14ac:dyDescent="0.45">
      <c r="A155" s="12" t="s">
        <v>144</v>
      </c>
      <c r="B155" s="7">
        <v>989.97</v>
      </c>
      <c r="C155" s="8">
        <f>IFERROR(B155/B444, "NA")</f>
        <v>1.0694679365416833E-2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-989.97</v>
      </c>
      <c r="I155" s="8">
        <f>IFERROR(H155/H444, "NA")</f>
        <v>3.6248270831853446E-2</v>
      </c>
      <c r="J155" s="9"/>
      <c r="K155" s="7">
        <v>1515.79</v>
      </c>
      <c r="L155" s="8">
        <f>IFERROR(K155/K444, "NA")</f>
        <v>1.4414731233575534E-2</v>
      </c>
      <c r="M155" s="9"/>
      <c r="N155" s="10">
        <f t="shared" si="37"/>
        <v>525.81999999999994</v>
      </c>
      <c r="O155" s="8">
        <f>IFERROR(N155/N444, "NA")</f>
        <v>-4.1768110807584059E-2</v>
      </c>
      <c r="P155" s="9"/>
      <c r="Q155" s="7">
        <v>8913.3700000000008</v>
      </c>
      <c r="R155" s="8">
        <f>IFERROR(Q155/Q444, "NA")</f>
        <v>9.9238306083901801E-3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-8913.3700000000008</v>
      </c>
      <c r="X155" s="8">
        <f>IFERROR(W155/W444, "NA")</f>
        <v>0.1078588742217826</v>
      </c>
      <c r="Y155" s="9"/>
      <c r="Z155" s="7">
        <v>10720.43</v>
      </c>
      <c r="AA155" s="8">
        <f>IFERROR(Z155/Z444, "NA")</f>
        <v>1.2712230294823454E-2</v>
      </c>
      <c r="AB155" s="9"/>
      <c r="AC155" s="10">
        <f t="shared" si="39"/>
        <v>1807.0599999999995</v>
      </c>
      <c r="AD155" s="8">
        <f>IFERROR(AC155/AC444, "NA")</f>
        <v>3.2938191448931529E-2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-39.67</v>
      </c>
      <c r="AA156" s="8">
        <f>IFERROR(Z156/Z444, "NA")</f>
        <v>-4.7040480260180464E-5</v>
      </c>
      <c r="AB156" s="9"/>
      <c r="AC156" s="10">
        <f t="shared" si="39"/>
        <v>-39.67</v>
      </c>
      <c r="AD156" s="8">
        <f>IFERROR(AC156/AC444, "NA")</f>
        <v>-7.2308504132630571E-4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4062.08</v>
      </c>
      <c r="C158" s="15">
        <f>IFERROR(B158/B444, "NA")</f>
        <v>4.3882787515452389E-2</v>
      </c>
      <c r="D158" s="2"/>
      <c r="E158" s="14">
        <f>IFERROR(E153+E154+E155+E156+E157, "NA")</f>
        <v>2037.92</v>
      </c>
      <c r="F158" s="15">
        <f>IFERROR(E158/E444, "NA")</f>
        <v>1.7000033617676592E-2</v>
      </c>
      <c r="G158" s="2"/>
      <c r="H158" s="14">
        <f t="shared" si="36"/>
        <v>-2024.1599999999999</v>
      </c>
      <c r="I158" s="15">
        <f>IFERROR(H158/H444, "NA")</f>
        <v>7.4115680158999234E-2</v>
      </c>
      <c r="J158" s="2"/>
      <c r="K158" s="14">
        <f>IFERROR(K153+K154+K155+K156+K157, "NA")</f>
        <v>5104.8</v>
      </c>
      <c r="L158" s="15">
        <f>IFERROR(K158/K444, "NA")</f>
        <v>4.8545194255903777E-2</v>
      </c>
      <c r="M158" s="2"/>
      <c r="N158" s="14">
        <f t="shared" si="37"/>
        <v>1042.7200000000003</v>
      </c>
      <c r="O158" s="15">
        <f>IFERROR(N158/N444, "NA")</f>
        <v>-8.2827668215899111E-2</v>
      </c>
      <c r="P158" s="2"/>
      <c r="Q158" s="14">
        <f>IFERROR(Q153+Q154+Q155+Q156+Q157, "NA")</f>
        <v>39018.69</v>
      </c>
      <c r="R158" s="15">
        <f>IFERROR(Q158/Q444, "NA")</f>
        <v>4.3442028112968253E-2</v>
      </c>
      <c r="S158" s="2"/>
      <c r="T158" s="14">
        <f>IFERROR(T153+T154+T155+T156+T157, "NA")</f>
        <v>17202.8</v>
      </c>
      <c r="U158" s="15">
        <f>IFERROR(T158/T444, "NA")</f>
        <v>1.7539245524927184E-2</v>
      </c>
      <c r="V158" s="2"/>
      <c r="W158" s="14">
        <f t="shared" si="38"/>
        <v>-21815.890000000003</v>
      </c>
      <c r="X158" s="15">
        <f>IFERROR(W158/W444, "NA")</f>
        <v>0.26398963978228718</v>
      </c>
      <c r="Y158" s="2"/>
      <c r="Z158" s="14">
        <f>IFERROR(Z153+Z154+Z155+Z156+Z157, "NA")</f>
        <v>39182.76</v>
      </c>
      <c r="AA158" s="15">
        <f>IFERROR(Z158/Z444, "NA")</f>
        <v>4.6462713595144658E-2</v>
      </c>
      <c r="AB158" s="2"/>
      <c r="AC158" s="14">
        <f t="shared" si="39"/>
        <v>164.06999999999971</v>
      </c>
      <c r="AD158" s="15">
        <f>IFERROR(AC158/AC444, "NA")</f>
        <v>2.9905864061105813E-3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222.4</v>
      </c>
      <c r="C161" s="8">
        <f>IFERROR(B161/B444, "NA")</f>
        <v>2.4025947158688682E-3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-222.4</v>
      </c>
      <c r="I161" s="8">
        <f>IFERROR(H161/H444, "NA")</f>
        <v>8.1432926583676346E-3</v>
      </c>
      <c r="J161" s="9"/>
      <c r="K161" s="7">
        <v>363.13</v>
      </c>
      <c r="L161" s="8">
        <f>IFERROR(K161/K444, "NA")</f>
        <v>3.4532628878989067E-3</v>
      </c>
      <c r="M161" s="9"/>
      <c r="N161" s="10">
        <f t="shared" si="41"/>
        <v>140.72999999999999</v>
      </c>
      <c r="O161" s="8">
        <f>IFERROR(N161/N444, "NA")</f>
        <v>-1.1178780255508169E-2</v>
      </c>
      <c r="P161" s="9"/>
      <c r="Q161" s="7">
        <v>3402.89</v>
      </c>
      <c r="R161" s="8">
        <f>IFERROR(Q161/Q444, "NA")</f>
        <v>3.7886572574665762E-3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-3402.89</v>
      </c>
      <c r="X161" s="8">
        <f>IFERROR(W161/W444, "NA")</f>
        <v>4.1177678532425079E-2</v>
      </c>
      <c r="Y161" s="9"/>
      <c r="Z161" s="7">
        <v>2947.73</v>
      </c>
      <c r="AA161" s="8">
        <f>IFERROR(Z161/Z444, "NA")</f>
        <v>3.4954029462400237E-3</v>
      </c>
      <c r="AB161" s="9"/>
      <c r="AC161" s="10">
        <f t="shared" si="43"/>
        <v>-455.15999999999985</v>
      </c>
      <c r="AD161" s="8">
        <f>IFERROR(AC161/AC444, "NA")</f>
        <v>-8.2964302346882086E-3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222.4</v>
      </c>
      <c r="C166" s="15">
        <f>IFERROR(B166/B444, "NA")</f>
        <v>2.4025947158688682E-3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-222.4</v>
      </c>
      <c r="I166" s="15">
        <f>IFERROR(H166/H444, "NA")</f>
        <v>8.1432926583676346E-3</v>
      </c>
      <c r="J166" s="2"/>
      <c r="K166" s="14">
        <f>IFERROR(K160+K161+K162+K163+K164+K165, "NA")</f>
        <v>363.13</v>
      </c>
      <c r="L166" s="15">
        <f>IFERROR(K166/K444, "NA")</f>
        <v>3.4532628878989067E-3</v>
      </c>
      <c r="M166" s="2"/>
      <c r="N166" s="14">
        <f t="shared" si="41"/>
        <v>140.72999999999999</v>
      </c>
      <c r="O166" s="15">
        <f>IFERROR(N166/N444, "NA")</f>
        <v>-1.1178780255508169E-2</v>
      </c>
      <c r="P166" s="2"/>
      <c r="Q166" s="14">
        <f>IFERROR(Q160+Q161+Q162+Q163+Q164+Q165, "NA")</f>
        <v>3402.89</v>
      </c>
      <c r="R166" s="15">
        <f>IFERROR(Q166/Q444, "NA")</f>
        <v>3.7886572574665762E-3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-3402.89</v>
      </c>
      <c r="X166" s="15">
        <f>IFERROR(W166/W444, "NA")</f>
        <v>4.1177678532425079E-2</v>
      </c>
      <c r="Y166" s="2"/>
      <c r="Z166" s="14">
        <f>IFERROR(Z160+Z161+Z162+Z163+Z164+Z165, "NA")</f>
        <v>2947.73</v>
      </c>
      <c r="AA166" s="15">
        <f>IFERROR(Z166/Z444, "NA")</f>
        <v>3.4954029462400237E-3</v>
      </c>
      <c r="AB166" s="2"/>
      <c r="AC166" s="14">
        <f t="shared" si="43"/>
        <v>-455.15999999999985</v>
      </c>
      <c r="AD166" s="15">
        <f>IFERROR(AC166/AC444, "NA")</f>
        <v>-8.2964302346882086E-3</v>
      </c>
    </row>
    <row r="167" spans="1:30" ht="16.5" customHeight="1" x14ac:dyDescent="0.45">
      <c r="A167" s="6" t="s">
        <v>155</v>
      </c>
      <c r="B167" s="7">
        <v>81.87</v>
      </c>
      <c r="C167" s="8">
        <f>IFERROR(B167/B444, "NA")</f>
        <v>8.8444437674543277E-4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-81.87</v>
      </c>
      <c r="I167" s="8">
        <f>IFERROR(H167/H444, "NA")</f>
        <v>2.9977129943370424E-3</v>
      </c>
      <c r="J167" s="9"/>
      <c r="K167" s="7">
        <v>62.35</v>
      </c>
      <c r="L167" s="8">
        <f>IFERROR(K167/K444, "NA")</f>
        <v>5.9293074397735474E-4</v>
      </c>
      <c r="M167" s="9"/>
      <c r="N167" s="10">
        <f t="shared" si="41"/>
        <v>-19.520000000000003</v>
      </c>
      <c r="O167" s="8">
        <f>IFERROR(N167/N444, "NA")</f>
        <v>1.5505563176829355E-3</v>
      </c>
      <c r="P167" s="9"/>
      <c r="Q167" s="7">
        <v>953.13</v>
      </c>
      <c r="R167" s="8">
        <f>IFERROR(Q167/Q444, "NA")</f>
        <v>1.0611811994537344E-3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-953.13</v>
      </c>
      <c r="X167" s="8">
        <f>IFERROR(W167/W444, "NA")</f>
        <v>1.1533631924514256E-2</v>
      </c>
      <c r="Y167" s="9"/>
      <c r="Z167" s="7">
        <v>1023.59</v>
      </c>
      <c r="AA167" s="8">
        <f>IFERROR(Z167/Z444, "NA")</f>
        <v>1.2137677133732825E-3</v>
      </c>
      <c r="AB167" s="9"/>
      <c r="AC167" s="10">
        <f t="shared" si="43"/>
        <v>70.460000000000036</v>
      </c>
      <c r="AD167" s="8">
        <f>IFERROR(AC167/AC444, "NA")</f>
        <v>1.2843098566133484E-3</v>
      </c>
    </row>
    <row r="168" spans="1:30" ht="16.5" customHeight="1" x14ac:dyDescent="0.45">
      <c r="A168" s="6" t="s">
        <v>156</v>
      </c>
      <c r="B168" s="7">
        <v>30.62</v>
      </c>
      <c r="C168" s="8">
        <f>IFERROR(B168/B444, "NA")</f>
        <v>3.3078889478374438E-4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-30.62</v>
      </c>
      <c r="I168" s="8">
        <f>IFERROR(H168/H444, "NA")</f>
        <v>1.1211673615072705E-3</v>
      </c>
      <c r="J168" s="9"/>
      <c r="K168" s="7">
        <v>50.4</v>
      </c>
      <c r="L168" s="8">
        <f>IFERROR(K168/K444, "NA")</f>
        <v>4.7928964709637012E-4</v>
      </c>
      <c r="M168" s="9"/>
      <c r="N168" s="10">
        <f t="shared" si="41"/>
        <v>19.779999999999998</v>
      </c>
      <c r="O168" s="8">
        <f>IFERROR(N168/N444, "NA")</f>
        <v>-1.5712092194553511E-3</v>
      </c>
      <c r="P168" s="9"/>
      <c r="Q168" s="7">
        <v>294.83999999999997</v>
      </c>
      <c r="R168" s="8">
        <f>IFERROR(Q168/Q444, "NA")</f>
        <v>3.2826441812443112E-4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-294.83999999999997</v>
      </c>
      <c r="X168" s="8">
        <f>IFERROR(W168/W444, "NA")</f>
        <v>3.5677987647265148E-3</v>
      </c>
      <c r="Y168" s="9"/>
      <c r="Z168" s="7">
        <v>372.5</v>
      </c>
      <c r="AA168" s="8">
        <f>IFERROR(Z168/Z444, "NA")</f>
        <v>4.417085681098367E-4</v>
      </c>
      <c r="AB168" s="9"/>
      <c r="AC168" s="10">
        <f t="shared" si="43"/>
        <v>77.660000000000025</v>
      </c>
      <c r="AD168" s="8">
        <f>IFERROR(AC168/AC444, "NA")</f>
        <v>1.4155478777262648E-3</v>
      </c>
    </row>
    <row r="169" spans="1:30" ht="16.5" customHeight="1" x14ac:dyDescent="0.45">
      <c r="A169" s="6" t="s">
        <v>157</v>
      </c>
      <c r="B169" s="7">
        <v>-1051.3399999999999</v>
      </c>
      <c r="C169" s="8">
        <f>IFERROR(B169/B444, "NA")</f>
        <v>-1.1357661549377588E-2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1051.3399999999999</v>
      </c>
      <c r="I169" s="8">
        <f>IFERROR(H169/H444, "NA")</f>
        <v>-3.8495365573058576E-2</v>
      </c>
      <c r="J169" s="9"/>
      <c r="K169" s="7">
        <v>-4421.49</v>
      </c>
      <c r="L169" s="8">
        <f>IFERROR(K169/K444, "NA")</f>
        <v>-4.2047110748812094E-2</v>
      </c>
      <c r="M169" s="9"/>
      <c r="N169" s="10">
        <f t="shared" si="41"/>
        <v>-3370.1499999999996</v>
      </c>
      <c r="O169" s="8">
        <f>IFERROR(N169/N444, "NA")</f>
        <v>0.26770529580118563</v>
      </c>
      <c r="P169" s="9"/>
      <c r="Q169" s="7">
        <v>-16949.72</v>
      </c>
      <c r="R169" s="8">
        <f>IFERROR(Q169/Q444, "NA")</f>
        <v>-1.8871218196893344E-2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16949.72</v>
      </c>
      <c r="X169" s="8">
        <f>IFERROR(W169/W444, "NA")</f>
        <v>-0.20510510812121935</v>
      </c>
      <c r="Y169" s="9"/>
      <c r="Z169" s="7">
        <v>-25275.08</v>
      </c>
      <c r="AA169" s="8">
        <f>IFERROR(Z169/Z444, "NA")</f>
        <v>-2.9971058780299521E-2</v>
      </c>
      <c r="AB169" s="9"/>
      <c r="AC169" s="10">
        <f t="shared" si="43"/>
        <v>-8325.36</v>
      </c>
      <c r="AD169" s="8">
        <f>IFERROR(AC169/AC444, "NA")</f>
        <v>-0.15175052381286547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3345.6299999999992</v>
      </c>
      <c r="C170" s="15">
        <f>IFERROR(B170/B444, "NA")</f>
        <v>3.6142953953472841E-2</v>
      </c>
      <c r="D170" s="2"/>
      <c r="E170" s="14">
        <f>IFERROR(E151+E153+E154+E155+E156+E157+E160+E161+E162+E163+E164+E165+E167+E168+E169, "NA")</f>
        <v>2037.92</v>
      </c>
      <c r="F170" s="15">
        <f>IFERROR(E170/E444, "NA")</f>
        <v>1.7000033617676592E-2</v>
      </c>
      <c r="G170" s="2"/>
      <c r="H170" s="14">
        <f t="shared" si="40"/>
        <v>-1307.7099999999991</v>
      </c>
      <c r="I170" s="15">
        <f>IFERROR(H170/H444, "NA")</f>
        <v>4.7882487600152568E-2</v>
      </c>
      <c r="J170" s="2"/>
      <c r="K170" s="14">
        <f>IFERROR(K151+K153+K154+K155+K156+K157+K160+K161+K162+K163+K164+K165+K167+K168+K169, "NA")</f>
        <v>1159.1900000000005</v>
      </c>
      <c r="L170" s="15">
        <f>IFERROR(K170/K444, "NA")</f>
        <v>1.1023566786064316E-2</v>
      </c>
      <c r="M170" s="2"/>
      <c r="N170" s="14">
        <f t="shared" si="41"/>
        <v>-2186.4399999999987</v>
      </c>
      <c r="O170" s="15">
        <f>IFERROR(N170/N444, "NA")</f>
        <v>0.17367819442800589</v>
      </c>
      <c r="P170" s="2"/>
      <c r="Q170" s="14">
        <f>IFERROR(Q151+Q153+Q154+Q155+Q156+Q157+Q160+Q161+Q162+Q163+Q164+Q165+Q167+Q168+Q169, "NA")</f>
        <v>26719.829999999994</v>
      </c>
      <c r="R170" s="15">
        <f>IFERROR(Q170/Q444, "NA")</f>
        <v>2.9748912791119648E-2</v>
      </c>
      <c r="S170" s="2"/>
      <c r="T170" s="14">
        <f>IFERROR(T151+T153+T154+T155+T156+T157+T160+T161+T162+T163+T164+T165+T167+T168+T169, "NA")</f>
        <v>17202.8</v>
      </c>
      <c r="U170" s="15">
        <f>IFERROR(T170/T444, "NA")</f>
        <v>1.7539245524927184E-2</v>
      </c>
      <c r="V170" s="2"/>
      <c r="W170" s="14">
        <f t="shared" si="42"/>
        <v>-9517.0299999999952</v>
      </c>
      <c r="X170" s="15">
        <f>IFERROR(W170/W444, "NA")</f>
        <v>0.11516364088273358</v>
      </c>
      <c r="Y170" s="2"/>
      <c r="Z170" s="14">
        <f>IFERROR(Z151+Z153+Z154+Z155+Z156+Z157+Z160+Z161+Z162+Z163+Z164+Z165+Z167+Z168+Z169, "NA")</f>
        <v>18251.5</v>
      </c>
      <c r="AA170" s="15">
        <f>IFERROR(Z170/Z444, "NA")</f>
        <v>2.164253404256828E-2</v>
      </c>
      <c r="AB170" s="2"/>
      <c r="AC170" s="14">
        <f t="shared" si="43"/>
        <v>-8468.3299999999945</v>
      </c>
      <c r="AD170" s="15">
        <f>IFERROR(AC170/AC444, "NA")</f>
        <v>-0.15435650990710337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28144.550000000007</v>
      </c>
      <c r="C171" s="15">
        <f>IFERROR(B171/B444, "NA")</f>
        <v>0.3040465247774603</v>
      </c>
      <c r="D171" s="2"/>
      <c r="E171" s="14">
        <f>IFERROR(E127+E129+E130+E131+E132+E133+E134+E135+E136+E137+E138+E139+E140+E143+E144+E145+E146+E147+E151+E153+E154+E155+E156+E157+E160+E161+E162+E163+E164+E165+E167+E168+E169, "NA")</f>
        <v>28890.46</v>
      </c>
      <c r="F171" s="15">
        <f>IFERROR(E171/E444, "NA")</f>
        <v>0.2410000349523734</v>
      </c>
      <c r="G171" s="2"/>
      <c r="H171" s="14">
        <f t="shared" si="40"/>
        <v>745.90999999999258</v>
      </c>
      <c r="I171" s="15">
        <f>IFERROR(H171/H444, "NA")</f>
        <v>-2.7311885911883729E-2</v>
      </c>
      <c r="J171" s="2"/>
      <c r="K171" s="14">
        <f>IFERROR(K127+K129+K130+K131+K132+K133+K134+K135+K136+K137+K138+K139+K140+K143+K144+K145+K146+K147+K151+K153+K154+K155+K156+K157+K160+K161+K162+K163+K164+K165+K167+K168+K169, "NA")</f>
        <v>26991.199999999997</v>
      </c>
      <c r="L171" s="15">
        <f>IFERROR(K171/K444, "NA")</f>
        <v>0.25667862545054654</v>
      </c>
      <c r="M171" s="2"/>
      <c r="N171" s="14">
        <f t="shared" si="41"/>
        <v>-1153.3500000000095</v>
      </c>
      <c r="O171" s="15">
        <f>IFERROR(N171/N444, "NA")</f>
        <v>9.1615477920062915E-2</v>
      </c>
      <c r="P171" s="2"/>
      <c r="Q171" s="14">
        <f>IFERROR(Q127+Q129+Q130+Q131+Q132+Q133+Q134+Q135+Q136+Q137+Q138+Q139+Q140+Q143+Q144+Q145+Q146+Q147+Q151+Q153+Q154+Q155+Q156+Q157+Q160+Q161+Q162+Q163+Q164+Q165+Q167+Q168+Q169, "NA")</f>
        <v>269184.78000000003</v>
      </c>
      <c r="R171" s="15">
        <f>IFERROR(Q171/Q444, "NA")</f>
        <v>0.29970080441816921</v>
      </c>
      <c r="S171" s="2"/>
      <c r="T171" s="14">
        <f>IFERROR(T127+T129+T130+T131+T132+T133+T134+T135+T136+T137+T138+T139+T140+T143+T144+T145+T146+T147+T151+T153+T154+T155+T156+T157+T160+T161+T162+T163+T164+T165+T167+T168+T169, "NA")</f>
        <v>243801.16999999998</v>
      </c>
      <c r="U171" s="15">
        <f>IFERROR(T171/T444, "NA")</f>
        <v>0.2485693363809677</v>
      </c>
      <c r="V171" s="2"/>
      <c r="W171" s="14">
        <f t="shared" si="42"/>
        <v>-25383.610000000044</v>
      </c>
      <c r="X171" s="15">
        <f>IFERROR(W171/W444, "NA")</f>
        <v>0.30716189255969262</v>
      </c>
      <c r="Y171" s="2"/>
      <c r="Z171" s="14">
        <f>IFERROR(Z127+Z129+Z130+Z131+Z132+Z133+Z134+Z135+Z136+Z137+Z138+Z139+Z140+Z143+Z144+Z145+Z146+Z147+Z151+Z153+Z154+Z155+Z156+Z157+Z160+Z161+Z162+Z163+Z164+Z165+Z167+Z168+Z169, "NA")</f>
        <v>236375.66999999993</v>
      </c>
      <c r="AA171" s="15">
        <f>IFERROR(Z171/Z444, "NA")</f>
        <v>0.28029304357504226</v>
      </c>
      <c r="AB171" s="2"/>
      <c r="AC171" s="14">
        <f t="shared" si="43"/>
        <v>-32809.110000000102</v>
      </c>
      <c r="AD171" s="15">
        <f>IFERROR(AC171/AC444, "NA")</f>
        <v>-0.5980281487327801</v>
      </c>
    </row>
    <row r="172" spans="1:30" ht="16.5" customHeight="1" x14ac:dyDescent="0.45">
      <c r="A172" s="22" t="s">
        <v>160</v>
      </c>
      <c r="B172" s="23">
        <f>IFERROR(B124-B171, "NA")</f>
        <v>64422.040000000023</v>
      </c>
      <c r="C172" s="24">
        <f>IFERROR(B172/B444, "NA")</f>
        <v>0.69595347522254003</v>
      </c>
      <c r="D172" s="25"/>
      <c r="E172" s="23">
        <f>IFERROR(E124-E171, "NA")</f>
        <v>90986.950000000012</v>
      </c>
      <c r="F172" s="24">
        <f>IFERROR(E172/E444, "NA")</f>
        <v>0.75899996504762668</v>
      </c>
      <c r="G172" s="25"/>
      <c r="H172" s="23">
        <f>IFERROR(B172-E172, "NA")</f>
        <v>-26564.909999999989</v>
      </c>
      <c r="I172" s="24">
        <f>IFERROR(H172/H444, "NA")</f>
        <v>0.97268811408811529</v>
      </c>
      <c r="J172" s="25"/>
      <c r="K172" s="23">
        <f>IFERROR(K124-K171, "NA")</f>
        <v>78164.420000000042</v>
      </c>
      <c r="L172" s="24">
        <f>IFERROR(K172/K444, "NA")</f>
        <v>0.74332137454945391</v>
      </c>
      <c r="M172" s="25"/>
      <c r="N172" s="23">
        <f>IFERROR(B172-K172, "NA")</f>
        <v>-13742.380000000019</v>
      </c>
      <c r="O172" s="24">
        <f>IFERROR(N172/N444, "NA")</f>
        <v>1.0916154779200637</v>
      </c>
      <c r="P172" s="25"/>
      <c r="Q172" s="23">
        <f>IFERROR(Q124-Q171, "NA")</f>
        <v>628993.58999999985</v>
      </c>
      <c r="R172" s="24">
        <f>IFERROR(Q172/Q444, "NA")</f>
        <v>0.70029919558183062</v>
      </c>
      <c r="S172" s="25"/>
      <c r="T172" s="23">
        <f>IFERROR(T124-T171, "NA")</f>
        <v>737016.3899999999</v>
      </c>
      <c r="U172" s="24">
        <f>IFERROR(T172/T444, "NA")</f>
        <v>0.7514306636190321</v>
      </c>
      <c r="V172" s="25"/>
      <c r="W172" s="23">
        <f>IFERROR(Q172-T172, "NA")</f>
        <v>-108022.80000000005</v>
      </c>
      <c r="X172" s="24">
        <f>IFERROR(W172/W444, "NA")</f>
        <v>1.307161892559692</v>
      </c>
      <c r="Y172" s="25"/>
      <c r="Z172" s="23">
        <f>IFERROR(Z124-Z171, "NA")</f>
        <v>606940.55000000016</v>
      </c>
      <c r="AA172" s="24">
        <f>IFERROR(Z172/Z444, "NA")</f>
        <v>0.71970695642495786</v>
      </c>
      <c r="AB172" s="25"/>
      <c r="AC172" s="23">
        <f>IFERROR(Q172-Z172, "NA")</f>
        <v>22053.039999999688</v>
      </c>
      <c r="AD172" s="24">
        <f>IFERROR(AC172/AC444, "NA")</f>
        <v>0.40197185126721574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5.609280843120612E-2</v>
      </c>
      <c r="D178" s="9"/>
      <c r="E178" s="7">
        <v>5461.54</v>
      </c>
      <c r="F178" s="8">
        <f>IFERROR(E178/E444, "NA")</f>
        <v>4.5559376032565269E-2</v>
      </c>
      <c r="G178" s="9"/>
      <c r="H178" s="10">
        <f t="shared" si="44"/>
        <v>269.22000000000025</v>
      </c>
      <c r="I178" s="8">
        <f>IFERROR(H178/H444, "NA")</f>
        <v>-9.8576315174718366E-3</v>
      </c>
      <c r="J178" s="9"/>
      <c r="K178" s="7">
        <v>5192.32</v>
      </c>
      <c r="L178" s="8">
        <f>IFERROR(K178/K444, "NA")</f>
        <v>4.9377484531972708E-2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43859.72</v>
      </c>
      <c r="R178" s="8">
        <f>IFERROR(Q178/Q444, "NA")</f>
        <v>4.8831859533646979E-2</v>
      </c>
      <c r="S178" s="9"/>
      <c r="T178" s="7">
        <v>46423.08</v>
      </c>
      <c r="U178" s="8">
        <f>IFERROR(T178/T444, "NA")</f>
        <v>4.7331004147193288E-2</v>
      </c>
      <c r="V178" s="9"/>
      <c r="W178" s="10">
        <f t="shared" si="46"/>
        <v>2563.3600000000006</v>
      </c>
      <c r="X178" s="8">
        <f>IFERROR(W178/W444, "NA")</f>
        <v>-3.1018697061285315E-2</v>
      </c>
      <c r="Y178" s="9"/>
      <c r="Z178" s="7">
        <v>44134.720000000001</v>
      </c>
      <c r="AA178" s="8">
        <f>IFERROR(Z178/Z444, "NA")</f>
        <v>5.2334722080882072E-2</v>
      </c>
      <c r="AB178" s="9"/>
      <c r="AC178" s="10">
        <f t="shared" si="47"/>
        <v>275</v>
      </c>
      <c r="AD178" s="8">
        <f>IFERROR(AC178/AC444, "NA")</f>
        <v>5.0125633063961197E-3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22269.11</v>
      </c>
      <c r="C180" s="8">
        <f>IFERROR(B180/B444, "NA")</f>
        <v>0.24057394790064104</v>
      </c>
      <c r="D180" s="9"/>
      <c r="E180" s="7">
        <v>23376.09</v>
      </c>
      <c r="F180" s="8">
        <f>IFERROR(E180/E444, "NA")</f>
        <v>0.19499995870781658</v>
      </c>
      <c r="G180" s="9"/>
      <c r="H180" s="10">
        <f t="shared" si="44"/>
        <v>1106.9799999999996</v>
      </c>
      <c r="I180" s="8">
        <f>IFERROR(H180/H444, "NA")</f>
        <v>-4.0532653358632195E-2</v>
      </c>
      <c r="J180" s="9"/>
      <c r="K180" s="7">
        <v>23334.33</v>
      </c>
      <c r="L180" s="8">
        <f>IFERROR(K180/K444, "NA")</f>
        <v>0.22190283315337786</v>
      </c>
      <c r="M180" s="9"/>
      <c r="N180" s="10">
        <f t="shared" si="45"/>
        <v>1065.2200000000012</v>
      </c>
      <c r="O180" s="8">
        <f>IFERROR(N180/N444, "NA")</f>
        <v>-8.461493856158904E-2</v>
      </c>
      <c r="P180" s="9"/>
      <c r="Q180" s="7">
        <v>189023.7</v>
      </c>
      <c r="R180" s="8">
        <f>IFERROR(Q180/Q444, "NA")</f>
        <v>0.21045229579509916</v>
      </c>
      <c r="S180" s="9"/>
      <c r="T180" s="7">
        <v>201301.13</v>
      </c>
      <c r="U180" s="8">
        <f>IFERROR(T180/T444, "NA")</f>
        <v>0.20523809749083202</v>
      </c>
      <c r="V180" s="9"/>
      <c r="W180" s="10">
        <f t="shared" si="46"/>
        <v>12277.429999999993</v>
      </c>
      <c r="X180" s="8">
        <f>IFERROR(W180/W444, "NA")</f>
        <v>-0.14856667883603389</v>
      </c>
      <c r="Y180" s="9"/>
      <c r="Z180" s="7">
        <v>192566.42</v>
      </c>
      <c r="AA180" s="8">
        <f>IFERROR(Z180/Z444, "NA")</f>
        <v>0.22834426213218101</v>
      </c>
      <c r="AB180" s="9"/>
      <c r="AC180" s="10">
        <f t="shared" si="47"/>
        <v>3542.7200000000012</v>
      </c>
      <c r="AD180" s="8">
        <f>IFERROR(AC180/AC444, "NA")</f>
        <v>6.457493918849333E-2</v>
      </c>
    </row>
    <row r="181" spans="1:30" ht="16.5" customHeight="1" x14ac:dyDescent="0.45">
      <c r="A181" s="12" t="s">
        <v>166</v>
      </c>
      <c r="B181" s="7">
        <v>0.09</v>
      </c>
      <c r="C181" s="8">
        <f>IFERROR(B181/B444, "NA")</f>
        <v>9.7227304149369668E-7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-0.09</v>
      </c>
      <c r="I181" s="8">
        <f>IFERROR(H181/H444, "NA")</f>
        <v>3.2953972088717941E-6</v>
      </c>
      <c r="J181" s="9"/>
      <c r="K181" s="7">
        <v>11.28</v>
      </c>
      <c r="L181" s="8">
        <f>IFERROR(K181/K444, "NA")</f>
        <v>1.0726958768347332E-4</v>
      </c>
      <c r="M181" s="9"/>
      <c r="N181" s="10">
        <f t="shared" si="45"/>
        <v>11.19</v>
      </c>
      <c r="O181" s="8">
        <f>IFERROR(N181/N444, "NA")</f>
        <v>-8.8886911858975632E-4</v>
      </c>
      <c r="P181" s="9"/>
      <c r="Q181" s="7">
        <v>1267.95</v>
      </c>
      <c r="R181" s="8">
        <f>IFERROR(Q181/Q444, "NA")</f>
        <v>1.4116906422496013E-3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-1267.95</v>
      </c>
      <c r="X181" s="8">
        <f>IFERROR(W181/W444, "NA")</f>
        <v>1.5343204598205757E-2</v>
      </c>
      <c r="Y181" s="9"/>
      <c r="Z181" s="7">
        <v>884.14</v>
      </c>
      <c r="AA181" s="8">
        <f>IFERROR(Z181/Z444, "NA")</f>
        <v>1.0484086266003517E-3</v>
      </c>
      <c r="AB181" s="9"/>
      <c r="AC181" s="10">
        <f t="shared" si="47"/>
        <v>-383.81000000000006</v>
      </c>
      <c r="AD181" s="8">
        <f>IFERROR(AC181/AC444, "NA")</f>
        <v>-6.9958979004650732E-3</v>
      </c>
    </row>
    <row r="182" spans="1:30" ht="16.5" customHeight="1" x14ac:dyDescent="0.45">
      <c r="A182" s="13" t="s">
        <v>167</v>
      </c>
      <c r="B182" s="14">
        <f>IFERROR(B177+B178+B179+B180+B181, "NA")</f>
        <v>27461.52</v>
      </c>
      <c r="C182" s="15">
        <f>IFERROR(B182/B444, "NA")</f>
        <v>0.29666772860488866</v>
      </c>
      <c r="D182" s="2"/>
      <c r="E182" s="14">
        <f>IFERROR(E177+E178+E179+E180+E181, "NA")</f>
        <v>28837.63</v>
      </c>
      <c r="F182" s="15">
        <f>IFERROR(E182/E444, "NA")</f>
        <v>0.24055933474038185</v>
      </c>
      <c r="G182" s="2"/>
      <c r="H182" s="14">
        <f t="shared" si="44"/>
        <v>1376.1100000000006</v>
      </c>
      <c r="I182" s="15">
        <f>IFERROR(H182/H444, "NA")</f>
        <v>-5.0386989478895187E-2</v>
      </c>
      <c r="J182" s="2"/>
      <c r="K182" s="14">
        <f>IFERROR(K177+K178+K179+K180+K181, "NA")</f>
        <v>28537.93</v>
      </c>
      <c r="L182" s="15">
        <f>IFERROR(K182/K444, "NA")</f>
        <v>0.27138758727303403</v>
      </c>
      <c r="M182" s="2"/>
      <c r="N182" s="14">
        <f t="shared" si="45"/>
        <v>1076.4099999999999</v>
      </c>
      <c r="O182" s="15">
        <f>IFERROR(N182/N444, "NA")</f>
        <v>-8.5503807680178692E-2</v>
      </c>
      <c r="P182" s="2"/>
      <c r="Q182" s="14">
        <f>IFERROR(Q177+Q178+Q179+Q180+Q181, "NA")</f>
        <v>234151.37000000002</v>
      </c>
      <c r="R182" s="15">
        <f>IFERROR(Q182/Q444, "NA")</f>
        <v>0.26069584597099577</v>
      </c>
      <c r="S182" s="2"/>
      <c r="T182" s="14">
        <f>IFERROR(T177+T178+T179+T180+T181, "NA")</f>
        <v>247724.21000000002</v>
      </c>
      <c r="U182" s="15">
        <f>IFERROR(T182/T444, "NA")</f>
        <v>0.25256910163802532</v>
      </c>
      <c r="V182" s="2"/>
      <c r="W182" s="14">
        <f t="shared" si="46"/>
        <v>13572.839999999997</v>
      </c>
      <c r="X182" s="15">
        <f>IFERROR(W182/W444, "NA")</f>
        <v>-0.1642421712991135</v>
      </c>
      <c r="Y182" s="2"/>
      <c r="Z182" s="14">
        <f>IFERROR(Z177+Z178+Z179+Z180+Z181, "NA")</f>
        <v>237585.28000000003</v>
      </c>
      <c r="AA182" s="15">
        <f>IFERROR(Z182/Z444, "NA")</f>
        <v>0.28172739283966342</v>
      </c>
      <c r="AB182" s="2"/>
      <c r="AC182" s="14">
        <f t="shared" si="47"/>
        <v>3433.9100000000035</v>
      </c>
      <c r="AD182" s="15">
        <f>IFERROR(AC182/AC444, "NA")</f>
        <v>6.2591604594424421E-2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5.4015168971872033E-3</v>
      </c>
      <c r="D184" s="9"/>
      <c r="E184" s="7">
        <v>500</v>
      </c>
      <c r="F184" s="8">
        <f>IFERROR(E184/E444, "NA")</f>
        <v>4.1709276168045342E-3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-100</v>
      </c>
      <c r="L184" s="8">
        <f>IFERROR(K184/K444, "NA")</f>
        <v>-9.5097152201660746E-4</v>
      </c>
      <c r="M184" s="9"/>
      <c r="N184" s="10">
        <f t="shared" si="45"/>
        <v>-600</v>
      </c>
      <c r="O184" s="8">
        <f>IFERROR(N184/N444, "NA")</f>
        <v>4.7660542551729565E-2</v>
      </c>
      <c r="P184" s="9"/>
      <c r="Q184" s="7">
        <v>1800</v>
      </c>
      <c r="R184" s="8">
        <f>IFERROR(Q184/Q444, "NA")</f>
        <v>2.0040562767059287E-3</v>
      </c>
      <c r="S184" s="9"/>
      <c r="T184" s="7">
        <v>4000</v>
      </c>
      <c r="U184" s="8">
        <f>IFERROR(T184/T444, "NA")</f>
        <v>4.0782304101488554E-3</v>
      </c>
      <c r="V184" s="9"/>
      <c r="W184" s="10">
        <f t="shared" si="46"/>
        <v>2200</v>
      </c>
      <c r="X184" s="8">
        <f>IFERROR(W184/W444, "NA")</f>
        <v>-2.6621751737886085E-2</v>
      </c>
      <c r="Y184" s="9"/>
      <c r="Z184" s="7">
        <v>1600</v>
      </c>
      <c r="AA184" s="8">
        <f>IFERROR(Z184/Z444, "NA")</f>
        <v>1.8972717019482919E-3</v>
      </c>
      <c r="AB184" s="9"/>
      <c r="AC184" s="10">
        <f t="shared" si="47"/>
        <v>-200</v>
      </c>
      <c r="AD184" s="8">
        <f>IFERROR(AC184/AC444, "NA")</f>
        <v>-3.6455005864699055E-3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2373.81</v>
      </c>
      <c r="C186" s="8">
        <f>IFERROR(B186/B444, "NA")</f>
        <v>2.5644349651423912E-2</v>
      </c>
      <c r="D186" s="9"/>
      <c r="E186" s="7">
        <v>2926.18</v>
      </c>
      <c r="F186" s="8">
        <f>IFERROR(E186/E444, "NA")</f>
        <v>2.4409769947482181E-2</v>
      </c>
      <c r="G186" s="9"/>
      <c r="H186" s="10">
        <f t="shared" ref="H186:H197" si="48">IFERROR(-(B186-E186), "NA")</f>
        <v>552.36999999999989</v>
      </c>
      <c r="I186" s="8">
        <f>IFERROR(H186/H444, "NA")</f>
        <v>-2.0225317291827919E-2</v>
      </c>
      <c r="J186" s="9"/>
      <c r="K186" s="7">
        <v>2696.93</v>
      </c>
      <c r="L186" s="8">
        <f>IFERROR(K186/K444, "NA")</f>
        <v>2.564703626872249E-2</v>
      </c>
      <c r="M186" s="9"/>
      <c r="N186" s="10">
        <f t="shared" ref="N186:N197" si="49">IFERROR(-(B186-K186), "NA")</f>
        <v>323.11999999999989</v>
      </c>
      <c r="O186" s="8">
        <f>IFERROR(N186/N444, "NA")</f>
        <v>-2.5666790848858086E-2</v>
      </c>
      <c r="P186" s="9"/>
      <c r="Q186" s="7">
        <v>21428.06</v>
      </c>
      <c r="R186" s="8">
        <f>IFERROR(Q186/Q444, "NA")</f>
        <v>2.3857243411461802E-2</v>
      </c>
      <c r="S186" s="9"/>
      <c r="T186" s="7">
        <v>27670.639999999999</v>
      </c>
      <c r="U186" s="8">
        <f>IFERROR(T186/T444, "NA")</f>
        <v>2.8211811379070331E-2</v>
      </c>
      <c r="V186" s="9"/>
      <c r="W186" s="10">
        <f t="shared" ref="W186:W197" si="50">IFERROR(-(Q186-T186), "NA")</f>
        <v>6242.5799999999981</v>
      </c>
      <c r="X186" s="8">
        <f>IFERROR(W186/W444, "NA")</f>
        <v>-7.5540188619951307E-2</v>
      </c>
      <c r="Y186" s="9"/>
      <c r="Z186" s="7">
        <v>24710.799999999999</v>
      </c>
      <c r="AA186" s="8">
        <f>IFERROR(Z186/Z444, "NA")</f>
        <v>2.9301938482814906E-2</v>
      </c>
      <c r="AB186" s="9"/>
      <c r="AC186" s="10">
        <f t="shared" ref="AC186:AC197" si="51">IFERROR(-(Q186-Z186), "NA")</f>
        <v>3282.739999999998</v>
      </c>
      <c r="AD186" s="8">
        <f>IFERROR(AC186/AC444, "NA")</f>
        <v>5.9836152976141047E-2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2.3715896274353646E-8</v>
      </c>
      <c r="AB187" s="9"/>
      <c r="AC187" s="10">
        <f t="shared" si="51"/>
        <v>0.02</v>
      </c>
      <c r="AD187" s="8">
        <f>IFERROR(AC187/AC444, "NA")</f>
        <v>3.6455005864699052E-7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2373.81</v>
      </c>
      <c r="C193" s="15">
        <f>IFERROR(B193/B444, "NA")</f>
        <v>2.5644349651423912E-2</v>
      </c>
      <c r="D193" s="2"/>
      <c r="E193" s="14">
        <f>IFERROR(E186+E187+E188+E189+E190+E191+E192, "NA")</f>
        <v>2926.18</v>
      </c>
      <c r="F193" s="15">
        <f>IFERROR(E193/E444, "NA")</f>
        <v>2.4409769947482181E-2</v>
      </c>
      <c r="G193" s="2"/>
      <c r="H193" s="14">
        <f t="shared" si="48"/>
        <v>552.36999999999989</v>
      </c>
      <c r="I193" s="15">
        <f>IFERROR(H193/H444, "NA")</f>
        <v>-2.0225317291827919E-2</v>
      </c>
      <c r="J193" s="2"/>
      <c r="K193" s="14">
        <f>IFERROR(K186+K187+K188+K189+K190+K191+K192, "NA")</f>
        <v>2696.93</v>
      </c>
      <c r="L193" s="15">
        <f>IFERROR(K193/K444, "NA")</f>
        <v>2.564703626872249E-2</v>
      </c>
      <c r="M193" s="2"/>
      <c r="N193" s="14">
        <f t="shared" si="49"/>
        <v>323.11999999999989</v>
      </c>
      <c r="O193" s="15">
        <f>IFERROR(N193/N444, "NA")</f>
        <v>-2.5666790848858086E-2</v>
      </c>
      <c r="P193" s="2"/>
      <c r="Q193" s="14">
        <f>IFERROR(Q186+Q187+Q188+Q189+Q190+Q191+Q192, "NA")</f>
        <v>21428.06</v>
      </c>
      <c r="R193" s="15">
        <f>IFERROR(Q193/Q444, "NA")</f>
        <v>2.3857243411461802E-2</v>
      </c>
      <c r="S193" s="2"/>
      <c r="T193" s="14">
        <f>IFERROR(T186+T187+T188+T189+T190+T191+T192, "NA")</f>
        <v>27670.639999999999</v>
      </c>
      <c r="U193" s="15">
        <f>IFERROR(T193/T444, "NA")</f>
        <v>2.8211811379070331E-2</v>
      </c>
      <c r="V193" s="2"/>
      <c r="W193" s="14">
        <f t="shared" si="50"/>
        <v>6242.5799999999981</v>
      </c>
      <c r="X193" s="15">
        <f>IFERROR(W193/W444, "NA")</f>
        <v>-7.5540188619951307E-2</v>
      </c>
      <c r="Y193" s="2"/>
      <c r="Z193" s="14">
        <f>IFERROR(Z186+Z187+Z188+Z189+Z190+Z191+Z192, "NA")</f>
        <v>24710.82</v>
      </c>
      <c r="AA193" s="15">
        <f>IFERROR(Z193/Z444, "NA")</f>
        <v>2.930196219871118E-2</v>
      </c>
      <c r="AB193" s="2"/>
      <c r="AC193" s="14">
        <f t="shared" si="51"/>
        <v>3282.7599999999984</v>
      </c>
      <c r="AD193" s="15">
        <f>IFERROR(AC193/AC444, "NA")</f>
        <v>5.9836517526199701E-2</v>
      </c>
    </row>
    <row r="194" spans="1:30" ht="16.5" customHeight="1" x14ac:dyDescent="0.45">
      <c r="A194" s="6" t="s">
        <v>178</v>
      </c>
      <c r="B194" s="7">
        <v>301.04000000000002</v>
      </c>
      <c r="C194" s="8">
        <f>IFERROR(B194/B444, "NA")</f>
        <v>3.2521452934584716E-3</v>
      </c>
      <c r="D194" s="9"/>
      <c r="E194" s="7">
        <v>234.7</v>
      </c>
      <c r="F194" s="8">
        <f>IFERROR(E194/E444, "NA")</f>
        <v>1.9578334233280479E-3</v>
      </c>
      <c r="G194" s="9"/>
      <c r="H194" s="10">
        <f t="shared" si="48"/>
        <v>-66.340000000000032</v>
      </c>
      <c r="I194" s="8">
        <f>IFERROR(H194/H444, "NA")</f>
        <v>2.4290738981839438E-3</v>
      </c>
      <c r="J194" s="9"/>
      <c r="K194" s="7">
        <v>275.60000000000002</v>
      </c>
      <c r="L194" s="8">
        <f>IFERROR(K194/K444, "NA")</f>
        <v>2.6208775146777702E-3</v>
      </c>
      <c r="M194" s="9"/>
      <c r="N194" s="10">
        <f t="shared" si="49"/>
        <v>-25.439999999999998</v>
      </c>
      <c r="O194" s="8">
        <f>IFERROR(N194/N444, "NA")</f>
        <v>2.0208070041933335E-3</v>
      </c>
      <c r="P194" s="9"/>
      <c r="Q194" s="7">
        <v>2312.52</v>
      </c>
      <c r="R194" s="8">
        <f>IFERROR(Q194/Q444, "NA")</f>
        <v>2.5746779005599968E-3</v>
      </c>
      <c r="S194" s="9"/>
      <c r="T194" s="7">
        <v>2013.8</v>
      </c>
      <c r="U194" s="8">
        <f>IFERROR(T194/T444, "NA")</f>
        <v>2.0531850999894411E-3</v>
      </c>
      <c r="V194" s="9"/>
      <c r="W194" s="10">
        <f t="shared" si="50"/>
        <v>-298.72000000000003</v>
      </c>
      <c r="X194" s="8">
        <f>IFERROR(W194/W444, "NA")</f>
        <v>3.6147498541551511E-3</v>
      </c>
      <c r="Y194" s="9"/>
      <c r="Z194" s="7">
        <v>2104.1</v>
      </c>
      <c r="AA194" s="8">
        <f>IFERROR(Z194/Z444, "NA")</f>
        <v>2.4950308675433753E-3</v>
      </c>
      <c r="AB194" s="9"/>
      <c r="AC194" s="10">
        <f t="shared" si="51"/>
        <v>-208.42000000000007</v>
      </c>
      <c r="AD194" s="8">
        <f>IFERROR(AC194/AC444, "NA")</f>
        <v>-3.7989761611602895E-3</v>
      </c>
    </row>
    <row r="195" spans="1:30" ht="16.5" customHeight="1" x14ac:dyDescent="0.45">
      <c r="A195" s="6" t="s">
        <v>179</v>
      </c>
      <c r="B195" s="7">
        <v>871.14</v>
      </c>
      <c r="C195" s="8">
        <f>IFERROR(B195/B444, "NA")</f>
        <v>9.4109548596313201E-3</v>
      </c>
      <c r="D195" s="9"/>
      <c r="E195" s="7">
        <v>205.36</v>
      </c>
      <c r="F195" s="8">
        <f>IFERROR(E195/E444, "NA")</f>
        <v>1.7130833907739581E-3</v>
      </c>
      <c r="G195" s="9"/>
      <c r="H195" s="10">
        <f t="shared" si="48"/>
        <v>-665.78</v>
      </c>
      <c r="I195" s="8">
        <f>IFERROR(H195/H444, "NA")</f>
        <v>2.4377883930251813E-2</v>
      </c>
      <c r="J195" s="9"/>
      <c r="K195" s="7">
        <v>224.47</v>
      </c>
      <c r="L195" s="8">
        <f>IFERROR(K195/K444, "NA")</f>
        <v>2.1346457754706787E-3</v>
      </c>
      <c r="M195" s="9"/>
      <c r="N195" s="10">
        <f t="shared" si="49"/>
        <v>-646.66999999999996</v>
      </c>
      <c r="O195" s="8">
        <f>IFERROR(N195/N444, "NA")</f>
        <v>5.136773841987826E-2</v>
      </c>
      <c r="P195" s="9"/>
      <c r="Q195" s="7">
        <v>6900.28</v>
      </c>
      <c r="R195" s="8">
        <f>IFERROR(Q195/Q444, "NA")</f>
        <v>7.6825274694602144E-3</v>
      </c>
      <c r="S195" s="9"/>
      <c r="T195" s="7">
        <v>1762.07</v>
      </c>
      <c r="U195" s="8">
        <f>IFERROR(T195/T444, "NA")</f>
        <v>1.7965318647027485E-3</v>
      </c>
      <c r="V195" s="9"/>
      <c r="W195" s="10">
        <f t="shared" si="50"/>
        <v>-5138.21</v>
      </c>
      <c r="X195" s="8">
        <f>IFERROR(W195/W444, "NA")</f>
        <v>6.2176432271419849E-2</v>
      </c>
      <c r="Y195" s="9"/>
      <c r="Z195" s="7">
        <v>5929.05</v>
      </c>
      <c r="AA195" s="8">
        <f>IFERROR(Z195/Z444, "NA")</f>
        <v>7.0306367402728246E-3</v>
      </c>
      <c r="AB195" s="9"/>
      <c r="AC195" s="10">
        <f t="shared" si="51"/>
        <v>-971.22999999999956</v>
      </c>
      <c r="AD195" s="8">
        <f>IFERROR(AC195/AC444, "NA")</f>
        <v>-1.7703097672985824E-2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31507.510000000002</v>
      </c>
      <c r="C196" s="15">
        <f>IFERROR(B196/B444, "NA")</f>
        <v>0.34037669530658959</v>
      </c>
      <c r="D196" s="2"/>
      <c r="E196" s="14">
        <f>IFERROR(E175+E177+E178+E179+E180+E181+E183+E184+E186+E187+E188+E189+E190+E191+E192+E194+E195, "NA")</f>
        <v>32703.870000000003</v>
      </c>
      <c r="F196" s="15">
        <f>IFERROR(E196/E444, "NA")</f>
        <v>0.27281094911877057</v>
      </c>
      <c r="G196" s="2"/>
      <c r="H196" s="14">
        <f t="shared" si="48"/>
        <v>1196.3600000000006</v>
      </c>
      <c r="I196" s="15">
        <f>IFERROR(H196/H444, "NA")</f>
        <v>-4.3805348942287353E-2</v>
      </c>
      <c r="J196" s="2"/>
      <c r="K196" s="14">
        <f>IFERROR(K175+K177+K178+K179+K180+K181+K183+K184+K186+K187+K188+K189+K190+K191+K192+K194+K195, "NA")</f>
        <v>31634.93</v>
      </c>
      <c r="L196" s="15">
        <f>IFERROR(K196/K444, "NA")</f>
        <v>0.30083917530988835</v>
      </c>
      <c r="M196" s="2"/>
      <c r="N196" s="14">
        <f t="shared" si="49"/>
        <v>127.41999999999825</v>
      </c>
      <c r="O196" s="15">
        <f>IFERROR(N196/N444, "NA")</f>
        <v>-1.0121510553235498E-2</v>
      </c>
      <c r="P196" s="2"/>
      <c r="Q196" s="14">
        <f>IFERROR(Q175+Q177+Q178+Q179+Q180+Q181+Q183+Q184+Q186+Q187+Q188+Q189+Q190+Q191+Q192+Q194+Q195, "NA")</f>
        <v>266592.23000000004</v>
      </c>
      <c r="R196" s="15">
        <f>IFERROR(Q196/Q444, "NA")</f>
        <v>0.29681435102918369</v>
      </c>
      <c r="S196" s="2"/>
      <c r="T196" s="14">
        <f>IFERROR(T175+T177+T178+T179+T180+T181+T183+T184+T186+T187+T188+T189+T190+T191+T192+T194+T195, "NA")</f>
        <v>283170.72000000003</v>
      </c>
      <c r="U196" s="15">
        <f>IFERROR(T196/T444, "NA")</f>
        <v>0.28870886039193672</v>
      </c>
      <c r="V196" s="2"/>
      <c r="W196" s="14">
        <f t="shared" si="50"/>
        <v>16578.489999999991</v>
      </c>
      <c r="X196" s="15">
        <f>IFERROR(W196/W444, "NA")</f>
        <v>-0.20061292953137583</v>
      </c>
      <c r="Y196" s="2"/>
      <c r="Z196" s="14">
        <f>IFERROR(Z175+Z177+Z178+Z179+Z180+Z181+Z183+Z184+Z186+Z187+Z188+Z189+Z190+Z191+Z192+Z194+Z195, "NA")</f>
        <v>271929.25</v>
      </c>
      <c r="AA196" s="15">
        <f>IFERROR(Z196/Z444, "NA")</f>
        <v>0.3224522943481391</v>
      </c>
      <c r="AB196" s="2"/>
      <c r="AC196" s="14">
        <f t="shared" si="51"/>
        <v>5337.0199999999604</v>
      </c>
      <c r="AD196" s="15">
        <f>IFERROR(AC196/AC444, "NA")</f>
        <v>9.7280547700007353E-2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31507.510000000002</v>
      </c>
      <c r="C197" s="15">
        <f>IFERROR(B197/B444, "NA")</f>
        <v>0.34037669530658959</v>
      </c>
      <c r="D197" s="2"/>
      <c r="E197" s="14">
        <f>IFERROR(E175+E177+E178+E179+E180+E181+E183+E184+E186+E187+E188+E189+E190+E191+E192+E194+E195, "NA")</f>
        <v>32703.870000000003</v>
      </c>
      <c r="F197" s="15">
        <f>IFERROR(E197/E444, "NA")</f>
        <v>0.27281094911877057</v>
      </c>
      <c r="G197" s="2"/>
      <c r="H197" s="14">
        <f t="shared" si="48"/>
        <v>1196.3600000000006</v>
      </c>
      <c r="I197" s="15">
        <f>IFERROR(H197/H444, "NA")</f>
        <v>-4.3805348942287353E-2</v>
      </c>
      <c r="J197" s="2"/>
      <c r="K197" s="14">
        <f>IFERROR(K175+K177+K178+K179+K180+K181+K183+K184+K186+K187+K188+K189+K190+K191+K192+K194+K195, "NA")</f>
        <v>31634.93</v>
      </c>
      <c r="L197" s="15">
        <f>IFERROR(K197/K444, "NA")</f>
        <v>0.30083917530988835</v>
      </c>
      <c r="M197" s="2"/>
      <c r="N197" s="14">
        <f t="shared" si="49"/>
        <v>127.41999999999825</v>
      </c>
      <c r="O197" s="15">
        <f>IFERROR(N197/N444, "NA")</f>
        <v>-1.0121510553235498E-2</v>
      </c>
      <c r="P197" s="2"/>
      <c r="Q197" s="14">
        <f>IFERROR(Q175+Q177+Q178+Q179+Q180+Q181+Q183+Q184+Q186+Q187+Q188+Q189+Q190+Q191+Q192+Q194+Q195, "NA")</f>
        <v>266592.23000000004</v>
      </c>
      <c r="R197" s="15">
        <f>IFERROR(Q197/Q444, "NA")</f>
        <v>0.29681435102918369</v>
      </c>
      <c r="S197" s="2"/>
      <c r="T197" s="14">
        <f>IFERROR(T175+T177+T178+T179+T180+T181+T183+T184+T186+T187+T188+T189+T190+T191+T192+T194+T195, "NA")</f>
        <v>283170.72000000003</v>
      </c>
      <c r="U197" s="15">
        <f>IFERROR(T197/T444, "NA")</f>
        <v>0.28870886039193672</v>
      </c>
      <c r="V197" s="2"/>
      <c r="W197" s="14">
        <f t="shared" si="50"/>
        <v>16578.489999999991</v>
      </c>
      <c r="X197" s="15">
        <f>IFERROR(W197/W444, "NA")</f>
        <v>-0.20061292953137583</v>
      </c>
      <c r="Y197" s="2"/>
      <c r="Z197" s="14">
        <f>IFERROR(Z175+Z177+Z178+Z179+Z180+Z181+Z183+Z184+Z186+Z187+Z188+Z189+Z190+Z191+Z192+Z194+Z195, "NA")</f>
        <v>271929.25</v>
      </c>
      <c r="AA197" s="15">
        <f>IFERROR(Z197/Z444, "NA")</f>
        <v>0.3224522943481391</v>
      </c>
      <c r="AB197" s="2"/>
      <c r="AC197" s="14">
        <f t="shared" si="51"/>
        <v>5337.0199999999604</v>
      </c>
      <c r="AD197" s="15">
        <f>IFERROR(AC197/AC444, "NA")</f>
        <v>9.7280547700007353E-2</v>
      </c>
    </row>
    <row r="198" spans="1:30" ht="16.5" customHeight="1" x14ac:dyDescent="0.45">
      <c r="A198" s="22" t="s">
        <v>181</v>
      </c>
      <c r="B198" s="23">
        <f>IFERROR(B172-B197, "NA")</f>
        <v>32914.530000000021</v>
      </c>
      <c r="C198" s="24">
        <f>IFERROR(B198/B444, "NA")</f>
        <v>0.35557677991595049</v>
      </c>
      <c r="D198" s="25"/>
      <c r="E198" s="23">
        <f>IFERROR(E172-E197, "NA")</f>
        <v>58283.080000000009</v>
      </c>
      <c r="F198" s="24">
        <f>IFERROR(E198/E444, "NA")</f>
        <v>0.48618901592885605</v>
      </c>
      <c r="G198" s="25"/>
      <c r="H198" s="23">
        <f>IFERROR(B198-E198, "NA")</f>
        <v>-25368.549999999988</v>
      </c>
      <c r="I198" s="24">
        <f>IFERROR(H198/H444, "NA")</f>
        <v>0.92888276514582802</v>
      </c>
      <c r="J198" s="25"/>
      <c r="K198" s="23">
        <f>IFERROR(K172-K197, "NA")</f>
        <v>46529.490000000042</v>
      </c>
      <c r="L198" s="24">
        <f>IFERROR(K198/K444, "NA")</f>
        <v>0.44248219923956555</v>
      </c>
      <c r="M198" s="25"/>
      <c r="N198" s="23">
        <f>IFERROR(B198-K198, "NA")</f>
        <v>-13614.960000000021</v>
      </c>
      <c r="O198" s="24">
        <f>IFERROR(N198/N444, "NA")</f>
        <v>1.0814939673668282</v>
      </c>
      <c r="P198" s="25"/>
      <c r="Q198" s="23">
        <f>IFERROR(Q172-Q197, "NA")</f>
        <v>362401.35999999981</v>
      </c>
      <c r="R198" s="24">
        <f>IFERROR(Q198/Q444, "NA")</f>
        <v>0.40348484455264694</v>
      </c>
      <c r="S198" s="25"/>
      <c r="T198" s="23">
        <f>IFERROR(T172-T197, "NA")</f>
        <v>453845.66999999987</v>
      </c>
      <c r="U198" s="24">
        <f>IFERROR(T198/T444, "NA")</f>
        <v>0.46272180322709539</v>
      </c>
      <c r="V198" s="25"/>
      <c r="W198" s="23">
        <f>IFERROR(Q198-T198, "NA")</f>
        <v>-91444.310000000056</v>
      </c>
      <c r="X198" s="24">
        <f>IFERROR(W198/W444, "NA")</f>
        <v>1.1065489630283161</v>
      </c>
      <c r="Y198" s="25"/>
      <c r="Z198" s="23">
        <f>IFERROR(Z172-Z197, "NA")</f>
        <v>335011.30000000016</v>
      </c>
      <c r="AA198" s="24">
        <f>IFERROR(Z198/Z444, "NA")</f>
        <v>0.39725466207681881</v>
      </c>
      <c r="AB198" s="25"/>
      <c r="AC198" s="23">
        <f>IFERROR(Q198-Z198, "NA")</f>
        <v>27390.059999999648</v>
      </c>
      <c r="AD198" s="24">
        <f>IFERROR(AC198/AC444, "NA")</f>
        <v>0.49925239896722307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2397.5500000000002</v>
      </c>
      <c r="F201" s="8">
        <f>IFERROR(E201/E444, "NA")</f>
        <v>2.000001501533942E-2</v>
      </c>
      <c r="G201" s="9"/>
      <c r="H201" s="10">
        <f t="shared" ref="H201:H209" si="52">IFERROR(-(B201-E201), "NA")</f>
        <v>2397.5500000000002</v>
      </c>
      <c r="I201" s="8">
        <f>IFERROR(H201/H444, "NA")</f>
        <v>-8.7787550868117459E-2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19616.36</v>
      </c>
      <c r="U201" s="8">
        <f>IFERROR(T201/T444, "NA")</f>
        <v>2.0000008972106902E-2</v>
      </c>
      <c r="V201" s="9"/>
      <c r="W201" s="10">
        <f t="shared" ref="W201:W209" si="54">IFERROR(-(Q201-T201), "NA")</f>
        <v>19616.36</v>
      </c>
      <c r="X201" s="8">
        <f>IFERROR(W201/W444, "NA")</f>
        <v>-0.23737357541863596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843.84</v>
      </c>
      <c r="C202" s="8">
        <f>IFERROR(B202/B444, "NA")</f>
        <v>9.1160320370448997E-3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-843.84</v>
      </c>
      <c r="I202" s="8">
        <f>IFERROR(H202/H444, "NA")</f>
        <v>3.0897644230381945E-2</v>
      </c>
      <c r="J202" s="9"/>
      <c r="K202" s="7">
        <v>626.46</v>
      </c>
      <c r="L202" s="8">
        <f>IFERROR(K202/K444, "NA")</f>
        <v>5.9574561968252391E-3</v>
      </c>
      <c r="M202" s="9"/>
      <c r="N202" s="10">
        <f t="shared" si="53"/>
        <v>-217.38</v>
      </c>
      <c r="O202" s="8">
        <f>IFERROR(N202/N444, "NA")</f>
        <v>1.7267414566491623E-2</v>
      </c>
      <c r="P202" s="9"/>
      <c r="Q202" s="7">
        <v>8326.5300000000007</v>
      </c>
      <c r="R202" s="8">
        <f>IFERROR(Q202/Q444, "NA")</f>
        <v>9.2704637276001204E-3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-8326.5300000000007</v>
      </c>
      <c r="X202" s="8">
        <f>IFERROR(W202/W444, "NA")</f>
        <v>0.10075764295366393</v>
      </c>
      <c r="Y202" s="9"/>
      <c r="Z202" s="7">
        <v>6560.04</v>
      </c>
      <c r="AA202" s="8">
        <f>IFERROR(Z202/Z444, "NA")</f>
        <v>7.7788614097805452E-3</v>
      </c>
      <c r="AB202" s="9"/>
      <c r="AC202" s="10">
        <f t="shared" si="55"/>
        <v>-1766.4900000000007</v>
      </c>
      <c r="AD202" s="8">
        <f>IFERROR(AC202/AC444, "NA")</f>
        <v>-3.2198701654966126E-2</v>
      </c>
    </row>
    <row r="203" spans="1:30" ht="16.5" customHeight="1" x14ac:dyDescent="0.45">
      <c r="A203" s="6" t="s">
        <v>185</v>
      </c>
      <c r="B203" s="7">
        <v>855.43</v>
      </c>
      <c r="C203" s="8">
        <f>IFERROR(B203/B444, "NA")</f>
        <v>9.2412391987216989E-3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-855.43</v>
      </c>
      <c r="I203" s="8">
        <f>IFERROR(H203/H444, "NA")</f>
        <v>3.1322018159835541E-2</v>
      </c>
      <c r="J203" s="9"/>
      <c r="K203" s="7">
        <v>850.74</v>
      </c>
      <c r="L203" s="8">
        <f>IFERROR(K203/K444, "NA")</f>
        <v>8.0902951264040859E-3</v>
      </c>
      <c r="M203" s="9"/>
      <c r="N203" s="10">
        <f t="shared" si="53"/>
        <v>-4.6899999999999409</v>
      </c>
      <c r="O203" s="8">
        <f>IFERROR(N203/N444, "NA")</f>
        <v>3.7254657427934805E-4</v>
      </c>
      <c r="P203" s="9"/>
      <c r="Q203" s="7">
        <v>7547.82</v>
      </c>
      <c r="R203" s="8">
        <f>IFERROR(Q203/Q444, "NA")</f>
        <v>8.4034755813591905E-3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-7547.82</v>
      </c>
      <c r="X203" s="8">
        <f>IFERROR(W203/W444, "NA")</f>
        <v>9.1334631910114247E-2</v>
      </c>
      <c r="Y203" s="9"/>
      <c r="Z203" s="7">
        <v>5247.47</v>
      </c>
      <c r="AA203" s="8">
        <f>IFERROR(Z203/Z444, "NA")</f>
        <v>6.2224227111391268E-3</v>
      </c>
      <c r="AB203" s="9"/>
      <c r="AC203" s="10">
        <f t="shared" si="55"/>
        <v>-2300.3499999999995</v>
      </c>
      <c r="AD203" s="8">
        <f>IFERROR(AC203/AC444, "NA")</f>
        <v>-4.1929636370430221E-2</v>
      </c>
    </row>
    <row r="204" spans="1:30" ht="16.5" customHeight="1" x14ac:dyDescent="0.45">
      <c r="A204" s="6" t="s">
        <v>186</v>
      </c>
      <c r="B204" s="7">
        <v>75.790000000000006</v>
      </c>
      <c r="C204" s="8">
        <f>IFERROR(B204/B444, "NA")</f>
        <v>8.1876193127563635E-4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-75.790000000000006</v>
      </c>
      <c r="I204" s="8">
        <f>IFERROR(H204/H444, "NA")</f>
        <v>2.7750906051154812E-3</v>
      </c>
      <c r="J204" s="9"/>
      <c r="K204" s="7">
        <v>17.329999999999998</v>
      </c>
      <c r="L204" s="8">
        <f>IFERROR(K204/K444, "NA")</f>
        <v>1.6480336476547806E-4</v>
      </c>
      <c r="M204" s="9"/>
      <c r="N204" s="10">
        <f t="shared" si="53"/>
        <v>-58.460000000000008</v>
      </c>
      <c r="O204" s="8">
        <f>IFERROR(N204/N444, "NA")</f>
        <v>4.6437255292901851E-3</v>
      </c>
      <c r="P204" s="9"/>
      <c r="Q204" s="7">
        <v>1116.98</v>
      </c>
      <c r="R204" s="8">
        <f>IFERROR(Q204/Q444, "NA")</f>
        <v>1.2436059888638823E-3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-1116.98</v>
      </c>
      <c r="X204" s="8">
        <f>IFERROR(W204/W444, "NA")</f>
        <v>1.3516347389174545E-2</v>
      </c>
      <c r="Y204" s="9"/>
      <c r="Z204" s="7">
        <v>691.75</v>
      </c>
      <c r="AA204" s="8">
        <f>IFERROR(Z204/Z444, "NA")</f>
        <v>8.2027356238920676E-4</v>
      </c>
      <c r="AB204" s="9"/>
      <c r="AC204" s="10">
        <f t="shared" si="55"/>
        <v>-425.23</v>
      </c>
      <c r="AD204" s="8">
        <f>IFERROR(AC204/AC444, "NA")</f>
        <v>-7.7508810719229895E-3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3.9348970292629338E-3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1.3336838659549582E-2</v>
      </c>
      <c r="J205" s="9"/>
      <c r="K205" s="7">
        <v>538.91999999999996</v>
      </c>
      <c r="L205" s="8">
        <f>IFERROR(K205/K444, "NA")</f>
        <v>5.1249757264519007E-3</v>
      </c>
      <c r="M205" s="9"/>
      <c r="N205" s="10">
        <f t="shared" si="53"/>
        <v>174.67999999999995</v>
      </c>
      <c r="O205" s="8">
        <f>IFERROR(N205/N444, "NA")</f>
        <v>-1.3875572621560197E-2</v>
      </c>
      <c r="P205" s="9"/>
      <c r="Q205" s="7">
        <v>3096.04</v>
      </c>
      <c r="R205" s="8">
        <f>IFERROR(Q205/Q444, "NA")</f>
        <v>3.4470213305181239E-3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-3096.04</v>
      </c>
      <c r="X205" s="8">
        <f>IFERROR(W205/W444, "NA")</f>
        <v>3.7464549204802196E-2</v>
      </c>
      <c r="Y205" s="9"/>
      <c r="Z205" s="7">
        <v>3156.6</v>
      </c>
      <c r="AA205" s="8">
        <f>IFERROR(Z205/Z444, "NA")</f>
        <v>3.7430799089812361E-3</v>
      </c>
      <c r="AB205" s="9"/>
      <c r="AC205" s="10">
        <f t="shared" si="55"/>
        <v>60.559999999999945</v>
      </c>
      <c r="AD205" s="8">
        <f>IFERROR(AC205/AC444, "NA")</f>
        <v>1.1038575775830864E-3</v>
      </c>
    </row>
    <row r="206" spans="1:30" ht="16.5" customHeight="1" x14ac:dyDescent="0.45">
      <c r="A206" s="6" t="s">
        <v>188</v>
      </c>
      <c r="B206" s="7">
        <v>0</v>
      </c>
      <c r="C206" s="8">
        <f>IFERROR(B206/B444, "NA")</f>
        <v>0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0</v>
      </c>
      <c r="I206" s="8">
        <f>IFERROR(H206/H444, "NA")</f>
        <v>0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0</v>
      </c>
      <c r="O206" s="8">
        <f>IFERROR(N206/N444, "NA")</f>
        <v>0</v>
      </c>
      <c r="P206" s="9"/>
      <c r="Q206" s="7">
        <v>865.24</v>
      </c>
      <c r="R206" s="8">
        <f>IFERROR(Q206/Q444, "NA")</f>
        <v>9.6332758492057653E-4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-865.24</v>
      </c>
      <c r="X206" s="8">
        <f>IFERROR(W206/W444, "NA")</f>
        <v>1.0470092942585708E-2</v>
      </c>
      <c r="Y206" s="9"/>
      <c r="Z206" s="7">
        <v>228.48</v>
      </c>
      <c r="AA206" s="8">
        <f>IFERROR(Z206/Z444, "NA")</f>
        <v>2.7093039903821605E-4</v>
      </c>
      <c r="AB206" s="9"/>
      <c r="AC206" s="10">
        <f t="shared" si="55"/>
        <v>-636.76</v>
      </c>
      <c r="AD206" s="8">
        <f>IFERROR(AC206/AC444, "NA")</f>
        <v>-1.1606544767202884E-2</v>
      </c>
    </row>
    <row r="207" spans="1:30" ht="16.5" customHeight="1" x14ac:dyDescent="0.45">
      <c r="A207" s="6" t="s">
        <v>189</v>
      </c>
      <c r="B207" s="7">
        <v>0</v>
      </c>
      <c r="C207" s="8">
        <f>IFERROR(B207/B444, "NA")</f>
        <v>0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0</v>
      </c>
      <c r="I207" s="8">
        <f>IFERROR(H207/H444, "NA")</f>
        <v>0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0</v>
      </c>
      <c r="O207" s="8">
        <f>IFERROR(N207/N444, "NA")</f>
        <v>0</v>
      </c>
      <c r="P207" s="9"/>
      <c r="Q207" s="7">
        <v>762.98</v>
      </c>
      <c r="R207" s="8">
        <f>IFERROR(Q207/Q444, "NA")</f>
        <v>8.4947492111171643E-4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-762.98</v>
      </c>
      <c r="X207" s="8">
        <f>IFERROR(W207/W444, "NA")</f>
        <v>9.2326655186237838E-3</v>
      </c>
      <c r="Y207" s="9"/>
      <c r="Z207" s="7">
        <v>308.33999999999997</v>
      </c>
      <c r="AA207" s="8">
        <f>IFERROR(Z207/Z444, "NA")</f>
        <v>3.6562797286171012E-4</v>
      </c>
      <c r="AB207" s="9"/>
      <c r="AC207" s="10">
        <f t="shared" si="55"/>
        <v>-454.64000000000004</v>
      </c>
      <c r="AD207" s="8">
        <f>IFERROR(AC207/AC444, "NA")</f>
        <v>-8.2869519331633893E-3</v>
      </c>
    </row>
    <row r="208" spans="1:30" ht="16.5" customHeight="1" x14ac:dyDescent="0.45">
      <c r="A208" s="6" t="s">
        <v>190</v>
      </c>
      <c r="B208" s="7">
        <v>125.31</v>
      </c>
      <c r="C208" s="8">
        <f>IFERROR(B208/B444, "NA")</f>
        <v>1.353728164773057E-3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-125.31</v>
      </c>
      <c r="I208" s="8">
        <f>IFERROR(H208/H444, "NA")</f>
        <v>4.5882913804858282E-3</v>
      </c>
      <c r="J208" s="9"/>
      <c r="K208" s="7">
        <v>138.83000000000001</v>
      </c>
      <c r="L208" s="8">
        <f>IFERROR(K208/K444, "NA")</f>
        <v>1.3202337640156562E-3</v>
      </c>
      <c r="M208" s="9"/>
      <c r="N208" s="10">
        <f t="shared" si="53"/>
        <v>13.52000000000001</v>
      </c>
      <c r="O208" s="8">
        <f>IFERROR(N208/N444, "NA")</f>
        <v>-1.0739508921656404E-3</v>
      </c>
      <c r="P208" s="9"/>
      <c r="Q208" s="7">
        <v>1207.56</v>
      </c>
      <c r="R208" s="8">
        <f>IFERROR(Q208/Q444, "NA")</f>
        <v>1.3444545541661172E-3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-1207.56</v>
      </c>
      <c r="X208" s="8">
        <f>IFERROR(W208/W444, "NA")</f>
        <v>1.4612437513000781E-2</v>
      </c>
      <c r="Y208" s="9"/>
      <c r="Z208" s="7">
        <v>794.74</v>
      </c>
      <c r="AA208" s="8">
        <f>IFERROR(Z208/Z444, "NA")</f>
        <v>9.4239857025399084E-4</v>
      </c>
      <c r="AB208" s="9"/>
      <c r="AC208" s="10">
        <f t="shared" si="55"/>
        <v>-412.81999999999994</v>
      </c>
      <c r="AD208" s="8">
        <f>IFERROR(AC208/AC444, "NA")</f>
        <v>-7.5246777605325306E-3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2264.61</v>
      </c>
      <c r="C209" s="15">
        <f>IFERROR(B209/B444, "NA")</f>
        <v>2.4464658361078227E-2</v>
      </c>
      <c r="D209" s="2"/>
      <c r="E209" s="14">
        <f>IFERROR(E201+E202+E203+E204+E205+E206+E207+E208, "NA")</f>
        <v>2397.5500000000002</v>
      </c>
      <c r="F209" s="15">
        <f>IFERROR(E209/E444, "NA")</f>
        <v>2.000001501533942E-2</v>
      </c>
      <c r="G209" s="2"/>
      <c r="H209" s="14">
        <f t="shared" si="52"/>
        <v>132.94000000000005</v>
      </c>
      <c r="I209" s="15">
        <f>IFERROR(H209/H444, "NA")</f>
        <v>-4.867667832749072E-3</v>
      </c>
      <c r="J209" s="2"/>
      <c r="K209" s="14">
        <f>IFERROR(K201+K202+K203+K204+K205+K206+K207+K208, "NA")</f>
        <v>2172.2799999999997</v>
      </c>
      <c r="L209" s="15">
        <f>IFERROR(K209/K444, "NA")</f>
        <v>2.0657764178462358E-2</v>
      </c>
      <c r="M209" s="2"/>
      <c r="N209" s="14">
        <f t="shared" si="53"/>
        <v>-92.330000000000382</v>
      </c>
      <c r="O209" s="15">
        <f>IFERROR(N209/N444, "NA")</f>
        <v>7.3341631563353486E-3</v>
      </c>
      <c r="P209" s="2"/>
      <c r="Q209" s="14">
        <f>IFERROR(Q201+Q202+Q203+Q204+Q205+Q206+Q207+Q208, "NA")</f>
        <v>22923.150000000005</v>
      </c>
      <c r="R209" s="15">
        <f>IFERROR(Q209/Q444, "NA")</f>
        <v>2.5521823688539735E-2</v>
      </c>
      <c r="S209" s="2"/>
      <c r="T209" s="14">
        <f>IFERROR(T201+T202+T203+T204+T205+T206+T207+T208, "NA")</f>
        <v>19616.36</v>
      </c>
      <c r="U209" s="15">
        <f>IFERROR(T209/T444, "NA")</f>
        <v>2.0000008972106902E-2</v>
      </c>
      <c r="V209" s="2"/>
      <c r="W209" s="14">
        <f t="shared" si="54"/>
        <v>-3306.7900000000045</v>
      </c>
      <c r="X209" s="15">
        <f>IFERROR(W209/W444, "NA")</f>
        <v>4.0014792013329296E-2</v>
      </c>
      <c r="Y209" s="2"/>
      <c r="Z209" s="14">
        <f>IFERROR(Z201+Z202+Z203+Z204+Z205+Z206+Z207+Z208, "NA")</f>
        <v>16987.420000000002</v>
      </c>
      <c r="AA209" s="15">
        <f>IFERROR(Z209/Z444, "NA")</f>
        <v>2.0143594534444035E-2</v>
      </c>
      <c r="AB209" s="2"/>
      <c r="AC209" s="14">
        <f t="shared" si="55"/>
        <v>-5935.7300000000032</v>
      </c>
      <c r="AD209" s="15">
        <f>IFERROR(AC209/AC444, "NA")</f>
        <v>-0.10819353598063511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3186.97</v>
      </c>
      <c r="F213" s="8">
        <f>IFERROR(E213/E444, "NA")</f>
        <v>2.6585242373855088E-2</v>
      </c>
      <c r="G213" s="9"/>
      <c r="H213" s="10">
        <f t="shared" ref="H213:H227" si="56">IFERROR(-(B213-E213), "NA")</f>
        <v>3186.97</v>
      </c>
      <c r="I213" s="8">
        <f>IFERROR(H213/H444, "NA")</f>
        <v>-0.11669257825286825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25558.51</v>
      </c>
      <c r="U213" s="8">
        <f>IFERROR(T213/T444, "NA")</f>
        <v>2.6058373180023405E-2</v>
      </c>
      <c r="V213" s="9"/>
      <c r="W213" s="10">
        <f t="shared" ref="W213:W227" si="58">IFERROR(-(Q213-T213), "NA")</f>
        <v>25558.51</v>
      </c>
      <c r="X213" s="8">
        <f>IFERROR(W213/W444, "NA")</f>
        <v>-0.30927832182285403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458.9</v>
      </c>
      <c r="C214" s="8">
        <f>IFERROR(B214/B444, "NA")</f>
        <v>4.9575122082384151E-3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-458.9</v>
      </c>
      <c r="I214" s="8">
        <f>IFERROR(H214/H444, "NA")</f>
        <v>1.6802864212791847E-2</v>
      </c>
      <c r="J214" s="9"/>
      <c r="K214" s="7">
        <v>1183.55</v>
      </c>
      <c r="L214" s="8">
        <f>IFERROR(K214/K444, "NA")</f>
        <v>1.1255223448827557E-2</v>
      </c>
      <c r="M214" s="9"/>
      <c r="N214" s="10">
        <f t="shared" si="57"/>
        <v>724.65</v>
      </c>
      <c r="O214" s="8">
        <f>IFERROR(N214/N444, "NA")</f>
        <v>-5.756202026685138E-2</v>
      </c>
      <c r="P214" s="9"/>
      <c r="Q214" s="7">
        <v>14491.21</v>
      </c>
      <c r="R214" s="8">
        <f>IFERROR(Q214/Q444, "NA")</f>
        <v>1.6134000198646511E-2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-14491.21</v>
      </c>
      <c r="X214" s="8">
        <f>IFERROR(W214/W444, "NA")</f>
        <v>0.17535517954616917</v>
      </c>
      <c r="Y214" s="9"/>
      <c r="Z214" s="7">
        <v>4433.55</v>
      </c>
      <c r="AA214" s="8">
        <f>IFERROR(Z214/Z444, "NA")</f>
        <v>5.2572805963580311E-3</v>
      </c>
      <c r="AB214" s="9"/>
      <c r="AC214" s="10">
        <f t="shared" si="59"/>
        <v>-10057.66</v>
      </c>
      <c r="AD214" s="8">
        <f>IFERROR(AC214/AC444, "NA")</f>
        <v>-0.18332602714257454</v>
      </c>
    </row>
    <row r="215" spans="1:30" ht="16.5" customHeight="1" x14ac:dyDescent="0.45">
      <c r="A215" s="12" t="s">
        <v>195</v>
      </c>
      <c r="B215" s="7">
        <v>190.4</v>
      </c>
      <c r="C215" s="8">
        <f>IFERROR(B215/B444, "NA")</f>
        <v>2.0568976344488873E-3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-190.4</v>
      </c>
      <c r="I215" s="8">
        <f>IFERROR(H215/H444, "NA")</f>
        <v>6.971595872990996E-3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-190.4</v>
      </c>
      <c r="O215" s="8">
        <f>IFERROR(N215/N444, "NA")</f>
        <v>1.5124278836415516E-2</v>
      </c>
      <c r="P215" s="9"/>
      <c r="Q215" s="7">
        <v>371.45</v>
      </c>
      <c r="R215" s="8">
        <f>IFERROR(Q215/Q444, "NA")</f>
        <v>4.1355927999023177E-4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-371.45</v>
      </c>
      <c r="X215" s="8">
        <f>IFERROR(W215/W444, "NA")</f>
        <v>4.4948407650171754E-3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-371.45</v>
      </c>
      <c r="AD215" s="8">
        <f>IFERROR(AC215/AC444, "NA")</f>
        <v>-6.7706059642212314E-3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80.39</v>
      </c>
      <c r="L216" s="8">
        <f>IFERROR(K216/K444, "NA")</f>
        <v>7.6448600654915075E-4</v>
      </c>
      <c r="M216" s="9"/>
      <c r="N216" s="10">
        <f t="shared" si="57"/>
        <v>80.39</v>
      </c>
      <c r="O216" s="8">
        <f>IFERROR(N216/N444, "NA")</f>
        <v>-6.3857183595559001E-3</v>
      </c>
      <c r="P216" s="9"/>
      <c r="Q216" s="7">
        <v>2.1</v>
      </c>
      <c r="R216" s="8">
        <f>IFERROR(Q216/Q444, "NA")</f>
        <v>2.3380656561569167E-6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2.5411672113436718E-5</v>
      </c>
      <c r="Y216" s="9"/>
      <c r="Z216" s="7">
        <v>80.39</v>
      </c>
      <c r="AA216" s="8">
        <f>IFERROR(Z216/Z444, "NA")</f>
        <v>9.5326045074764479E-5</v>
      </c>
      <c r="AB216" s="9"/>
      <c r="AC216" s="10">
        <f t="shared" si="59"/>
        <v>78.290000000000006</v>
      </c>
      <c r="AD216" s="8">
        <f>IFERROR(AC216/AC444, "NA")</f>
        <v>1.4270312045736445E-3</v>
      </c>
    </row>
    <row r="217" spans="1:30" ht="16.5" customHeight="1" x14ac:dyDescent="0.45">
      <c r="A217" s="12" t="s">
        <v>197</v>
      </c>
      <c r="B217" s="7">
        <v>309.45999999999998</v>
      </c>
      <c r="C217" s="8">
        <f>IFERROR(B217/B444, "NA")</f>
        <v>3.3431068380071036E-3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-309.45999999999998</v>
      </c>
      <c r="I217" s="8">
        <f>IFERROR(H217/H444, "NA")</f>
        <v>1.1331040225082949E-2</v>
      </c>
      <c r="J217" s="9"/>
      <c r="K217" s="7">
        <v>4306.32</v>
      </c>
      <c r="L217" s="8">
        <f>IFERROR(K217/K444, "NA")</f>
        <v>4.0951876846905565E-2</v>
      </c>
      <c r="M217" s="9"/>
      <c r="N217" s="10">
        <f t="shared" si="57"/>
        <v>3996.8599999999997</v>
      </c>
      <c r="O217" s="8">
        <f>IFERROR(N217/N444, "NA")</f>
        <v>-0.31748752683884301</v>
      </c>
      <c r="P217" s="9"/>
      <c r="Q217" s="7">
        <v>14719.94</v>
      </c>
      <c r="R217" s="8">
        <f>IFERROR(Q217/Q444, "NA")</f>
        <v>1.6388660083185926E-2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-14719.94</v>
      </c>
      <c r="X217" s="8">
        <f>IFERROR(W217/W444, "NA")</f>
        <v>0.17812299467117224</v>
      </c>
      <c r="Y217" s="9"/>
      <c r="Z217" s="7">
        <v>5821.16</v>
      </c>
      <c r="AA217" s="8">
        <f>IFERROR(Z217/Z444, "NA")</f>
        <v>6.9027013378208241E-3</v>
      </c>
      <c r="AB217" s="9"/>
      <c r="AC217" s="10">
        <f t="shared" si="59"/>
        <v>-8898.7800000000007</v>
      </c>
      <c r="AD217" s="8">
        <f>IFERROR(AC217/AC444, "NA")</f>
        <v>-0.16220253854433334</v>
      </c>
    </row>
    <row r="218" spans="1:30" ht="16.5" customHeight="1" x14ac:dyDescent="0.45">
      <c r="A218" s="13" t="s">
        <v>198</v>
      </c>
      <c r="B218" s="14">
        <f>IFERROR(B213+B214+B215+B216+B217, "NA")</f>
        <v>958.76</v>
      </c>
      <c r="C218" s="15">
        <f>IFERROR(B218/B444, "NA")</f>
        <v>1.0357516680694406E-2</v>
      </c>
      <c r="D218" s="2"/>
      <c r="E218" s="14">
        <f>IFERROR(E213+E214+E215+E216+E217, "NA")</f>
        <v>3186.97</v>
      </c>
      <c r="F218" s="15">
        <f>IFERROR(E218/E444, "NA")</f>
        <v>2.6585242373855088E-2</v>
      </c>
      <c r="G218" s="2"/>
      <c r="H218" s="14">
        <f t="shared" si="56"/>
        <v>2228.21</v>
      </c>
      <c r="I218" s="15">
        <f>IFERROR(H218/H444, "NA")</f>
        <v>-8.1587077942002456E-2</v>
      </c>
      <c r="J218" s="2"/>
      <c r="K218" s="14">
        <f>IFERROR(K213+K214+K215+K216+K217, "NA")</f>
        <v>5570.26</v>
      </c>
      <c r="L218" s="15">
        <f>IFERROR(K218/K444, "NA")</f>
        <v>5.2971586302282277E-2</v>
      </c>
      <c r="M218" s="2"/>
      <c r="N218" s="14">
        <f t="shared" si="57"/>
        <v>4611.5</v>
      </c>
      <c r="O218" s="15">
        <f>IFERROR(N218/N444, "NA")</f>
        <v>-0.36631098662883482</v>
      </c>
      <c r="P218" s="2"/>
      <c r="Q218" s="14">
        <f>IFERROR(Q213+Q214+Q215+Q216+Q217, "NA")</f>
        <v>29584.7</v>
      </c>
      <c r="R218" s="15">
        <f>IFERROR(Q218/Q444, "NA")</f>
        <v>3.2938557627478826E-2</v>
      </c>
      <c r="S218" s="2"/>
      <c r="T218" s="14">
        <f>IFERROR(T213+T214+T215+T216+T217, "NA")</f>
        <v>25558.51</v>
      </c>
      <c r="U218" s="15">
        <f>IFERROR(T218/T444, "NA")</f>
        <v>2.6058373180023405E-2</v>
      </c>
      <c r="V218" s="2"/>
      <c r="W218" s="14">
        <f t="shared" si="58"/>
        <v>-4026.1900000000023</v>
      </c>
      <c r="X218" s="15">
        <f>IFERROR(W218/W444, "NA")</f>
        <v>4.8720104831618018E-2</v>
      </c>
      <c r="Y218" s="2"/>
      <c r="Z218" s="14">
        <f>IFERROR(Z213+Z214+Z215+Z216+Z217, "NA")</f>
        <v>10335.1</v>
      </c>
      <c r="AA218" s="15">
        <f>IFERROR(Z218/Z444, "NA")</f>
        <v>1.2255307979253619E-2</v>
      </c>
      <c r="AB218" s="2"/>
      <c r="AC218" s="14">
        <f t="shared" si="59"/>
        <v>-19249.599999999999</v>
      </c>
      <c r="AD218" s="15">
        <f>IFERROR(AC218/AC444, "NA")</f>
        <v>-0.3508721404465554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874.14</v>
      </c>
      <c r="R222" s="8">
        <f>IFERROR(Q222/Q444, "NA")</f>
        <v>9.7323652984428915E-4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-874.14</v>
      </c>
      <c r="X222" s="8">
        <f>IFERROR(W222/W444, "NA")</f>
        <v>1.0577790029161701E-2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-874.14</v>
      </c>
      <c r="AD222" s="8">
        <f>IFERROR(AC222/AC444, "NA")</f>
        <v>-1.5933389413284014E-2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119.88</v>
      </c>
      <c r="F226" s="8">
        <f>IFERROR(E226/E444, "NA")</f>
        <v>1.0000216054050549E-3</v>
      </c>
      <c r="G226" s="9"/>
      <c r="H226" s="10">
        <f t="shared" si="56"/>
        <v>119.88</v>
      </c>
      <c r="I226" s="8">
        <f>IFERROR(H226/H444, "NA")</f>
        <v>-4.3894690822172296E-3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980.83</v>
      </c>
      <c r="U226" s="8">
        <f>IFERROR(T226/T444, "NA")</f>
        <v>1.0000126832965756E-3</v>
      </c>
      <c r="V226" s="9"/>
      <c r="W226" s="10">
        <f t="shared" si="58"/>
        <v>980.83</v>
      </c>
      <c r="X226" s="8">
        <f>IFERROR(W226/W444, "NA")</f>
        <v>-1.1868823980486732E-2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958.76</v>
      </c>
      <c r="C227" s="15">
        <f>IFERROR(B227/B444, "NA")</f>
        <v>1.0357516680694406E-2</v>
      </c>
      <c r="D227" s="2"/>
      <c r="E227" s="14">
        <f>IFERROR(E211+E213+E214+E215+E216+E217+E219+E220+E221+E222+E223+E224+E225+E226, "NA")</f>
        <v>3306.85</v>
      </c>
      <c r="F227" s="15">
        <f>IFERROR(E227/E444, "NA")</f>
        <v>2.7585263979260144E-2</v>
      </c>
      <c r="G227" s="2"/>
      <c r="H227" s="14">
        <f t="shared" si="56"/>
        <v>2348.09</v>
      </c>
      <c r="I227" s="15">
        <f>IFERROR(H227/H444, "NA")</f>
        <v>-8.5976547024219682E-2</v>
      </c>
      <c r="J227" s="2"/>
      <c r="K227" s="14">
        <f>IFERROR(K211+K213+K214+K215+K216+K217+K219+K220+K221+K222+K223+K224+K225+K226, "NA")</f>
        <v>5570.26</v>
      </c>
      <c r="L227" s="15">
        <f>IFERROR(K227/K444, "NA")</f>
        <v>5.2971586302282277E-2</v>
      </c>
      <c r="M227" s="2"/>
      <c r="N227" s="14">
        <f t="shared" si="57"/>
        <v>4611.5</v>
      </c>
      <c r="O227" s="15">
        <f>IFERROR(N227/N444, "NA")</f>
        <v>-0.36631098662883482</v>
      </c>
      <c r="P227" s="2"/>
      <c r="Q227" s="14">
        <f>IFERROR(Q211+Q213+Q214+Q215+Q216+Q217+Q219+Q220+Q221+Q222+Q223+Q224+Q225+Q226, "NA")</f>
        <v>30458.84</v>
      </c>
      <c r="R227" s="15">
        <f>IFERROR(Q227/Q444, "NA")</f>
        <v>3.3911794157323115E-2</v>
      </c>
      <c r="S227" s="2"/>
      <c r="T227" s="14">
        <f>IFERROR(T211+T213+T214+T215+T216+T217+T219+T220+T221+T222+T223+T224+T225+T226, "NA")</f>
        <v>26539.34</v>
      </c>
      <c r="U227" s="15">
        <f>IFERROR(T227/T444, "NA")</f>
        <v>2.7058385863319982E-2</v>
      </c>
      <c r="V227" s="2"/>
      <c r="W227" s="14">
        <f t="shared" si="58"/>
        <v>-3919.5</v>
      </c>
      <c r="X227" s="15">
        <f>IFERROR(W227/W444, "NA")</f>
        <v>4.742907088029296E-2</v>
      </c>
      <c r="Y227" s="2"/>
      <c r="Z227" s="14">
        <f>IFERROR(Z211+Z213+Z214+Z215+Z216+Z217+Z219+Z220+Z221+Z222+Z223+Z224+Z225+Z226, "NA")</f>
        <v>10335.1</v>
      </c>
      <c r="AA227" s="15">
        <f>IFERROR(Z227/Z444, "NA")</f>
        <v>1.2255307979253619E-2</v>
      </c>
      <c r="AB227" s="2"/>
      <c r="AC227" s="14">
        <f t="shared" si="59"/>
        <v>-20123.739999999998</v>
      </c>
      <c r="AD227" s="15">
        <f>IFERROR(AC227/AC444, "NA")</f>
        <v>-0.36680552985983944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1764.6</v>
      </c>
      <c r="F229" s="8">
        <f>IFERROR(E229/E444, "NA")</f>
        <v>1.4720037745226559E-2</v>
      </c>
      <c r="G229" s="9"/>
      <c r="H229" s="10">
        <f t="shared" ref="H229:H236" si="60">IFERROR(-(B229-E229), "NA")</f>
        <v>1764.6</v>
      </c>
      <c r="I229" s="8">
        <f>IFERROR(H229/H444, "NA")</f>
        <v>-6.4611754608612973E-2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14437.64</v>
      </c>
      <c r="U229" s="8">
        <f>IFERROR(T229/T444, "NA")</f>
        <v>1.472000562469538E-2</v>
      </c>
      <c r="V229" s="9"/>
      <c r="W229" s="10">
        <f t="shared" ref="W229:W236" si="62">IFERROR(-(Q229-T229), "NA")</f>
        <v>14437.64</v>
      </c>
      <c r="X229" s="8">
        <f>IFERROR(W229/W444, "NA")</f>
        <v>-0.17470693989135166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-3.0553189170249808E-4</v>
      </c>
      <c r="AB230" s="9"/>
      <c r="AC230" s="10">
        <f t="shared" si="63"/>
        <v>-257.66000000000003</v>
      </c>
      <c r="AD230" s="8">
        <f>IFERROR(AC230/AC444, "NA")</f>
        <v>-4.6964984055491796E-3</v>
      </c>
    </row>
    <row r="231" spans="1:30" ht="16.5" customHeight="1" x14ac:dyDescent="0.45">
      <c r="A231" s="6" t="s">
        <v>210</v>
      </c>
      <c r="B231" s="7">
        <v>154</v>
      </c>
      <c r="C231" s="8">
        <f>IFERROR(B231/B444, "NA")</f>
        <v>1.6636672043336587E-3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-154</v>
      </c>
      <c r="I231" s="8">
        <f>IFERROR(H231/H444, "NA")</f>
        <v>5.6387907796250705E-3</v>
      </c>
      <c r="J231" s="9"/>
      <c r="K231" s="7">
        <v>123.44</v>
      </c>
      <c r="L231" s="8">
        <f>IFERROR(K231/K444, "NA")</f>
        <v>1.1738792467773003E-3</v>
      </c>
      <c r="M231" s="9"/>
      <c r="N231" s="10">
        <f t="shared" si="61"/>
        <v>-30.560000000000002</v>
      </c>
      <c r="O231" s="8">
        <f>IFERROR(N231/N444, "NA")</f>
        <v>2.4275103006347592E-3</v>
      </c>
      <c r="P231" s="9"/>
      <c r="Q231" s="7">
        <v>1428.05</v>
      </c>
      <c r="R231" s="8">
        <f>IFERROR(Q231/Q444, "NA")</f>
        <v>1.5899403144166119E-3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-1428.05</v>
      </c>
      <c r="X231" s="8">
        <f>IFERROR(W231/W444, "NA")</f>
        <v>1.7280542076949193E-2</v>
      </c>
      <c r="Y231" s="9"/>
      <c r="Z231" s="7">
        <v>1575.44</v>
      </c>
      <c r="AA231" s="8">
        <f>IFERROR(Z231/Z444, "NA")</f>
        <v>1.8681485813233855E-3</v>
      </c>
      <c r="AB231" s="9"/>
      <c r="AC231" s="10">
        <f t="shared" si="63"/>
        <v>147.3900000000001</v>
      </c>
      <c r="AD231" s="8">
        <f>IFERROR(AC231/AC444, "NA")</f>
        <v>2.6865516571989985E-3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1064.0999999999999</v>
      </c>
      <c r="C234" s="8">
        <f>IFERROR(B234/B444, "NA")</f>
        <v>1.1495508260593805E-2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-1064.0999999999999</v>
      </c>
      <c r="I234" s="8">
        <f>IFERROR(H234/H444, "NA")</f>
        <v>3.8962579666227508E-2</v>
      </c>
      <c r="J234" s="9"/>
      <c r="K234" s="7">
        <v>1626.68</v>
      </c>
      <c r="L234" s="8">
        <f>IFERROR(K234/K444, "NA")</f>
        <v>1.546926355433975E-2</v>
      </c>
      <c r="M234" s="9"/>
      <c r="N234" s="10">
        <f t="shared" si="61"/>
        <v>562.58000000000015</v>
      </c>
      <c r="O234" s="8">
        <f>IFERROR(N234/N444, "NA")</f>
        <v>-4.4688113381253378E-2</v>
      </c>
      <c r="P234" s="9"/>
      <c r="Q234" s="7">
        <v>10514.48</v>
      </c>
      <c r="R234" s="8">
        <f>IFERROR(Q234/Q444, "NA")</f>
        <v>1.1706449800166085E-2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-10514.48</v>
      </c>
      <c r="X234" s="8">
        <f>IFERROR(W234/W444, "NA")</f>
        <v>0.12723358009680386</v>
      </c>
      <c r="Y234" s="9"/>
      <c r="Z234" s="7">
        <v>11647.73</v>
      </c>
      <c r="AA234" s="8">
        <f>IFERROR(Z234/Z444, "NA")</f>
        <v>1.381181782558386E-2</v>
      </c>
      <c r="AB234" s="9"/>
      <c r="AC234" s="10">
        <f t="shared" si="63"/>
        <v>1133.25</v>
      </c>
      <c r="AD234" s="8">
        <f>IFERROR(AC234/AC444, "NA")</f>
        <v>2.0656317698085101E-2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1218.0999999999999</v>
      </c>
      <c r="C236" s="15">
        <f>IFERROR(B236/B444, "NA")</f>
        <v>1.3159175464927465E-2</v>
      </c>
      <c r="D236" s="2"/>
      <c r="E236" s="14">
        <f>IFERROR(E229+E230+E231+E232+E233+E234+E235, "NA")</f>
        <v>1764.6</v>
      </c>
      <c r="F236" s="15">
        <f>IFERROR(E236/E444, "NA")</f>
        <v>1.4720037745226559E-2</v>
      </c>
      <c r="G236" s="2"/>
      <c r="H236" s="14">
        <f t="shared" si="60"/>
        <v>546.5</v>
      </c>
      <c r="I236" s="15">
        <f>IFERROR(H236/H444, "NA")</f>
        <v>-2.0010384162760395E-2</v>
      </c>
      <c r="J236" s="2"/>
      <c r="K236" s="14">
        <f>IFERROR(K229+K230+K231+K232+K233+K234+K235, "NA")</f>
        <v>1750.1200000000001</v>
      </c>
      <c r="L236" s="15">
        <f>IFERROR(K236/K444, "NA")</f>
        <v>1.6643142801117051E-2</v>
      </c>
      <c r="M236" s="2"/>
      <c r="N236" s="14">
        <f t="shared" si="61"/>
        <v>532.02000000000021</v>
      </c>
      <c r="O236" s="15">
        <f>IFERROR(N236/N444, "NA")</f>
        <v>-4.2260603080618624E-2</v>
      </c>
      <c r="P236" s="2"/>
      <c r="Q236" s="14">
        <f>IFERROR(Q229+Q230+Q231+Q232+Q233+Q234+Q235, "NA")</f>
        <v>11942.529999999999</v>
      </c>
      <c r="R236" s="15">
        <f>IFERROR(Q236/Q444, "NA")</f>
        <v>1.3296390114582696E-2</v>
      </c>
      <c r="S236" s="2"/>
      <c r="T236" s="14">
        <f>IFERROR(T229+T230+T231+T232+T233+T234+T235, "NA")</f>
        <v>14437.64</v>
      </c>
      <c r="U236" s="15">
        <f>IFERROR(T236/T444, "NA")</f>
        <v>1.472000562469538E-2</v>
      </c>
      <c r="V236" s="2"/>
      <c r="W236" s="14">
        <f t="shared" si="62"/>
        <v>2495.1100000000006</v>
      </c>
      <c r="X236" s="15">
        <f>IFERROR(W236/W444, "NA")</f>
        <v>-3.019281771759862E-2</v>
      </c>
      <c r="Y236" s="2"/>
      <c r="Z236" s="14">
        <f>IFERROR(Z229+Z230+Z231+Z232+Z233+Z234+Z235, "NA")</f>
        <v>12965.51</v>
      </c>
      <c r="AA236" s="15">
        <f>IFERROR(Z236/Z444, "NA")</f>
        <v>1.5374434515204748E-2</v>
      </c>
      <c r="AB236" s="2"/>
      <c r="AC236" s="14">
        <f t="shared" si="63"/>
        <v>1022.9800000000014</v>
      </c>
      <c r="AD236" s="15">
        <f>IFERROR(AC236/AC444, "NA")</f>
        <v>1.8646370949734942E-2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6162.66</v>
      </c>
      <c r="F240" s="8">
        <f>IFERROR(E240/E444, "NA")</f>
        <v>5.1408017573953253E-2</v>
      </c>
      <c r="G240" s="9"/>
      <c r="H240" s="10">
        <f t="shared" ref="H240:H263" si="64">IFERROR(-(B240-E240), "NA")</f>
        <v>6162.66</v>
      </c>
      <c r="I240" s="8">
        <f>IFERROR(H240/H444, "NA")</f>
        <v>-0.22564902848028723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51109.15</v>
      </c>
      <c r="U240" s="8">
        <f>IFERROR(T240/T444, "NA")</f>
        <v>5.2108722441714848E-2</v>
      </c>
      <c r="V240" s="9"/>
      <c r="W240" s="10">
        <f t="shared" ref="W240:W263" si="66">IFERROR(-(Q240-T240), "NA")</f>
        <v>51109.15</v>
      </c>
      <c r="X240" s="8">
        <f>IFERROR(W240/W444, "NA")</f>
        <v>-0.61846141037926394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772.85</v>
      </c>
      <c r="C242" s="8">
        <f>IFERROR(B242/B444, "NA")</f>
        <v>8.349124667982261E-3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-772.85</v>
      </c>
      <c r="I242" s="8">
        <f>IFERROR(H242/H444, "NA")</f>
        <v>2.8298308143072957E-2</v>
      </c>
      <c r="J242" s="9"/>
      <c r="K242" s="7">
        <v>827.07</v>
      </c>
      <c r="L242" s="8">
        <f>IFERROR(K242/K444, "NA")</f>
        <v>7.8652001671427555E-3</v>
      </c>
      <c r="M242" s="9"/>
      <c r="N242" s="10">
        <f t="shared" si="65"/>
        <v>54.220000000000027</v>
      </c>
      <c r="O242" s="8">
        <f>IFERROR(N242/N444, "NA")</f>
        <v>-4.3069243619246302E-3</v>
      </c>
      <c r="P242" s="9"/>
      <c r="Q242" s="7">
        <v>8896.99</v>
      </c>
      <c r="R242" s="8">
        <f>IFERROR(Q242/Q444, "NA")</f>
        <v>9.9055936962721552E-3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-8896.99</v>
      </c>
      <c r="X242" s="8">
        <f>IFERROR(W242/W444, "NA")</f>
        <v>0.10766066317929777</v>
      </c>
      <c r="Y242" s="9"/>
      <c r="Z242" s="7">
        <v>6978.89</v>
      </c>
      <c r="AA242" s="8">
        <f>IFERROR(Z242/Z444, "NA")</f>
        <v>8.2755315675061975E-3</v>
      </c>
      <c r="AB242" s="9"/>
      <c r="AC242" s="10">
        <f t="shared" si="67"/>
        <v>-1918.0999999999995</v>
      </c>
      <c r="AD242" s="8">
        <f>IFERROR(AC242/AC444, "NA")</f>
        <v>-3.4962173374539614E-2</v>
      </c>
    </row>
    <row r="243" spans="1:30" ht="16.5" customHeight="1" x14ac:dyDescent="0.45">
      <c r="A243" s="12" t="s">
        <v>220</v>
      </c>
      <c r="B243" s="7">
        <v>2047.41</v>
      </c>
      <c r="C243" s="8">
        <f>IFERROR(B243/B444, "NA")</f>
        <v>2.2118239420940107E-2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-2047.41</v>
      </c>
      <c r="I243" s="8">
        <f>IFERROR(H243/H444, "NA")</f>
        <v>7.4966991104624445E-2</v>
      </c>
      <c r="J243" s="9"/>
      <c r="K243" s="7">
        <v>3761.98</v>
      </c>
      <c r="L243" s="8">
        <f>IFERROR(K243/K444, "NA")</f>
        <v>3.577535846396037E-2</v>
      </c>
      <c r="M243" s="9"/>
      <c r="N243" s="10">
        <f t="shared" si="65"/>
        <v>1714.57</v>
      </c>
      <c r="O243" s="8">
        <f>IFERROR(N243/N444, "NA")</f>
        <v>-0.13619556073819827</v>
      </c>
      <c r="P243" s="9"/>
      <c r="Q243" s="7">
        <v>20851.599999999999</v>
      </c>
      <c r="R243" s="8">
        <f>IFERROR(Q243/Q444, "NA")</f>
        <v>2.3215433255200743E-2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-20851.599999999999</v>
      </c>
      <c r="X243" s="8">
        <f>IFERROR(W243/W444, "NA")</f>
        <v>0.25232096297168427</v>
      </c>
      <c r="Y243" s="9"/>
      <c r="Z243" s="7">
        <v>26847.78</v>
      </c>
      <c r="AA243" s="8">
        <f>IFERROR(Z243/Z444, "NA")</f>
        <v>3.1835958283833315E-2</v>
      </c>
      <c r="AB243" s="9"/>
      <c r="AC243" s="10">
        <f t="shared" si="67"/>
        <v>5996.18</v>
      </c>
      <c r="AD243" s="8">
        <f>IFERROR(AC243/AC444, "NA")</f>
        <v>0.1092953885328956</v>
      </c>
    </row>
    <row r="244" spans="1:30" ht="16.5" customHeight="1" x14ac:dyDescent="0.45">
      <c r="A244" s="12" t="s">
        <v>221</v>
      </c>
      <c r="B244" s="7">
        <v>792.36</v>
      </c>
      <c r="C244" s="8">
        <f>IFERROR(B244/B444, "NA")</f>
        <v>8.5598918573105056E-3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-792.36</v>
      </c>
      <c r="I244" s="8">
        <f>IFERROR(H244/H444, "NA")</f>
        <v>2.9012677026907279E-2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-792.36</v>
      </c>
      <c r="O244" s="8">
        <f>IFERROR(N244/N444, "NA")</f>
        <v>6.2940512493814063E-2</v>
      </c>
      <c r="P244" s="9"/>
      <c r="Q244" s="7">
        <v>3122.3</v>
      </c>
      <c r="R244" s="8">
        <f>IFERROR(Q244/Q444, "NA")</f>
        <v>3.4762582848660677E-3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-3122.3</v>
      </c>
      <c r="X244" s="8">
        <f>IFERROR(W244/W444, "NA")</f>
        <v>3.7782316114182604E-2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-3122.3</v>
      </c>
      <c r="AD244" s="8">
        <f>IFERROR(AC244/AC444, "NA")</f>
        <v>-5.6911732405674931E-2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301.27</v>
      </c>
      <c r="C246" s="8">
        <f>IFERROR(B246/B444, "NA")</f>
        <v>3.2546299912311772E-3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-301.27</v>
      </c>
      <c r="I246" s="8">
        <f>IFERROR(H246/H444, "NA")</f>
        <v>1.1031159079075616E-2</v>
      </c>
      <c r="J246" s="9"/>
      <c r="K246" s="7">
        <v>378.11</v>
      </c>
      <c r="L246" s="8">
        <f>IFERROR(K246/K444, "NA")</f>
        <v>3.5957184218969947E-3</v>
      </c>
      <c r="M246" s="9"/>
      <c r="N246" s="10">
        <f t="shared" si="65"/>
        <v>76.840000000000032</v>
      </c>
      <c r="O246" s="8">
        <f>IFERROR(N246/N444, "NA")</f>
        <v>-6.1037268161248355E-3</v>
      </c>
      <c r="P246" s="9"/>
      <c r="Q246" s="7">
        <v>2906.54</v>
      </c>
      <c r="R246" s="8">
        <f>IFERROR(Q246/Q444, "NA")</f>
        <v>3.2360387391649164E-3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-2906.54</v>
      </c>
      <c r="X246" s="8">
        <f>IFERROR(W246/W444, "NA")</f>
        <v>3.5171448316470649E-2</v>
      </c>
      <c r="Y246" s="9"/>
      <c r="Z246" s="7">
        <v>464.84</v>
      </c>
      <c r="AA246" s="8">
        <f>IFERROR(Z246/Z444, "NA")</f>
        <v>5.5120486120852747E-4</v>
      </c>
      <c r="AB246" s="9"/>
      <c r="AC246" s="10">
        <f t="shared" si="67"/>
        <v>-2441.6999999999998</v>
      </c>
      <c r="AD246" s="8">
        <f>IFERROR(AC246/AC444, "NA")</f>
        <v>-4.4506093909917832E-2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273.87</v>
      </c>
      <c r="C248" s="8">
        <f>IFERROR(B248/B444, "NA")</f>
        <v>2.9586268652653188E-3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-273.87</v>
      </c>
      <c r="I248" s="8">
        <f>IFERROR(H248/H444, "NA")</f>
        <v>1.0027893706596871E-2</v>
      </c>
      <c r="J248" s="9"/>
      <c r="K248" s="7">
        <v>248.81</v>
      </c>
      <c r="L248" s="8">
        <f>IFERROR(K248/K444, "NA")</f>
        <v>2.3661122439295208E-3</v>
      </c>
      <c r="M248" s="9"/>
      <c r="N248" s="10">
        <f t="shared" si="65"/>
        <v>-25.060000000000002</v>
      </c>
      <c r="O248" s="8">
        <f>IFERROR(N248/N444, "NA")</f>
        <v>1.9906219939105716E-3</v>
      </c>
      <c r="P248" s="9"/>
      <c r="Q248" s="7">
        <v>2158.67</v>
      </c>
      <c r="R248" s="8">
        <f>IFERROR(Q248/Q444, "NA")</f>
        <v>2.4033867571315484E-3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-2158.67</v>
      </c>
      <c r="X248" s="8">
        <f>IFERROR(W248/W444, "NA")</f>
        <v>2.6121625829101162E-2</v>
      </c>
      <c r="Y248" s="9"/>
      <c r="Z248" s="7">
        <v>1971.75</v>
      </c>
      <c r="AA248" s="8">
        <f>IFERROR(Z248/Z444, "NA")</f>
        <v>2.3380909239478402E-3</v>
      </c>
      <c r="AB248" s="9"/>
      <c r="AC248" s="10">
        <f t="shared" si="67"/>
        <v>-186.92000000000007</v>
      </c>
      <c r="AD248" s="8">
        <f>IFERROR(AC248/AC444, "NA")</f>
        <v>-3.4070848481147749E-3</v>
      </c>
    </row>
    <row r="249" spans="1:30" ht="16.5" customHeight="1" x14ac:dyDescent="0.45">
      <c r="A249" s="12" t="s">
        <v>226</v>
      </c>
      <c r="B249" s="7">
        <v>740.97</v>
      </c>
      <c r="C249" s="8">
        <f>IFERROR(B249/B444, "NA")</f>
        <v>8.0047239506176038E-3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-740.97</v>
      </c>
      <c r="I249" s="8">
        <f>IFERROR(H249/H444, "NA")</f>
        <v>2.7131005220641484E-2</v>
      </c>
      <c r="J249" s="9"/>
      <c r="K249" s="7">
        <v>984.16</v>
      </c>
      <c r="L249" s="8">
        <f>IFERROR(K249/K444, "NA")</f>
        <v>9.3590813310786437E-3</v>
      </c>
      <c r="M249" s="9"/>
      <c r="N249" s="10">
        <f t="shared" si="65"/>
        <v>243.18999999999994</v>
      </c>
      <c r="O249" s="8">
        <f>IFERROR(N249/N444, "NA")</f>
        <v>-1.9317612238591849E-2</v>
      </c>
      <c r="P249" s="9"/>
      <c r="Q249" s="7">
        <v>10360.51</v>
      </c>
      <c r="R249" s="8">
        <f>IFERROR(Q249/Q444, "NA")</f>
        <v>1.1535025052985856E-2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-10360.51</v>
      </c>
      <c r="X249" s="8">
        <f>IFERROR(W249/W444, "NA")</f>
        <v>0.12537042049903918</v>
      </c>
      <c r="Y249" s="9"/>
      <c r="Z249" s="7">
        <v>8560.94</v>
      </c>
      <c r="AA249" s="8">
        <f>IFERROR(Z249/Z444, "NA")</f>
        <v>1.0151518252548257E-2</v>
      </c>
      <c r="AB249" s="9"/>
      <c r="AC249" s="10">
        <f t="shared" si="67"/>
        <v>-1799.5699999999997</v>
      </c>
      <c r="AD249" s="8">
        <f>IFERROR(AC249/AC444, "NA")</f>
        <v>-3.2801667451968233E-2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452.3</v>
      </c>
      <c r="C254" s="8">
        <f>IFERROR(B254/B444, "NA")</f>
        <v>4.8862121851955447E-3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-452.3</v>
      </c>
      <c r="I254" s="8">
        <f>IFERROR(H254/H444, "NA")</f>
        <v>1.6561201750807917E-2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-452.3</v>
      </c>
      <c r="O254" s="8">
        <f>IFERROR(N254/N444, "NA")</f>
        <v>3.5928105660245471E-2</v>
      </c>
      <c r="P254" s="9"/>
      <c r="Q254" s="7">
        <v>5884.8</v>
      </c>
      <c r="R254" s="8">
        <f>IFERROR(Q254/Q444, "NA")</f>
        <v>6.551927987310583E-3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-5884.8</v>
      </c>
      <c r="X254" s="8">
        <f>IFERROR(W254/W444, "NA")</f>
        <v>7.1210765739596379E-2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-5884.8</v>
      </c>
      <c r="AD254" s="8">
        <f>IFERROR(AC254/AC444, "NA")</f>
        <v>-0.1072652092562905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26.85</v>
      </c>
      <c r="AA255" s="8">
        <f>IFERROR(Z255/Z444, "NA")</f>
        <v>3.1838590748319771E-5</v>
      </c>
      <c r="AB255" s="9"/>
      <c r="AC255" s="10">
        <f t="shared" si="67"/>
        <v>26.85</v>
      </c>
      <c r="AD255" s="8">
        <f>IFERROR(AC255/AC444, "NA")</f>
        <v>4.8940845373358476E-4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556.79</v>
      </c>
      <c r="R258" s="8">
        <f>IFERROR(Q258/Q444, "NA")</f>
        <v>6.1991027461505215E-4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-556.79</v>
      </c>
      <c r="X258" s="8">
        <f>IFERROR(W258/W444, "NA")</f>
        <v>6.7376023409716325E-3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-556.79</v>
      </c>
      <c r="AD258" s="8">
        <f>IFERROR(AC258/AC444, "NA")</f>
        <v>-1.0148891357702892E-2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5381.0300000000007</v>
      </c>
      <c r="C262" s="15">
        <f>IFERROR(B262/B444, "NA")</f>
        <v>5.8131448938542524E-2</v>
      </c>
      <c r="D262" s="2"/>
      <c r="E262" s="14">
        <f>IFERROR(E240+E241+E242+E243+E244+E245+E246+E247+E248+E249+E250+E251+E252+E253+E254+E255+E256+E257+E258+E259+E260+E261, "NA")</f>
        <v>6162.66</v>
      </c>
      <c r="F262" s="15">
        <f>IFERROR(E262/E444, "NA")</f>
        <v>5.1408017573953253E-2</v>
      </c>
      <c r="G262" s="2"/>
      <c r="H262" s="14">
        <f t="shared" si="64"/>
        <v>781.6299999999992</v>
      </c>
      <c r="I262" s="15">
        <f>IFERROR(H262/H444, "NA")</f>
        <v>-2.8619792448560645E-2</v>
      </c>
      <c r="J262" s="2"/>
      <c r="K262" s="14">
        <f>IFERROR(K240+K241+K242+K243+K244+K245+K246+K247+K248+K249+K250+K251+K252+K253+K254+K255+K256+K257+K258+K259+K260+K261, "NA")</f>
        <v>6200.13</v>
      </c>
      <c r="L262" s="15">
        <f>IFERROR(K262/K444, "NA")</f>
        <v>5.8961470628008286E-2</v>
      </c>
      <c r="M262" s="2"/>
      <c r="N262" s="14">
        <f t="shared" si="65"/>
        <v>819.09999999999945</v>
      </c>
      <c r="O262" s="15">
        <f>IFERROR(N262/N444, "NA")</f>
        <v>-6.506458400686943E-2</v>
      </c>
      <c r="P262" s="2"/>
      <c r="Q262" s="14">
        <f>IFERROR(Q240+Q241+Q242+Q243+Q244+Q245+Q246+Q247+Q248+Q249+Q250+Q251+Q252+Q253+Q254+Q255+Q256+Q257+Q258+Q259+Q260+Q261, "NA")</f>
        <v>54738.200000000004</v>
      </c>
      <c r="R262" s="15">
        <f>IFERROR(Q262/Q444, "NA")</f>
        <v>6.0943574047546932E-2</v>
      </c>
      <c r="S262" s="2"/>
      <c r="T262" s="14">
        <f>IFERROR(T240+T241+T242+T243+T244+T245+T246+T247+T248+T249+T250+T251+T252+T253+T254+T255+T256+T257+T258+T259+T260+T261, "NA")</f>
        <v>51109.15</v>
      </c>
      <c r="U262" s="15">
        <f>IFERROR(T262/T444, "NA")</f>
        <v>5.2108722441714848E-2</v>
      </c>
      <c r="V262" s="2"/>
      <c r="W262" s="14">
        <f t="shared" si="66"/>
        <v>-3629.0500000000029</v>
      </c>
      <c r="X262" s="15">
        <f>IFERROR(W262/W444, "NA")</f>
        <v>4.3914394611079807E-2</v>
      </c>
      <c r="Y262" s="2"/>
      <c r="Z262" s="14">
        <f>IFERROR(Z240+Z241+Z242+Z243+Z244+Z245+Z246+Z247+Z248+Z249+Z250+Z251+Z252+Z253+Z254+Z255+Z256+Z257+Z258+Z259+Z260+Z261, "NA")</f>
        <v>44851.049999999996</v>
      </c>
      <c r="AA262" s="15">
        <f>IFERROR(Z262/Z444, "NA")</f>
        <v>5.3184142479792453E-2</v>
      </c>
      <c r="AB262" s="2"/>
      <c r="AC262" s="14">
        <f t="shared" si="67"/>
        <v>-9887.1500000000087</v>
      </c>
      <c r="AD262" s="15">
        <f>IFERROR(AC262/AC444, "NA")</f>
        <v>-0.18021805561757978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5381.0300000000007</v>
      </c>
      <c r="C263" s="15">
        <f>IFERROR(B263/B444, "NA")</f>
        <v>5.8131448938542524E-2</v>
      </c>
      <c r="D263" s="2"/>
      <c r="E263" s="14">
        <f>IFERROR(E238+E240+E241+E242+E243+E244+E245+E246+E247+E248+E249+E250+E251+E252+E253+E254+E255+E256+E257+E258+E259+E260+E261, "NA")</f>
        <v>6162.66</v>
      </c>
      <c r="F263" s="15">
        <f>IFERROR(E263/E444, "NA")</f>
        <v>5.1408017573953253E-2</v>
      </c>
      <c r="G263" s="2"/>
      <c r="H263" s="14">
        <f t="shared" si="64"/>
        <v>781.6299999999992</v>
      </c>
      <c r="I263" s="15">
        <f>IFERROR(H263/H444, "NA")</f>
        <v>-2.8619792448560645E-2</v>
      </c>
      <c r="J263" s="2"/>
      <c r="K263" s="14">
        <f>IFERROR(K238+K240+K241+K242+K243+K244+K245+K246+K247+K248+K249+K250+K251+K252+K253+K254+K255+K256+K257+K258+K259+K260+K261, "NA")</f>
        <v>6200.13</v>
      </c>
      <c r="L263" s="15">
        <f>IFERROR(K263/K444, "NA")</f>
        <v>5.8961470628008286E-2</v>
      </c>
      <c r="M263" s="2"/>
      <c r="N263" s="14">
        <f t="shared" si="65"/>
        <v>819.09999999999945</v>
      </c>
      <c r="O263" s="15">
        <f>IFERROR(N263/N444, "NA")</f>
        <v>-6.506458400686943E-2</v>
      </c>
      <c r="P263" s="2"/>
      <c r="Q263" s="14">
        <f>IFERROR(Q238+Q240+Q241+Q242+Q243+Q244+Q245+Q246+Q247+Q248+Q249+Q250+Q251+Q252+Q253+Q254+Q255+Q256+Q257+Q258+Q259+Q260+Q261, "NA")</f>
        <v>54738.200000000004</v>
      </c>
      <c r="R263" s="15">
        <f>IFERROR(Q263/Q444, "NA")</f>
        <v>6.0943574047546932E-2</v>
      </c>
      <c r="S263" s="2"/>
      <c r="T263" s="14">
        <f>IFERROR(T238+T240+T241+T242+T243+T244+T245+T246+T247+T248+T249+T250+T251+T252+T253+T254+T255+T256+T257+T258+T259+T260+T261, "NA")</f>
        <v>51109.15</v>
      </c>
      <c r="U263" s="15">
        <f>IFERROR(T263/T444, "NA")</f>
        <v>5.2108722441714848E-2</v>
      </c>
      <c r="V263" s="2"/>
      <c r="W263" s="14">
        <f t="shared" si="66"/>
        <v>-3629.0500000000029</v>
      </c>
      <c r="X263" s="15">
        <f>IFERROR(W263/W444, "NA")</f>
        <v>4.3914394611079807E-2</v>
      </c>
      <c r="Y263" s="2"/>
      <c r="Z263" s="14">
        <f>IFERROR(Z238+Z240+Z241+Z242+Z243+Z244+Z245+Z246+Z247+Z248+Z249+Z250+Z251+Z252+Z253+Z254+Z255+Z256+Z257+Z258+Z259+Z260+Z261, "NA")</f>
        <v>44851.049999999996</v>
      </c>
      <c r="AA263" s="15">
        <f>IFERROR(Z263/Z444, "NA")</f>
        <v>5.3184142479792453E-2</v>
      </c>
      <c r="AB263" s="2"/>
      <c r="AC263" s="14">
        <f t="shared" si="67"/>
        <v>-9887.1500000000087</v>
      </c>
      <c r="AD263" s="15">
        <f>IFERROR(AC263/AC444, "NA")</f>
        <v>-0.18021805561757978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2721.86</v>
      </c>
      <c r="C265" s="8">
        <f>IFERROR(B265/B444, "NA")</f>
        <v>2.9404345563555926E-2</v>
      </c>
      <c r="D265" s="9"/>
      <c r="E265" s="7">
        <v>3356.57</v>
      </c>
      <c r="F265" s="8">
        <f>IFERROR(E265/E444, "NA")</f>
        <v>2.800002102147519E-2</v>
      </c>
      <c r="G265" s="9"/>
      <c r="H265" s="10">
        <f>IFERROR(-(B265-E265), "NA")</f>
        <v>634.71</v>
      </c>
      <c r="I265" s="8">
        <f>IFERROR(H265/H444, "NA")</f>
        <v>-2.3240239582700186E-2</v>
      </c>
      <c r="J265" s="9"/>
      <c r="K265" s="7">
        <v>3051.03</v>
      </c>
      <c r="L265" s="8">
        <f>IFERROR(K265/K444, "NA")</f>
        <v>2.9014426428183301E-2</v>
      </c>
      <c r="M265" s="9"/>
      <c r="N265" s="10">
        <f>IFERROR(-(B265-K265), "NA")</f>
        <v>329.17000000000007</v>
      </c>
      <c r="O265" s="8">
        <f>IFERROR(N265/N444, "NA")</f>
        <v>-2.6147367986254708E-2</v>
      </c>
      <c r="P265" s="9"/>
      <c r="Q265" s="7">
        <v>24142.32</v>
      </c>
      <c r="R265" s="8">
        <f>IFERROR(Q265/Q444, "NA")</f>
        <v>2.6879204405690599E-2</v>
      </c>
      <c r="S265" s="9"/>
      <c r="T265" s="7">
        <v>27639.19</v>
      </c>
      <c r="U265" s="8">
        <f>IFERROR(T265/T444, "NA")</f>
        <v>2.8179746292470536E-2</v>
      </c>
      <c r="V265" s="9"/>
      <c r="W265" s="10">
        <f>IFERROR(-(Q265-T265), "NA")</f>
        <v>3496.869999999999</v>
      </c>
      <c r="X265" s="8">
        <f>IFERROR(W265/W444, "NA")</f>
        <v>-4.2314911363482588E-2</v>
      </c>
      <c r="Y265" s="9"/>
      <c r="Z265" s="7">
        <v>25052.73</v>
      </c>
      <c r="AA265" s="8">
        <f>IFERROR(Z265/Z444, "NA")</f>
        <v>2.9707397303469392E-2</v>
      </c>
      <c r="AB265" s="9"/>
      <c r="AC265" s="10">
        <f>IFERROR(-(Q265-Z265), "NA")</f>
        <v>910.40999999999985</v>
      </c>
      <c r="AD265" s="8">
        <f>IFERROR(AC265/AC444, "NA")</f>
        <v>1.6594500944640329E-2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14.93</v>
      </c>
      <c r="L266" s="8">
        <f>IFERROR(K266/K444, "NA")</f>
        <v>1.419800482370795E-4</v>
      </c>
      <c r="M266" s="9"/>
      <c r="N266" s="10">
        <f>IFERROR(-(B266-K266), "NA")</f>
        <v>14.93</v>
      </c>
      <c r="O266" s="8">
        <f>IFERROR(N266/N444, "NA")</f>
        <v>-1.185953167162204E-3</v>
      </c>
      <c r="P266" s="9"/>
      <c r="Q266" s="7">
        <v>74.099999999999994</v>
      </c>
      <c r="R266" s="8">
        <f>IFERROR(Q266/Q444, "NA")</f>
        <v>8.2500316724394053E-5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8.9666900171698127E-4</v>
      </c>
      <c r="Y266" s="9"/>
      <c r="Z266" s="7">
        <v>-34.299999999999997</v>
      </c>
      <c r="AA266" s="8">
        <f>IFERROR(Z266/Z444, "NA")</f>
        <v>-4.0672762110516499E-5</v>
      </c>
      <c r="AB266" s="9"/>
      <c r="AC266" s="10">
        <f>IFERROR(-(Q266-Z266), "NA")</f>
        <v>-108.39999999999999</v>
      </c>
      <c r="AD266" s="8">
        <f>IFERROR(AC266/AC444, "NA")</f>
        <v>-1.9758613178666885E-3</v>
      </c>
    </row>
    <row r="267" spans="1:30" ht="16.5" customHeight="1" x14ac:dyDescent="0.45">
      <c r="A267" s="19" t="s">
        <v>243</v>
      </c>
      <c r="B267" s="14">
        <f>IFERROR(B265+B266, "NA")</f>
        <v>2721.86</v>
      </c>
      <c r="C267" s="15">
        <f>IFERROR(B267/B444, "NA")</f>
        <v>2.9404345563555926E-2</v>
      </c>
      <c r="D267" s="2"/>
      <c r="E267" s="14">
        <f>IFERROR(E265+E266, "NA")</f>
        <v>3356.57</v>
      </c>
      <c r="F267" s="15">
        <f>IFERROR(E267/E444, "NA")</f>
        <v>2.800002102147519E-2</v>
      </c>
      <c r="G267" s="2"/>
      <c r="H267" s="14">
        <f>IFERROR(-(B267-E267), "NA")</f>
        <v>634.71</v>
      </c>
      <c r="I267" s="15">
        <f>IFERROR(H267/H444, "NA")</f>
        <v>-2.3240239582700186E-2</v>
      </c>
      <c r="J267" s="2"/>
      <c r="K267" s="14">
        <f>IFERROR(K265+K266, "NA")</f>
        <v>3065.96</v>
      </c>
      <c r="L267" s="15">
        <f>IFERROR(K267/K444, "NA")</f>
        <v>2.9156406476420378E-2</v>
      </c>
      <c r="M267" s="2"/>
      <c r="N267" s="14">
        <f>IFERROR(-(B267-K267), "NA")</f>
        <v>344.09999999999991</v>
      </c>
      <c r="O267" s="15">
        <f>IFERROR(N267/N444, "NA")</f>
        <v>-2.7333321153416898E-2</v>
      </c>
      <c r="P267" s="2"/>
      <c r="Q267" s="14">
        <f>IFERROR(Q265+Q266, "NA")</f>
        <v>24216.42</v>
      </c>
      <c r="R267" s="15">
        <f>IFERROR(Q267/Q444, "NA")</f>
        <v>2.6961704722414992E-2</v>
      </c>
      <c r="S267" s="2"/>
      <c r="T267" s="14">
        <f>IFERROR(T265+T266, "NA")</f>
        <v>27639.19</v>
      </c>
      <c r="U267" s="15">
        <f>IFERROR(T267/T444, "NA")</f>
        <v>2.8179746292470536E-2</v>
      </c>
      <c r="V267" s="2"/>
      <c r="W267" s="14">
        <f>IFERROR(-(Q267-T267), "NA")</f>
        <v>3422.7700000000004</v>
      </c>
      <c r="X267" s="15">
        <f>IFERROR(W267/W444, "NA")</f>
        <v>-4.1418242361765618E-2</v>
      </c>
      <c r="Y267" s="2"/>
      <c r="Z267" s="14">
        <f>IFERROR(Z265+Z266, "NA")</f>
        <v>25018.43</v>
      </c>
      <c r="AA267" s="15">
        <f>IFERROR(Z267/Z444, "NA")</f>
        <v>2.9666724541358876E-2</v>
      </c>
      <c r="AB267" s="2"/>
      <c r="AC267" s="14">
        <f>IFERROR(-(Q267-Z267), "NA")</f>
        <v>802.01000000000204</v>
      </c>
      <c r="AD267" s="15">
        <f>IFERROR(AC267/AC444, "NA")</f>
        <v>1.4618639626773681E-2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9.7000440439687808E-4</v>
      </c>
      <c r="D270" s="9"/>
      <c r="E270" s="7">
        <v>176.03</v>
      </c>
      <c r="F270" s="8">
        <f>IFERROR(E270/E444, "NA")</f>
        <v>1.4684167767722042E-3</v>
      </c>
      <c r="G270" s="9"/>
      <c r="H270" s="10">
        <f>IFERROR(-(B270-E270), "NA")</f>
        <v>86.24</v>
      </c>
      <c r="I270" s="8">
        <f>IFERROR(H270/H444, "NA")</f>
        <v>-3.157722836590039E-3</v>
      </c>
      <c r="J270" s="9"/>
      <c r="K270" s="7">
        <v>182.86</v>
      </c>
      <c r="L270" s="8">
        <f>IFERROR(K270/K444, "NA")</f>
        <v>1.7389465251595685E-3</v>
      </c>
      <c r="M270" s="9"/>
      <c r="N270" s="10">
        <f>IFERROR(-(B270-K270), "NA")</f>
        <v>93.070000000000007</v>
      </c>
      <c r="O270" s="8">
        <f>IFERROR(N270/N444, "NA")</f>
        <v>-7.3929444921491186E-3</v>
      </c>
      <c r="P270" s="9"/>
      <c r="Q270" s="7">
        <v>977.13</v>
      </c>
      <c r="R270" s="8">
        <f>IFERROR(Q270/Q444, "NA")</f>
        <v>1.0879019498098133E-3</v>
      </c>
      <c r="S270" s="9"/>
      <c r="T270" s="7">
        <v>1684.69</v>
      </c>
      <c r="U270" s="8">
        <f>IFERROR(T270/T444, "NA")</f>
        <v>1.717638497418419E-3</v>
      </c>
      <c r="V270" s="9"/>
      <c r="W270" s="10">
        <f>IFERROR(-(Q270-T270), "NA")</f>
        <v>707.56000000000006</v>
      </c>
      <c r="X270" s="8">
        <f>IFERROR(W270/W444, "NA")</f>
        <v>-8.5620393907539453E-3</v>
      </c>
      <c r="Y270" s="9"/>
      <c r="Z270" s="7">
        <v>1510.76</v>
      </c>
      <c r="AA270" s="8">
        <f>IFERROR(Z270/Z444, "NA")</f>
        <v>1.7914513727721258E-3</v>
      </c>
      <c r="AB270" s="9"/>
      <c r="AC270" s="10">
        <f>IFERROR(-(Q270-Z270), "NA")</f>
        <v>533.63</v>
      </c>
      <c r="AD270" s="8">
        <f>IFERROR(AC270/AC444, "NA")</f>
        <v>9.726742389789678E-3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1.2788091254090705E-2</v>
      </c>
      <c r="D271" s="9"/>
      <c r="E271" s="7">
        <v>839.14</v>
      </c>
      <c r="F271" s="8">
        <f>IFERROR(E271/E444, "NA")</f>
        <v>6.9999844007307133E-3</v>
      </c>
      <c r="G271" s="9"/>
      <c r="H271" s="10">
        <f>IFERROR(-(B271-E271), "NA")</f>
        <v>-344.61</v>
      </c>
      <c r="I271" s="8">
        <f>IFERROR(H271/H444, "NA")</f>
        <v>1.26180759127701E-2</v>
      </c>
      <c r="J271" s="9"/>
      <c r="K271" s="7">
        <v>804.25</v>
      </c>
      <c r="L271" s="8">
        <f>IFERROR(K271/K444, "NA")</f>
        <v>7.6481884658185654E-3</v>
      </c>
      <c r="M271" s="9"/>
      <c r="N271" s="10">
        <f>IFERROR(-(B271-K271), "NA")</f>
        <v>-379.5</v>
      </c>
      <c r="O271" s="8">
        <f>IFERROR(N271/N444, "NA")</f>
        <v>3.014529316396895E-2</v>
      </c>
      <c r="P271" s="9"/>
      <c r="Q271" s="7">
        <v>8658.7800000000007</v>
      </c>
      <c r="R271" s="8">
        <f>IFERROR(Q271/Q444, "NA")</f>
        <v>9.640379115342091E-3</v>
      </c>
      <c r="S271" s="9"/>
      <c r="T271" s="7">
        <v>6865.72</v>
      </c>
      <c r="U271" s="8">
        <f>IFERROR(T271/T444, "NA")</f>
        <v>6.9999970228918004E-3</v>
      </c>
      <c r="V271" s="9"/>
      <c r="W271" s="10">
        <f>IFERROR(-(Q271-T271), "NA")</f>
        <v>-1793.0600000000004</v>
      </c>
      <c r="X271" s="8">
        <f>IFERROR(W271/W444, "NA")</f>
        <v>2.1697453714151833E-2</v>
      </c>
      <c r="Y271" s="9"/>
      <c r="Z271" s="7">
        <v>6978.12</v>
      </c>
      <c r="AA271" s="8">
        <f>IFERROR(Z271/Z444, "NA")</f>
        <v>8.2746185054996327E-3</v>
      </c>
      <c r="AB271" s="9"/>
      <c r="AC271" s="10">
        <f>IFERROR(-(Q271-Z271), "NA")</f>
        <v>-1680.6600000000008</v>
      </c>
      <c r="AD271" s="8">
        <f>IFERROR(AC271/AC444, "NA")</f>
        <v>-3.0634235078282571E-2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1.3758095658487582E-2</v>
      </c>
      <c r="D273" s="2"/>
      <c r="E273" s="14">
        <f>IFERROR(E269+E270+E271+E272, "NA")</f>
        <v>1015.17</v>
      </c>
      <c r="F273" s="15">
        <f>IFERROR(E273/E444, "NA")</f>
        <v>8.4684011775029173E-3</v>
      </c>
      <c r="G273" s="2"/>
      <c r="H273" s="14">
        <f>IFERROR(-(B273-E273), "NA")</f>
        <v>-258.37</v>
      </c>
      <c r="I273" s="15">
        <f>IFERROR(H273/H444, "NA")</f>
        <v>9.4603530761800617E-3</v>
      </c>
      <c r="J273" s="2"/>
      <c r="K273" s="14">
        <f>IFERROR(K269+K270+K271+K272, "NA")</f>
        <v>987.11</v>
      </c>
      <c r="L273" s="15">
        <f>IFERROR(K273/K444, "NA")</f>
        <v>9.387134990978133E-3</v>
      </c>
      <c r="M273" s="2"/>
      <c r="N273" s="14">
        <f>IFERROR(-(B273-K273), "NA")</f>
        <v>-286.42999999999995</v>
      </c>
      <c r="O273" s="15">
        <f>IFERROR(N273/N444, "NA")</f>
        <v>2.2752348671819828E-2</v>
      </c>
      <c r="P273" s="2"/>
      <c r="Q273" s="14">
        <f>IFERROR(Q269+Q270+Q271+Q272, "NA")</f>
        <v>9635.91</v>
      </c>
      <c r="R273" s="15">
        <f>IFERROR(Q273/Q444, "NA")</f>
        <v>1.0728281065151902E-2</v>
      </c>
      <c r="S273" s="2"/>
      <c r="T273" s="14">
        <f>IFERROR(T269+T270+T271+T272, "NA")</f>
        <v>8550.41</v>
      </c>
      <c r="U273" s="15">
        <f>IFERROR(T273/T444, "NA")</f>
        <v>8.7176355203102181E-3</v>
      </c>
      <c r="V273" s="2"/>
      <c r="W273" s="14">
        <f>IFERROR(-(Q273-T273), "NA")</f>
        <v>-1085.5</v>
      </c>
      <c r="X273" s="15">
        <f>IFERROR(W273/W444, "NA")</f>
        <v>1.3135414323397885E-2</v>
      </c>
      <c r="Y273" s="2"/>
      <c r="Z273" s="14">
        <f>IFERROR(Z269+Z270+Z271+Z272, "NA")</f>
        <v>8488.8799999999992</v>
      </c>
      <c r="AA273" s="15">
        <f>IFERROR(Z273/Z444, "NA")</f>
        <v>1.0066069878271758E-2</v>
      </c>
      <c r="AB273" s="2"/>
      <c r="AC273" s="14">
        <f>IFERROR(-(Q273-Z273), "NA")</f>
        <v>-1147.0300000000007</v>
      </c>
      <c r="AD273" s="15">
        <f>IFERROR(AC273/AC444, "NA")</f>
        <v>-2.0907492688492891E-2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2.9780423183984371E-3</v>
      </c>
      <c r="G287" s="9"/>
      <c r="H287" s="10">
        <f t="shared" si="72"/>
        <v>357</v>
      </c>
      <c r="I287" s="8">
        <f>IFERROR(H287/H444, "NA")</f>
        <v>-1.3071742261858118E-2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2856</v>
      </c>
      <c r="U287" s="8">
        <f>IFERROR(T287/T444, "NA")</f>
        <v>2.9118565128462828E-3</v>
      </c>
      <c r="V287" s="9"/>
      <c r="W287" s="10">
        <f t="shared" si="74"/>
        <v>2856</v>
      </c>
      <c r="X287" s="8">
        <f>IFERROR(W287/W444, "NA")</f>
        <v>-3.4559874074273939E-2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1.7104443406633001E-3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5.7973360008963474E-3</v>
      </c>
      <c r="J288" s="9"/>
      <c r="K288" s="7">
        <v>158.35</v>
      </c>
      <c r="L288" s="8">
        <f>IFERROR(K288/K444, "NA")</f>
        <v>1.5058634051132978E-3</v>
      </c>
      <c r="M288" s="9"/>
      <c r="N288" s="10">
        <f t="shared" si="73"/>
        <v>1.999999999998181E-2</v>
      </c>
      <c r="O288" s="8">
        <f>IFERROR(N288/N444, "NA")</f>
        <v>-1.588684751722874E-6</v>
      </c>
      <c r="P288" s="9"/>
      <c r="Q288" s="7">
        <v>1266.6600000000001</v>
      </c>
      <c r="R288" s="8">
        <f>IFERROR(Q288/Q444, "NA")</f>
        <v>1.4102544019179621E-3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-1266.6600000000001</v>
      </c>
      <c r="X288" s="8">
        <f>IFERROR(W288/W444, "NA")</f>
        <v>1.532759457105036E-2</v>
      </c>
      <c r="Y288" s="9"/>
      <c r="Z288" s="7">
        <v>1266.68</v>
      </c>
      <c r="AA288" s="8">
        <f>IFERROR(Z288/Z444, "NA")</f>
        <v>1.502022574639914E-3</v>
      </c>
      <c r="AB288" s="9"/>
      <c r="AC288" s="10">
        <f t="shared" si="75"/>
        <v>1.999999999998181E-2</v>
      </c>
      <c r="AD288" s="8">
        <f>IFERROR(AC288/AC444, "NA")</f>
        <v>3.6455005864665896E-7</v>
      </c>
    </row>
    <row r="289" spans="1:30" ht="16.5" customHeight="1" x14ac:dyDescent="0.45">
      <c r="A289" s="6" t="s">
        <v>262</v>
      </c>
      <c r="B289" s="7">
        <v>216.02</v>
      </c>
      <c r="C289" s="8">
        <f>IFERROR(B289/B444, "NA")</f>
        <v>2.3336713602607594E-3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-216.02</v>
      </c>
      <c r="I289" s="8">
        <f>IFERROR(H289/H444, "NA")</f>
        <v>7.9096856117831672E-3</v>
      </c>
      <c r="J289" s="9"/>
      <c r="K289" s="7">
        <v>198.68</v>
      </c>
      <c r="L289" s="8">
        <f>IFERROR(K289/K444, "NA")</f>
        <v>1.8893902199425957E-3</v>
      </c>
      <c r="M289" s="9"/>
      <c r="N289" s="10">
        <f t="shared" si="73"/>
        <v>-17.340000000000003</v>
      </c>
      <c r="O289" s="8">
        <f>IFERROR(N289/N444, "NA")</f>
        <v>1.3773896797449848E-3</v>
      </c>
      <c r="P289" s="9"/>
      <c r="Q289" s="7">
        <v>1692.5</v>
      </c>
      <c r="R289" s="8">
        <f>IFERROR(Q289/Q444, "NA")</f>
        <v>1.8843695824026579E-3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-1692.5</v>
      </c>
      <c r="X289" s="8">
        <f>IFERROR(W289/W444, "NA")</f>
        <v>2.0480597643805547E-2</v>
      </c>
      <c r="Y289" s="9"/>
      <c r="Z289" s="7">
        <v>1589.44</v>
      </c>
      <c r="AA289" s="8">
        <f>IFERROR(Z289/Z444, "NA")</f>
        <v>1.8847497087154331E-3</v>
      </c>
      <c r="AB289" s="9"/>
      <c r="AC289" s="10">
        <f t="shared" si="75"/>
        <v>-103.05999999999995</v>
      </c>
      <c r="AD289" s="8">
        <f>IFERROR(AC289/AC444, "NA")</f>
        <v>-1.8785264522079412E-3</v>
      </c>
    </row>
    <row r="290" spans="1:30" ht="16.5" customHeight="1" x14ac:dyDescent="0.45">
      <c r="A290" s="6" t="s">
        <v>263</v>
      </c>
      <c r="B290" s="7">
        <v>0</v>
      </c>
      <c r="C290" s="8">
        <f>IFERROR(B290/B444, "NA")</f>
        <v>0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0</v>
      </c>
      <c r="I290" s="8">
        <f>IFERROR(H290/H444, "NA")</f>
        <v>0</v>
      </c>
      <c r="J290" s="9"/>
      <c r="K290" s="7">
        <v>268.58999999999997</v>
      </c>
      <c r="L290" s="8">
        <f>IFERROR(K290/K444, "NA")</f>
        <v>2.5542144109844058E-3</v>
      </c>
      <c r="M290" s="9"/>
      <c r="N290" s="10">
        <f t="shared" si="73"/>
        <v>268.58999999999997</v>
      </c>
      <c r="O290" s="8">
        <f>IFERROR(N290/N444, "NA")</f>
        <v>-2.1335241873281736E-2</v>
      </c>
      <c r="P290" s="9"/>
      <c r="Q290" s="7">
        <v>215.74</v>
      </c>
      <c r="R290" s="8">
        <f>IFERROR(Q290/Q444, "NA")</f>
        <v>2.4019727840918727E-4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-215.74</v>
      </c>
      <c r="X290" s="8">
        <f>IFERROR(W290/W444, "NA")</f>
        <v>2.6106257817870657E-3</v>
      </c>
      <c r="Y290" s="9"/>
      <c r="Z290" s="7">
        <v>3306.13</v>
      </c>
      <c r="AA290" s="8">
        <f>IFERROR(Z290/Z444, "NA")</f>
        <v>3.9203918074764412E-3</v>
      </c>
      <c r="AB290" s="9"/>
      <c r="AC290" s="10">
        <f t="shared" si="75"/>
        <v>3090.3900000000003</v>
      </c>
      <c r="AD290" s="8">
        <f>IFERROR(AC290/AC444, "NA")</f>
        <v>5.6330092787103658E-2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1198.77</v>
      </c>
      <c r="F291" s="8">
        <f>IFERROR(E291/E444, "NA")</f>
        <v>9.9999657983935418E-3</v>
      </c>
      <c r="G291" s="9"/>
      <c r="H291" s="10">
        <f t="shared" si="72"/>
        <v>1198.77</v>
      </c>
      <c r="I291" s="8">
        <f>IFERROR(H291/H444, "NA")</f>
        <v>-4.3893592356436008E-2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2499.58</v>
      </c>
      <c r="R291" s="8">
        <f>IFERROR(Q291/Q444, "NA")</f>
        <v>2.7829438822936695E-3</v>
      </c>
      <c r="S291" s="9"/>
      <c r="T291" s="7">
        <v>9808.17</v>
      </c>
      <c r="U291" s="8">
        <f>IFERROR(T291/T444, "NA")</f>
        <v>9.999994290477425E-3</v>
      </c>
      <c r="V291" s="9"/>
      <c r="W291" s="10">
        <f t="shared" si="74"/>
        <v>7308.59</v>
      </c>
      <c r="X291" s="8">
        <f>IFERROR(W291/W444, "NA")</f>
        <v>-8.8439758424544032E-2</v>
      </c>
      <c r="Y291" s="9"/>
      <c r="Z291" s="7">
        <v>913.93</v>
      </c>
      <c r="AA291" s="8">
        <f>IFERROR(Z291/Z444, "NA")</f>
        <v>1.0837334541010013E-3</v>
      </c>
      <c r="AB291" s="9"/>
      <c r="AC291" s="10">
        <f t="shared" si="75"/>
        <v>-1585.65</v>
      </c>
      <c r="AD291" s="8">
        <f>IFERROR(AC291/AC444, "NA")</f>
        <v>-2.8902440024680027E-2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630.96</v>
      </c>
      <c r="R293" s="8">
        <f>IFERROR(Q293/Q444, "NA")</f>
        <v>7.0248852686131827E-4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-630.96</v>
      </c>
      <c r="X293" s="8">
        <f>IFERROR(W293/W444, "NA")</f>
        <v>7.6351183984257297E-3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-630.96</v>
      </c>
      <c r="AD293" s="8">
        <f>IFERROR(AC293/AC444, "NA")</f>
        <v>-1.1500825250195258E-2</v>
      </c>
    </row>
    <row r="294" spans="1:30" ht="16.5" customHeight="1" x14ac:dyDescent="0.45">
      <c r="A294" s="6" t="s">
        <v>267</v>
      </c>
      <c r="B294" s="7">
        <v>430.73</v>
      </c>
      <c r="C294" s="8">
        <f>IFERROR(B294/B444, "NA")</f>
        <v>4.6531907462508881E-3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-430.73</v>
      </c>
      <c r="I294" s="8">
        <f>IFERROR(H294/H444, "NA")</f>
        <v>1.5771404886414979E-2</v>
      </c>
      <c r="J294" s="9"/>
      <c r="K294" s="7">
        <v>25</v>
      </c>
      <c r="L294" s="8">
        <f>IFERROR(K294/K444, "NA")</f>
        <v>2.3774288050415186E-4</v>
      </c>
      <c r="M294" s="9"/>
      <c r="N294" s="10">
        <f t="shared" si="73"/>
        <v>-405.73</v>
      </c>
      <c r="O294" s="8">
        <f>IFERROR(N294/N444, "NA")</f>
        <v>3.2228853215855398E-2</v>
      </c>
      <c r="P294" s="9"/>
      <c r="Q294" s="7">
        <v>3221.86</v>
      </c>
      <c r="R294" s="8">
        <f>IFERROR(Q294/Q444, "NA")</f>
        <v>3.5871048642598688E-3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-3221.86</v>
      </c>
      <c r="X294" s="8">
        <f>IFERROR(W294/W444, "NA")</f>
        <v>3.8987071388284396E-2</v>
      </c>
      <c r="Y294" s="9"/>
      <c r="Z294" s="7">
        <v>646.25</v>
      </c>
      <c r="AA294" s="8">
        <f>IFERROR(Z294/Z444, "NA")</f>
        <v>7.6631989836505228E-4</v>
      </c>
      <c r="AB294" s="9"/>
      <c r="AC294" s="10">
        <f t="shared" si="75"/>
        <v>-2575.61</v>
      </c>
      <c r="AD294" s="8">
        <f>IFERROR(AC294/AC444, "NA")</f>
        <v>-4.6946938827588769E-2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805.08</v>
      </c>
      <c r="C295" s="15">
        <f>IFERROR(B295/B444, "NA")</f>
        <v>8.6973064471749482E-3</v>
      </c>
      <c r="D295" s="2"/>
      <c r="E295" s="14">
        <f>IFERROR(E286+E287+E288+E289+E290+E291+E292+E293+E294, "NA")</f>
        <v>1555.77</v>
      </c>
      <c r="F295" s="15">
        <f>IFERROR(E295/E444, "NA")</f>
        <v>1.2978008116791978E-2</v>
      </c>
      <c r="G295" s="2"/>
      <c r="H295" s="14">
        <f t="shared" si="72"/>
        <v>750.68999999999994</v>
      </c>
      <c r="I295" s="15">
        <f>IFERROR(H295/H444, "NA")</f>
        <v>-2.7486908119199634E-2</v>
      </c>
      <c r="J295" s="2"/>
      <c r="K295" s="14">
        <f>IFERROR(K286+K287+K288+K289+K290+K291+K292+K293+K294, "NA")</f>
        <v>650.61999999999989</v>
      </c>
      <c r="L295" s="15">
        <f>IFERROR(K295/K444, "NA")</f>
        <v>6.18721091654445E-3</v>
      </c>
      <c r="M295" s="2"/>
      <c r="N295" s="14">
        <f t="shared" si="73"/>
        <v>-154.46000000000015</v>
      </c>
      <c r="O295" s="15">
        <f>IFERROR(N295/N444, "NA")</f>
        <v>1.2269412337566926E-2</v>
      </c>
      <c r="P295" s="2"/>
      <c r="Q295" s="14">
        <f>IFERROR(Q286+Q287+Q288+Q289+Q290+Q291+Q292+Q293+Q294, "NA")</f>
        <v>9527.2999999999993</v>
      </c>
      <c r="R295" s="15">
        <f>IFERROR(Q295/Q444, "NA")</f>
        <v>1.0607358536144662E-2</v>
      </c>
      <c r="S295" s="2"/>
      <c r="T295" s="14">
        <f>IFERROR(T286+T287+T288+T289+T290+T291+T292+T293+T294, "NA")</f>
        <v>12664.17</v>
      </c>
      <c r="U295" s="15">
        <f>IFERROR(T295/T444, "NA")</f>
        <v>1.2911850803323709E-2</v>
      </c>
      <c r="V295" s="2"/>
      <c r="W295" s="14">
        <f t="shared" si="74"/>
        <v>3136.8700000000008</v>
      </c>
      <c r="X295" s="15">
        <f>IFERROR(W295/W444, "NA")</f>
        <v>-3.7958624715464885E-2</v>
      </c>
      <c r="Y295" s="2"/>
      <c r="Z295" s="14">
        <f>IFERROR(Z286+Z287+Z288+Z289+Z290+Z291+Z292+Z293+Z294, "NA")</f>
        <v>7722.43</v>
      </c>
      <c r="AA295" s="15">
        <f>IFERROR(Z295/Z444, "NA")</f>
        <v>9.1572174432978416E-3</v>
      </c>
      <c r="AB295" s="2"/>
      <c r="AC295" s="14">
        <f t="shared" si="75"/>
        <v>-1804.869999999999</v>
      </c>
      <c r="AD295" s="15">
        <f>IFERROR(AC295/AC444, "NA")</f>
        <v>-3.2898273217509669E-2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1558.41</v>
      </c>
      <c r="F297" s="8">
        <f>IFERROR(E297/E444, "NA")</f>
        <v>1.3000030614608707E-2</v>
      </c>
      <c r="G297" s="9"/>
      <c r="H297" s="10">
        <f t="shared" ref="H297:H325" si="76">IFERROR(-(B297-E297), "NA")</f>
        <v>1558.41</v>
      </c>
      <c r="I297" s="8">
        <f>IFERROR(H297/H444, "NA")</f>
        <v>-5.70619996030877E-2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12750.64</v>
      </c>
      <c r="U297" s="8">
        <f>IFERROR(T297/T444, "NA")</f>
        <v>1.3000011949215101E-2</v>
      </c>
      <c r="V297" s="9"/>
      <c r="W297" s="10">
        <f t="shared" ref="W297:W325" si="78">IFERROR(-(Q297-T297), "NA")</f>
        <v>12750.64</v>
      </c>
      <c r="X297" s="8">
        <f>IFERROR(W297/W444, "NA")</f>
        <v>-0.15429289662689083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469.2</v>
      </c>
      <c r="C299" s="8">
        <f>IFERROR(B299/B444, "NA")</f>
        <v>5.0687834563204713E-3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-469.2</v>
      </c>
      <c r="I299" s="8">
        <f>IFERROR(H299/H444, "NA")</f>
        <v>1.7180004115584954E-2</v>
      </c>
      <c r="J299" s="9"/>
      <c r="K299" s="7">
        <v>183.75</v>
      </c>
      <c r="L299" s="8">
        <f>IFERROR(K299/K444, "NA")</f>
        <v>1.7474101717055161E-3</v>
      </c>
      <c r="M299" s="9"/>
      <c r="N299" s="10">
        <f t="shared" si="77"/>
        <v>-285.45</v>
      </c>
      <c r="O299" s="8">
        <f>IFERROR(N299/N444, "NA")</f>
        <v>2.2674503118985341E-2</v>
      </c>
      <c r="P299" s="9"/>
      <c r="Q299" s="7">
        <v>3533.15</v>
      </c>
      <c r="R299" s="8">
        <f>IFERROR(Q299/Q444, "NA")</f>
        <v>3.9336841300241961E-3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-3533.15</v>
      </c>
      <c r="X299" s="8">
        <f>IFERROR(W299/W444, "NA")</f>
        <v>4.275392825123283E-2</v>
      </c>
      <c r="Y299" s="9"/>
      <c r="Z299" s="7">
        <v>1470</v>
      </c>
      <c r="AA299" s="8">
        <f>IFERROR(Z299/Z444, "NA")</f>
        <v>1.7431183761649931E-3</v>
      </c>
      <c r="AB299" s="9"/>
      <c r="AC299" s="10">
        <f t="shared" si="79"/>
        <v>-2063.15</v>
      </c>
      <c r="AD299" s="8">
        <f>IFERROR(AC299/AC444, "NA")</f>
        <v>-3.7606072674876929E-2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125.16</v>
      </c>
      <c r="L304" s="8">
        <f>IFERROR(K304/K444, "NA")</f>
        <v>1.1902359569559858E-3</v>
      </c>
      <c r="M304" s="9"/>
      <c r="N304" s="10">
        <f t="shared" si="77"/>
        <v>125.16</v>
      </c>
      <c r="O304" s="8">
        <f>IFERROR(N304/N444, "NA")</f>
        <v>-9.9419891762907876E-3</v>
      </c>
      <c r="P304" s="9"/>
      <c r="Q304" s="7">
        <v>217.93</v>
      </c>
      <c r="R304" s="8">
        <f>IFERROR(Q304/Q444, "NA")</f>
        <v>2.4263554687917947E-4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-217.93</v>
      </c>
      <c r="X304" s="8">
        <f>IFERROR(W304/W444, "NA")</f>
        <v>2.6371265255625068E-3</v>
      </c>
      <c r="Y304" s="9"/>
      <c r="Z304" s="7">
        <v>232.81</v>
      </c>
      <c r="AA304" s="8">
        <f>IFERROR(Z304/Z444, "NA")</f>
        <v>2.7606489058161363E-4</v>
      </c>
      <c r="AB304" s="9"/>
      <c r="AC304" s="10">
        <f t="shared" si="79"/>
        <v>14.879999999999995</v>
      </c>
      <c r="AD304" s="8">
        <f>IFERROR(AC304/AC444, "NA")</f>
        <v>2.7122524363336087E-4</v>
      </c>
    </row>
    <row r="305" spans="1:30" ht="16.5" customHeight="1" x14ac:dyDescent="0.45">
      <c r="A305" s="6" t="s">
        <v>277</v>
      </c>
      <c r="B305" s="7">
        <v>30.41</v>
      </c>
      <c r="C305" s="8">
        <f>IFERROR(B305/B444, "NA")</f>
        <v>3.2852025768692573E-4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-30.41</v>
      </c>
      <c r="I305" s="8">
        <f>IFERROR(H305/H444, "NA")</f>
        <v>1.1134781013532363E-3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-30.41</v>
      </c>
      <c r="O305" s="8">
        <f>IFERROR(N305/N444, "NA")</f>
        <v>2.4155951649968269E-3</v>
      </c>
      <c r="P305" s="9"/>
      <c r="Q305" s="7">
        <v>157.72</v>
      </c>
      <c r="R305" s="8">
        <f>IFERROR(Q305/Q444, "NA")</f>
        <v>1.7559986442336616E-4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-157.72</v>
      </c>
      <c r="X305" s="8">
        <f>IFERROR(W305/W444, "NA")</f>
        <v>1.9085375836815424E-3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-157.72</v>
      </c>
      <c r="AD305" s="8">
        <f>IFERROR(AC305/AC444, "NA")</f>
        <v>-2.8748417624901673E-3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11.21</v>
      </c>
      <c r="C310" s="8">
        <f>IFERROR(B310/B444, "NA")</f>
        <v>1.2110200883493712E-4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-11.21</v>
      </c>
      <c r="I310" s="8">
        <f>IFERROR(H310/H444, "NA")</f>
        <v>4.1046003012725353E-4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-11.21</v>
      </c>
      <c r="O310" s="8">
        <f>IFERROR(N310/N444, "NA")</f>
        <v>8.9045780334148078E-4</v>
      </c>
      <c r="P310" s="9"/>
      <c r="Q310" s="7">
        <v>170.41</v>
      </c>
      <c r="R310" s="8">
        <f>IFERROR(Q310/Q444, "NA")</f>
        <v>1.8972846117414294E-4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-170.41</v>
      </c>
      <c r="X310" s="8">
        <f>IFERROR(W310/W444, "NA")</f>
        <v>2.062096688024167E-3</v>
      </c>
      <c r="Y310" s="9"/>
      <c r="Z310" s="7">
        <v>132.9</v>
      </c>
      <c r="AA310" s="8">
        <f>IFERROR(Z310/Z444, "NA")</f>
        <v>1.5759213074307998E-4</v>
      </c>
      <c r="AB310" s="9"/>
      <c r="AC310" s="10">
        <f t="shared" si="79"/>
        <v>-37.509999999999991</v>
      </c>
      <c r="AD310" s="8">
        <f>IFERROR(AC310/AC444, "NA")</f>
        <v>-6.8371363499243056E-4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2.9726834771137942E-5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3.2309125972798111E-4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-4.8667432829373235E-4</v>
      </c>
    </row>
    <row r="312" spans="1:30" ht="16.5" customHeight="1" x14ac:dyDescent="0.45">
      <c r="A312" s="6" t="s">
        <v>284</v>
      </c>
      <c r="B312" s="7">
        <v>456.73</v>
      </c>
      <c r="C312" s="8">
        <f>IFERROR(B312/B444, "NA")</f>
        <v>4.934069624904623E-3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-456.73</v>
      </c>
      <c r="I312" s="8">
        <f>IFERROR(H312/H444, "NA")</f>
        <v>1.6723408524533495E-2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-456.73</v>
      </c>
      <c r="O312" s="8">
        <f>IFERROR(N312/N444, "NA")</f>
        <v>3.6279999332752409E-2</v>
      </c>
      <c r="P312" s="9"/>
      <c r="Q312" s="7">
        <v>3984.53</v>
      </c>
      <c r="R312" s="8">
        <f>IFERROR(Q312/Q444, "NA")</f>
        <v>4.4362346423461527E-3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-3984.53</v>
      </c>
      <c r="X312" s="8">
        <f>IFERROR(W312/W444, "NA")</f>
        <v>4.8215985660072389E-2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-3984.53</v>
      </c>
      <c r="AD312" s="8">
        <f>IFERROR(AC312/AC444, "NA")</f>
        <v>-7.2628032259034664E-2</v>
      </c>
    </row>
    <row r="313" spans="1:30" ht="16.5" customHeight="1" x14ac:dyDescent="0.45">
      <c r="A313" s="6" t="s">
        <v>285</v>
      </c>
      <c r="B313" s="7">
        <v>0</v>
      </c>
      <c r="C313" s="8">
        <f>IFERROR(B313/B444, "NA")</f>
        <v>0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0</v>
      </c>
      <c r="I313" s="8">
        <f>IFERROR(H313/H444, "NA")</f>
        <v>0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0</v>
      </c>
      <c r="O313" s="8">
        <f>IFERROR(N313/N444, "NA")</f>
        <v>0</v>
      </c>
      <c r="P313" s="9"/>
      <c r="Q313" s="7">
        <v>40.85</v>
      </c>
      <c r="R313" s="8">
        <f>IFERROR(Q313/Q444, "NA")</f>
        <v>4.5480943835242883E-5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-40.85</v>
      </c>
      <c r="X313" s="8">
        <f>IFERROR(W313/W444, "NA")</f>
        <v>4.9431752658756661E-4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-40.85</v>
      </c>
      <c r="AD313" s="8">
        <f>IFERROR(AC313/AC444, "NA")</f>
        <v>-7.4459349478647816E-4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5.7616900438916463E-3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1.9528523859774254E-2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-533.34</v>
      </c>
      <c r="O315" s="8">
        <f>IFERROR(N315/N444, "NA")</f>
        <v>4.236545627423241E-2</v>
      </c>
      <c r="P315" s="9"/>
      <c r="Q315" s="7">
        <v>3266.7</v>
      </c>
      <c r="R315" s="8">
        <f>IFERROR(Q315/Q444, "NA")</f>
        <v>3.6370281328418092E-3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-3266.7</v>
      </c>
      <c r="X315" s="8">
        <f>IFERROR(W315/W444, "NA")</f>
        <v>3.9529671091887486E-2</v>
      </c>
      <c r="Y315" s="9"/>
      <c r="Z315" s="7">
        <v>300</v>
      </c>
      <c r="AA315" s="8">
        <f>IFERROR(Z315/Z444, "NA")</f>
        <v>3.5573844411530473E-4</v>
      </c>
      <c r="AB315" s="9"/>
      <c r="AC315" s="10">
        <f t="shared" si="79"/>
        <v>-2966.7</v>
      </c>
      <c r="AD315" s="8">
        <f>IFERROR(AC315/AC444, "NA")</f>
        <v>-5.4075532949401338E-2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3.9123301045626523E-3</v>
      </c>
      <c r="G318" s="9"/>
      <c r="H318" s="10">
        <f t="shared" si="76"/>
        <v>469</v>
      </c>
      <c r="I318" s="8">
        <f>IFERROR(H318/H444, "NA")</f>
        <v>-1.7172681010676351E-2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3752</v>
      </c>
      <c r="U318" s="8">
        <f>IFERROR(T318/T444, "NA")</f>
        <v>3.8253801247196267E-3</v>
      </c>
      <c r="V318" s="9"/>
      <c r="W318" s="10">
        <f t="shared" si="78"/>
        <v>3752</v>
      </c>
      <c r="X318" s="8">
        <f>IFERROR(W318/W444, "NA")</f>
        <v>-4.5402187509340268E-2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307.43</v>
      </c>
      <c r="C319" s="8">
        <f>IFERROR(B319/B444, "NA")</f>
        <v>3.3211766794045239E-3</v>
      </c>
      <c r="D319" s="9"/>
      <c r="E319" s="7">
        <v>232</v>
      </c>
      <c r="F319" s="8">
        <f>IFERROR(E319/E444, "NA")</f>
        <v>1.9353104141973036E-3</v>
      </c>
      <c r="G319" s="9"/>
      <c r="H319" s="10">
        <f t="shared" si="76"/>
        <v>-75.430000000000007</v>
      </c>
      <c r="I319" s="8">
        <f>IFERROR(H319/H444, "NA")</f>
        <v>2.7619090162799942E-3</v>
      </c>
      <c r="J319" s="9"/>
      <c r="K319" s="7">
        <v>288.69</v>
      </c>
      <c r="L319" s="8">
        <f>IFERROR(K319/K444, "NA")</f>
        <v>2.7453596869097441E-3</v>
      </c>
      <c r="M319" s="9"/>
      <c r="N319" s="10">
        <f t="shared" si="77"/>
        <v>-18.740000000000009</v>
      </c>
      <c r="O319" s="8">
        <f>IFERROR(N319/N444, "NA")</f>
        <v>1.4885976123656876E-3</v>
      </c>
      <c r="P319" s="9"/>
      <c r="Q319" s="7">
        <v>2322.4299999999998</v>
      </c>
      <c r="R319" s="8">
        <f>IFERROR(Q319/Q444, "NA")</f>
        <v>2.5857113437278609E-3</v>
      </c>
      <c r="S319" s="9"/>
      <c r="T319" s="7">
        <v>1856</v>
      </c>
      <c r="U319" s="8">
        <f>IFERROR(T319/T444, "NA")</f>
        <v>1.8922989103090689E-3</v>
      </c>
      <c r="V319" s="9"/>
      <c r="W319" s="10">
        <f t="shared" si="78"/>
        <v>-466.42999999999984</v>
      </c>
      <c r="X319" s="8">
        <f>IFERROR(W319/W444, "NA")</f>
        <v>5.6441743923191833E-3</v>
      </c>
      <c r="Y319" s="9"/>
      <c r="Z319" s="7">
        <v>1833.6</v>
      </c>
      <c r="AA319" s="8">
        <f>IFERROR(Z319/Z444, "NA")</f>
        <v>2.1742733704327422E-3</v>
      </c>
      <c r="AB319" s="9"/>
      <c r="AC319" s="10">
        <f t="shared" si="79"/>
        <v>-488.82999999999993</v>
      </c>
      <c r="AD319" s="8">
        <f>IFERROR(AC319/AC444, "NA")</f>
        <v>-8.9101502584204174E-3</v>
      </c>
    </row>
    <row r="320" spans="1:30" ht="16.5" customHeight="1" x14ac:dyDescent="0.45">
      <c r="A320" s="6" t="s">
        <v>292</v>
      </c>
      <c r="B320" s="7">
        <v>1188.23</v>
      </c>
      <c r="C320" s="8">
        <f>IFERROR(B320/B444, "NA")</f>
        <v>1.2836488845489501E-2</v>
      </c>
      <c r="D320" s="9"/>
      <c r="E320" s="7">
        <v>905</v>
      </c>
      <c r="F320" s="8">
        <f>IFERROR(E320/E444, "NA")</f>
        <v>7.5493789864162063E-3</v>
      </c>
      <c r="G320" s="9"/>
      <c r="H320" s="10">
        <f t="shared" si="76"/>
        <v>-283.23</v>
      </c>
      <c r="I320" s="8">
        <f>IFERROR(H320/H444, "NA")</f>
        <v>1.0370615016319537E-2</v>
      </c>
      <c r="J320" s="9"/>
      <c r="K320" s="7">
        <v>703.92</v>
      </c>
      <c r="L320" s="8">
        <f>IFERROR(K320/K444, "NA")</f>
        <v>6.6940787377793029E-3</v>
      </c>
      <c r="M320" s="9"/>
      <c r="N320" s="10">
        <f t="shared" si="77"/>
        <v>-484.31000000000006</v>
      </c>
      <c r="O320" s="8">
        <f>IFERROR(N320/N444, "NA")</f>
        <v>3.8470795605380248E-2</v>
      </c>
      <c r="P320" s="9"/>
      <c r="Q320" s="7">
        <v>9349.7099999999991</v>
      </c>
      <c r="R320" s="8">
        <f>IFERROR(Q320/Q444, "NA")</f>
        <v>1.040963611715566E-2</v>
      </c>
      <c r="S320" s="9"/>
      <c r="T320" s="7">
        <v>7240</v>
      </c>
      <c r="U320" s="8">
        <f>IFERROR(T320/T444, "NA")</f>
        <v>7.3815970423694284E-3</v>
      </c>
      <c r="V320" s="9"/>
      <c r="W320" s="10">
        <f t="shared" si="78"/>
        <v>-2109.7099999999991</v>
      </c>
      <c r="X320" s="8">
        <f>IFERROR(W320/W444, "NA")</f>
        <v>2.552917084497074E-2</v>
      </c>
      <c r="Y320" s="9"/>
      <c r="Z320" s="7">
        <v>7051.06</v>
      </c>
      <c r="AA320" s="8">
        <f>IFERROR(Z320/Z444, "NA")</f>
        <v>8.3611103792122013E-3</v>
      </c>
      <c r="AB320" s="9"/>
      <c r="AC320" s="10">
        <f t="shared" si="79"/>
        <v>-2298.6499999999987</v>
      </c>
      <c r="AD320" s="8">
        <f>IFERROR(AC320/AC444, "NA")</f>
        <v>-4.1898649615445219E-2</v>
      </c>
    </row>
    <row r="321" spans="1:30" ht="16.5" customHeight="1" x14ac:dyDescent="0.45">
      <c r="A321" s="6" t="s">
        <v>293</v>
      </c>
      <c r="B321" s="7">
        <v>1051.3399999999999</v>
      </c>
      <c r="C321" s="8">
        <f>IFERROR(B321/B444, "NA")</f>
        <v>1.1357661549377588E-2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-1051.3399999999999</v>
      </c>
      <c r="I321" s="8">
        <f>IFERROR(H321/H444, "NA")</f>
        <v>3.8495365573058576E-2</v>
      </c>
      <c r="J321" s="9"/>
      <c r="K321" s="7">
        <v>4421.49</v>
      </c>
      <c r="L321" s="8">
        <f>IFERROR(K321/K444, "NA")</f>
        <v>4.2047110748812094E-2</v>
      </c>
      <c r="M321" s="9"/>
      <c r="N321" s="10">
        <f t="shared" si="77"/>
        <v>3370.1499999999996</v>
      </c>
      <c r="O321" s="8">
        <f>IFERROR(N321/N444, "NA")</f>
        <v>-0.26770529580118563</v>
      </c>
      <c r="P321" s="9"/>
      <c r="Q321" s="7">
        <v>16949.72</v>
      </c>
      <c r="R321" s="8">
        <f>IFERROR(Q321/Q444, "NA")</f>
        <v>1.8871218196893344E-2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-16949.72</v>
      </c>
      <c r="X321" s="8">
        <f>IFERROR(W321/W444, "NA")</f>
        <v>0.20510510812121935</v>
      </c>
      <c r="Y321" s="9"/>
      <c r="Z321" s="7">
        <v>25275.08</v>
      </c>
      <c r="AA321" s="8">
        <f>IFERROR(Z321/Z444, "NA")</f>
        <v>2.9971058780299521E-2</v>
      </c>
      <c r="AB321" s="9"/>
      <c r="AC321" s="10">
        <f t="shared" si="79"/>
        <v>8325.36</v>
      </c>
      <c r="AD321" s="8">
        <f>IFERROR(AC321/AC444, "NA")</f>
        <v>0.15175052381286547</v>
      </c>
    </row>
    <row r="322" spans="1:30" ht="16.5" customHeight="1" x14ac:dyDescent="0.45">
      <c r="A322" s="6" t="s">
        <v>294</v>
      </c>
      <c r="B322" s="7">
        <v>252.08</v>
      </c>
      <c r="C322" s="8">
        <f>IFERROR(B322/B444, "NA")</f>
        <v>2.7232287588859006E-3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-252.08</v>
      </c>
      <c r="I322" s="8">
        <f>IFERROR(H322/H444, "NA")</f>
        <v>9.2300414268044664E-3</v>
      </c>
      <c r="J322" s="9"/>
      <c r="K322" s="7">
        <v>269.2</v>
      </c>
      <c r="L322" s="8">
        <f>IFERROR(K322/K444, "NA")</f>
        <v>2.560015337268707E-3</v>
      </c>
      <c r="M322" s="9"/>
      <c r="N322" s="10">
        <f t="shared" si="77"/>
        <v>17.119999999999976</v>
      </c>
      <c r="O322" s="8">
        <f>IFERROR(N322/N444, "NA")</f>
        <v>-1.359914147476015E-3</v>
      </c>
      <c r="P322" s="9"/>
      <c r="Q322" s="7">
        <v>4550.54</v>
      </c>
      <c r="R322" s="8">
        <f>IFERROR(Q322/Q444, "NA")</f>
        <v>5.0664101385563317E-3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-4550.54</v>
      </c>
      <c r="X322" s="8">
        <f>IFERROR(W322/W444, "NA")</f>
        <v>5.506515734241825E-2</v>
      </c>
      <c r="Y322" s="9"/>
      <c r="Z322" s="7">
        <v>2619.89</v>
      </c>
      <c r="AA322" s="8">
        <f>IFERROR(Z322/Z444, "NA")</f>
        <v>3.1066519745108186E-3</v>
      </c>
      <c r="AB322" s="9"/>
      <c r="AC322" s="10">
        <f t="shared" si="79"/>
        <v>-1930.65</v>
      </c>
      <c r="AD322" s="8">
        <f>IFERROR(AC322/AC444, "NA")</f>
        <v>-3.5190928536340614E-2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4299.97</v>
      </c>
      <c r="C324" s="15">
        <f>IFERROR(B324/B444, "NA")</f>
        <v>4.6452721224796122E-2</v>
      </c>
      <c r="D324" s="2"/>
      <c r="E324" s="14">
        <f>IFERROR(E297+E298+E299+E300+E301+E302+E303+E304+E305+E306+E307+E308+E309+E310+E311+E312+E313+E314+E315+E316+E317+E318+E319+E320+E321+E322+E323, "NA")</f>
        <v>3164.41</v>
      </c>
      <c r="F324" s="15">
        <f>IFERROR(E324/E444, "NA")</f>
        <v>2.6397050119784868E-2</v>
      </c>
      <c r="G324" s="2"/>
      <c r="H324" s="14">
        <f t="shared" si="76"/>
        <v>-1135.5600000000004</v>
      </c>
      <c r="I324" s="15">
        <f>IFERROR(H324/H444, "NA")</f>
        <v>4.1579125050071733E-2</v>
      </c>
      <c r="J324" s="2"/>
      <c r="K324" s="14">
        <f>IFERROR(K297+K298+K299+K300+K301+K302+K303+K304+K305+K306+K307+K308+K309+K310+K311+K312+K313+K314+K315+K316+K317+K318+K319+K320+K321+K322+K323, "NA")</f>
        <v>5992.21</v>
      </c>
      <c r="L324" s="15">
        <f>IFERROR(K324/K444, "NA")</f>
        <v>5.6984210639431356E-2</v>
      </c>
      <c r="M324" s="2"/>
      <c r="N324" s="14">
        <f t="shared" si="77"/>
        <v>1692.2399999999998</v>
      </c>
      <c r="O324" s="15">
        <f>IFERROR(N324/N444, "NA")</f>
        <v>-0.13442179421289804</v>
      </c>
      <c r="P324" s="2"/>
      <c r="Q324" s="14">
        <f>IFERROR(Q297+Q298+Q299+Q300+Q301+Q302+Q303+Q304+Q305+Q306+Q307+Q308+Q309+Q310+Q311+Q312+Q313+Q314+Q315+Q316+Q317+Q318+Q319+Q320+Q321+Q322+Q323, "NA")</f>
        <v>44570.390000000007</v>
      </c>
      <c r="R324" s="15">
        <f>IFERROR(Q324/Q444, "NA")</f>
        <v>4.9623094352628426E-2</v>
      </c>
      <c r="S324" s="2"/>
      <c r="T324" s="14">
        <f>IFERROR(T297+T298+T299+T300+T301+T302+T303+T304+T305+T306+T307+T308+T309+T310+T311+T312+T313+T314+T315+T316+T317+T318+T319+T320+T321+T322+T323, "NA")</f>
        <v>25598.639999999999</v>
      </c>
      <c r="U324" s="15">
        <f>IFERROR(T324/T444, "NA")</f>
        <v>2.6099288026613224E-2</v>
      </c>
      <c r="V324" s="2"/>
      <c r="W324" s="14">
        <f t="shared" si="78"/>
        <v>-18971.750000000007</v>
      </c>
      <c r="X324" s="15">
        <f>IFERROR(W324/W444, "NA")</f>
        <v>0.22957328115147296</v>
      </c>
      <c r="Y324" s="2"/>
      <c r="Z324" s="14">
        <f>IFERROR(Z297+Z298+Z299+Z300+Z301+Z302+Z303+Z304+Z305+Z306+Z307+Z308+Z309+Z310+Z311+Z312+Z313+Z314+Z315+Z316+Z317+Z318+Z319+Z320+Z321+Z322+Z323, "NA")</f>
        <v>38915.340000000004</v>
      </c>
      <c r="AA324" s="15">
        <f>IFERROR(Z324/Z444, "NA")</f>
        <v>4.6145608346060275E-2</v>
      </c>
      <c r="AB324" s="2"/>
      <c r="AC324" s="14">
        <f t="shared" si="79"/>
        <v>-5655.0500000000029</v>
      </c>
      <c r="AD324" s="15">
        <f>IFERROR(AC324/AC444, "NA")</f>
        <v>-0.10307744045758324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18922.95</v>
      </c>
      <c r="C325" s="15">
        <f>IFERROR(B325/B444, "NA")</f>
        <v>0.2044252683392572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22723.579999999998</v>
      </c>
      <c r="F325" s="15">
        <f>IFERROR(E325/E444, "NA")</f>
        <v>0.18955681474933431</v>
      </c>
      <c r="G325" s="2"/>
      <c r="H325" s="14">
        <f t="shared" si="76"/>
        <v>3800.6299999999974</v>
      </c>
      <c r="I325" s="15">
        <f>IFERROR(H325/H444, "NA")</f>
        <v>-0.13916206104393777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26388.689999999991</v>
      </c>
      <c r="L325" s="15">
        <f>IFERROR(K325/K444, "NA")</f>
        <v>0.25094892693324422</v>
      </c>
      <c r="M325" s="2"/>
      <c r="N325" s="14">
        <f t="shared" si="77"/>
        <v>7465.7399999999907</v>
      </c>
      <c r="O325" s="15">
        <f>IFERROR(N325/N444, "NA")</f>
        <v>-0.59303536491691511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208012.74</v>
      </c>
      <c r="R325" s="15">
        <f>IFERROR(Q325/Q444, "NA")</f>
        <v>0.23159402068433244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186154.90000000002</v>
      </c>
      <c r="U325" s="15">
        <f>IFERROR(T325/T444, "NA")</f>
        <v>0.18979564354455483</v>
      </c>
      <c r="V325" s="2"/>
      <c r="W325" s="14">
        <f t="shared" si="78"/>
        <v>-21857.839999999967</v>
      </c>
      <c r="X325" s="15">
        <f>IFERROR(W325/W444, "NA")</f>
        <v>0.26449726818474323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165284.15999999997</v>
      </c>
      <c r="AA325" s="15">
        <f>IFERROR(Z325/Z444, "NA")</f>
        <v>0.19599309971768358</v>
      </c>
      <c r="AB325" s="2"/>
      <c r="AC325" s="14">
        <f t="shared" si="79"/>
        <v>-42728.580000000016</v>
      </c>
      <c r="AD325" s="15">
        <f>IFERROR(AC325/AC444, "NA")</f>
        <v>-0.77883531724513166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20059.04</v>
      </c>
      <c r="C329" s="8">
        <f>IFERROR(B329/B444, "NA")</f>
        <v>0.21669848700270802</v>
      </c>
      <c r="D329" s="9"/>
      <c r="E329" s="7">
        <v>18514</v>
      </c>
      <c r="F329" s="8">
        <f>IFERROR(E329/E444, "NA")</f>
        <v>0.15444110779503828</v>
      </c>
      <c r="G329" s="9"/>
      <c r="H329" s="10">
        <f t="shared" si="80"/>
        <v>-1545.0400000000009</v>
      </c>
      <c r="I329" s="8">
        <f>IFERROR(H329/H444, "NA")</f>
        <v>5.6572450039947556E-2</v>
      </c>
      <c r="J329" s="9"/>
      <c r="K329" s="7">
        <v>19569.79</v>
      </c>
      <c r="L329" s="8">
        <f>IFERROR(K329/K444, "NA")</f>
        <v>0.18610312981845384</v>
      </c>
      <c r="M329" s="9"/>
      <c r="N329" s="10">
        <f t="shared" si="81"/>
        <v>-489.25</v>
      </c>
      <c r="O329" s="8">
        <f>IFERROR(N329/N444, "NA")</f>
        <v>3.886320073905615E-2</v>
      </c>
      <c r="P329" s="9"/>
      <c r="Q329" s="7">
        <v>157047.57</v>
      </c>
      <c r="R329" s="8">
        <f>IFERROR(Q329/Q444, "NA")</f>
        <v>0.17485120466661874</v>
      </c>
      <c r="S329" s="9"/>
      <c r="T329" s="7">
        <v>153990</v>
      </c>
      <c r="U329" s="8">
        <f>IFERROR(T329/T444, "NA")</f>
        <v>0.15700167521470557</v>
      </c>
      <c r="V329" s="9"/>
      <c r="W329" s="10">
        <f t="shared" si="82"/>
        <v>-3057.570000000007</v>
      </c>
      <c r="X329" s="8">
        <f>IFERROR(W329/W444, "NA")</f>
        <v>3.6999031573276608E-2</v>
      </c>
      <c r="Y329" s="9"/>
      <c r="Z329" s="7">
        <v>153217.15</v>
      </c>
      <c r="AA329" s="8">
        <f>IFERROR(Z329/Z444, "NA")</f>
        <v>0.1816841018426042</v>
      </c>
      <c r="AB329" s="9"/>
      <c r="AC329" s="10">
        <f t="shared" si="83"/>
        <v>-3830.4200000000128</v>
      </c>
      <c r="AD329" s="8">
        <f>IFERROR(AC329/AC444, "NA")</f>
        <v>-6.981899178213051E-2</v>
      </c>
    </row>
    <row r="330" spans="1:30" ht="16.5" customHeight="1" x14ac:dyDescent="0.45">
      <c r="A330" s="6" t="s">
        <v>301</v>
      </c>
      <c r="B330" s="7">
        <v>788.51</v>
      </c>
      <c r="C330" s="8">
        <f>IFERROR(B330/B444, "NA")</f>
        <v>8.5183001772021639E-3</v>
      </c>
      <c r="D330" s="9"/>
      <c r="E330" s="7">
        <v>659</v>
      </c>
      <c r="F330" s="8">
        <f>IFERROR(E330/E444, "NA")</f>
        <v>5.4972825989483753E-3</v>
      </c>
      <c r="G330" s="9"/>
      <c r="H330" s="10">
        <f t="shared" si="80"/>
        <v>-129.51</v>
      </c>
      <c r="I330" s="8">
        <f>IFERROR(H330/H444, "NA")</f>
        <v>4.7420765835665115E-3</v>
      </c>
      <c r="J330" s="9"/>
      <c r="K330" s="7">
        <v>658.51</v>
      </c>
      <c r="L330" s="8">
        <f>IFERROR(K330/K444, "NA")</f>
        <v>6.2622425696315619E-3</v>
      </c>
      <c r="M330" s="9"/>
      <c r="N330" s="10">
        <f t="shared" si="81"/>
        <v>-130</v>
      </c>
      <c r="O330" s="8">
        <f>IFERROR(N330/N444, "NA")</f>
        <v>1.0326450886208073E-2</v>
      </c>
      <c r="P330" s="9"/>
      <c r="Q330" s="7">
        <v>5719.79</v>
      </c>
      <c r="R330" s="8">
        <f>IFERROR(Q330/Q444, "NA")</f>
        <v>6.3682116949665577E-3</v>
      </c>
      <c r="S330" s="9"/>
      <c r="T330" s="7">
        <v>5272</v>
      </c>
      <c r="U330" s="8">
        <f>IFERROR(T330/T444, "NA")</f>
        <v>5.3751076805761914E-3</v>
      </c>
      <c r="V330" s="9"/>
      <c r="W330" s="10">
        <f t="shared" si="82"/>
        <v>-447.78999999999996</v>
      </c>
      <c r="X330" s="8">
        <f>IFERROR(W330/W444, "NA")</f>
        <v>5.4186155503218227E-3</v>
      </c>
      <c r="Y330" s="9"/>
      <c r="Z330" s="7">
        <v>5319.82</v>
      </c>
      <c r="AA330" s="8">
        <f>IFERROR(Z330/Z444, "NA")</f>
        <v>6.3082149659116002E-3</v>
      </c>
      <c r="AB330" s="9"/>
      <c r="AC330" s="10">
        <f t="shared" si="83"/>
        <v>-399.97000000000025</v>
      </c>
      <c r="AD330" s="8">
        <f>IFERROR(AC330/AC444, "NA")</f>
        <v>-7.2904543478518446E-3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9.2466407156188857E-3</v>
      </c>
      <c r="D333" s="9"/>
      <c r="E333" s="7">
        <v>761</v>
      </c>
      <c r="F333" s="8">
        <f>IFERROR(E333/E444, "NA")</f>
        <v>6.3481518327765003E-3</v>
      </c>
      <c r="G333" s="9"/>
      <c r="H333" s="10">
        <f t="shared" si="80"/>
        <v>-94.92999999999995</v>
      </c>
      <c r="I333" s="8">
        <f>IFERROR(H333/H444, "NA")</f>
        <v>3.4759117448688809E-3</v>
      </c>
      <c r="J333" s="9"/>
      <c r="K333" s="7">
        <v>760.64</v>
      </c>
      <c r="L333" s="8">
        <f>IFERROR(K333/K444, "NA")</f>
        <v>7.2334697850671226E-3</v>
      </c>
      <c r="M333" s="9"/>
      <c r="N333" s="10">
        <f t="shared" si="81"/>
        <v>-95.289999999999964</v>
      </c>
      <c r="O333" s="8">
        <f>IFERROR(N333/N444, "NA")</f>
        <v>7.5692884995905143E-3</v>
      </c>
      <c r="P333" s="9"/>
      <c r="Q333" s="7">
        <v>6752.15</v>
      </c>
      <c r="R333" s="8">
        <f>IFERROR(Q333/Q444, "NA")</f>
        <v>7.517604771533298E-3</v>
      </c>
      <c r="S333" s="9"/>
      <c r="T333" s="7">
        <v>6088</v>
      </c>
      <c r="U333" s="8">
        <f>IFERROR(T333/T444, "NA")</f>
        <v>6.2070666842465585E-3</v>
      </c>
      <c r="V333" s="9"/>
      <c r="W333" s="10">
        <f t="shared" si="82"/>
        <v>-664.14999999999964</v>
      </c>
      <c r="X333" s="8">
        <f>IFERROR(W333/W444, "NA")</f>
        <v>8.0367438257804708E-3</v>
      </c>
      <c r="Y333" s="9"/>
      <c r="Z333" s="7">
        <v>7813.83</v>
      </c>
      <c r="AA333" s="8">
        <f>IFERROR(Z333/Z444, "NA")</f>
        <v>9.2655990892716381E-3</v>
      </c>
      <c r="AB333" s="9"/>
      <c r="AC333" s="10">
        <f t="shared" si="83"/>
        <v>1061.6800000000003</v>
      </c>
      <c r="AD333" s="8">
        <f>IFERROR(AC333/AC444, "NA")</f>
        <v>1.935177531321685E-2</v>
      </c>
    </row>
    <row r="334" spans="1:30" ht="16.5" customHeight="1" x14ac:dyDescent="0.45">
      <c r="A334" s="6" t="s">
        <v>305</v>
      </c>
      <c r="B334" s="7">
        <v>-1544.55</v>
      </c>
      <c r="C334" s="8">
        <f>IFERROR(B334/B444, "NA")</f>
        <v>-1.6685825847100991E-2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1544.55</v>
      </c>
      <c r="I334" s="8">
        <f>IFERROR(H334/H444, "NA")</f>
        <v>-5.6554508432921438E-2</v>
      </c>
      <c r="J334" s="9"/>
      <c r="K334" s="7">
        <v>-1470.12</v>
      </c>
      <c r="L334" s="8">
        <f>IFERROR(K334/K444, "NA")</f>
        <v>-1.3980422539470547E-2</v>
      </c>
      <c r="M334" s="9"/>
      <c r="N334" s="10">
        <f t="shared" si="81"/>
        <v>74.430000000000064</v>
      </c>
      <c r="O334" s="8">
        <f>IFERROR(N334/N444, "NA")</f>
        <v>-5.9122903035420575E-3</v>
      </c>
      <c r="P334" s="9"/>
      <c r="Q334" s="7">
        <v>-3051.42</v>
      </c>
      <c r="R334" s="8">
        <f>IFERROR(Q334/Q444, "NA")</f>
        <v>-3.3973430021477808E-3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3051.42</v>
      </c>
      <c r="X334" s="8">
        <f>IFERROR(W334/W444, "NA")</f>
        <v>-3.6924611676372891E-2</v>
      </c>
      <c r="Y334" s="9"/>
      <c r="Z334" s="7">
        <v>-2940.24</v>
      </c>
      <c r="AA334" s="8">
        <f>IFERROR(Z334/Z444, "NA")</f>
        <v>-3.4865213430852783E-3</v>
      </c>
      <c r="AB334" s="9"/>
      <c r="AC334" s="10">
        <f t="shared" si="83"/>
        <v>111.18000000000029</v>
      </c>
      <c r="AD334" s="8">
        <f>IFERROR(AC334/AC444, "NA")</f>
        <v>2.0265337760186257E-3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5742.45</v>
      </c>
      <c r="F337" s="8">
        <f>IFERROR(E337/E444, "NA")</f>
        <v>4.7902686586238391E-2</v>
      </c>
      <c r="G337" s="9"/>
      <c r="H337" s="10">
        <f t="shared" ref="H337:H344" si="84">IFERROR(-(B337-E337), "NA")</f>
        <v>5742.45</v>
      </c>
      <c r="I337" s="8">
        <f>IFERROR(H337/H444, "NA")</f>
        <v>-0.21026281891206483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42807.9</v>
      </c>
      <c r="U337" s="8">
        <f>IFERROR(T337/T444, "NA")</f>
        <v>4.3645119893652801E-2</v>
      </c>
      <c r="V337" s="9"/>
      <c r="W337" s="10">
        <f t="shared" ref="W337:W344" si="86">IFERROR(-(Q337-T337), "NA")</f>
        <v>42807.9</v>
      </c>
      <c r="X337" s="8">
        <f>IFERROR(W337/W444, "NA")</f>
        <v>-0.51800967555466082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2534.4899999999998</v>
      </c>
      <c r="C338" s="8">
        <f>IFERROR(B338/B444, "NA")</f>
        <v>2.7380181121503987E-2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-2534.4899999999998</v>
      </c>
      <c r="I338" s="8">
        <f>IFERROR(H338/H444, "NA")</f>
        <v>9.2801680799038597E-2</v>
      </c>
      <c r="J338" s="9"/>
      <c r="K338" s="7">
        <v>2496.58</v>
      </c>
      <c r="L338" s="8">
        <f>IFERROR(K338/K444, "NA")</f>
        <v>2.3741764824362216E-2</v>
      </c>
      <c r="M338" s="9"/>
      <c r="N338" s="10">
        <f t="shared" si="85"/>
        <v>-37.909999999999854</v>
      </c>
      <c r="O338" s="8">
        <f>IFERROR(N338/N444, "NA")</f>
        <v>3.011351946893435E-3</v>
      </c>
      <c r="P338" s="9"/>
      <c r="Q338" s="7">
        <v>17648.84</v>
      </c>
      <c r="R338" s="8">
        <f>IFERROR(Q338/Q444, "NA")</f>
        <v>1.9649593654765925E-2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-17648.84</v>
      </c>
      <c r="X338" s="8">
        <f>IFERROR(W338/W444, "NA")</f>
        <v>0.21356501679166975</v>
      </c>
      <c r="Y338" s="9"/>
      <c r="Z338" s="7">
        <v>16402.93</v>
      </c>
      <c r="AA338" s="8">
        <f>IFERROR(Z338/Z444, "NA")</f>
        <v>1.9450509323774182E-2</v>
      </c>
      <c r="AB338" s="9"/>
      <c r="AC338" s="10">
        <f t="shared" si="87"/>
        <v>-1245.9099999999999</v>
      </c>
      <c r="AD338" s="8">
        <f>IFERROR(AC338/AC444, "NA")</f>
        <v>-2.2709828178443595E-2</v>
      </c>
    </row>
    <row r="339" spans="1:30" ht="16.5" customHeight="1" x14ac:dyDescent="0.45">
      <c r="A339" s="12" t="s">
        <v>309</v>
      </c>
      <c r="B339" s="7">
        <v>392.86</v>
      </c>
      <c r="C339" s="8">
        <f>IFERROR(B339/B444, "NA")</f>
        <v>4.2440798564579293E-3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-392.86</v>
      </c>
      <c r="I339" s="8">
        <f>IFERROR(H339/H444, "NA")</f>
        <v>1.4384774971970812E-2</v>
      </c>
      <c r="J339" s="9"/>
      <c r="K339" s="7">
        <v>441.81</v>
      </c>
      <c r="L339" s="8">
        <f>IFERROR(K339/K444, "NA")</f>
        <v>4.201487281421573E-3</v>
      </c>
      <c r="M339" s="9"/>
      <c r="N339" s="10">
        <f t="shared" si="85"/>
        <v>48.949999999999989</v>
      </c>
      <c r="O339" s="8">
        <f>IFERROR(N339/N444, "NA")</f>
        <v>-3.8883059298452697E-3</v>
      </c>
      <c r="P339" s="9"/>
      <c r="Q339" s="7">
        <v>6850.14</v>
      </c>
      <c r="R339" s="8">
        <f>IFERROR(Q339/Q444, "NA")</f>
        <v>7.6267033685079727E-3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-6850.14</v>
      </c>
      <c r="X339" s="8">
        <f>IFERROR(W339/W444, "NA")</f>
        <v>8.2892148386255901E-2</v>
      </c>
      <c r="Y339" s="9"/>
      <c r="Z339" s="7">
        <v>6722.93</v>
      </c>
      <c r="AA339" s="8">
        <f>IFERROR(Z339/Z444, "NA")</f>
        <v>7.972015526987019E-3</v>
      </c>
      <c r="AB339" s="9"/>
      <c r="AC339" s="10">
        <f t="shared" si="87"/>
        <v>-127.21000000000004</v>
      </c>
      <c r="AD339" s="8">
        <f>IFERROR(AC339/AC444, "NA")</f>
        <v>-2.318720648024184E-3</v>
      </c>
    </row>
    <row r="340" spans="1:30" ht="16.5" customHeight="1" x14ac:dyDescent="0.45">
      <c r="A340" s="12" t="s">
        <v>310</v>
      </c>
      <c r="B340" s="7">
        <v>981.29</v>
      </c>
      <c r="C340" s="8">
        <f>IFERROR(B340/B444, "NA")</f>
        <v>1.0600909032081661E-2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-981.29</v>
      </c>
      <c r="I340" s="8">
        <f>IFERROR(H340/H444, "NA")</f>
        <v>3.5930448078820031E-2</v>
      </c>
      <c r="J340" s="9"/>
      <c r="K340" s="7">
        <v>1153.46</v>
      </c>
      <c r="L340" s="8">
        <f>IFERROR(K340/K444, "NA")</f>
        <v>1.096907611785276E-2</v>
      </c>
      <c r="M340" s="9"/>
      <c r="N340" s="10">
        <f t="shared" si="85"/>
        <v>172.17000000000007</v>
      </c>
      <c r="O340" s="8">
        <f>IFERROR(N340/N444, "NA")</f>
        <v>-1.3676192685218806E-2</v>
      </c>
      <c r="P340" s="9"/>
      <c r="Q340" s="7">
        <v>7244.54</v>
      </c>
      <c r="R340" s="8">
        <f>IFERROR(Q340/Q444, "NA")</f>
        <v>8.0658143660262051E-3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-7244.54</v>
      </c>
      <c r="X340" s="8">
        <f>IFERROR(W340/W444, "NA")</f>
        <v>8.7664702425084215E-2</v>
      </c>
      <c r="Y340" s="9"/>
      <c r="Z340" s="7">
        <v>6971.27</v>
      </c>
      <c r="AA340" s="8">
        <f>IFERROR(Z340/Z444, "NA")</f>
        <v>8.2664958110256672E-3</v>
      </c>
      <c r="AB340" s="9"/>
      <c r="AC340" s="10">
        <f t="shared" si="87"/>
        <v>-273.26999999999953</v>
      </c>
      <c r="AD340" s="8">
        <f>IFERROR(AC340/AC444, "NA")</f>
        <v>-4.9810297263231463E-3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1.1148622845456445E-2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3.7786855173151147E-2</v>
      </c>
      <c r="J341" s="9"/>
      <c r="K341" s="7">
        <v>996.35</v>
      </c>
      <c r="L341" s="8">
        <f>IFERROR(K341/K444, "NA")</f>
        <v>9.4750047596124688E-3</v>
      </c>
      <c r="M341" s="9"/>
      <c r="N341" s="10">
        <f t="shared" si="85"/>
        <v>-35.639999999999986</v>
      </c>
      <c r="O341" s="8">
        <f>IFERROR(N341/N444, "NA")</f>
        <v>2.8310362275727353E-3</v>
      </c>
      <c r="P341" s="9"/>
      <c r="Q341" s="7">
        <v>8218.24</v>
      </c>
      <c r="R341" s="8">
        <f>IFERROR(Q341/Q444, "NA")</f>
        <v>9.1498974752642955E-3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-8218.24</v>
      </c>
      <c r="X341" s="8">
        <f>IFERROR(W341/W444, "NA")</f>
        <v>9.9447247728347704E-2</v>
      </c>
      <c r="Y341" s="9"/>
      <c r="Z341" s="7">
        <v>7699.41</v>
      </c>
      <c r="AA341" s="8">
        <f>IFERROR(Z341/Z444, "NA")</f>
        <v>9.1299204466860611E-3</v>
      </c>
      <c r="AB341" s="9"/>
      <c r="AC341" s="10">
        <f t="shared" si="87"/>
        <v>-518.82999999999993</v>
      </c>
      <c r="AD341" s="8">
        <f>IFERROR(AC341/AC444, "NA")</f>
        <v>-9.4569753463909032E-3</v>
      </c>
    </row>
    <row r="342" spans="1:30" ht="16.5" customHeight="1" x14ac:dyDescent="0.45">
      <c r="A342" s="13" t="s">
        <v>312</v>
      </c>
      <c r="B342" s="14">
        <f>IFERROR(B337+B338+B339+B340+B341, "NA")</f>
        <v>4940.63</v>
      </c>
      <c r="C342" s="15">
        <f>IFERROR(B342/B444, "NA")</f>
        <v>5.3373792855500028E-2</v>
      </c>
      <c r="D342" s="2"/>
      <c r="E342" s="14">
        <f>IFERROR(E337+E338+E339+E340+E341, "NA")</f>
        <v>5742.45</v>
      </c>
      <c r="F342" s="15">
        <f>IFERROR(E342/E444, "NA")</f>
        <v>4.7902686586238391E-2</v>
      </c>
      <c r="G342" s="2"/>
      <c r="H342" s="14">
        <f t="shared" si="84"/>
        <v>801.81999999999971</v>
      </c>
      <c r="I342" s="15">
        <f>IFERROR(H342/H444, "NA")</f>
        <v>-2.9359059889084233E-2</v>
      </c>
      <c r="J342" s="2"/>
      <c r="K342" s="14">
        <f>IFERROR(K337+K338+K339+K340+K341, "NA")</f>
        <v>5088.2</v>
      </c>
      <c r="L342" s="15">
        <f>IFERROR(K342/K444, "NA")</f>
        <v>4.8387332983249015E-2</v>
      </c>
      <c r="M342" s="2"/>
      <c r="N342" s="14">
        <f t="shared" si="85"/>
        <v>147.56999999999971</v>
      </c>
      <c r="O342" s="15">
        <f>IFERROR(N342/N444, "NA")</f>
        <v>-1.1722110440597863E-2</v>
      </c>
      <c r="P342" s="2"/>
      <c r="Q342" s="14">
        <f>IFERROR(Q337+Q338+Q339+Q340+Q341, "NA")</f>
        <v>39961.760000000002</v>
      </c>
      <c r="R342" s="15">
        <f>IFERROR(Q342/Q444, "NA")</f>
        <v>4.4492008864564399E-2</v>
      </c>
      <c r="S342" s="2"/>
      <c r="T342" s="14">
        <f>IFERROR(T337+T338+T339+T340+T341, "NA")</f>
        <v>42807.9</v>
      </c>
      <c r="U342" s="15">
        <f>IFERROR(T342/T444, "NA")</f>
        <v>4.3645119893652801E-2</v>
      </c>
      <c r="V342" s="2"/>
      <c r="W342" s="14">
        <f t="shared" si="86"/>
        <v>2846.1399999999994</v>
      </c>
      <c r="X342" s="15">
        <f>IFERROR(W342/W444, "NA")</f>
        <v>-3.4440560223303218E-2</v>
      </c>
      <c r="Y342" s="2"/>
      <c r="Z342" s="14">
        <f>IFERROR(Z337+Z338+Z339+Z340+Z341, "NA")</f>
        <v>37796.54</v>
      </c>
      <c r="AA342" s="15">
        <f>IFERROR(Z342/Z444, "NA")</f>
        <v>4.4818941108472933E-2</v>
      </c>
      <c r="AB342" s="2"/>
      <c r="AC342" s="14">
        <f t="shared" si="87"/>
        <v>-2165.2200000000012</v>
      </c>
      <c r="AD342" s="15">
        <f>IFERROR(AC342/AC444, "NA")</f>
        <v>-3.9466553899181862E-2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25099.56</v>
      </c>
      <c r="C343" s="15">
        <f>IFERROR(B343/B444, "NA")</f>
        <v>0.27115139490392809</v>
      </c>
      <c r="D343" s="2"/>
      <c r="E343" s="14">
        <f>IFERROR(E328+E329+E330+E331+E332+E333+E334+E335+E337+E338+E339+E340+E341, "NA")</f>
        <v>25676.45</v>
      </c>
      <c r="F343" s="15">
        <f>IFERROR(E343/E444, "NA")</f>
        <v>0.21418922881300154</v>
      </c>
      <c r="G343" s="2"/>
      <c r="H343" s="14">
        <f t="shared" si="84"/>
        <v>576.88999999999942</v>
      </c>
      <c r="I343" s="15">
        <f>IFERROR(H343/H444, "NA")</f>
        <v>-2.1123129953622751E-2</v>
      </c>
      <c r="J343" s="2"/>
      <c r="K343" s="14">
        <f>IFERROR(K328+K329+K330+K331+K332+K333+K334+K335+K337+K338+K339+K340+K341, "NA")</f>
        <v>24607.02</v>
      </c>
      <c r="L343" s="15">
        <f>IFERROR(K343/K444, "NA")</f>
        <v>0.23400575261693099</v>
      </c>
      <c r="M343" s="2"/>
      <c r="N343" s="14">
        <f t="shared" si="85"/>
        <v>-492.54000000000087</v>
      </c>
      <c r="O343" s="15">
        <f>IFERROR(N343/N444, "NA")</f>
        <v>3.9124539380714869E-2</v>
      </c>
      <c r="P343" s="2"/>
      <c r="Q343" s="14">
        <f>IFERROR(Q328+Q329+Q330+Q331+Q332+Q333+Q334+Q335+Q337+Q338+Q339+Q340+Q341, "NA")</f>
        <v>206429.85</v>
      </c>
      <c r="R343" s="15">
        <f>IFERROR(Q343/Q444, "NA")</f>
        <v>0.22983168699553522</v>
      </c>
      <c r="S343" s="2"/>
      <c r="T343" s="14">
        <f>IFERROR(T328+T329+T330+T331+T332+T333+T334+T335+T337+T338+T339+T340+T341, "NA")</f>
        <v>208157.9</v>
      </c>
      <c r="U343" s="15">
        <f>IFERROR(T343/T444, "NA")</f>
        <v>0.21222896947318112</v>
      </c>
      <c r="V343" s="2"/>
      <c r="W343" s="14">
        <f t="shared" si="86"/>
        <v>1728.0499999999884</v>
      </c>
      <c r="X343" s="15">
        <f>IFERROR(W343/W444, "NA")</f>
        <v>-2.0910780950297154E-2</v>
      </c>
      <c r="Y343" s="2"/>
      <c r="Z343" s="14">
        <f>IFERROR(Z328+Z329+Z330+Z331+Z332+Z333+Z334+Z335+Z337+Z338+Z339+Z340+Z341, "NA")</f>
        <v>201207.09999999998</v>
      </c>
      <c r="AA343" s="15">
        <f>IFERROR(Z343/Z444, "NA")</f>
        <v>0.23859033566317506</v>
      </c>
      <c r="AB343" s="2"/>
      <c r="AC343" s="14">
        <f t="shared" si="87"/>
        <v>-5222.7500000000291</v>
      </c>
      <c r="AD343" s="15">
        <f>IFERROR(AC343/AC444, "NA")</f>
        <v>-9.5197690939929025E-2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25099.56</v>
      </c>
      <c r="C344" s="15">
        <f>IFERROR(B344/B444, "NA")</f>
        <v>0.27115139490392809</v>
      </c>
      <c r="D344" s="2"/>
      <c r="E344" s="14">
        <f>IFERROR(E328+E329+E330+E331+E332+E333+E334+E335+E337+E338+E339+E340+E341, "NA")</f>
        <v>25676.45</v>
      </c>
      <c r="F344" s="15">
        <f>IFERROR(E344/E444, "NA")</f>
        <v>0.21418922881300154</v>
      </c>
      <c r="G344" s="2"/>
      <c r="H344" s="14">
        <f t="shared" si="84"/>
        <v>576.88999999999942</v>
      </c>
      <c r="I344" s="15">
        <f>IFERROR(H344/H444, "NA")</f>
        <v>-2.1123129953622751E-2</v>
      </c>
      <c r="J344" s="2"/>
      <c r="K344" s="14">
        <f>IFERROR(K328+K329+K330+K331+K332+K333+K334+K335+K337+K338+K339+K340+K341, "NA")</f>
        <v>24607.02</v>
      </c>
      <c r="L344" s="15">
        <f>IFERROR(K344/K444, "NA")</f>
        <v>0.23400575261693099</v>
      </c>
      <c r="M344" s="2"/>
      <c r="N344" s="14">
        <f t="shared" si="85"/>
        <v>-492.54000000000087</v>
      </c>
      <c r="O344" s="15">
        <f>IFERROR(N344/N444, "NA")</f>
        <v>3.9124539380714869E-2</v>
      </c>
      <c r="P344" s="2"/>
      <c r="Q344" s="14">
        <f>IFERROR(Q328+Q329+Q330+Q331+Q332+Q333+Q334+Q335+Q337+Q338+Q339+Q340+Q341, "NA")</f>
        <v>206429.85</v>
      </c>
      <c r="R344" s="15">
        <f>IFERROR(Q344/Q444, "NA")</f>
        <v>0.22983168699553522</v>
      </c>
      <c r="S344" s="2"/>
      <c r="T344" s="14">
        <f>IFERROR(T328+T329+T330+T331+T332+T333+T334+T335+T337+T338+T339+T340+T341, "NA")</f>
        <v>208157.9</v>
      </c>
      <c r="U344" s="15">
        <f>IFERROR(T344/T444, "NA")</f>
        <v>0.21222896947318112</v>
      </c>
      <c r="V344" s="2"/>
      <c r="W344" s="14">
        <f t="shared" si="86"/>
        <v>1728.0499999999884</v>
      </c>
      <c r="X344" s="15">
        <f>IFERROR(W344/W444, "NA")</f>
        <v>-2.0910780950297154E-2</v>
      </c>
      <c r="Y344" s="2"/>
      <c r="Z344" s="14">
        <f>IFERROR(Z328+Z329+Z330+Z331+Z332+Z333+Z334+Z335+Z337+Z338+Z339+Z340+Z341, "NA")</f>
        <v>201207.09999999998</v>
      </c>
      <c r="AA344" s="15">
        <f>IFERROR(Z344/Z444, "NA")</f>
        <v>0.23859033566317506</v>
      </c>
      <c r="AB344" s="2"/>
      <c r="AC344" s="14">
        <f t="shared" si="87"/>
        <v>-5222.7500000000291</v>
      </c>
      <c r="AD344" s="15">
        <f>IFERROR(AC344/AC444, "NA")</f>
        <v>-9.5197690939929025E-2</v>
      </c>
    </row>
    <row r="345" spans="1:30" ht="16.5" customHeight="1" x14ac:dyDescent="0.45">
      <c r="A345" s="22" t="s">
        <v>315</v>
      </c>
      <c r="B345" s="23">
        <f>IFERROR(B198-B325-B344, "NA")</f>
        <v>-11107.979999999981</v>
      </c>
      <c r="C345" s="24">
        <f>IFERROR(B345/B444, "NA")</f>
        <v>-0.11999988332723482</v>
      </c>
      <c r="D345" s="25"/>
      <c r="E345" s="23">
        <f>IFERROR(E198-E325-E344, "NA")</f>
        <v>9883.0500000000138</v>
      </c>
      <c r="F345" s="24">
        <f>IFERROR(E345/E444, "NA")</f>
        <v>8.2442972366520206E-2</v>
      </c>
      <c r="G345" s="25"/>
      <c r="H345" s="23">
        <f>IFERROR(B345-E345, "NA")</f>
        <v>-20991.029999999995</v>
      </c>
      <c r="I345" s="24">
        <f>IFERROR(H345/H444, "NA")</f>
        <v>0.76859757414826757</v>
      </c>
      <c r="J345" s="25"/>
      <c r="K345" s="23">
        <f>IFERROR(K198-K325-K344, "NA")</f>
        <v>-4466.2199999999502</v>
      </c>
      <c r="L345" s="24">
        <f>IFERROR(K345/K444, "NA")</f>
        <v>-4.2472480310609649E-2</v>
      </c>
      <c r="M345" s="25"/>
      <c r="N345" s="23">
        <f>IFERROR(B345-K345, "NA")</f>
        <v>-6641.7600000000311</v>
      </c>
      <c r="O345" s="24">
        <f>IFERROR(N345/N444, "NA")</f>
        <v>0.52758314183062804</v>
      </c>
      <c r="P345" s="25"/>
      <c r="Q345" s="23">
        <f>IFERROR(Q198-Q325-Q344, "NA")</f>
        <v>-52041.230000000185</v>
      </c>
      <c r="R345" s="24">
        <f>IFERROR(Q345/Q444, "NA")</f>
        <v>-5.7940863127220694E-2</v>
      </c>
      <c r="S345" s="25"/>
      <c r="T345" s="23">
        <f>IFERROR(T198-T325-T344, "NA")</f>
        <v>59532.86999999985</v>
      </c>
      <c r="U345" s="24">
        <f>IFERROR(T345/T444, "NA")</f>
        <v>6.0697190209359472E-2</v>
      </c>
      <c r="V345" s="25"/>
      <c r="W345" s="23">
        <f>IFERROR(Q345-T345, "NA")</f>
        <v>-111574.10000000003</v>
      </c>
      <c r="X345" s="24">
        <f>IFERROR(W345/W444, "NA")</f>
        <v>1.3501354502627623</v>
      </c>
      <c r="Y345" s="25"/>
      <c r="Z345" s="23">
        <f>IFERROR(Z198-Z325-Z344, "NA")</f>
        <v>-31479.959999999788</v>
      </c>
      <c r="AA345" s="24">
        <f>IFERROR(Z345/Z444, "NA")</f>
        <v>-3.7328773304039838E-2</v>
      </c>
      <c r="AB345" s="25"/>
      <c r="AC345" s="23">
        <f>IFERROR(Q345-Z345, "NA")</f>
        <v>-20561.270000000397</v>
      </c>
      <c r="AD345" s="24">
        <f>IFERROR(AC345/AC444, "NA")</f>
        <v>-0.37478060921783757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-11107.979999999981</v>
      </c>
      <c r="C404" s="24">
        <f>IFERROR(B404/B444, "NA")</f>
        <v>-0.11999988332723482</v>
      </c>
      <c r="D404" s="25"/>
      <c r="E404" s="23">
        <f>IFERROR(E345-E403, "NA")</f>
        <v>9883.0500000000138</v>
      </c>
      <c r="F404" s="24">
        <f>IFERROR(E404/E444, "NA")</f>
        <v>8.2442972366520206E-2</v>
      </c>
      <c r="G404" s="25"/>
      <c r="H404" s="23">
        <f>IFERROR(B404-E404, "NA")</f>
        <v>-20991.029999999995</v>
      </c>
      <c r="I404" s="24">
        <f>IFERROR(H404/H444, "NA")</f>
        <v>0.76859757414826757</v>
      </c>
      <c r="J404" s="25"/>
      <c r="K404" s="23">
        <f>IFERROR(K345-K403, "NA")</f>
        <v>-4466.2199999999502</v>
      </c>
      <c r="L404" s="24">
        <f>IFERROR(K404/K444, "NA")</f>
        <v>-4.2472480310609649E-2</v>
      </c>
      <c r="M404" s="25"/>
      <c r="N404" s="23">
        <f>IFERROR(B404-K404, "NA")</f>
        <v>-6641.7600000000311</v>
      </c>
      <c r="O404" s="24">
        <f>IFERROR(N404/N444, "NA")</f>
        <v>0.52758314183062804</v>
      </c>
      <c r="P404" s="25"/>
      <c r="Q404" s="23">
        <f>IFERROR(Q345-Q403, "NA")</f>
        <v>-52041.230000000185</v>
      </c>
      <c r="R404" s="24">
        <f>IFERROR(Q404/Q444, "NA")</f>
        <v>-5.7940863127220694E-2</v>
      </c>
      <c r="S404" s="25"/>
      <c r="T404" s="23">
        <f>IFERROR(T345-T403, "NA")</f>
        <v>59532.86999999985</v>
      </c>
      <c r="U404" s="24">
        <f>IFERROR(T404/T444, "NA")</f>
        <v>6.0697190209359472E-2</v>
      </c>
      <c r="V404" s="25"/>
      <c r="W404" s="23">
        <f>IFERROR(Q404-T404, "NA")</f>
        <v>-111574.10000000003</v>
      </c>
      <c r="X404" s="24">
        <f>IFERROR(W404/W444, "NA")</f>
        <v>1.3501354502627623</v>
      </c>
      <c r="Y404" s="25"/>
      <c r="Z404" s="23">
        <f>IFERROR(Z345-Z403, "NA")</f>
        <v>-31479.959999999788</v>
      </c>
      <c r="AA404" s="24">
        <f>IFERROR(Z404/Z444, "NA")</f>
        <v>-3.7328773304039838E-2</v>
      </c>
      <c r="AB404" s="25"/>
      <c r="AC404" s="23">
        <f>IFERROR(Q404-Z404, "NA")</f>
        <v>-20561.270000000397</v>
      </c>
      <c r="AD404" s="24">
        <f>IFERROR(AC404/AC444, "NA")</f>
        <v>-0.37478060921783757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1892</v>
      </c>
      <c r="AA408" s="8">
        <f>IFERROR(Z408/Z444, "NA")</f>
        <v>2.2435237875538549E-3</v>
      </c>
      <c r="AB408" s="9"/>
      <c r="AC408" s="10">
        <f t="shared" si="103"/>
        <v>1892</v>
      </c>
      <c r="AD408" s="8">
        <f>IFERROR(AC408/AC444, "NA")</f>
        <v>3.4486435548005304E-2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10315.540000000001</v>
      </c>
      <c r="C410" s="8">
        <f>IFERROR(B410/B444, "NA")</f>
        <v>0.11143912722722098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-10315.540000000001</v>
      </c>
      <c r="I410" s="8">
        <f>IFERROR(H410/H444, "NA")</f>
        <v>0.37770890804450391</v>
      </c>
      <c r="J410" s="9"/>
      <c r="K410" s="7">
        <v>9542.91</v>
      </c>
      <c r="L410" s="8">
        <f>IFERROR(K410/K444, "NA")</f>
        <v>9.0750356471675037E-2</v>
      </c>
      <c r="M410" s="9"/>
      <c r="N410" s="10">
        <f t="shared" si="101"/>
        <v>-772.63000000000102</v>
      </c>
      <c r="O410" s="8">
        <f>IFERROR(N410/N444, "NA")</f>
        <v>6.1373274986238104E-2</v>
      </c>
      <c r="P410" s="9"/>
      <c r="Q410" s="7">
        <v>79405.7</v>
      </c>
      <c r="R410" s="8">
        <f>IFERROR(Q410/Q444, "NA")</f>
        <v>8.8407495272904424E-2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-79405.7</v>
      </c>
      <c r="X410" s="8">
        <f>IFERROR(W410/W444, "NA")</f>
        <v>0.96087219635139143</v>
      </c>
      <c r="Y410" s="9"/>
      <c r="Z410" s="7">
        <v>76343.199999999997</v>
      </c>
      <c r="AA410" s="8">
        <f>IFERROR(Z410/Z444, "NA")</f>
        <v>9.0527370622611764E-2</v>
      </c>
      <c r="AB410" s="9"/>
      <c r="AC410" s="10">
        <f t="shared" si="103"/>
        <v>-3062.5</v>
      </c>
      <c r="AD410" s="8">
        <f>IFERROR(AC410/AC444, "NA")</f>
        <v>-5.5821727730320424E-2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-60.04</v>
      </c>
      <c r="C416" s="8">
        <f>IFERROR(B416/B444, "NA")</f>
        <v>-6.4861414901423936E-4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60.04</v>
      </c>
      <c r="I416" s="8">
        <f>IFERROR(H416/H444, "NA")</f>
        <v>-2.198396093562917E-3</v>
      </c>
      <c r="J416" s="9"/>
      <c r="K416" s="7">
        <v>-65.8</v>
      </c>
      <c r="L416" s="8">
        <f>IFERROR(K416/K444, "NA")</f>
        <v>-6.2573926148692764E-4</v>
      </c>
      <c r="M416" s="9"/>
      <c r="N416" s="10">
        <f t="shared" si="101"/>
        <v>-5.759999999999998</v>
      </c>
      <c r="O416" s="8">
        <f>IFERROR(N416/N444, "NA")</f>
        <v>4.5754120849660366E-4</v>
      </c>
      <c r="P416" s="9"/>
      <c r="Q416" s="7">
        <v>-13.47</v>
      </c>
      <c r="R416" s="8">
        <f>IFERROR(Q416/Q444, "NA")</f>
        <v>-1.4997021137349367E-5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13.47</v>
      </c>
      <c r="X416" s="8">
        <f>IFERROR(W416/W444, "NA")</f>
        <v>-1.6299772541332981E-4</v>
      </c>
      <c r="Y416" s="9"/>
      <c r="Z416" s="7">
        <v>-475.27</v>
      </c>
      <c r="AA416" s="8">
        <f>IFERROR(Z416/Z444, "NA")</f>
        <v>-5.6357270111560289E-4</v>
      </c>
      <c r="AB416" s="9"/>
      <c r="AC416" s="10">
        <f t="shared" si="103"/>
        <v>-461.79999999999995</v>
      </c>
      <c r="AD416" s="8">
        <f>IFERROR(AC416/AC444, "NA")</f>
        <v>-8.4174608541590108E-3</v>
      </c>
    </row>
    <row r="417" spans="1:30" ht="16.5" customHeight="1" x14ac:dyDescent="0.45">
      <c r="A417" s="6" t="s">
        <v>382</v>
      </c>
      <c r="B417" s="7">
        <v>-40.49</v>
      </c>
      <c r="C417" s="8">
        <f>IFERROR(B417/B444, "NA")</f>
        <v>-4.3741483833421976E-4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40.49</v>
      </c>
      <c r="I417" s="8">
        <f>IFERROR(H417/H444, "NA")</f>
        <v>-1.4825625887468774E-3</v>
      </c>
      <c r="J417" s="9"/>
      <c r="K417" s="7">
        <v>-61.05</v>
      </c>
      <c r="L417" s="8">
        <f>IFERROR(K417/K444, "NA")</f>
        <v>-5.8056811419113881E-4</v>
      </c>
      <c r="M417" s="9"/>
      <c r="N417" s="10">
        <f t="shared" si="101"/>
        <v>-20.559999999999995</v>
      </c>
      <c r="O417" s="8">
        <f>IFERROR(N417/N444, "NA")</f>
        <v>1.6331679247725995E-3</v>
      </c>
      <c r="P417" s="9"/>
      <c r="Q417" s="7">
        <v>-313.14999999999998</v>
      </c>
      <c r="R417" s="8">
        <f>IFERROR(Q417/Q444, "NA")</f>
        <v>-3.4865012391692305E-4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313.14999999999998</v>
      </c>
      <c r="X417" s="8">
        <f>IFERROR(W417/W444, "NA")</f>
        <v>-3.7893643439631942E-3</v>
      </c>
      <c r="Y417" s="9"/>
      <c r="Z417" s="7">
        <v>-79.650000000000006</v>
      </c>
      <c r="AA417" s="8">
        <f>IFERROR(Z417/Z444, "NA")</f>
        <v>-9.4448556912613411E-5</v>
      </c>
      <c r="AB417" s="9"/>
      <c r="AC417" s="10">
        <f t="shared" si="103"/>
        <v>233.49999999999997</v>
      </c>
      <c r="AD417" s="8">
        <f>IFERROR(AC417/AC444, "NA")</f>
        <v>4.2561219347036139E-3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2.9028257039808865E-5</v>
      </c>
      <c r="AB424" s="9"/>
      <c r="AC424" s="10">
        <f t="shared" si="103"/>
        <v>24.48</v>
      </c>
      <c r="AD424" s="8">
        <f>IFERROR(AC424/AC444, "NA")</f>
        <v>4.4620927178391643E-4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10215.01</v>
      </c>
      <c r="C428" s="15">
        <f>IFERROR(B428/B444, "NA")</f>
        <v>0.11035309823987251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-10215.01</v>
      </c>
      <c r="I428" s="15">
        <f>IFERROR(H428/H444, "NA")</f>
        <v>0.37402794936219408</v>
      </c>
      <c r="J428" s="2"/>
      <c r="K428" s="14">
        <f>IFERROR(K407+K408+K409+K410+K411+K412+K413+K414+K415+K416+K417+K418+K419+K420+K421+K422+K423+K424+K425+K426+K427, "NA")</f>
        <v>9416.0600000000013</v>
      </c>
      <c r="L428" s="15">
        <f>IFERROR(K428/K444, "NA")</f>
        <v>8.9544049095996975E-2</v>
      </c>
      <c r="M428" s="2"/>
      <c r="N428" s="14">
        <f t="shared" si="101"/>
        <v>-798.94999999999891</v>
      </c>
      <c r="O428" s="15">
        <f>IFERROR(N428/N444, "NA")</f>
        <v>6.3463984119507141E-2</v>
      </c>
      <c r="P428" s="2"/>
      <c r="Q428" s="14">
        <f>IFERROR(Q407+Q408+Q409+Q410+Q411+Q412+Q413+Q414+Q415+Q416+Q417+Q418+Q419+Q420+Q421+Q422+Q423+Q424+Q425+Q426+Q427, "NA")</f>
        <v>79079.08</v>
      </c>
      <c r="R428" s="15">
        <f>IFERROR(Q428/Q444, "NA")</f>
        <v>8.8043848127850155E-2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-79079.08</v>
      </c>
      <c r="X428" s="15">
        <f>IFERROR(W428/W444, "NA")</f>
        <v>0.95691983428201488</v>
      </c>
      <c r="Y428" s="2"/>
      <c r="Z428" s="14">
        <f>IFERROR(Z407+Z408+Z409+Z410+Z411+Z412+Z413+Z414+Z415+Z416+Z417+Z418+Z419+Z420+Z421+Z422+Z423+Z424+Z425+Z426+Z427, "NA")</f>
        <v>77704.759999999995</v>
      </c>
      <c r="AA428" s="15">
        <f>IFERROR(Z428/Z444, "NA")</f>
        <v>9.2141901409177204E-2</v>
      </c>
      <c r="AB428" s="2"/>
      <c r="AC428" s="14">
        <f t="shared" si="103"/>
        <v>-1374.320000000007</v>
      </c>
      <c r="AD428" s="15">
        <f>IFERROR(AC428/AC444, "NA")</f>
        <v>-2.5050421829986728E-2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10215.01</v>
      </c>
      <c r="C429" s="15">
        <f>IFERROR(B429/B444, "NA")</f>
        <v>0.11035309823987251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-10215.01</v>
      </c>
      <c r="I429" s="15">
        <f>IFERROR(H429/H444, "NA")</f>
        <v>0.37402794936219408</v>
      </c>
      <c r="J429" s="2"/>
      <c r="K429" s="14">
        <f>IFERROR(K407+K408+K409+K410+K411+K412+K413+K414+K415+K416+K417+K418+K419+K420+K421+K422+K423+K424+K425+K426+K427, "NA")</f>
        <v>9416.0600000000013</v>
      </c>
      <c r="L429" s="15">
        <f>IFERROR(K429/K444, "NA")</f>
        <v>8.9544049095996975E-2</v>
      </c>
      <c r="M429" s="2"/>
      <c r="N429" s="14">
        <f t="shared" si="101"/>
        <v>-798.94999999999891</v>
      </c>
      <c r="O429" s="15">
        <f>IFERROR(N429/N444, "NA")</f>
        <v>6.3463984119507141E-2</v>
      </c>
      <c r="P429" s="2"/>
      <c r="Q429" s="14">
        <f>IFERROR(Q407+Q408+Q409+Q410+Q411+Q412+Q413+Q414+Q415+Q416+Q417+Q418+Q419+Q420+Q421+Q422+Q423+Q424+Q425+Q426+Q427, "NA")</f>
        <v>79079.08</v>
      </c>
      <c r="R429" s="15">
        <f>IFERROR(Q429/Q444, "NA")</f>
        <v>8.8043848127850155E-2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-79079.08</v>
      </c>
      <c r="X429" s="15">
        <f>IFERROR(W429/W444, "NA")</f>
        <v>0.95691983428201488</v>
      </c>
      <c r="Y429" s="2"/>
      <c r="Z429" s="14">
        <f>IFERROR(Z407+Z408+Z409+Z410+Z411+Z412+Z413+Z414+Z415+Z416+Z417+Z418+Z419+Z420+Z421+Z422+Z423+Z424+Z425+Z426+Z427, "NA")</f>
        <v>77704.759999999995</v>
      </c>
      <c r="AA429" s="15">
        <f>IFERROR(Z429/Z444, "NA")</f>
        <v>9.2141901409177204E-2</v>
      </c>
      <c r="AB429" s="2"/>
      <c r="AC429" s="14">
        <f t="shared" si="103"/>
        <v>-1374.320000000007</v>
      </c>
      <c r="AD429" s="15">
        <f>IFERROR(AC429/AC444, "NA")</f>
        <v>-2.5050421829986728E-2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-21322.989999999983</v>
      </c>
      <c r="C443" s="24">
        <f>IFERROR(B443/B444, "NA")</f>
        <v>-0.23035298156710735</v>
      </c>
      <c r="D443" s="25"/>
      <c r="E443" s="23">
        <f>IFERROR(E404-E429-E442, "NA")</f>
        <v>9883.0500000000138</v>
      </c>
      <c r="F443" s="24">
        <f>IFERROR(E443/E444, "NA")</f>
        <v>8.2442972366520206E-2</v>
      </c>
      <c r="G443" s="25"/>
      <c r="H443" s="23">
        <f>IFERROR(B443-E443, "NA")</f>
        <v>-31206.039999999997</v>
      </c>
      <c r="I443" s="24">
        <f>IFERROR(H443/H444, "NA")</f>
        <v>1.1426255235104619</v>
      </c>
      <c r="J443" s="25"/>
      <c r="K443" s="23">
        <f>IFERROR(K404-K429-K442, "NA")</f>
        <v>-13882.279999999952</v>
      </c>
      <c r="L443" s="24">
        <f>IFERROR(K443/K444, "NA")</f>
        <v>-0.13201652940660663</v>
      </c>
      <c r="M443" s="25"/>
      <c r="N443" s="23">
        <f>IFERROR(B443-K443, "NA")</f>
        <v>-7440.7100000000319</v>
      </c>
      <c r="O443" s="24">
        <f>IFERROR(N443/N444, "NA")</f>
        <v>0.59104712595013531</v>
      </c>
      <c r="P443" s="25"/>
      <c r="Q443" s="23">
        <f>IFERROR(Q404-Q429-Q442, "NA")</f>
        <v>-131120.31000000017</v>
      </c>
      <c r="R443" s="24">
        <f>IFERROR(Q443/Q444, "NA")</f>
        <v>-0.14598471125507084</v>
      </c>
      <c r="S443" s="25"/>
      <c r="T443" s="23">
        <f>IFERROR(T404-T429-T442, "NA")</f>
        <v>59532.86999999985</v>
      </c>
      <c r="U443" s="24">
        <f>IFERROR(T443/T444, "NA")</f>
        <v>6.0697190209359472E-2</v>
      </c>
      <c r="V443" s="25"/>
      <c r="W443" s="23">
        <f>IFERROR(Q443-T443, "NA")</f>
        <v>-190653.18000000002</v>
      </c>
      <c r="X443" s="24">
        <f>IFERROR(W443/W444, "NA")</f>
        <v>2.3070552845447767</v>
      </c>
      <c r="Y443" s="25"/>
      <c r="Z443" s="23">
        <f>IFERROR(Z404-Z429-Z442, "NA")</f>
        <v>-109184.71999999978</v>
      </c>
      <c r="AA443" s="24">
        <f>IFERROR(Z443/Z444, "NA")</f>
        <v>-0.12947067471321705</v>
      </c>
      <c r="AB443" s="25"/>
      <c r="AC443" s="23">
        <f>IFERROR(Q443-Z443, "NA")</f>
        <v>-21935.590000000389</v>
      </c>
      <c r="AD443" s="24">
        <f>IFERROR(AC443/AC444, "NA")</f>
        <v>-0.39983103104782403</v>
      </c>
    </row>
    <row r="444" spans="1:30" ht="15.75" hidden="1" x14ac:dyDescent="0.45">
      <c r="A444" s="26" t="s">
        <v>117</v>
      </c>
      <c r="B444" s="7">
        <v>92566.59</v>
      </c>
      <c r="C444" s="27"/>
      <c r="D444" s="9"/>
      <c r="E444" s="7">
        <v>119877.41</v>
      </c>
      <c r="F444" s="27"/>
      <c r="G444" s="9"/>
      <c r="H444" s="10">
        <f>IFERROR(B444-E444, "NA")</f>
        <v>-27310.820000000007</v>
      </c>
      <c r="I444" s="27"/>
      <c r="J444" s="9"/>
      <c r="K444" s="7">
        <v>105155.62</v>
      </c>
      <c r="L444" s="27"/>
      <c r="M444" s="9"/>
      <c r="N444" s="10">
        <f>IFERROR(B444-K444, "NA")</f>
        <v>-12589.029999999999</v>
      </c>
      <c r="O444" s="27"/>
      <c r="P444" s="9"/>
      <c r="Q444" s="7">
        <v>898178.37</v>
      </c>
      <c r="R444" s="27"/>
      <c r="S444" s="9"/>
      <c r="T444" s="7">
        <v>980817.56</v>
      </c>
      <c r="U444" s="27"/>
      <c r="V444" s="9"/>
      <c r="W444" s="10">
        <f>IFERROR(Q444-T444, "NA")</f>
        <v>-82639.190000000061</v>
      </c>
      <c r="X444" s="27"/>
      <c r="Y444" s="9"/>
      <c r="Z444" s="7">
        <v>843316.22</v>
      </c>
      <c r="AA444" s="27"/>
      <c r="AB444" s="9"/>
      <c r="AC444" s="10">
        <f>IFERROR(Q444-Z444, "NA")</f>
        <v>54862.150000000023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2026-04-07T01:56:59Z</dcterms:created>
  <dcterms:modified xsi:type="dcterms:W3CDTF">2026-04-07T01:57:25Z</dcterms:modified>
</cp:coreProperties>
</file>